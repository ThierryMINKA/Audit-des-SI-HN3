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ynthèse" sheetId="1" state="visible" r:id="rId3"/>
    <sheet name="4.1" sheetId="2" state="visible" r:id="rId4"/>
    <sheet name="4.2" sheetId="3" state="visible" r:id="rId5"/>
    <sheet name="4.3" sheetId="4" state="visible" r:id="rId6"/>
    <sheet name="4.4" sheetId="5" state="visible" r:id="rId7"/>
    <sheet name="4.5" sheetId="6" state="visible" r:id="rId8"/>
    <sheet name="Ref_COSO" sheetId="7" state="visible" r:id="rId9"/>
    <sheet name="Global" sheetId="8" state="visible" r:id="rId10"/>
  </sheets>
  <externalReferences>
    <externalReference r:id="rId11"/>
  </externalReferenc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<sst xmlns="http://schemas.openxmlformats.org/spreadsheetml/2006/main" count="51633" uniqueCount="17845">
  <si>
    <t xml:space="preserve">N°</t>
  </si>
  <si>
    <t xml:space="preserve">Domaines</t>
  </si>
  <si>
    <t xml:space="preserve">Total OUI</t>
  </si>
  <si>
    <t xml:space="preserve">Total NON</t>
  </si>
  <si>
    <t xml:space="preserve">Total PAS</t>
  </si>
  <si>
    <t xml:space="preserve">Total</t>
  </si>
  <si>
    <t xml:space="preserve">Score</t>
  </si>
  <si>
    <t xml:space="preserve">Equipe de Mission</t>
  </si>
  <si>
    <t xml:space="preserve">Audit des Applications en Service (4.1)</t>
  </si>
  <si>
    <t xml:space="preserve">Audit de la Fonction Informatique (4.2)</t>
  </si>
  <si>
    <t xml:space="preserve">Nom</t>
  </si>
  <si>
    <t xml:space="preserve">Prénom</t>
  </si>
  <si>
    <t xml:space="preserve">Grade</t>
  </si>
  <si>
    <t xml:space="preserve">Audit et Contrôle des Projets Informatiques (4.3)</t>
  </si>
  <si>
    <t xml:space="preserve">Chef :</t>
  </si>
  <si>
    <t xml:space="preserve">DJEUMENI</t>
  </si>
  <si>
    <t xml:space="preserve">WINNIE</t>
  </si>
  <si>
    <t xml:space="preserve">Audit du Support Utilisateur et de la Gestion du Parc (4.4)</t>
  </si>
  <si>
    <t xml:space="preserve">Conduire une Mission d’Audit du Support aux utilisateurs et de la gestion du Parc (4.5)</t>
  </si>
  <si>
    <t xml:space="preserve">Membres:</t>
  </si>
  <si>
    <t xml:space="preserve">COSO </t>
  </si>
  <si>
    <t xml:space="preserve">Chauffeur:</t>
  </si>
  <si>
    <t xml:space="preserve">Points de contrôle</t>
  </si>
  <si>
    <t xml:space="preserve">objectifs de contrôle</t>
  </si>
  <si>
    <t xml:space="preserve">criteres d'evaluation</t>
  </si>
  <si>
    <t xml:space="preserve">Documents Requis</t>
  </si>
  <si>
    <t xml:space="preserve">Questions d'evaluation</t>
  </si>
  <si>
    <t xml:space="preserve">Réponses</t>
  </si>
  <si>
    <t xml:space="preserve">Risques</t>
  </si>
  <si>
    <t xml:space="preserve">Criticités</t>
  </si>
  <si>
    <t xml:space="preserve">Consequences</t>
  </si>
  <si>
    <t xml:space="preserve">Recommandations</t>
  </si>
  <si>
    <t xml:space="preserve">Audit des applications en service</t>
  </si>
  <si>
    <t xml:space="preserve">Organisation</t>
  </si>
  <si>
    <t xml:space="preserve">S’assurer de l’existence d'un comité informatique</t>
  </si>
  <si>
    <t xml:space="preserve">Existence d'un comité informatique</t>
  </si>
  <si>
    <t xml:space="preserve">Décision de création du comité informatique signée par le DG</t>
  </si>
  <si>
    <t xml:space="preserve">Existe-t-il un comité informatique ?</t>
  </si>
  <si>
    <t xml:space="preserve">OUI</t>
  </si>
  <si>
    <t xml:space="preserve">Inexistence d'un comité informatique</t>
  </si>
  <si>
    <t xml:space="preserve">Elevée</t>
  </si>
  <si>
    <t xml:space="preserve">Décisions informatiques déconnectées des besoins métiers.</t>
  </si>
  <si>
    <t xml:space="preserve">mpliquer les métiers dans les instances de décision concernant les SI.</t>
  </si>
  <si>
    <t xml:space="preserve">Procès-verbal de réunion attestant de la création du comité informatique.</t>
  </si>
  <si>
    <t xml:space="preserve">Formaliser les besoins métiers et les traduire en exigences fonctionnelles et techniques.</t>
  </si>
  <si>
    <t xml:space="preserve">Le Comité est présidé par le Directeur Général</t>
  </si>
  <si>
    <t xml:space="preserve">PV de session du comité</t>
  </si>
  <si>
    <t xml:space="preserve">Le Comité est-il présidé par le Directeur Général ?</t>
  </si>
  <si>
    <t xml:space="preserve">NON</t>
  </si>
  <si>
    <t xml:space="preserve">Le Comité n'est pas présidé par le Directeur Général</t>
  </si>
  <si>
    <t xml:space="preserve">Moyenne</t>
  </si>
  <si>
    <t xml:space="preserve">Manque d'autorité et de légitimité des décisions du comité.</t>
  </si>
  <si>
    <t xml:space="preserve">Clarifier les rôles et responsabilités du comité de pilotage SI.</t>
  </si>
  <si>
    <t xml:space="preserve">Décision de nomination du Président du comité informatique signée par le Directeur Général.</t>
  </si>
  <si>
    <t xml:space="preserve">Documenter les décisions prises et les diffuser aux parties prenantes.</t>
  </si>
  <si>
    <t xml:space="preserve">Les directions utilisatrices sont représentées au sein de ce Comité</t>
  </si>
  <si>
    <t xml:space="preserve">Décision d'affectation des directions au comité</t>
  </si>
  <si>
    <t xml:space="preserve">Les directions utilisatrices sont-elles représentées au sein de ce Comité ?</t>
  </si>
  <si>
    <t xml:space="preserve">PAS</t>
  </si>
  <si>
    <t xml:space="preserve">Les directions utilisatrices ne sont pas représentées au sein de 
 ce Comité.</t>
  </si>
  <si>
    <t xml:space="preserve">Systèmes inadaptés aux besoins réels des utilisateurs.</t>
  </si>
  <si>
    <t xml:space="preserve">Mener des études d'utilisabilité et des tests utilisateurs avant et après la mise en production.</t>
  </si>
  <si>
    <t xml:space="preserve">Mettre en place un processus de recueil et de gestion des feedbacks utilisateurs.</t>
  </si>
  <si>
    <t xml:space="preserve">Les directions utilisatrices sont influentes au sein de ce Comité</t>
  </si>
  <si>
    <t xml:space="preserve">Procès-verbal des réunions mentionnant les contributions des directions utilisatrices</t>
  </si>
  <si>
    <t xml:space="preserve">Les directions utilisatrices sont-elles influentes au sein de ce Comité ?</t>
  </si>
  <si>
    <t xml:space="preserve">Les directions utilisatrices ne sont pas influentes au sein de ce 
 Comité</t>
  </si>
  <si>
    <t xml:space="preserve">Faible</t>
  </si>
  <si>
    <t xml:space="preserve">Faible adoption par les utilisateurs et non atteinte des objectifs métiers.</t>
  </si>
  <si>
    <t xml:space="preserve">Accompagner les utilisateurs dans la prise en main des nouveaux systèmes.</t>
  </si>
  <si>
    <t xml:space="preserve">Document de gouvernance IT attestant du poids décisionnel des directions métiers</t>
  </si>
  <si>
    <t xml:space="preserve">Définir des indicateurs de performance (KPI) pour mesurer l'adoption et l'atteinte des objectifs.</t>
  </si>
  <si>
    <t xml:space="preserve">L'ordre du jour des réunions est documenté?</t>
  </si>
  <si>
    <t xml:space="preserve">Ordres du jour archivés des réunions du comité</t>
  </si>
  <si>
    <t xml:space="preserve">L'ordre du jour des réunions est-il documenté?</t>
  </si>
  <si>
    <t xml:space="preserve">Systèmes inadaptés aux besoins métiers.</t>
  </si>
  <si>
    <t xml:space="preserve">Pertes de temps et sujets importants non traités.</t>
  </si>
  <si>
    <t xml:space="preserve">Prioriser les sujets et les tâches en fonction de leur importance et de leur urgence.</t>
  </si>
  <si>
    <t xml:space="preserve">Procès-verbaux des réunions avec suivi des points traités</t>
  </si>
  <si>
    <t xml:space="preserve">Mettre en place des outils de gestion de projet et de suivi des tâches.</t>
  </si>
  <si>
    <t xml:space="preserve">S’assurer de l’existence d'une politique relative aux 
 applications</t>
  </si>
  <si>
    <t xml:space="preserve">Il existe une politique relative aux applications au sein de l'institution</t>
  </si>
  <si>
    <t xml:space="preserve">Document officiel de la politique applicative</t>
  </si>
  <si>
    <t xml:space="preserve">Existe-t-il une politique relative aux applications au sein de l'institution?</t>
  </si>
  <si>
    <t xml:space="preserve">Réunions inefficaces.</t>
  </si>
  <si>
    <t xml:space="preserve">Coûts élevés et duplication des fonctions.</t>
  </si>
  <si>
    <t xml:space="preserve">Rationaliser les applications et les systèmes existants.</t>
  </si>
  <si>
    <t xml:space="preserve">Procès-verbal de validation par la direction générale</t>
  </si>
  <si>
    <t xml:space="preserve">Automatiser les tâches répétitives et chronophages.</t>
  </si>
  <si>
    <t xml:space="preserve">La politique est connue des utilisateurs d'applications</t>
  </si>
  <si>
    <t xml:space="preserve">Registre des formations suivies par les utilisateurs</t>
  </si>
  <si>
    <t xml:space="preserve">La politique est-elle connue des utilisateurs d'applications?</t>
  </si>
  <si>
    <t xml:space="preserve">Gestion anarchique des applications.</t>
  </si>
  <si>
    <t xml:space="preserve">Problèmes de sécurité et erreurs d'utilisation.</t>
  </si>
  <si>
    <t xml:space="preserve">Sensibiliser les utilisateurs aux bonnes pratiques de sécurité.</t>
  </si>
  <si>
    <t xml:space="preserve">Attestations de connaissance de la politique signées par les utilisateurs</t>
  </si>
  <si>
    <t xml:space="preserve">Mettre en place des contrôles d'accès et des mécanismes d'authentification robustes.</t>
  </si>
  <si>
    <t xml:space="preserve">La politique est largement diffusée</t>
  </si>
  <si>
    <t xml:space="preserve">Plan de communication institutionnel</t>
  </si>
  <si>
    <t xml:space="preserve">La politique est-elle largement diffusée?</t>
  </si>
  <si>
    <t xml:space="preserve">Non-respect de la politique.</t>
  </si>
  <si>
    <t xml:space="preserve">Application incomplète de la politique et problèmes de conformité.</t>
  </si>
  <si>
    <t xml:space="preserve">Formaliser et diffuser la politique de sécurité SI.</t>
  </si>
  <si>
    <t xml:space="preserve">Preuves matérielles de diffusion (emails, publications intranet)</t>
  </si>
  <si>
    <t xml:space="preserve">Effectuer des audits réguliers pour vérifier la conformité aux normes et réglementations.</t>
  </si>
  <si>
    <t xml:space="preserve">La politique est mise en œuvre</t>
  </si>
  <si>
    <t xml:space="preserve">Rapport d'audit de conformité</t>
  </si>
  <si>
    <t xml:space="preserve">La politique est-elle mise en œuvre?</t>
  </si>
  <si>
    <t xml:space="preserve">Méconnaissance de la politique par une partie du personnel.</t>
  </si>
  <si>
    <t xml:space="preserve">Aucun impact concret sur les pratiques et les problèmes persistent.</t>
  </si>
  <si>
    <t xml:space="preserve">Mettre en place un plan d'action correctif pour résoudre les problèmes identifiés.</t>
  </si>
  <si>
    <t xml:space="preserve">Journal des contrôles effectués</t>
  </si>
  <si>
    <t xml:space="preserve">Suivre l'efficacité des actions correctives et ajuster si nécessaire.</t>
  </si>
  <si>
    <t xml:space="preserve">La politique couvre l'ensemble du cycle de vie de l’application</t>
  </si>
  <si>
    <t xml:space="preserve">Document décrivant le cycle de vie complet des applications</t>
  </si>
  <si>
    <t xml:space="preserve">La politique couvre-t-elle l'ensemble du cycle de vie de l'application?</t>
  </si>
  <si>
    <t xml:space="preserve">La politique reste théorique.</t>
  </si>
  <si>
    <t xml:space="preserve">Problèmes de sécurité et erreurs lors de certaines phases du cycle de vie de l'application.</t>
  </si>
  <si>
    <t xml:space="preserve">Intégrer la sécurité dès la phase de conception des applications (approche Security by Design).</t>
  </si>
  <si>
    <t xml:space="preserve">Procédures opérationnelles pour chaque phase du cycle</t>
  </si>
  <si>
    <t xml:space="preserve">Réaliser des tests de sécurité tout au long du cycle de développement.</t>
  </si>
  <si>
    <t xml:space="preserve">La politique favorise la responsabilisation des utilisateurs dans l'usage de leur système d’information (application)</t>
  </si>
  <si>
    <t xml:space="preserve">Charte d'utilisation signée par les utilisateurs</t>
  </si>
  <si>
    <t xml:space="preserve">La politique favorise-t-elle la responsabilisation des utilisateurs dans l'usage de leur système d'information (application)?</t>
  </si>
  <si>
    <t xml:space="preserve">La politique est incomplète et ne couvre pas toutes les étapes.</t>
  </si>
  <si>
    <t xml:space="preserve">Mauvaise qualité des données et pertes d'informations.</t>
  </si>
  <si>
    <t xml:space="preserve">Mettre en place des processus de validation et de nettoyage des données.</t>
  </si>
  <si>
    <t xml:space="preserve">Registre des sanctions appliquées</t>
  </si>
  <si>
    <t xml:space="preserve">Sauvegarder régulièrement les données et mettre en place un plan de reprise d'activité.</t>
  </si>
  <si>
    <t xml:space="preserve">La politique préconise l'attribution formelle de responsabilités aux utilisateurs du système (application)</t>
  </si>
  <si>
    <t xml:space="preserve">Fiches de poste avec responsabilités applicatives définies</t>
  </si>
  <si>
    <t xml:space="preserve">La politique préconise-t-elle l'attribution formelle de responsabilités aux utilisateurs du système (application)?</t>
  </si>
  <si>
    <t xml:space="preserve">Manque d'implication des utilisateurs.</t>
  </si>
  <si>
    <t xml:space="preserve">Manque de clarté sur qui fait quoi et erreurs fréquentes.</t>
  </si>
  <si>
    <t xml:space="preserve">Définir clairement les rôles et responsabilités de chaque acteur.</t>
  </si>
  <si>
    <t xml:space="preserve">Matrice RACI officielle</t>
  </si>
  <si>
    <t xml:space="preserve">Documenter les processus et les procédures.</t>
  </si>
  <si>
    <t xml:space="preserve">S’assurer que les rôle et responsabilités des utilisateurs sont 
 bien définis</t>
  </si>
  <si>
    <t xml:space="preserve">Le rôle et les responsabilités des utilisateurs vis-à-vis de l’application sont clairement identifiés</t>
  </si>
  <si>
    <t xml:space="preserve">Manuel des procédures utilisateurs</t>
  </si>
  <si>
    <t xml:space="preserve">Le rôle et les responsabilités des utilisateurs vis-à-vis de l'application sont-ils clairement identifiés?</t>
  </si>
  <si>
    <t xml:space="preserve">Responsabilités mal définies.</t>
  </si>
  <si>
    <t xml:space="preserve">Difficultés à identifier les responsables en cas de problème.</t>
  </si>
  <si>
    <t xml:space="preserve">Mettre en place une matrice RACI (Responsible, Accountable, Consulted, Informed).</t>
  </si>
  <si>
    <t xml:space="preserve">Tableau des droits d'accès par profil métier</t>
  </si>
  <si>
    <t xml:space="preserve">Définir un processus d'escalade des problèmes.</t>
  </si>
  <si>
    <t xml:space="preserve">Le rôle et les responsabilités des utilisateurs vis-à-vis de l’application couvrent l’analyse des risques</t>
  </si>
  <si>
    <t xml:space="preserve">Rapport d'analyse des risques impliquant les utilisateurs métiers</t>
  </si>
  <si>
    <t xml:space="preserve">Le rôle et les responsabilités des utilisateurs vis-à-vis de l'application couvrent-ils l'analyse des risques?</t>
  </si>
  <si>
    <t xml:space="preserve">Manque de clarté sur les rôles et responsabilités.</t>
  </si>
  <si>
    <t xml:space="preserve">Mesures de sécurité non adaptées.</t>
  </si>
  <si>
    <t xml:space="preserve">Effectuer une analyse de risques pour identifier les menaces et les vulnérabilités.</t>
  </si>
  <si>
    <t xml:space="preserve">Procès-verbal de validation des risques par les responsables métiers</t>
  </si>
  <si>
    <t xml:space="preserve">Mettre en place des mesures de sécurité appropriées pour atténuer les risques.</t>
  </si>
  <si>
    <t xml:space="preserve">Le rôle et les responsabilités des utilisateurs vis-à-vis de l’application couvrent la définition des besoins de sécurité</t>
  </si>
  <si>
    <t xml:space="preserve">Cahier des charges sécurité co-construit avec les métiers</t>
  </si>
  <si>
    <t xml:space="preserve">Le rôle et les responsabilités des utilisateurs vis-à-vis de l'application couvrent-ils la définition des besoins de sécurité?</t>
  </si>
  <si>
    <t xml:space="preserve">Absence de prise en compte des besoins de sécurité par les utilisateurs.</t>
  </si>
  <si>
    <t xml:space="preserve">Systèmes obsolètes.</t>
  </si>
  <si>
    <t xml:space="preserve">Systèmes à jour et maintenus.</t>
  </si>
  <si>
    <t xml:space="preserve">PV de réunion de définition des exigences de sécurité</t>
  </si>
  <si>
    <t xml:space="preserve">Plan de secours et de reprise après sinistre.</t>
  </si>
  <si>
    <t xml:space="preserve">Le rôle et les responsabilités des utilisateurs vis-à-vis de l’application couvrent la gestion des changements et des évolutions</t>
  </si>
  <si>
    <t xml:space="preserve">Procédure formalisée de gestion des changements</t>
  </si>
  <si>
    <t xml:space="preserve">Le rôle et les responsabilités des utilisateurs vis-à-vis de l'application couvrent-ils la gestion des changements et des évolutions?</t>
  </si>
  <si>
    <t xml:space="preserve">Gestion des changements et des évolutions inadaptée aux besoins.</t>
  </si>
  <si>
    <t xml:space="preserve">Difficultés à maintenir l'application et insatisfaction des utilisateurs.</t>
  </si>
  <si>
    <t xml:space="preserve">Définir des objectifs de sécurité clairs et mesurables.</t>
  </si>
  <si>
    <t xml:space="preserve">Registre des demandes d'évolution initiées par les métiers</t>
  </si>
  <si>
    <t xml:space="preserve">Suivre et évaluer régulièrement la performance de la sécurité.</t>
  </si>
  <si>
    <t xml:space="preserve">Le rôle et les responsabilités des utilisateurs vis-à-vis de l’application couvrent l’administration de l’application</t>
  </si>
  <si>
    <t xml:space="preserve">Procédures d'administration déléguée aux utilisateurs</t>
  </si>
  <si>
    <t xml:space="preserve">Le rôle et les responsabilités des utilisateurs vis-à-vis de l'application couvrent-ils l'administration de l'application?</t>
  </si>
  <si>
    <t xml:space="preserve">Administration de l'application déconnectée des besoins des utilisateurs.</t>
  </si>
  <si>
    <t xml:space="preserve">Difficulté à maintenir l'application et insatisfaction des utilisateurs.</t>
  </si>
  <si>
    <t xml:space="preserve">Séparer les tâches critiques pour éviter les conflits d'intérêts et les fraudes.</t>
  </si>
  <si>
    <t xml:space="preserve">Journal des opérations administratives réalisées par les métiers</t>
  </si>
  <si>
    <t xml:space="preserve">Former le personnel sur les politiques et procédures de sécurité.</t>
  </si>
  <si>
    <t xml:space="preserve">S’assurer qu’une analyse des risques a été réalisée</t>
  </si>
  <si>
    <t xml:space="preserve">Une analyse des risques spécifique à l’application a été réalisée</t>
  </si>
  <si>
    <t xml:space="preserve">Rapport complet d'analyse des risques applicative</t>
  </si>
  <si>
    <t xml:space="preserve">Une analyse des risques spécifique à l'application a-t-elle été réalisée?</t>
  </si>
  <si>
    <t xml:space="preserve">Mauvaise identification des risques pour l'application.</t>
  </si>
  <si>
    <t xml:space="preserve">Définir un niveau de sécurité cible et allouer les ressources nécessaires.</t>
  </si>
  <si>
    <t xml:space="preserve">Grille d'évaluation des risques spécifique à l'application</t>
  </si>
  <si>
    <t xml:space="preserve">Mettre en œuvre des contrôles de sécurité pour surveiller et protéger les systèmes.</t>
  </si>
  <si>
    <t xml:space="preserve">L'analyse des risques a débouché sur la définition des besoins de sécurité</t>
  </si>
  <si>
    <t xml:space="preserve">Document de synthèse des besoins de sécurité</t>
  </si>
  <si>
    <t xml:space="preserve">L'analyse des risques a-t-elle débouché sur la définition des besoins de sécurité?</t>
  </si>
  <si>
    <t xml:space="preserve">Définition des besoins de sécurité incomplète ou inadaptée.</t>
  </si>
  <si>
    <t xml:space="preserve">Définition des besoins de sécurité incomplète ou inadéquate.</t>
  </si>
  <si>
    <t xml:space="preserve">Documenter la méthodologie utilisée pour l'analyse et la gestion des risques.</t>
  </si>
  <si>
    <t xml:space="preserve">PV de validation des exigences par la direction</t>
  </si>
  <si>
    <t xml:space="preserve">Former le personnel sur la méthodologie et les outils utilisés.</t>
  </si>
  <si>
    <t xml:space="preserve">La méthode d'analyse des risques est définie et documentée (ex: EBIOS Risk Manager, MEHARI)?</t>
  </si>
  <si>
    <t xml:space="preserve">Manuel méthodologique d'analyse des risques (EBIOS/MEHARI)</t>
  </si>
  <si>
    <t xml:space="preserve">La méthode d'analyse des risques est-elle définie et documentée (ex: EBIOS Risk Manager, MEHARI)?</t>
  </si>
  <si>
    <t xml:space="preserve">Méthode d'analyse des risques non standardisée et non documentée.</t>
  </si>
  <si>
    <t xml:space="preserve">Prendre en compte la confidentialité, l'intégrité et la disponibilité des données lors de la conception et de la mise en œuvre des systèmes.</t>
  </si>
  <si>
    <t xml:space="preserve">Procédure d'évaluation des risques documentée</t>
  </si>
  <si>
    <t xml:space="preserve">Mettre en place des mesures pour protéger les données contre les accès non autorisés, les modifications et les pertes.</t>
  </si>
  <si>
    <t xml:space="preserve">Les risques identifiés sont classifiés et priorisés?</t>
  </si>
  <si>
    <t xml:space="preserve">Matrice de criticité des risques classés</t>
  </si>
  <si>
    <t xml:space="preserve">Les risques identifiés sont-ils classifiés et priorisés?</t>
  </si>
  <si>
    <t xml:space="preserve">Risques mal identifiés et non priorisés.</t>
  </si>
  <si>
    <t xml:space="preserve">Effectuer une analyse de risques approfondie et prioriser les risques en fonction de leur impact potentiel.</t>
  </si>
  <si>
    <t xml:space="preserve">Plan de traitement des risques priorisés</t>
  </si>
  <si>
    <t xml:space="preserve">Mettre en place un processus de gestion des risques.</t>
  </si>
  <si>
    <t xml:space="preserve">Les mesures de sécurité mises en place sont proportionnées aux risques identifiés?</t>
  </si>
  <si>
    <t xml:space="preserve">Rapport de mise en œuvre des mesures de sécurité</t>
  </si>
  <si>
    <t xml:space="preserve">Les mesures de sécurité mises en place sont-elles proportionnées aux risques identifiés?</t>
  </si>
  <si>
    <t xml:space="preserve">Mesures de sécurité inadaptées aux risques identifiés.</t>
  </si>
  <si>
    <t xml:space="preserve">Adopter des mesures de sécurité appropriées et proportionnées aux risques identifiés.</t>
  </si>
  <si>
    <t xml:space="preserve">Évaluation du niveau de couverture des risques</t>
  </si>
  <si>
    <t xml:space="preserve">Effectuer des tests de pénétration et des audits de sécurité réguliers.</t>
  </si>
  <si>
    <t xml:space="preserve">S’assurer que le prolongement de l'analyse de risque et de son expansion ont été réalisés</t>
  </si>
  <si>
    <t xml:space="preserve">Il y a eu un prolongement de l'analyse des risques et de l'expression des besoins de sécurité?</t>
  </si>
  <si>
    <t xml:space="preserve">Compte-rendu d'extension de l'analyse des risques</t>
  </si>
  <si>
    <t xml:space="preserve">Y a-t-il eu un prolongement de l'analyse des risques et de l'expression des besoins de sécurité?</t>
  </si>
  <si>
    <t xml:space="preserve">Expression des besoins de sécurité non prise en compte.</t>
  </si>
  <si>
    <t xml:space="preserve">Recueillir et prendre en compte les besoins de sécurité des utilisateurs et des parties prenantes.</t>
  </si>
  <si>
    <t xml:space="preserve">Document d'évolution des besoins de sécurité</t>
  </si>
  <si>
    <t xml:space="preserve">Organiser des sessions de sensibilisation à la sécurité pour les utilisateurs.</t>
  </si>
  <si>
    <t xml:space="preserve">Un contrat de service (SLA) entre l'informatique et la direction utilisatrice a été mis en œuvre?</t>
  </si>
  <si>
    <t xml:space="preserve">Contrat de Service (SLA) signé avec la direction métier</t>
  </si>
  <si>
    <t xml:space="preserve">Un contrat de service (SLA) entre l'informatique et la direction utilisatrice a-t-il été mis en œuvre?</t>
  </si>
  <si>
    <t xml:space="preserve">Contrat de service (SLA) inexistant ou non appliqué.</t>
  </si>
  <si>
    <t xml:space="preserve">Mettre en place un contrat de service (SLA) clair et précis qui définit les responsabilités en matière de sécurité.</t>
  </si>
  <si>
    <t xml:space="preserve">Annexe sécurité du SLA définissant les engagements</t>
  </si>
  <si>
    <t xml:space="preserve">S'assurer que le SLA est respecté et appliqué.</t>
  </si>
  <si>
    <t xml:space="preserve">L'analyse des risques est mise à jour régulièrement en fonction des évolutions de l'application et des menaces?</t>
  </si>
  <si>
    <t xml:space="preserve">Plan de révision périodique des risques</t>
  </si>
  <si>
    <t xml:space="preserve">L'analyse des risques est-elle mise à jour régulièrement en fonction des évolutions de l'application et des menaces?</t>
  </si>
  <si>
    <t xml:space="preserve">Analyse des risques non mise à jour régulièrement.</t>
  </si>
  <si>
    <t xml:space="preserve">Mettre à jour régulièrement l'analyse des risques pour refléter l'évolution des menaces et des vulnérabilités.</t>
  </si>
  <si>
    <t xml:space="preserve">PV des mises à jour de l'analyse des risques</t>
  </si>
  <si>
    <t xml:space="preserve">Documenter les modifications apportées à l'analyse des risques.</t>
  </si>
  <si>
    <t xml:space="preserve">Les besoins de sécurité sont revus et validés par les parties prenantes?</t>
  </si>
  <si>
    <t xml:space="preserve">PV de revue des besoins de sécurité</t>
  </si>
  <si>
    <t xml:space="preserve">Les besoins de sécurité sont-ils revus et validés par les parties prenantes?</t>
  </si>
  <si>
    <t xml:space="preserve">Besoins de sécurité non revus ni validés.</t>
  </si>
  <si>
    <t xml:space="preserve">Revoir et valider régulièrement les besoins de sécurité pour s'assurer qu'ils restent pertinents.</t>
  </si>
  <si>
    <t xml:space="preserve">Fiche de validation des modifications par les métiers</t>
  </si>
  <si>
    <t xml:space="preserve">Documenter les besoins de sécurité et les décisions prises.</t>
  </si>
  <si>
    <t xml:space="preserve">Les résultats de l'analyse des risques sont utilisés pour définir les priorités en matière de sécurité?</t>
  </si>
  <si>
    <t xml:space="preserve">Plan d'action sécurité priorisé</t>
  </si>
  <si>
    <t xml:space="preserve">Les résultats de l'analyse des risques sont-ils utilisés pour définir les priorités en matière de sécurité?</t>
  </si>
  <si>
    <t xml:space="preserve">Mauvaise définition des priorités en matière de sécurité.</t>
  </si>
  <si>
    <t xml:space="preserve">Définir clairement les priorités en matière de sécurité en fonction des risques identifiés et des objectifs de l'organisation.</t>
  </si>
  <si>
    <t xml:space="preserve">Tableau de bord des risques résiduels</t>
  </si>
  <si>
    <t xml:space="preserve">Allouer les ressources nécessaires pour mettre en œuvre les mesures de sécurité prioritaires.</t>
  </si>
  <si>
    <t xml:space="preserve">S’assurer que l’analyse et évaluation du niveau de sensibilité a été réalisée</t>
  </si>
  <si>
    <t xml:space="preserve">Il y a une séparation des tâches au sein de la direction utilisatrice indépendamment de l'application?</t>
  </si>
  <si>
    <t xml:space="preserve">Organigramme fonctionnel avec séparation des tâches</t>
  </si>
  <si>
    <t xml:space="preserve">Absence de séparation des tâches au sein de la direction utilisatrice.</t>
  </si>
  <si>
    <t xml:space="preserve">Mettre en place une séparation des tâches pour les fonctions critiques au sein de la direction utilisatrice afin de minimiser les risques de conflits d'intérêts et de fraudes.</t>
  </si>
  <si>
    <t xml:space="preserve">Description des contrôles d'incompatibilité</t>
  </si>
  <si>
    <t xml:space="preserve">Définir des rôles et des responsabilités clairs pour chaque membre du personnel.</t>
  </si>
  <si>
    <t xml:space="preserve">Il y a une « maturité » de l'organisation vis-à-vis de ses systèmes d'information?</t>
  </si>
  <si>
    <t xml:space="preserve">Rapport d'évaluation de la maturité organisationnelle</t>
  </si>
  <si>
    <t xml:space="preserve">Il y a une «maturité» de l'organisation vis-à-vis de ses systèmes d'information?</t>
  </si>
  <si>
    <t xml:space="preserve">Niveau de sécurité insuffisant.</t>
  </si>
  <si>
    <t xml:space="preserve">Définir un niveau de sécurité cible et allouer les ressources nécessaires pour atteindre ce niveau.</t>
  </si>
  <si>
    <t xml:space="preserve">Plan d'amélioration continue des processus</t>
  </si>
  <si>
    <t xml:space="preserve">Mettre en œuvre des contrôles de sécurité pour surveiller et protéger les systèmes et les données.</t>
  </si>
  <si>
    <t xml:space="preserve">Une méthode d'évaluation de la sensibilité des données est définie et documentée?</t>
  </si>
  <si>
    <t xml:space="preserve">Politique de classification des données</t>
  </si>
  <si>
    <t xml:space="preserve">Méthode non définie et non documentée.</t>
  </si>
  <si>
    <t xml:space="preserve">Définir et documenter une méthodologie claire pour l'analyse et la gestion des risques de sécurité.</t>
  </si>
  <si>
    <t xml:space="preserve">Grille d'évaluation de la sensibilité des informations</t>
  </si>
  <si>
    <t xml:space="preserve">L'évaluation prend en compte la confidentialité, l'intégrité et la disponibilité des données?</t>
  </si>
  <si>
    <t xml:space="preserve">Rapport d'évaluation CID (Confidentialité, Intégrité, Disponibilité)</t>
  </si>
  <si>
    <t xml:space="preserve">Confidentialité, l'intégrité et la disponibilité non prises en compte.</t>
  </si>
  <si>
    <t xml:space="preserve">Cartographie des flux de données sensibles</t>
  </si>
  <si>
    <t xml:space="preserve">Les résultats de l'évaluation sont utilisés pour définir les mesures de sécurité appropriées?</t>
  </si>
  <si>
    <t xml:space="preserve">Plan de sécurité adapté aux niveaux de sensibilité</t>
  </si>
  <si>
    <t xml:space="preserve">Mesures de sécurité inappropriées.</t>
  </si>
  <si>
    <t xml:space="preserve">Vulnérabilité aux menaces.</t>
  </si>
  <si>
    <t xml:space="preserve">Identifier et corriger les vulnérabilités.</t>
  </si>
  <si>
    <t xml:space="preserve">Matrice des mesures de protection par type de données</t>
  </si>
  <si>
    <t xml:space="preserve">Mettre en place des mesures de sécurité pour atténuer les menaces.</t>
  </si>
  <si>
    <t xml:space="preserve">Vérifier l’existence d’un manuel d'administration de l'application</t>
  </si>
  <si>
    <t xml:space="preserve">Un ou des manuels pour l’application existe</t>
  </si>
  <si>
    <t xml:space="preserve">Fiche de versionnage du manuel</t>
  </si>
  <si>
    <t xml:space="preserve">Un ou des manuels pour l'application existe?</t>
  </si>
  <si>
    <t xml:space="preserve">Manuels inexistants.</t>
  </si>
  <si>
    <t xml:space="preserve">Difficulté d'utilisation et erreurs potentielles.</t>
  </si>
  <si>
    <t xml:space="preserve">Simplifier l'interface utilisateur et fournir une documentation claire.</t>
  </si>
  <si>
    <t xml:space="preserve">Procès-verbal de validation</t>
  </si>
  <si>
    <t xml:space="preserve">Former les utilisateurs sur l'utilisation correcte de l'application.</t>
  </si>
  <si>
    <t xml:space="preserve">Le manuel est à jour</t>
  </si>
  <si>
    <t xml:space="preserve">Registre de formation des utilisateurs</t>
  </si>
  <si>
    <t xml:space="preserve">Le manuel est à jour?</t>
  </si>
  <si>
    <t xml:space="preserve">Manuels non mis à jour.</t>
  </si>
  <si>
    <t xml:space="preserve">Information obsolète et utilisation incorrecte de l'application.</t>
  </si>
  <si>
    <t xml:space="preserve">Mettre à jour régulièrement les informations et les données de l'application.</t>
  </si>
  <si>
    <t xml:space="preserve">Test de connaissance utilisateurs</t>
  </si>
  <si>
    <t xml:space="preserve">Fournir des instructions claires sur l'utilisation prévue de l'application.</t>
  </si>
  <si>
    <t xml:space="preserve">Le manuel est maitrisé</t>
  </si>
  <si>
    <t xml:space="preserve">Manuel utilisateur complet</t>
  </si>
  <si>
    <t xml:space="preserve">Le manuel est maîtrisé?</t>
  </si>
  <si>
    <t xml:space="preserve">Manuels non maîtrisés.</t>
  </si>
  <si>
    <t xml:space="preserve">Difficulté à appliquer les bonnes pratiques et procédures.</t>
  </si>
  <si>
    <t xml:space="preserve">Fournir une formation et un soutien adéquats aux utilisateurs.</t>
  </si>
  <si>
    <t xml:space="preserve">Procédure opérationnelle standardisée</t>
  </si>
  <si>
    <t xml:space="preserve">Mettre en place des mécanismes pour encourager l'adoption des meilleures pratiques.</t>
  </si>
  <si>
    <t xml:space="preserve">Le manuel comprend un mode d'emploi</t>
  </si>
  <si>
    <t xml:space="preserve">Guide administrateur applicatif</t>
  </si>
  <si>
    <t xml:space="preserve">Le manuel comprend un mode d'emploi?</t>
  </si>
  <si>
    <t xml:space="preserve">Absence de mode d'emploi.</t>
  </si>
  <si>
    <t xml:space="preserve">Concevoir une interface utilisateur intuitive et conviviale.</t>
  </si>
  <si>
    <t xml:space="preserve">Schéma d'architecture technique</t>
  </si>
  <si>
    <t xml:space="preserve">Mettre en œuvre des contrôles pour prévenir les erreurs potentielles.</t>
  </si>
  <si>
    <t xml:space="preserve">Le manuel comprend une présentation du module d’administration de l’application</t>
  </si>
  <si>
    <t xml:space="preserve">Matrice des droits d'accès</t>
  </si>
  <si>
    <t xml:space="preserve">Le manuel comprend une présentation du module d'administration de l'application?</t>
  </si>
  <si>
    <t xml:space="preserve">Absence de présentation du module d'administration.</t>
  </si>
  <si>
    <t xml:space="preserve">Administration difficile.</t>
  </si>
  <si>
    <t xml:space="preserve">Simplifier les tâches d'administration et automatiser les processus.</t>
  </si>
  <si>
    <t xml:space="preserve">Politique de sécurité applicative</t>
  </si>
  <si>
    <t xml:space="preserve">Fournir aux administrateurs les outils et la formation nécessaires.</t>
  </si>
  <si>
    <t xml:space="preserve">Le manuel comprend des droits d’accès</t>
  </si>
  <si>
    <t xml:space="preserve">Formulaire de demande de modification</t>
  </si>
  <si>
    <t xml:space="preserve">Le manuel comprend des droits d'accès?</t>
  </si>
  <si>
    <t xml:space="preserve">Absence d'information sur les droits d'accès.</t>
  </si>
  <si>
    <t xml:space="preserve">Accès non autorisés et gestion des droits inefficace.</t>
  </si>
  <si>
    <t xml:space="preserve">Mettre en place un contrôle d'accès strict et une gestion des droits efficace.</t>
  </si>
  <si>
    <t xml:space="preserve">Procès-verbal de validation propriétaire</t>
  </si>
  <si>
    <t xml:space="preserve">Surveiller régulièrement les accès et les activités des utilisateurs.</t>
  </si>
  <si>
    <t xml:space="preserve">Vérifier l’existence de procédures formalisées</t>
  </si>
  <si>
    <t xml:space="preserve">Des procédures formalisées imposant l’accord du « propriétaire » de l’application pour tout changement sur les programmes de l’application existent</t>
  </si>
  <si>
    <t xml:space="preserve">Procédure de changement de planning</t>
  </si>
  <si>
    <t xml:space="preserve">Des procédures formalisées imposant l'accord du «propriétaire» de l'application pour tout changement sur les programmes de l'application existent?</t>
  </si>
  <si>
    <t xml:space="preserve">Absence d'accord du « propriétaire » de l'application pour tout changement sur les programmes.</t>
  </si>
  <si>
    <t xml:space="preserve">Changement non autorisées.</t>
  </si>
  <si>
    <t xml:space="preserve">Mettre en place des contrôles pour empêcher les modifications non autorisées.</t>
  </si>
  <si>
    <t xml:space="preserve">Journal des modifications approuvées</t>
  </si>
  <si>
    <t xml:space="preserve">Enregistrer et auditer tous les changements.</t>
  </si>
  <si>
    <t xml:space="preserve">Des procédures formalisées imposant l’accord du « propriétaire » de l’application pour tout changement sur la planification des traitements informatiques existent</t>
  </si>
  <si>
    <t xml:space="preserve">Charte d'évolution technologique</t>
  </si>
  <si>
    <t xml:space="preserve">Des procédures formalisées imposant l'accord du «propriétaire» de l'application pour tout changement sur la planification des traitements informatiques existent?</t>
  </si>
  <si>
    <t xml:space="preserve">Absence d'accord du « propriétaire » de l'application pour la planification des traitements informatiques.</t>
  </si>
  <si>
    <t xml:space="preserve">Risques liées à une gestion mauvaise.</t>
  </si>
  <si>
    <t xml:space="preserve">Adopter des pratiques de gestion des risques saines.</t>
  </si>
  <si>
    <t xml:space="preserve">PV du comité technique</t>
  </si>
  <si>
    <t xml:space="preserve">Examiner et mettre à jour régulièrement les politiques et les procédures.</t>
  </si>
  <si>
    <t xml:space="preserve">Des procédures formalisées imposant l’accord du « propriétaire » de l’application pour tout changement sur l’environnement technologique de l’application existent</t>
  </si>
  <si>
    <t xml:space="preserve">Procédures administratives formalisées</t>
  </si>
  <si>
    <t xml:space="preserve">Des procédures formalisées imposant l'accord du «propriétaire» de l'application pour tout changement sur l'environnement technologique de l'application existent?</t>
  </si>
  <si>
    <t xml:space="preserve">Absence d'accord du « propriétaire » de l'application pour tout changement sur l'environnement technologique.</t>
  </si>
  <si>
    <t xml:space="preserve">Résolution lente des incidents.</t>
  </si>
  <si>
    <t xml:space="preserve">Mettre en place un processus efficace de gestion des incidents.</t>
  </si>
  <si>
    <t xml:space="preserve">Registre des opérations effectuées</t>
  </si>
  <si>
    <t xml:space="preserve">Allouer des ressources suffisantes pour la résolution des incidents.</t>
  </si>
  <si>
    <t xml:space="preserve">L'administration est bien assurée par les utilisateurs</t>
  </si>
  <si>
    <t xml:space="preserve">Processus de gestion des incidents</t>
  </si>
  <si>
    <t xml:space="preserve">L'administration est bien assurée par les utilisateurs?</t>
  </si>
  <si>
    <t xml:space="preserve">Mauvaise gestion de l'application.</t>
  </si>
  <si>
    <t xml:space="preserve">Identifier les performance des applications pas a jour</t>
  </si>
  <si>
    <t xml:space="preserve">Mettre en place une surveillance des performances et des alertes.</t>
  </si>
  <si>
    <t xml:space="preserve">Fiches types d'intervention</t>
  </si>
  <si>
    <t xml:space="preserve">Maintenir les applications à jour.</t>
  </si>
  <si>
    <t xml:space="preserve">Vérifier l'existence de procédures formalisées de gestion des incidents</t>
  </si>
  <si>
    <t xml:space="preserve">Rapport mensuel de performance</t>
  </si>
  <si>
    <t xml:space="preserve">Des procédures formalisées de gestion des incidents sont-elles en place ?</t>
  </si>
  <si>
    <t xml:space="preserve">Problèmes de gestion des incidents.</t>
  </si>
  <si>
    <t xml:space="preserve">Définir des accords de niveau de service (SLA) et des procédures d'escalade.</t>
  </si>
  <si>
    <t xml:space="preserve">Tableau de bord SLA</t>
  </si>
  <si>
    <t xml:space="preserve">Automatiser la résolution des incidents.</t>
  </si>
  <si>
    <t xml:space="preserve">S’assurer de l’existence et de la mise à disposition du compte rendu mensuel au propriétaire</t>
  </si>
  <si>
    <t xml:space="preserve">Le propriétaire dispose d'un compte rendu mensuel de la performance de l'application</t>
  </si>
  <si>
    <t xml:space="preserve">Engagement contractuel formalisé</t>
  </si>
  <si>
    <t xml:space="preserve">Le propriétaire dispose-t-il d'un compte rendu mensuel de la performance de l'application ?</t>
  </si>
  <si>
    <t xml:space="preserve">Manque de visibilité sur la performance de l'application.</t>
  </si>
  <si>
    <t xml:space="preserve">Dégradation des performances non détectées.</t>
  </si>
  <si>
    <t xml:space="preserve">Mettre en place une surveillance proactive des performances.</t>
  </si>
  <si>
    <t xml:space="preserve">Preuve de livraison dans les délais</t>
  </si>
  <si>
    <t xml:space="preserve">Analyser les causes profondes des dégradations de performance.</t>
  </si>
  <si>
    <t xml:space="preserve">Le compte rendu respecte le contrat du service</t>
  </si>
  <si>
    <t xml:space="preserve">Indicateurs clés de performance</t>
  </si>
  <si>
    <t xml:space="preserve">Le compte rendu respecte-t-il le contrat de service ?</t>
  </si>
  <si>
    <t xml:space="preserve">Non-respect des obligations contractuelles.</t>
  </si>
  <si>
    <t xml:space="preserve">Contentieux avec le fournisseur.</t>
  </si>
  <si>
    <t xml:space="preserve">Négocier des contrats clairs avec des clauses de pénalité.</t>
  </si>
  <si>
    <t xml:space="preserve">Commentaires du propriétaire</t>
  </si>
  <si>
    <t xml:space="preserve">Mettre en place une communication régulière avec le fournisseur.</t>
  </si>
  <si>
    <t xml:space="preserve">Le compte rendu est transmis au propriétaire dans les délais convenus?</t>
  </si>
  <si>
    <t xml:space="preserve">Procédure de validation</t>
  </si>
  <si>
    <t xml:space="preserve">Le compte rendu est-il transmis au propriétaire dans les délais convenus ?</t>
  </si>
  <si>
    <t xml:space="preserve">Comptes rendus incompréhensibles ou incomplets.</t>
  </si>
  <si>
    <t xml:space="preserve">Compte rendu inexistant.</t>
  </si>
  <si>
    <t xml:space="preserve">Fournir des comptes rendus réguliers sur les performances et les incidents.</t>
  </si>
  <si>
    <t xml:space="preserve">Attestation de réception</t>
  </si>
  <si>
    <t xml:space="preserve">Documenter tous les échanges et les accords.</t>
  </si>
  <si>
    <t xml:space="preserve">Le compte rendu contient des indicateurs de performance pertinents pour le propriétaire?</t>
  </si>
  <si>
    <t xml:space="preserve">Manuel des procédures</t>
  </si>
  <si>
    <t xml:space="preserve">Le compte rendu contient-il des indicateurs de performance pertinents pour le propriétaire ?</t>
  </si>
  <si>
    <t xml:space="preserve">Mauvaise communication avec le propriétaire.</t>
  </si>
  <si>
    <t xml:space="preserve">Contrats de niveau service inadéquats.</t>
  </si>
  <si>
    <t xml:space="preserve">Négocier des contrats de niveau de service adaptés aux besoins de l'entreprise.</t>
  </si>
  <si>
    <t xml:space="preserve">Plan de diffusion interne</t>
  </si>
  <si>
    <t xml:space="preserve">Revoir régulièrement les contrats et les ajuster si nécessaire.</t>
  </si>
  <si>
    <t xml:space="preserve">Un processus est en place pour s'assurer que le propriétaire comprend et valide le compte rendu</t>
  </si>
  <si>
    <t xml:space="preserve">Registre de diffusion</t>
  </si>
  <si>
    <t xml:space="preserve">Un processus est-il en place pour s'assurer que le propriétaire comprend et valide le compte rendu ?</t>
  </si>
  <si>
    <t xml:space="preserve">Absence de guide utilisateur.</t>
  </si>
  <si>
    <t xml:space="preserve">Mauvaise connaissance et manque de conformité.</t>
  </si>
  <si>
    <t xml:space="preserve">Former le personnel sur les politiques, les procédures et les exigences de conformité.</t>
  </si>
  <si>
    <t xml:space="preserve">Accusés de réception</t>
  </si>
  <si>
    <t xml:space="preserve">Mettre à disposition des ressources et une documentation accessibles.</t>
  </si>
  <si>
    <t xml:space="preserve">S’assurer de l’existence d'un guide d'utilisateur, manuel de 
 procédures</t>
  </si>
  <si>
    <t xml:space="preserve">Il existe un guide utilisateurs / manuel de procédures</t>
  </si>
  <si>
    <t xml:space="preserve">Version officielle du manuel utilisateur</t>
  </si>
  <si>
    <t xml:space="preserve">Existe-t-il un guide utilisateurs / manuel de procédures ?</t>
  </si>
  <si>
    <t xml:space="preserve">Mauvaise diffusion des guides.</t>
  </si>
  <si>
    <t xml:space="preserve">Information inaccessible.</t>
  </si>
  <si>
    <t xml:space="preserve">Mettre en place des contrôles d'accès pour restreindre l'accès aux informations sensibles.</t>
  </si>
  <si>
    <t xml:space="preserve">Plan de diffusion et registre de distribution</t>
  </si>
  <si>
    <t xml:space="preserve">Chiffrer les données sensibles.</t>
  </si>
  <si>
    <t xml:space="preserve">Le manuel est diffusé</t>
  </si>
  <si>
    <t xml:space="preserve">Historique des versions et dates de mise à jour</t>
  </si>
  <si>
    <t xml:space="preserve">Le manuel est-il diffusé ?</t>
  </si>
  <si>
    <t xml:space="preserve">Guides non mis à jour.</t>
  </si>
  <si>
    <t xml:space="preserve">Mauvaise utilisation de l'outil.</t>
  </si>
  <si>
    <t xml:space="preserve">Fournir une formation adéquate sur l'utilisation correcte des outils.</t>
  </si>
  <si>
    <t xml:space="preserve">Procès-verbal de validation des mises à jour</t>
  </si>
  <si>
    <t xml:space="preserve">Mettre en place des mécanismes de contrôle pour éviter les erreurs.</t>
  </si>
  <si>
    <t xml:space="preserve">Registre des formations dispensées</t>
  </si>
  <si>
    <t xml:space="preserve">Le manuel est-il à jour ?</t>
  </si>
  <si>
    <t xml:space="preserve">Guides non maîtrisés.</t>
  </si>
  <si>
    <t xml:space="preserve">Personnel incompétent.</t>
  </si>
  <si>
    <t xml:space="preserve">Recruter du personnel qualifié et expérimenté.</t>
  </si>
  <si>
    <t xml:space="preserve">Évaluations des connaissances des utilisateurs</t>
  </si>
  <si>
    <t xml:space="preserve">Fournir une formation continue au personnel.</t>
  </si>
  <si>
    <t xml:space="preserve">Guide d'utilisation complet</t>
  </si>
  <si>
    <t xml:space="preserve">Le manuel est-il maîtrisé ?</t>
  </si>
  <si>
    <t xml:space="preserve">Absence de description des contrôles.</t>
  </si>
  <si>
    <t xml:space="preserve">Contrôle d'accès inapproprié.</t>
  </si>
  <si>
    <t xml:space="preserve">Mettre en place un contrôle d'accès basé sur les rôles et les responsabilités.</t>
  </si>
  <si>
    <t xml:space="preserve">Cas pratiques et exemples d'utilisation</t>
  </si>
  <si>
    <t xml:space="preserve">Revoir et révoquer régulièrement les accès inutiles.</t>
  </si>
  <si>
    <t xml:space="preserve">Le manuel comprend le mode d’emploi de l'application</t>
  </si>
  <si>
    <t xml:space="preserve">Documentation des contrôles automatisés</t>
  </si>
  <si>
    <t xml:space="preserve">Le manuel comprend-il le mode d'emploi de l'application ?</t>
  </si>
  <si>
    <t xml:space="preserve">Absence de matrice d'accès.</t>
  </si>
  <si>
    <t xml:space="preserve">Accès non contrôlé à des données sensibles.</t>
  </si>
  <si>
    <t xml:space="preserve">Restreindre l'accès aux données sensibles en fonction du principe du moindre privilège.</t>
  </si>
  <si>
    <t xml:space="preserve">Procédures des contrôles manuels compensatoires</t>
  </si>
  <si>
    <t xml:space="preserve">Mettre en place des journaux d'audit et des alertes pour les accès non autorisés.</t>
  </si>
  <si>
    <t xml:space="preserve">Le manuel comprend une description des contrôles programmés et des contrôles manuels compensatoires à chaque phase du traitement</t>
  </si>
  <si>
    <t xml:space="preserve">Matrice officielle des droits d'accès</t>
  </si>
  <si>
    <t xml:space="preserve">Le manuel comprend-il une description des contrôles programmés et des contrôles manuels compensatoires à chaque phase du traitement ?</t>
  </si>
  <si>
    <t xml:space="preserve">Principe du moindre privilège non appliqué.</t>
  </si>
  <si>
    <t xml:space="preserve">Habilitations inutiles.</t>
  </si>
  <si>
    <t xml:space="preserve">Supprimer les habilitations inutiles et révoquer les accès des anciens employés.</t>
  </si>
  <si>
    <t xml:space="preserve">Procédure de gestion des habilitations</t>
  </si>
  <si>
    <t xml:space="preserve">Revoir régulièrement les habilitations et les accès.</t>
  </si>
  <si>
    <t xml:space="preserve">Application</t>
  </si>
  <si>
    <t xml:space="preserve">S'assurer que l'accès aux ressources de l'application (données et transactions) est restreint par un système de gestion d'accès</t>
  </si>
  <si>
    <t xml:space="preserve">Existence d'une matrice d'accès formelle</t>
  </si>
  <si>
    <t xml:space="preserve">Procédures de contrôle intégrées</t>
  </si>
  <si>
    <t xml:space="preserve">Existe-t-il une matrice d'accès formelle ?</t>
  </si>
  <si>
    <t xml:space="preserve">Droits d'accès non revus.</t>
  </si>
  <si>
    <t xml:space="preserve">Informations de comptes compromis.</t>
  </si>
  <si>
    <t xml:space="preserve">Mettre en place des mesures de sécurité pour protéger les informations de compte, telles que l'authentification multifacteur (MFA).</t>
  </si>
  <si>
    <t xml:space="preserve">Guide des contrôles manuels compensatoires</t>
  </si>
  <si>
    <t xml:space="preserve">Surveiller régulièrement les comptes à la recherche d'activités suspectes.</t>
  </si>
  <si>
    <t xml:space="preserve">Mise en œuvre du principe du moindre privilège</t>
  </si>
  <si>
    <t xml:space="preserve">Le principe du moindre privilège est-il mis en œuvre ?</t>
  </si>
  <si>
    <t xml:space="preserve">Accès non contrôlés aux ressources sensibles.</t>
  </si>
  <si>
    <t xml:space="preserve">Absence de suivi et gestion.</t>
  </si>
  <si>
    <t xml:space="preserve">Mettre en place des outils et des processus de surveillance et de gestion.</t>
  </si>
  <si>
    <t xml:space="preserve">Définir des indicateurs clés de performance (KPI) et des rapports réguliers.</t>
  </si>
  <si>
    <t xml:space="preserve">Revue périodique des droits d'accès</t>
  </si>
  <si>
    <t xml:space="preserve">Calendrier des revues</t>
  </si>
  <si>
    <t xml:space="preserve">Les droits d'accès sont-ils revus périodiquement ?</t>
  </si>
  <si>
    <t xml:space="preserve">Escalade des accès non maîtrisée.</t>
  </si>
  <si>
    <t xml:space="preserve">Accès de la fraude.</t>
  </si>
  <si>
    <t xml:space="preserve">Mettre en place des contrôles pour détecter et prévenir les activités frauduleuses.</t>
  </si>
  <si>
    <t xml:space="preserve">Compte-rendu de revue</t>
  </si>
  <si>
    <t xml:space="preserve">Former le personnel sur la détection et la prévention des fraudes.</t>
  </si>
  <si>
    <t xml:space="preserve">Journalisation des accès aux ressources sensibles</t>
  </si>
  <si>
    <t xml:space="preserve">Évaluation de la Conception</t>
  </si>
  <si>
    <t xml:space="preserve">Les accès aux ressources sensibles sont-ils journalisés ?</t>
  </si>
  <si>
    <t xml:space="preserve">Absence de politique de gestion des identités et des accès.</t>
  </si>
  <si>
    <t xml:space="preserve">Mesures de sécurité insuffisante.</t>
  </si>
  <si>
    <t xml:space="preserve">Renforcer les mesures de sécurité, telles que les pare-feu, les systèmes de détection d'intrusion et les logiciels antivirus.</t>
  </si>
  <si>
    <t xml:space="preserve">Évaluation de l'Efficacité</t>
  </si>
  <si>
    <t xml:space="preserve">Effectuer des audits de sécurité réguliers.</t>
  </si>
  <si>
    <t xml:space="preserve">Processus d'escalade pour les accès exceptionnels</t>
  </si>
  <si>
    <t xml:space="preserve">Procédure formalisée de demande d'accès exceptionnel</t>
  </si>
  <si>
    <t xml:space="preserve">Un processus d'escalade est-il en place pour les accès exceptionnels ?</t>
  </si>
  <si>
    <t xml:space="preserve">Mauvaise définition des rôles et des responsabilités.</t>
  </si>
  <si>
    <t xml:space="preserve">Mettre en place un contrôle d'accès approprié pour limiter l'accès aux systèmes et aux données.</t>
  </si>
  <si>
    <t xml:space="preserve">Registre des accès exceptionnels</t>
  </si>
  <si>
    <t xml:space="preserve">Surveiller les accès et les activités des utilisateurs.</t>
  </si>
  <si>
    <t xml:space="preserve">S’assurer qu’une procédure de gestion des profils utilisateurs existe</t>
  </si>
  <si>
    <t xml:space="preserve">Existence d'une politique de gestion des identités et des accès</t>
  </si>
  <si>
    <t xml:space="preserve">Politique IAM officielle (document approuvé par la direction)</t>
  </si>
  <si>
    <t xml:space="preserve">Existe-t-il une politique de gestion des identités et des accès ?</t>
  </si>
  <si>
    <t xml:space="preserve">Processus de création non formalisé.</t>
  </si>
  <si>
    <t xml:space="preserve">Mauvais compréhension des privilèges.</t>
  </si>
  <si>
    <t xml:space="preserve">Fournir une formation claire et concise sur les privilèges et les responsabilités.</t>
  </si>
  <si>
    <t xml:space="preserve">Schéma des processus IAM (workflows visuels de gestion du cycle de vie des identités)</t>
  </si>
  <si>
    <t xml:space="preserve">Mettre en place des mécanismes pour vérifier la compréhension des utilisateurs.</t>
  </si>
  <si>
    <t xml:space="preserve">Définition claire des rôles et responsabilités</t>
  </si>
  <si>
    <t xml:space="preserve">Matrice RACI (Responsible/Accountable/Consulted/Informed) pour les tâches IAM</t>
  </si>
  <si>
    <t xml:space="preserve">Les rôles et responsabilités sont-ils clairement définis ?</t>
  </si>
  <si>
    <t xml:space="preserve">Processus de modification non existant.</t>
  </si>
  <si>
    <t xml:space="preserve">Mots de passe partagés.</t>
  </si>
  <si>
    <t xml:space="preserve">Interdire le partage des mots de passe et mettre en place des politiques de mots de passe forts.</t>
  </si>
  <si>
    <t xml:space="preserve">Fiches de poste détaillant les responsabilités liées aux accès applicatifs</t>
  </si>
  <si>
    <t xml:space="preserve">Utiliser un gestionnaire de mots de passe.</t>
  </si>
  <si>
    <t xml:space="preserve">Processus de création de compte utilisateur formalisé</t>
  </si>
  <si>
    <t xml:space="preserve">Procédure de création de compte (étapes de A à Z avec acteurs)</t>
  </si>
  <si>
    <t xml:space="preserve">Un processus de création de compte utilisateur est-il formalisé ?</t>
  </si>
  <si>
    <t xml:space="preserve">Processus de suppression inexistant.</t>
  </si>
  <si>
    <t xml:space="preserve">Compte avec mots de passe.</t>
  </si>
  <si>
    <t xml:space="preserve">Imposer des mots de passe forts.</t>
  </si>
  <si>
    <t xml:space="preserve">Formulaire de demande d'accès (modèle standardisé avec validation hiérarchique)</t>
  </si>
  <si>
    <t xml:space="preserve">Mettre en place l'authentification multifacteur (MFA).</t>
  </si>
  <si>
    <t xml:space="preserve">Procédure de modification de profil utilisateur</t>
  </si>
  <si>
    <t xml:space="preserve">Procédure écrite de modification de profil</t>
  </si>
  <si>
    <t xml:space="preserve">Existe-t-il une procédure de modification de profil utilisateur ?</t>
  </si>
  <si>
    <t xml:space="preserve">Authentification non renforcée.</t>
  </si>
  <si>
    <t xml:space="preserve">Risque d'accès compromis.</t>
  </si>
  <si>
    <t xml:space="preserve">Surveiller les tentatives de connexion suspectes.</t>
  </si>
  <si>
    <t xml:space="preserve">Registre des modifications de profils</t>
  </si>
  <si>
    <t xml:space="preserve">Mettre en place des alertes pour les accès inhabituels.</t>
  </si>
  <si>
    <t xml:space="preserve">Procédure de suppression de compte utilisateur</t>
  </si>
  <si>
    <t xml:space="preserve">Procédure de suppression/désactivation des comptes</t>
  </si>
  <si>
    <t xml:space="preserve">Existe-t-il une procédure de suppression de compte utilisateur ?</t>
  </si>
  <si>
    <t xml:space="preserve">Politique de mot de passe inexistante.</t>
  </si>
  <si>
    <t xml:space="preserve">Donnée d'identification non sécurisées.</t>
  </si>
  <si>
    <t xml:space="preserve">Chiffrer les données d'identification stockées.</t>
  </si>
  <si>
    <t xml:space="preserve">Liste des comptes supprimés avec justifications</t>
  </si>
  <si>
    <t xml:space="preserve">Ne jamais stocker les mots de passe en clair.</t>
  </si>
  <si>
    <t xml:space="preserve">Vérifier que l’identification des utilisateurs est réalisée</t>
  </si>
  <si>
    <t xml:space="preserve">Mise en œuvre d'un mécanisme d'authentification fort</t>
  </si>
  <si>
    <t xml:space="preserve">Documentation technique du mécanisme</t>
  </si>
  <si>
    <t xml:space="preserve">Un mécanisme d'authentification fort est-il mis en œuvre ?</t>
  </si>
  <si>
    <t xml:space="preserve">Verrouillage de compte absent.</t>
  </si>
  <si>
    <t xml:space="preserve">Détournement du contrôle de la sécurité.</t>
  </si>
  <si>
    <t xml:space="preserve">Appliquer le principe du moindre privilège.</t>
  </si>
  <si>
    <t xml:space="preserve">Rapport de mise en œuvre et tests</t>
  </si>
  <si>
    <t xml:space="preserve">Séparer les tâches critiques entre plusieurs personnes.</t>
  </si>
  <si>
    <t xml:space="preserve">Existence d'une politique de mot de passe</t>
  </si>
  <si>
    <t xml:space="preserve">Document de politique des mots de passe</t>
  </si>
  <si>
    <t xml:space="preserve">Existe-t-il une politique de mot de passe ?</t>
  </si>
  <si>
    <t xml:space="preserve">Audits inexistants.</t>
  </si>
  <si>
    <t xml:space="preserve">Activités malveillantes non détectées.</t>
  </si>
  <si>
    <t xml:space="preserve">Mettre en place un système de détection d'intrusion (IDS).</t>
  </si>
  <si>
    <t xml:space="preserve">Preuve de configuration système (captures)</t>
  </si>
  <si>
    <t xml:space="preserve">Analyser régulièrement les journaux d'événements.</t>
  </si>
  <si>
    <t xml:space="preserve">Mise en œuvre d'un verrouillage de compte</t>
  </si>
  <si>
    <t xml:space="preserve">Politique de verrouillage de compte documentée</t>
  </si>
  <si>
    <t xml:space="preserve">Un verrouillage de compte est-il mis en œuvre ?</t>
  </si>
  <si>
    <t xml:space="preserve">Intégrité non vérifiée.</t>
  </si>
  <si>
    <t xml:space="preserve">Violation de données non détecté.</t>
  </si>
  <si>
    <t xml:space="preserve">Mettre en place des systèmes de surveillance de l'intégrité des données.</t>
  </si>
  <si>
    <t xml:space="preserve">Journal des verrouillages automatiques appliqués</t>
  </si>
  <si>
    <t xml:space="preserve">Effectuer des tests de pénétration réguliers.</t>
  </si>
  <si>
    <t xml:space="preserve">Audits réguliers des comptes utilisateurs inactifs</t>
  </si>
  <si>
    <t xml:space="preserve">Procédure d'audit des comptes inactifs</t>
  </si>
  <si>
    <t xml:space="preserve">Des audits réguliers des comptes utilisateurs inactifs sont-ils réalisés ?</t>
  </si>
  <si>
    <t xml:space="preserve">Mots de passe non uniques et personnels.</t>
  </si>
  <si>
    <t xml:space="preserve">Protection réduite des informations.</t>
  </si>
  <si>
    <t xml:space="preserve">Chiffrer les données sensibles en transit et au repos.</t>
  </si>
  <si>
    <t xml:space="preserve">Liste des comptes désactivés pour inactivité</t>
  </si>
  <si>
    <t xml:space="preserve">Mettre en place des politiques de contrôle d'accès strictes.</t>
  </si>
  <si>
    <t xml:space="preserve">Vérification de l'intégrité du processus d'identification</t>
  </si>
  <si>
    <t xml:space="preserve">Rapport de test du processus d'identification</t>
  </si>
  <si>
    <t xml:space="preserve">L'intégrité du processus d'identification est-elle vérifiée ?</t>
  </si>
  <si>
    <t xml:space="preserve">Mots de passe par défaut conservés.</t>
  </si>
  <si>
    <t xml:space="preserve">Compromettre l'ensemble de sécurité.</t>
  </si>
  <si>
    <t xml:space="preserve">Mettre en œuvre une architecture de sécurité en couches.</t>
  </si>
  <si>
    <t xml:space="preserve">Procédure de contrôle d'intégrité</t>
  </si>
  <si>
    <t xml:space="preserve">Vérifier qu’un mot de passe est associé à l'identifiant</t>
  </si>
  <si>
    <t xml:space="preserve">Tous les comptes utilisateurs disposent d'un mot de passe unique et personnel</t>
  </si>
  <si>
    <t xml:space="preserve">Procédure de première connexion</t>
  </si>
  <si>
    <t xml:space="preserve">Tous les comptes utilisateurs disposent-ils d'un mot de passe unique et personnel ?</t>
  </si>
  <si>
    <t xml:space="preserve">Stockage non sécurisé des mots de passe.</t>
  </si>
  <si>
    <t xml:space="preserve">Compromettre des informations.</t>
  </si>
  <si>
    <t xml:space="preserve">Classifier les données selon leur sensibilité.</t>
  </si>
  <si>
    <t xml:space="preserve">Journal des premières connexions</t>
  </si>
  <si>
    <t xml:space="preserve">Appliquer des mesures de protection spécifiques à chaque niveau de classification.</t>
  </si>
  <si>
    <t xml:space="preserve">Les mots de passe par défaut sont modifiés lors de la première connexion</t>
  </si>
  <si>
    <t xml:space="preserve">Documentation technique du mécanisme de stockage</t>
  </si>
  <si>
    <t xml:space="preserve">existe-t-il un rapport d'audit de securite de stockage ?</t>
  </si>
  <si>
    <t xml:space="preserve">Stockage des mots de passe en clair.</t>
  </si>
  <si>
    <t xml:space="preserve">Vulnérabilité des mots de passe.</t>
  </si>
  <si>
    <t xml:space="preserve">Interdire l'utilisation de mots de passe courants ou facilement devinables.</t>
  </si>
  <si>
    <t xml:space="preserve">Rapport d'audit de sécurité du stockage</t>
  </si>
  <si>
    <t xml:space="preserve">Encourager l'utilisation de gestionnaires de mots de passe.</t>
  </si>
  <si>
    <t xml:space="preserve">Les mots de passe sont stockés de manière sécurisée</t>
  </si>
  <si>
    <t xml:space="preserve">Liste des règles de complexité appliquées</t>
  </si>
  <si>
    <t xml:space="preserve">Les mots de passe sont-ils stockés de manière sécurisée ?</t>
  </si>
  <si>
    <t xml:space="preserve">Utilisation de mots de passe faibles.</t>
  </si>
  <si>
    <t xml:space="preserve">Les intrusions passe ne pas être découvert.</t>
  </si>
  <si>
    <t xml:space="preserve">Mettre en place une surveillance continue des systèmes.</t>
  </si>
  <si>
    <t xml:space="preserve">Rapport de test des règles de mot de passe</t>
  </si>
  <si>
    <t xml:space="preserve">Collecter et analyser les logs de sécurité.</t>
  </si>
  <si>
    <t xml:space="preserve">Les mots de passe ne sont pas stockés en clair</t>
  </si>
  <si>
    <t xml:space="preserve">Rapport d'audit du mécanisme de chiffrement</t>
  </si>
  <si>
    <t xml:space="preserve">Les mots de passe ne sont-ils pas stockés en clair ?</t>
  </si>
  <si>
    <t xml:space="preserve">Tentatives d'intrusion non enregistrées.</t>
  </si>
  <si>
    <t xml:space="preserve">Manque de compréhension et des problèmes de sécurité.</t>
  </si>
  <si>
    <t xml:space="preserve">Fournir une formation régulière sur la sécurité aux utilisateurs.</t>
  </si>
  <si>
    <t xml:space="preserve">Configuration système du stockage sécurisé</t>
  </si>
  <si>
    <t xml:space="preserve">Sensibiliser les utilisateurs aux risques de sécurité.</t>
  </si>
  <si>
    <t xml:space="preserve">Le système n'autorise pas l'utilisation de mots de passe faibles</t>
  </si>
  <si>
    <t xml:space="preserve">Règles techniques de complexité appliquées</t>
  </si>
  <si>
    <t xml:space="preserve">Le système n'autorise-t-il pas l'utilisation de mots de passe faibles ?</t>
  </si>
  <si>
    <t xml:space="preserve">Logs non analysés.</t>
  </si>
  <si>
    <t xml:space="preserve">Attaques non traitées.</t>
  </si>
  <si>
    <t xml:space="preserve">Traiter les attaques.</t>
  </si>
  <si>
    <t xml:space="preserve">Résultats des tests de résistance</t>
  </si>
  <si>
    <t xml:space="preserve">Analyser les pistes.</t>
  </si>
  <si>
    <t xml:space="preserve">S’assurer que les tentatives de connexions infructueuses à l'application sont suivies</t>
  </si>
  <si>
    <t xml:space="preserve">Journalisation des tentatives de connexion infructueuses</t>
  </si>
  <si>
    <t xml:space="preserve">Politique de journalisation des tentatives</t>
  </si>
  <si>
    <t xml:space="preserve">Les tentatives de connexion infructueuses sont-elles journalisées ?</t>
  </si>
  <si>
    <t xml:space="preserve">Alertes non mises en place.</t>
  </si>
  <si>
    <t xml:space="preserve">Pistes non analysés</t>
  </si>
  <si>
    <t xml:space="preserve">Renforcer les mesures de sécurité.</t>
  </si>
  <si>
    <t xml:space="preserve">Exemple de logs de connexion infructueuses</t>
  </si>
  <si>
    <t xml:space="preserve">Documenter les privilèges.</t>
  </si>
  <si>
    <t xml:space="preserve">Analyse des logs de connexion</t>
  </si>
  <si>
    <t xml:space="preserve">Procédure d'analyse régulière</t>
  </si>
  <si>
    <t xml:space="preserve">Les logs de connexion sont-ils analysés ?</t>
  </si>
  <si>
    <t xml:space="preserve">Procédure de réponse inexistante.</t>
  </si>
  <si>
    <t xml:space="preserve">Minimiser les risques liés aux opérations techniques.</t>
  </si>
  <si>
    <t xml:space="preserve">Rapport d'analyse mensuel des logs</t>
  </si>
  <si>
    <t xml:space="preserve">Sécuriser l'application et améliorer ses performances.</t>
  </si>
  <si>
    <t xml:space="preserve">Mise en place d'alertes en cas de nombre anormal de tentatives</t>
  </si>
  <si>
    <t xml:space="preserve">Paramétrage des seuils d'alerte</t>
  </si>
  <si>
    <t xml:space="preserve">Des alertes sont-elles mises en place en cas de nombre anormal de tentatives de connexion ?</t>
  </si>
  <si>
    <t xml:space="preserve">Logs de connexion non conservés.</t>
  </si>
  <si>
    <t xml:space="preserve">Privilège non documenté.</t>
  </si>
  <si>
    <t xml:space="preserve">Sécuriser les informations.</t>
  </si>
  <si>
    <t xml:space="preserve">Historique des alertes déclenchées</t>
  </si>
  <si>
    <t xml:space="preserve">Assurer le suivi des actions.</t>
  </si>
  <si>
    <t xml:space="preserve">Procédure de réponse aux incidents de sécurité</t>
  </si>
  <si>
    <t xml:space="preserve">Procédure de réponse aux incidents</t>
  </si>
  <si>
    <t xml:space="preserve">Existe-t-il une procédure de réponse aux incidents de sécurité ?</t>
  </si>
  <si>
    <t xml:space="preserve">Absence de rôles et de droits spécifiques.</t>
  </si>
  <si>
    <t xml:space="preserve">Risque liée aux opération dans le domaine technique.</t>
  </si>
  <si>
    <t xml:space="preserve">Former sur les systèmes.</t>
  </si>
  <si>
    <t xml:space="preserve">Fiche type de traitement d'incident</t>
  </si>
  <si>
    <t xml:space="preserve">Garantir l'intégrité des données.</t>
  </si>
  <si>
    <t xml:space="preserve">Conservation des logs de connexion</t>
  </si>
  <si>
    <t xml:space="preserve">Politique de rétention des logs</t>
  </si>
  <si>
    <t xml:space="preserve">Les logs de connexion sont-ils conservés ?</t>
  </si>
  <si>
    <t xml:space="preserve">Mâtres non séparés.</t>
  </si>
  <si>
    <t xml:space="preserve">Application vulnérable et peu performante.</t>
  </si>
  <si>
    <t xml:space="preserve">Corriger les erreurs de saisie.</t>
  </si>
  <si>
    <t xml:space="preserve">Preuve de conformité (archivage)</t>
  </si>
  <si>
    <t xml:space="preserve">Protéger les journaux d'événements.</t>
  </si>
  <si>
    <t xml:space="preserve">S’assurer que l'accès aux données et aux transactions de l’application est géré</t>
  </si>
  <si>
    <t xml:space="preserve">Existence de rôles et de droits d'accès spécifiques</t>
  </si>
  <si>
    <t xml:space="preserve">Catalogue des rôles applicatifs</t>
  </si>
  <si>
    <t xml:space="preserve">Existe-t-il des rôles et des droits d'accès spécifiques ?</t>
  </si>
  <si>
    <t xml:space="preserve">Mesures de contrôle inadéquates.</t>
  </si>
  <si>
    <t xml:space="preserve">Informations pas sécurisée.</t>
  </si>
  <si>
    <t xml:space="preserve">Mettre à jour le suivi.</t>
  </si>
  <si>
    <t xml:space="preserve">Matrice des droits associés</t>
  </si>
  <si>
    <t xml:space="preserve">Intégrer les données.</t>
  </si>
  <si>
    <t xml:space="preserve">Séparation des tâches</t>
  </si>
  <si>
    <t xml:space="preserve">Schéma des incompatibilités fonctionnelles</t>
  </si>
  <si>
    <t xml:space="preserve">Les tâches sont-elles séparées ?</t>
  </si>
  <si>
    <t xml:space="preserve">Capacité non garantie.</t>
  </si>
  <si>
    <t xml:space="preserve">Action sans suivis.</t>
  </si>
  <si>
    <t xml:space="preserve">Définir des mesures.</t>
  </si>
  <si>
    <t xml:space="preserve">Rapport d'audit des conflits potentiels</t>
  </si>
  <si>
    <t xml:space="preserve">Documenter les informations.</t>
  </si>
  <si>
    <t xml:space="preserve">Mise en œuvre de contrôles d'accès basés sur les rôles</t>
  </si>
  <si>
    <t xml:space="preserve">Politique de gestion des accès</t>
  </si>
  <si>
    <t xml:space="preserve">La mise en œuvre de contrôles d'accès basés sur les rôles est-elle assurée ?</t>
  </si>
  <si>
    <t xml:space="preserve">Données sensibles non protégées.</t>
  </si>
  <si>
    <t xml:space="preserve">Non-connaissance des systèmes.</t>
  </si>
  <si>
    <t xml:space="preserve">Gérer correctement l'information.</t>
  </si>
  <si>
    <t xml:space="preserve">Matrice des rôles et responsabilités</t>
  </si>
  <si>
    <t xml:space="preserve">Mettre en place des actions et des accompagnements.</t>
  </si>
  <si>
    <t xml:space="preserve">Traçabilité des modifications apportées aux données et aux transactions</t>
  </si>
  <si>
    <t xml:space="preserve">Journal des modifications</t>
  </si>
  <si>
    <t xml:space="preserve">La traçabilité des modifications apportées aux données et aux transactions est-elle assurée ?</t>
  </si>
  <si>
    <t xml:space="preserve">Actions des administrateurs non journalisées.</t>
  </si>
  <si>
    <t xml:space="preserve">Manque d'intégrité des donnés.</t>
  </si>
  <si>
    <t xml:space="preserve">Simplifier l'interface.</t>
  </si>
  <si>
    <t xml:space="preserve">Procédure de gestion des changements</t>
  </si>
  <si>
    <t xml:space="preserve">Clarifier les messages.</t>
  </si>
  <si>
    <t xml:space="preserve">Protection des données sensibles</t>
  </si>
  <si>
    <t xml:space="preserve">Politique de protection des données</t>
  </si>
  <si>
    <t xml:space="preserve">Les données sensibles sont-elles protégées ?</t>
  </si>
  <si>
    <t xml:space="preserve">Logs d'audit insuffisants.</t>
  </si>
  <si>
    <t xml:space="preserve">Erreur pendant les phases de saisie</t>
  </si>
  <si>
    <t xml:space="preserve">Vérifier les informations.</t>
  </si>
  <si>
    <t xml:space="preserve">Registre des traitements</t>
  </si>
  <si>
    <t xml:space="preserve">Promouvoir la découverte et l'utilisation.</t>
  </si>
  <si>
    <t xml:space="preserve">Vérifier l’existence de pistes d’audit sur le système d’administration de l’application</t>
  </si>
  <si>
    <t xml:space="preserve">Journalisation de toutes les actions réalisées par les administrateurs</t>
  </si>
  <si>
    <t xml:space="preserve">Journal d'audit des actions administrateur</t>
  </si>
  <si>
    <t xml:space="preserve">Toutes les actions réalisées par les administrateurs sont-elles journalisées ?</t>
  </si>
  <si>
    <t xml:space="preserve">Logs d'audit non protégés.</t>
  </si>
  <si>
    <t xml:space="preserve">Protection des journaux d'évènements.</t>
  </si>
  <si>
    <t xml:space="preserve">Faciliter l'accès aux paramètres et l'utilisation de l'application.</t>
  </si>
  <si>
    <t xml:space="preserve">Procédure de gestion des accès privilégiés</t>
  </si>
  <si>
    <t xml:space="preserve">Vérifier les données.</t>
  </si>
  <si>
    <t xml:space="preserve">Les logs d'audit contiennent suffisamment d'informations</t>
  </si>
  <si>
    <t xml:space="preserve">Politique de conservation des logs d'audit</t>
  </si>
  <si>
    <t xml:space="preserve">Les logs d'audit contiennent-ils suffisamment d'informations ?</t>
  </si>
  <si>
    <t xml:space="preserve">Logs d'audit non revus.</t>
  </si>
  <si>
    <t xml:space="preserve">Suivis non mit à jours.</t>
  </si>
  <si>
    <t xml:space="preserve">Mettre en place un système de suivi automatisé</t>
  </si>
  <si>
    <t xml:space="preserve">Guide de configuration des logs</t>
  </si>
  <si>
    <t xml:space="preserve">Développer un référentiel de données centralisé</t>
  </si>
  <si>
    <t xml:space="preserve">Les logs d'audit sont protégés contre les modifications et les suppressions non autorisées</t>
  </si>
  <si>
    <t xml:space="preserve">Politique de sécurité des logs d'audit</t>
  </si>
  <si>
    <t xml:space="preserve">Les logs d'audit sont-ils protégés contre les modifications et les suppressions non autorisées ?</t>
  </si>
  <si>
    <t xml:space="preserve">Procédure de gestion inexistante.</t>
  </si>
  <si>
    <t xml:space="preserve">Données pas intégrés.</t>
  </si>
  <si>
    <t xml:space="preserve">Établir un cadre de mesure précis</t>
  </si>
  <si>
    <t xml:space="preserve">Procédure de gestion des incidents de sécurité</t>
  </si>
  <si>
    <t xml:space="preserve">Créer une politique de documentation systématique</t>
  </si>
  <si>
    <t xml:space="preserve">Les logs d'audit sont régulièrement revus</t>
  </si>
  <si>
    <t xml:space="preserve">Planning de revue des logs d'audit</t>
  </si>
  <si>
    <t xml:space="preserve">Les logs d'audit sont-ils régulièrement revus ?</t>
  </si>
  <si>
    <t xml:space="preserve">Procédure de contrôle inexistante.</t>
  </si>
  <si>
    <t xml:space="preserve">Mesures non définies.</t>
  </si>
  <si>
    <t xml:space="preserve">Développer un processus de gouvernance des données</t>
  </si>
  <si>
    <t xml:space="preserve">Rapport de revue des logs d'audit</t>
  </si>
  <si>
    <t xml:space="preserve">Mettre en place un programme de formation continue</t>
  </si>
  <si>
    <t xml:space="preserve">Existence d'une procédure de gestion des logs d'audit</t>
  </si>
  <si>
    <t xml:space="preserve">Procédure de gestion des logs d'audit</t>
  </si>
  <si>
    <t xml:space="preserve">Existe-t-il une procédure de gestion des logs d'audit ?</t>
  </si>
  <si>
    <t xml:space="preserve">Rapprochement inexistant.</t>
  </si>
  <si>
    <t xml:space="preserve">Informations non documentées.</t>
  </si>
  <si>
    <t xml:space="preserve">Refondre l'interface utilisateur</t>
  </si>
  <si>
    <t xml:space="preserve">Standardiser les protocoles de communication</t>
  </si>
  <si>
    <t xml:space="preserve">Vérifier que tous les documents servant de base à la saisie sont pris en compte</t>
  </si>
  <si>
    <t xml:space="preserve">Existence d'une procédure de contrôle des documents source</t>
  </si>
  <si>
    <t xml:space="preserve">Procédure de contrôle des documents source</t>
  </si>
  <si>
    <t xml:space="preserve">Existe-t-il une procédure de contrôle des documents source ?</t>
  </si>
  <si>
    <t xml:space="preserve">Anomalies non documentées.</t>
  </si>
  <si>
    <t xml:space="preserve">Information mal géré.</t>
  </si>
  <si>
    <t xml:space="preserve">Développer des processus de validation des informations</t>
  </si>
  <si>
    <t xml:space="preserve">Liste des documents source</t>
  </si>
  <si>
    <t xml:space="preserve">Créer un programme de valorisation des connaissances</t>
  </si>
  <si>
    <t xml:space="preserve">Rapprochement des documents saisis avec les documents source</t>
  </si>
  <si>
    <t xml:space="preserve">Procédure de rapprochement des données</t>
  </si>
  <si>
    <t xml:space="preserve">Les documents saisis sont-ils rapprochés avec les documents source ?</t>
  </si>
  <si>
    <t xml:space="preserve">Corrections non réalisées.</t>
  </si>
  <si>
    <t xml:space="preserve">Absence d'action ou d'accompagnements.</t>
  </si>
  <si>
    <t xml:space="preserve">Simplifier la navigation des paramètres</t>
  </si>
  <si>
    <t xml:space="preserve">Journal de rapprochement</t>
  </si>
  <si>
    <t xml:space="preserve">Mettre en place des contrôles de cohérence des données</t>
  </si>
  <si>
    <t xml:space="preserve">Documentation des anomalies et des erreurs de saisie</t>
  </si>
  <si>
    <t xml:space="preserve">Procédure de documentation des anomalies</t>
  </si>
  <si>
    <t xml:space="preserve">Les anomalies et des erreurs de saisie sont-elles documentées ?</t>
  </si>
  <si>
    <t xml:space="preserve">Contrôles insuffisants.</t>
  </si>
  <si>
    <t xml:space="preserve">Interface complexe et confuse.</t>
  </si>
  <si>
    <t xml:space="preserve">Établir un cadre de gouvernance formalisé</t>
  </si>
  <si>
    <t xml:space="preserve">Registre des anomalies</t>
  </si>
  <si>
    <t xml:space="preserve">Développer un système de catalogage des données</t>
  </si>
  <si>
    <t xml:space="preserve">Suivi des corrections apportées aux erreurs de saisie</t>
  </si>
  <si>
    <t xml:space="preserve">Procédure de correction des erreurs de saisie</t>
  </si>
  <si>
    <t xml:space="preserve">Les corrections apportées aux erreurs de saisie sont-elles suivies ?</t>
  </si>
  <si>
    <t xml:space="preserve">Interface non intuitive.</t>
  </si>
  <si>
    <t xml:space="preserve">Difficultés des messages.</t>
  </si>
  <si>
    <t xml:space="preserve">Créer des systèmes de métadonnées</t>
  </si>
  <si>
    <t xml:space="preserve">Journal des corrections</t>
  </si>
  <si>
    <t xml:space="preserve">Étendre les capacités de monitoring</t>
  </si>
  <si>
    <t xml:space="preserve">Mise en place de contrôles pour garantir l'intégrité des documents source</t>
  </si>
  <si>
    <t xml:space="preserve">Procédure de gestion des documents source</t>
  </si>
  <si>
    <t xml:space="preserve">Des contrôles sont-ils mis en place pour garantir l'intégrité des documents source ?</t>
  </si>
  <si>
    <t xml:space="preserve">Messages d'erreur ambigus.</t>
  </si>
  <si>
    <t xml:space="preserve">Information non vérifiées.</t>
  </si>
  <si>
    <t xml:space="preserve">Renforcer la sécurité des données</t>
  </si>
  <si>
    <t xml:space="preserve">Politique de sauvegarde et de restauration</t>
  </si>
  <si>
    <t xml:space="preserve">Mettre en place des processus de qualification des données</t>
  </si>
  <si>
    <t xml:space="preserve">S’assurer que les facilités de saisie, l’ergonomie de la saisie, les messages écrans et les contrôles sont mis en œuvre</t>
  </si>
  <si>
    <t xml:space="preserve">L'interface de saisie est intuitive et facile à utiliser</t>
  </si>
  <si>
    <t xml:space="preserve">Guide d'utilisation de l'interface</t>
  </si>
  <si>
    <t xml:space="preserve">L'interface de saisie est-elle intuitive et facile à utiliser ?</t>
  </si>
  <si>
    <t xml:space="preserve">Contrôles de validation inexistants.</t>
  </si>
  <si>
    <t xml:space="preserve">Découverte et utilisations pas mis de l'avant.</t>
  </si>
  <si>
    <t xml:space="preserve">Implémenter des contrôles d'accès granulaires</t>
  </si>
  <si>
    <t xml:space="preserve">Retours utilisateurs sur l'ergonomie</t>
  </si>
  <si>
    <t xml:space="preserve">Créer des systèmes de journalisation</t>
  </si>
  <si>
    <t xml:space="preserve">Les messages d'erreur sont clairs et explicites</t>
  </si>
  <si>
    <t xml:space="preserve">Catalogue des messages d'erreur</t>
  </si>
  <si>
    <t xml:space="preserve">Les messages d'erreur sont-ils clairs et explicites ?</t>
  </si>
  <si>
    <t xml:space="preserve">Absence d'aide à la saisie.</t>
  </si>
  <si>
    <t xml:space="preserve">Difficultés à trouver les paramètres et l'utilisation de l'application.</t>
  </si>
  <si>
    <t xml:space="preserve">Développer une stratégie de cybersécurité</t>
  </si>
  <si>
    <t xml:space="preserve">Documentation technique de l'application</t>
  </si>
  <si>
    <t xml:space="preserve">Créer des systèmes de traçabilité</t>
  </si>
  <si>
    <t xml:space="preserve">Des contrôles de validation sont mis en place</t>
  </si>
  <si>
    <t xml:space="preserve">Spécifications fonctionnelles (contrôles de validation)</t>
  </si>
  <si>
    <t xml:space="preserve">Des contrôles de validation sont-ils mis en place ?</t>
  </si>
  <si>
    <t xml:space="preserve">Tests d'ergonomie non réalisés.</t>
  </si>
  <si>
    <t xml:space="preserve">Données non vérifiées.</t>
  </si>
  <si>
    <t xml:space="preserve">Mettre en place des programmes de formation utilisateurs</t>
  </si>
  <si>
    <t xml:space="preserve">Scénarios de tests (contrôles de validation)</t>
  </si>
  <si>
    <t xml:space="preserve">Développer des processus de mise à jour automatisés</t>
  </si>
  <si>
    <t xml:space="preserve">L'application propose des aides à la saisie</t>
  </si>
  <si>
    <t xml:space="preserve">Manuel utilisateur (aides à la saisie)</t>
  </si>
  <si>
    <t xml:space="preserve">L'application propose-t-elle des aides à la saisie ?</t>
  </si>
  <si>
    <t xml:space="preserve">Règles de validation imprécises.</t>
  </si>
  <si>
    <t xml:space="preserve">Mesures de gestions non mitent en place.</t>
  </si>
  <si>
    <t xml:space="preserve">Réaliser des audits de sécurité réguliers</t>
  </si>
  <si>
    <t xml:space="preserve">Tutoriels ou FAQ</t>
  </si>
  <si>
    <t xml:space="preserve">Développer des outils de recherche de données</t>
  </si>
  <si>
    <t xml:space="preserve">Des tests d'ergonomie sont réalisés</t>
  </si>
  <si>
    <t xml:space="preserve">Plan de tests d'ergonomie</t>
  </si>
  <si>
    <t xml:space="preserve">Des tests d'ergonomie sont-ils réalisés ?</t>
  </si>
  <si>
    <t xml:space="preserve">Contrôles automatiques inexistants.</t>
  </si>
  <si>
    <t xml:space="preserve">Donnée non répertorié.</t>
  </si>
  <si>
    <t xml:space="preserve">Créer des tableaux de bord de performance</t>
  </si>
  <si>
    <t xml:space="preserve">Rapport des tests d'ergonomie</t>
  </si>
  <si>
    <t xml:space="preserve">Mettre en place des mécanismes de protection des données</t>
  </si>
  <si>
    <t xml:space="preserve">S’assurer que les contrôles de validation des « brouillards » de saisie pour validation par réconciliation existent</t>
  </si>
  <si>
    <t xml:space="preserve">Définition claire des règles de validation des brouillards de saisie</t>
  </si>
  <si>
    <t xml:space="preserve">Spécifications fonctionnelles (règles de validation)</t>
  </si>
  <si>
    <t xml:space="preserve">Les règles de validation des brouillards de saisie sont-elles clairement définies ?</t>
  </si>
  <si>
    <t xml:space="preserve">Réconciliation inexistante.</t>
  </si>
  <si>
    <t xml:space="preserve">Non-identification de l'information.</t>
  </si>
  <si>
    <t xml:space="preserve">Développer des algorithmes de détection d'anomalies</t>
  </si>
  <si>
    <t xml:space="preserve">Catalogue des règles de validation</t>
  </si>
  <si>
    <t xml:space="preserve">Établir des protocoles de communication clairs</t>
  </si>
  <si>
    <t xml:space="preserve">Mise en place de contrôles automatiques</t>
  </si>
  <si>
    <t xml:space="preserve">Politique de sauvegarde et de restauration, Journal des sauvegardes</t>
  </si>
  <si>
    <t xml:space="preserve">Des contrôles automatiques sont-ils mis en place ?</t>
  </si>
  <si>
    <t xml:space="preserve">Contrôles non conformes.</t>
  </si>
  <si>
    <t xml:space="preserve">Suivis limités sur l'application.</t>
  </si>
  <si>
    <t xml:space="preserve">Créer des mécanismes de validation des informations</t>
  </si>
  <si>
    <t xml:space="preserve">Procédure de réconciliation des brouillards, Journal de réconciliation</t>
  </si>
  <si>
    <t xml:space="preserve">Développer des outils de partage des connaissances</t>
  </si>
  <si>
    <t xml:space="preserve">Processus de réconciliation des brouillards de saisie avec les données source</t>
  </si>
  <si>
    <t xml:space="preserve">Procédure de documentation des anomalies, Registre des écarts de réconciliation</t>
  </si>
  <si>
    <t xml:space="preserve">Un processus de réconciliation des brouillards de saisie avec les données source est-il en place ?</t>
  </si>
  <si>
    <t xml:space="preserve">Absence de suivi des anomalies.</t>
  </si>
  <si>
    <t xml:space="preserve">Risque de compromettre des données.</t>
  </si>
  <si>
    <t xml:space="preserve">Simplifier la documentation des paramètres</t>
  </si>
  <si>
    <t xml:space="preserve">Procédure de correction des anomalies, Journal des corrections</t>
  </si>
  <si>
    <t xml:space="preserve">Mettre en place des contrôles qualité des données</t>
  </si>
  <si>
    <t xml:space="preserve">Documentation des anomalies et des écarts constatés lors de la réconciliation</t>
  </si>
  <si>
    <t xml:space="preserve">Politique de classification des données, Inventaire des données sensibles</t>
  </si>
  <si>
    <t xml:space="preserve">Les anomalies et des écarts constatés lors de la réconciliation sont-ils documentés ?</t>
  </si>
  <si>
    <t xml:space="preserve">Corrections non suivies.</t>
  </si>
  <si>
    <t xml:space="preserve">Non-identification.</t>
  </si>
  <si>
    <t xml:space="preserve">Développer un référentiel de gouvernance</t>
  </si>
  <si>
    <t xml:space="preserve">Politique de contrôle de la saisie, Guide des procédures de saisie</t>
  </si>
  <si>
    <t xml:space="preserve">Créer un système d'indexation des données</t>
  </si>
  <si>
    <t xml:space="preserve">Suivi des corrections apportées aux brouillards de saisie après la réconciliation</t>
  </si>
  <si>
    <t xml:space="preserve">Procédure de validation des données, Journal des contrôles de validation</t>
  </si>
  <si>
    <t xml:space="preserve">Les corrections apportées aux brouillards de saisie après la réconciliation sont-elles suivies ?</t>
  </si>
  <si>
    <t xml:space="preserve">Données sensibles mal gérées.</t>
  </si>
  <si>
    <t xml:space="preserve">Non-pertinence.</t>
  </si>
  <si>
    <t xml:space="preserve">Implémenter des systèmes de classification</t>
  </si>
  <si>
    <t xml:space="preserve">Politique de gestion des accès, Profils d'accès aux écrans de saisie</t>
  </si>
  <si>
    <t xml:space="preserve">Améliorer le suivi des opérations</t>
  </si>
  <si>
    <t xml:space="preserve">Vérifier que les saisies des données « sensibles » et notamment les données permanentes, sont gérés</t>
  </si>
  <si>
    <t xml:space="preserve">Définition et classification des données sensibles et permanentes</t>
  </si>
  <si>
    <t xml:space="preserve">Politique de journalisation, Configuration des journaux de saisie</t>
  </si>
  <si>
    <t xml:space="preserve">Les données sensibles et permanentes sont-elles définies et classifiées ?</t>
  </si>
  <si>
    <t xml:space="preserve">Absence de contrôles de saisie.</t>
  </si>
  <si>
    <t xml:space="preserve">Exposés le donnée à être consultés.</t>
  </si>
  <si>
    <t xml:space="preserve">Renforcer la protection des données sensibles</t>
  </si>
  <si>
    <t xml:space="preserve">Manuel utilisateur, Accusé de réception de la communication du manuel</t>
  </si>
  <si>
    <t xml:space="preserve">Mettre en place des processus de priorisation</t>
  </si>
  <si>
    <t xml:space="preserve">Existence de contrôles de saisie spécifiques pour les données sensibles et permanentes</t>
  </si>
  <si>
    <t xml:space="preserve">Procédure de mise à disposition du manuel, Plateforme de partage documentaire</t>
  </si>
  <si>
    <t xml:space="preserve">Des contrôles de saisie spécifiques sont-ils mis en place pour les données sensibles et permanentes ?</t>
  </si>
  <si>
    <t xml:space="preserve">Données sensibles inexactes.</t>
  </si>
  <si>
    <t xml:space="preserve">Peu de suivie des opérations.</t>
  </si>
  <si>
    <t xml:space="preserve">Développer des politiques d'accès sécurisées</t>
  </si>
  <si>
    <t xml:space="preserve">Plan de formation des nouveaux utilisateurs, Registre des formations suivies</t>
  </si>
  <si>
    <t xml:space="preserve">Créer des rapports d'audit détaillés</t>
  </si>
  <si>
    <t xml:space="preserve">Validation de l'exactitude des données sensibles et permanentes saisies</t>
  </si>
  <si>
    <t xml:space="preserve">Procédure de notification des mises à jour du manuel, Journal des notifications</t>
  </si>
  <si>
    <t xml:space="preserve">L'exactitude des données sensibles et permanentes saisies est-elle validée ?</t>
  </si>
  <si>
    <t xml:space="preserve">Accès non restreint aux données sensibles.</t>
  </si>
  <si>
    <t xml:space="preserve">Risques de compromission des données.</t>
  </si>
  <si>
    <t xml:space="preserve">Mettre en place une stratégie de sécurité globale</t>
  </si>
  <si>
    <t xml:space="preserve">Registre des consultations et téléchargements du manuel, Analyse des usages du manuel</t>
  </si>
  <si>
    <t xml:space="preserve">Développer des outils de transparence</t>
  </si>
  <si>
    <t xml:space="preserve">Restriction de l'accès aux écrans de saisie des données sensibles et permanentes</t>
  </si>
  <si>
    <t xml:space="preserve">Procédure de demande et d'approbation des transmissions, Registre des transmissions</t>
  </si>
  <si>
    <t xml:space="preserve">L'accès aux écrans de saisie des données sensibles et permanentes est-il restreint ?</t>
  </si>
  <si>
    <t xml:space="preserve">Saisie des données sensibles non journalisée.</t>
  </si>
  <si>
    <t xml:space="preserve">Manque de transparence des manipulations.</t>
  </si>
  <si>
    <t xml:space="preserve">Créer des programmes de sensibilisation</t>
  </si>
  <si>
    <t xml:space="preserve">Liste des personnes autorisées, Politique d'habilitation</t>
  </si>
  <si>
    <t xml:space="preserve">Développer des mécanismes de migration</t>
  </si>
  <si>
    <t xml:space="preserve">Journalisation des saisies des données sensibles et permanentes</t>
  </si>
  <si>
    <t xml:space="preserve">Politique d'utilisation des protocoles sécurisés, Configuration des systèmes de transmission</t>
  </si>
  <si>
    <t xml:space="preserve">Les saisies des données sensibles et permanentes sont-elles journalisées ?</t>
  </si>
  <si>
    <t xml:space="preserve">Absence de preuve de communication.</t>
  </si>
  <si>
    <t xml:space="preserve">Connaissance faible.</t>
  </si>
  <si>
    <t xml:space="preserve">Mettre en place des vérifications de sécurité</t>
  </si>
  <si>
    <t xml:space="preserve">Procédure de contrôle de l'intégrité des fichiers, Journal des contrôles d'intégrité</t>
  </si>
  <si>
    <t xml:space="preserve">Créer des processus de résilience</t>
  </si>
  <si>
    <t xml:space="preserve">Vérifier que les opérations effectuées sur des données sensibles sont suivies</t>
  </si>
  <si>
    <t xml:space="preserve">Preuve de la communication du manuel aux utilisateurs</t>
  </si>
  <si>
    <t xml:space="preserve">Politique de documentation des transmissions, Modèle de fiche de transmission</t>
  </si>
  <si>
    <t xml:space="preserve">Une preuve de la communication du manuel aux utilisateurs est-elle disponible ?</t>
  </si>
  <si>
    <t xml:space="preserve">Manuels non disponibles.</t>
  </si>
  <si>
    <t xml:space="preserve">Perte de temps.</t>
  </si>
  <si>
    <t xml:space="preserve">Développer un cadre de gestion des risques</t>
  </si>
  <si>
    <t xml:space="preserve">Spécifications du format et de la structure des fichiers, Schémas de données</t>
  </si>
  <si>
    <t xml:space="preserve">Établir des mécanismes de conformité</t>
  </si>
  <si>
    <t xml:space="preserve">Le manuel est disponible sur un emplacement partagé et facilement accessible</t>
  </si>
  <si>
    <t xml:space="preserve">Procédure de contrôle de la cohérence des données, Rapports de contrôle de cohérence</t>
  </si>
  <si>
    <t xml:space="preserve">Le manuel est-il disponible sur un emplacement partagé et facilement accessible ?</t>
  </si>
  <si>
    <t xml:space="preserve">Nouveaux utilisateurs mal formés.</t>
  </si>
  <si>
    <t xml:space="preserve">Incompréhension des utilisateurs.</t>
  </si>
  <si>
    <t xml:space="preserve">Mettre en place des formations utilisateurs</t>
  </si>
  <si>
    <t xml:space="preserve">Procédure de gestion des erreurs d'intégration, Registre des erreurs d'intégration</t>
  </si>
  <si>
    <t xml:space="preserve">Développer des processus de mise à jour automatiques</t>
  </si>
  <si>
    <t xml:space="preserve">Les nouveaux utilisateurs reçoivent le manuel lors de leur formation</t>
  </si>
  <si>
    <t xml:space="preserve">Politique de journalisation des intégrations, Logs d'intégration</t>
  </si>
  <si>
    <t xml:space="preserve">Les nouveaux utilisateurs reçoivent-ils le manuel lors de leur formation ?</t>
  </si>
  <si>
    <t xml:space="preserve">Outils d'aide inexistants.</t>
  </si>
  <si>
    <t xml:space="preserve">Incapacité de mettre à jour.</t>
  </si>
  <si>
    <t xml:space="preserve">Renforcer les protocoles de sécurité des échanges</t>
  </si>
  <si>
    <t xml:space="preserve">Plan de tests d'intégration, Rapports de tests d'intégration</t>
  </si>
  <si>
    <t xml:space="preserve">Clarifier les rôles et responsabilités</t>
  </si>
  <si>
    <t xml:space="preserve">Existence d'un mécanisme pour notifier les utilisateurs des mises à jour du manuel</t>
  </si>
  <si>
    <t xml:space="preserve">Politique de stockage sécurisé des données rejetées, Description de l'environnement de stockage</t>
  </si>
  <si>
    <t xml:space="preserve">Existe-t-il un mécanisme pour notifier les utilisateurs des mises à jour du manuel ?</t>
  </si>
  <si>
    <t xml:space="preserve">Consultations non suivies.</t>
  </si>
  <si>
    <t xml:space="preserve">Interception des données.</t>
  </si>
  <si>
    <t xml:space="preserve">Sécuriser les canaux de communication</t>
  </si>
  <si>
    <t xml:space="preserve">Politique de conservation des données rejetées, Planning de suppression des données rejetées</t>
  </si>
  <si>
    <t xml:space="preserve">Développer des mécanismes anti-corruption de données</t>
  </si>
  <si>
    <t xml:space="preserve">Suivi des consultations et des téléchargements du manuel</t>
  </si>
  <si>
    <t xml:space="preserve">Procédure de documentation des raisons du rejet, Registre des rejets</t>
  </si>
  <si>
    <t xml:space="preserve">Les consultations et des téléchargements du manuel sont-ils suivis ?</t>
  </si>
  <si>
    <t xml:space="preserve">Absence de contrôle des transferts de fichiers.</t>
  </si>
  <si>
    <t xml:space="preserve">Rôle des personnes difficile à comprendre.</t>
  </si>
  <si>
    <t xml:space="preserve">Créer des systèmes de traçabilité et de localisation</t>
  </si>
  <si>
    <t xml:space="preserve">Politique de sécurité des données rejetées, Logs d'accès aux données rejetées</t>
  </si>
  <si>
    <t xml:space="preserve">Simplifier l'exploitation des données</t>
  </si>
  <si>
    <t xml:space="preserve">Vérifier l’existence des procédures de transmission de fichiers en entrée</t>
  </si>
  <si>
    <t xml:space="preserve">Procédure de demande et d'approbation des transmissions de fichiers</t>
  </si>
  <si>
    <t xml:space="preserve">Procédure de suppression définitive des données rejetées, Journal des suppressions</t>
  </si>
  <si>
    <t xml:space="preserve">Existe-t-il une procédure de demande et d'approbation des transmissions de fichiers ?</t>
  </si>
  <si>
    <t xml:space="preserve">Personnes autorisées non identifiables.</t>
  </si>
  <si>
    <t xml:space="preserve">La sécurité d'échanges ne sont pas garantis.</t>
  </si>
  <si>
    <t xml:space="preserve">Améliorer la lisibilité des rapports</t>
  </si>
  <si>
    <t xml:space="preserve">Procédure d'analyse des causes des rejets, Rapports d'analyse des rejets</t>
  </si>
  <si>
    <t xml:space="preserve">Mettre en place des contrôles de saisie</t>
  </si>
  <si>
    <t xml:space="preserve">Identification des personnes autorisées à transmettre des fichiers</t>
  </si>
  <si>
    <t xml:space="preserve">Identification des responsables de l'analyse et de la correction, Organigramme des responsabilités</t>
  </si>
  <si>
    <t xml:space="preserve">Les personnes autorisées à transmettre des fichiers sont-elles identifiées ?</t>
  </si>
  <si>
    <t xml:space="preserve">Protocoles de communication non sécurisés.</t>
  </si>
  <si>
    <t xml:space="preserve">Risque de corruption des données.</t>
  </si>
  <si>
    <t xml:space="preserve">Standardiser la documentation</t>
  </si>
  <si>
    <t xml:space="preserve">Procédure de mise en place des mesures correctives, Plan d'actions correctives</t>
  </si>
  <si>
    <t xml:space="preserve">Développer des systèmes de détection d'incidents</t>
  </si>
  <si>
    <t xml:space="preserve">Utilisation de protocoles de communication sécurisés (ex : SFTP, FTPS)</t>
  </si>
  <si>
    <t xml:space="preserve">Procédure de suivi des mesures correctives, Registre de suivi des actions correctives</t>
  </si>
  <si>
    <t xml:space="preserve">Des protocoles de communication sécurisés (ex: SFTP, FTPS) sont-ils utilisés ?</t>
  </si>
  <si>
    <t xml:space="preserve">Intégrité non contrôlée.</t>
  </si>
  <si>
    <t xml:space="preserve">Absence de pistes pour la localisation des problèmes.</t>
  </si>
  <si>
    <t xml:space="preserve">Définir des procédures de gestion des responsabilités</t>
  </si>
  <si>
    <t xml:space="preserve">Procédure de documentation des corrections, Journal des corrections apportées</t>
  </si>
  <si>
    <t xml:space="preserve">Créer des outils d'analyse de données</t>
  </si>
  <si>
    <t xml:space="preserve">Contrôle de l'intégrité des fichiers transmis (hashage)</t>
  </si>
  <si>
    <t xml:space="preserve">Politique de gestion des accès (aux données rejetées), Journal des accès (aux données rejetées)</t>
  </si>
  <si>
    <t xml:space="preserve">L'intégrité des fichiers transmis (hachage) est-elle contrôlée ?</t>
  </si>
  <si>
    <t xml:space="preserve">Transmissions non documentées.</t>
  </si>
  <si>
    <t xml:space="preserve">Difficulté lors de l'exploitation des données.</t>
  </si>
  <si>
    <t xml:space="preserve">Améliorer la précision des rapports</t>
  </si>
  <si>
    <t xml:space="preserve">Procédure de validation des corrections apportées, Registre des validations</t>
  </si>
  <si>
    <t xml:space="preserve">Développer des protocoles de gestion des erreurs</t>
  </si>
  <si>
    <t xml:space="preserve">Documentation de toutes les transmissions de fichiers</t>
  </si>
  <si>
    <t xml:space="preserve">Politique de sauvegarde et de restauration (des données rejetées), Journal des sauvegardes (des données rejetées)</t>
  </si>
  <si>
    <t xml:space="preserve">Toutes les transmissions de fichiers sont-elles documentées ?</t>
  </si>
  <si>
    <t xml:space="preserve">Format des fichiers entrants non validé.</t>
  </si>
  <si>
    <t xml:space="preserve">Difficulté de comprendre les rapports.</t>
  </si>
  <si>
    <t xml:space="preserve">Sécuriser les systèmes et applications</t>
  </si>
  <si>
    <t xml:space="preserve">Procédure d'archivage des données rejetées, Politique d'archivage</t>
  </si>
  <si>
    <t xml:space="preserve">Redéfinir la matrice des rôles</t>
  </si>
  <si>
    <t xml:space="preserve">S’assurer de l’effectivités des contrôles mis en œuvre lors de 
 l'intégration des données par fichiers à l'application</t>
  </si>
  <si>
    <t xml:space="preserve">Validation du format et de la structure des fichiers intégrés</t>
  </si>
  <si>
    <t xml:space="preserve">Rapport de respect des délais (de traitement des rejets), Indicateurs de performance (KPI)</t>
  </si>
  <si>
    <t xml:space="preserve">Quels mécanismes sont en place pour valider le format des fichiers entrants ?</t>
  </si>
  <si>
    <t xml:space="preserve">Incohérence des données.</t>
  </si>
  <si>
    <t xml:space="preserve">Étendre les capacités de suivi</t>
  </si>
  <si>
    <t xml:space="preserve">Politique de communication sur les corrections apportées, Journal des communications</t>
  </si>
  <si>
    <t xml:space="preserve">Optimiser la gestion des droits d'accès</t>
  </si>
  <si>
    <t xml:space="preserve">Contrôle de la cohérence des données intégrées avec les données existantes</t>
  </si>
  <si>
    <t xml:space="preserve">Procédure de contrôle de la cohérence des données</t>
  </si>
  <si>
    <t xml:space="preserve">Comment la cohérence des nouvelles données avec les données existantes est-elle assurée pendant le processus d'intégration ?</t>
  </si>
  <si>
    <t xml:space="preserve">Processus de gestion des erreurs inexistants.</t>
  </si>
  <si>
    <t xml:space="preserve">Non détection des erreurs des saisies de données.</t>
  </si>
  <si>
    <t xml:space="preserve">Rapports de contrôle de cohérence</t>
  </si>
  <si>
    <t xml:space="preserve">Maîtriser les processus opérationnels</t>
  </si>
  <si>
    <t xml:space="preserve">Gestion des erreurs d'intégration (rejet, correction)</t>
  </si>
  <si>
    <t xml:space="preserve">Procédure de gestion des erreurs d'intégration</t>
  </si>
  <si>
    <t xml:space="preserve">Quel est le processus de gestion des erreurs qui se produisent pendant l'intégration des données ?</t>
  </si>
  <si>
    <t xml:space="preserve">Informations non renseignées.</t>
  </si>
  <si>
    <t xml:space="preserve">Non documentées.</t>
  </si>
  <si>
    <t xml:space="preserve">Renforcer les contrôles internes</t>
  </si>
  <si>
    <t xml:space="preserve">Registre des erreurs d'intégration</t>
  </si>
  <si>
    <t xml:space="preserve">Documenter systématiquement les actions</t>
  </si>
  <si>
    <t xml:space="preserve">Journalisation des intégrations de fichiers</t>
  </si>
  <si>
    <t xml:space="preserve">Politique de journalisation des intégrations</t>
  </si>
  <si>
    <t xml:space="preserve">Quelles informations sont enregistrées lors de chaque processus d'intégration de fichiers ?</t>
  </si>
  <si>
    <t xml:space="preserve">Contrôles d'intégration inefficaces.</t>
  </si>
  <si>
    <t xml:space="preserve">Échec d'identifier les incidents.</t>
  </si>
  <si>
    <t xml:space="preserve">Réduire la dépendance aux fonctions actuelles</t>
  </si>
  <si>
    <t xml:space="preserve">Logs d'intégration</t>
  </si>
  <si>
    <t xml:space="preserve">Sécuriser les infrastructures applicatives</t>
  </si>
  <si>
    <t xml:space="preserve">Tests de validation des contrôles d'intégration</t>
  </si>
  <si>
    <t xml:space="preserve">Plan de tests d'intégration</t>
  </si>
  <si>
    <t xml:space="preserve">Comment testez-vous l'efficacité des contrôles d'intégration ?</t>
  </si>
  <si>
    <t xml:space="preserve">Rejets non stockés.</t>
  </si>
  <si>
    <t xml:space="preserve">Exposition aux responsabilités.</t>
  </si>
  <si>
    <t xml:space="preserve">Gérer l'obsolescence technologique</t>
  </si>
  <si>
    <t xml:space="preserve">Rapports de tests d'intégration</t>
  </si>
  <si>
    <t xml:space="preserve">Développer des outils de veille stratégique</t>
  </si>
  <si>
    <t xml:space="preserve">S’assurer de la conservation de toutes les données rejetées</t>
  </si>
  <si>
    <t xml:space="preserve">Définition d'un emplacement de stockage sécurisé pour les données rejetées</t>
  </si>
  <si>
    <t xml:space="preserve">Politique de stockage sécurisé des données rejetées</t>
  </si>
  <si>
    <t xml:space="preserve">Où sont stockées les données rejetées ?</t>
  </si>
  <si>
    <t xml:space="preserve">Données rejetées non conservées.</t>
  </si>
  <si>
    <t xml:space="preserve">Informations non disponibles pour l'analyse.</t>
  </si>
  <si>
    <t xml:space="preserve">Aligner les objectifs et les moyens</t>
  </si>
  <si>
    <t xml:space="preserve">Description de l'environnement de stockage</t>
  </si>
  <si>
    <t xml:space="preserve">Mettre en place des analyses de causes racines</t>
  </si>
  <si>
    <t xml:space="preserve">Conservation des données rejetées pendant une période déterminée</t>
  </si>
  <si>
    <t xml:space="preserve">Politique de conservation des données rejetées</t>
  </si>
  <si>
    <t xml:space="preserve">Combien de temps les données rejetées sont-elles conservées ?</t>
  </si>
  <si>
    <t xml:space="preserve">Informations non capturées.</t>
  </si>
  <si>
    <t xml:space="preserve">Inexactitude des rapports d'information.</t>
  </si>
  <si>
    <t xml:space="preserve">Contrôler la diffusion des données</t>
  </si>
  <si>
    <t xml:space="preserve">Planning de suppression des données rejetées</t>
  </si>
  <si>
    <t xml:space="preserve">Simplifier l'intervention des acteurs</t>
  </si>
  <si>
    <t xml:space="preserve">Documentation des raisons du rejet</t>
  </si>
  <si>
    <t xml:space="preserve">Procédure de documentation des raisons du rejet</t>
  </si>
  <si>
    <t xml:space="preserve">Quelles informations sont capturées lorsque des données sont rejetées ?</t>
  </si>
  <si>
    <t xml:space="preserve">Pas de solution en cas d'erreur.</t>
  </si>
  <si>
    <t xml:space="preserve">Respecter les protocoles de résolution</t>
  </si>
  <si>
    <t xml:space="preserve">Registre des rejets</t>
  </si>
  <si>
    <t xml:space="preserve">Développer de nouvelles applications</t>
  </si>
  <si>
    <t xml:space="preserve">Protection des données rejetées contre les modifications et les suppressions non autorisées</t>
  </si>
  <si>
    <t xml:space="preserve">Politique de sécurité des données rejetées</t>
  </si>
  <si>
    <t xml:space="preserve">Quelles mesures de sécurité sont en place pour empêcher les modifications ou suppressions non autorisées des données rejetées ?</t>
  </si>
  <si>
    <t xml:space="preserve">Procédure d'analyse inexistante.</t>
  </si>
  <si>
    <t xml:space="preserve">Vulnérabilité des systèmes et applications.</t>
  </si>
  <si>
    <t xml:space="preserve">Mettre en place des revues d'information</t>
  </si>
  <si>
    <t xml:space="preserve">Logs d'accès aux données rejetées</t>
  </si>
  <si>
    <t xml:space="preserve">Corriger systématiquement les impacts</t>
  </si>
  <si>
    <t xml:space="preserve">Procédure de suppression définitive des données rejetées après la période de conservation</t>
  </si>
  <si>
    <t xml:space="preserve">Procédure de suppression définitive des données rejetées</t>
  </si>
  <si>
    <t xml:space="preserve">Quel processus est utilisé pour supprimer définitivement les données rejetées après l'expiration de la période de conservation ?</t>
  </si>
  <si>
    <t xml:space="preserve">Analyse des rejets non réalisée.</t>
  </si>
  <si>
    <t xml:space="preserve">Mauvais rôles.</t>
  </si>
  <si>
    <t xml:space="preserve">Contrôler les droits d'accès</t>
  </si>
  <si>
    <t xml:space="preserve">Journal des suppressions</t>
  </si>
  <si>
    <t xml:space="preserve">Former à la culture de sécurité</t>
  </si>
  <si>
    <t xml:space="preserve">S’assurer qu’une analyse et correction des données rejetées est 
 effectuée</t>
  </si>
  <si>
    <t xml:space="preserve">Procédure d'analyse des causes des rejets</t>
  </si>
  <si>
    <t xml:space="preserve">Existe-t-il une procédure documentée pour analyser les causes des rejets de données ?</t>
  </si>
  <si>
    <t xml:space="preserve">Actions correctives inexistantes.</t>
  </si>
  <si>
    <t xml:space="preserve">Suivi limité.</t>
  </si>
  <si>
    <t xml:space="preserve">Maîtriser les flux de données</t>
  </si>
  <si>
    <t xml:space="preserve">Rapports d'analyse des rejets</t>
  </si>
  <si>
    <t xml:space="preserve">Établir une politique de sécurité complète</t>
  </si>
  <si>
    <t xml:space="preserve">Identification des responsables de l'analyse et de la correction</t>
  </si>
  <si>
    <t xml:space="preserve">Qui est responsable de l'analyse des causes des rejets de données ?</t>
  </si>
  <si>
    <t xml:space="preserve">Données rejetées non suivies.</t>
  </si>
  <si>
    <t xml:space="preserve">Mauvaise gestion des droits d'accès.</t>
  </si>
  <si>
    <t xml:space="preserve">Protéger les données sensibles</t>
  </si>
  <si>
    <t xml:space="preserve">Organigramme des responsabilités</t>
  </si>
  <si>
    <t xml:space="preserve">Développer de nouvelles applications sécurisées</t>
  </si>
  <si>
    <t xml:space="preserve">Mise en place de mesures correctives pour éviter les rejets futurs</t>
  </si>
  <si>
    <t xml:space="preserve">Procédure de mise en place des mesures correctives</t>
  </si>
  <si>
    <t xml:space="preserve">Quelles actions correctives sont prises pour prévenir les futurs rejets de données ?</t>
  </si>
  <si>
    <t xml:space="preserve">Corrections non documentées.</t>
  </si>
  <si>
    <t xml:space="preserve">Vulnérabilité des systèmes.</t>
  </si>
  <si>
    <t xml:space="preserve">Gérer les menaces persistantes</t>
  </si>
  <si>
    <t xml:space="preserve">Plan d'actions correctives</t>
  </si>
  <si>
    <t xml:space="preserve">Mettre à jour régulièrement les informations</t>
  </si>
  <si>
    <t xml:space="preserve">Suivi des données rejetées jusqu'à leur correction</t>
  </si>
  <si>
    <t xml:space="preserve">Procédure de suivi des mesures correctives</t>
  </si>
  <si>
    <t xml:space="preserve">Comment les données rejetées sont-elles suivies tout au long du processus de correction ?</t>
  </si>
  <si>
    <t xml:space="preserve">Procédures non connues.</t>
  </si>
  <si>
    <t xml:space="preserve">Informations non disponible.</t>
  </si>
  <si>
    <t xml:space="preserve">Centraliser les sources d'information</t>
  </si>
  <si>
    <t xml:space="preserve">Registre de suivi des actions correctives</t>
  </si>
  <si>
    <t xml:space="preserve">Mettre en place des mécanismes anti-corruption</t>
  </si>
  <si>
    <t xml:space="preserve">Documentation des corrections apportées aux données rejetées</t>
  </si>
  <si>
    <t xml:space="preserve">Procédure de documentation des corrections</t>
  </si>
  <si>
    <t xml:space="preserve">Comment les corrections apportées aux données rejetées sont-elles documentées ?</t>
  </si>
  <si>
    <t xml:space="preserve">Rôles et responsabilités imprécis.</t>
  </si>
  <si>
    <t xml:space="preserve">Absence de vérifications des sécurité.</t>
  </si>
  <si>
    <t xml:space="preserve">Développer des référentiels de données</t>
  </si>
  <si>
    <t xml:space="preserve">Journal des corrections apportées</t>
  </si>
  <si>
    <t xml:space="preserve">Créer des tableaux de bord de suivi</t>
  </si>
  <si>
    <t xml:space="preserve">S’assurer qu’un contrôle des corrections des données rejetées 
 est effectif</t>
  </si>
  <si>
    <t xml:space="preserve">Efficacité du processus de contrôle</t>
  </si>
  <si>
    <t xml:space="preserve">Indicateurs de performance du processus de contrôle</t>
  </si>
  <si>
    <t xml:space="preserve">Les limites du processus de contrôle (périmètre, ressources, responsabilités) sont-elles clairement définies et respectées lors de la vérification des corrections ?</t>
  </si>
  <si>
    <t xml:space="preserve">Délai de validation trop long.</t>
  </si>
  <si>
    <t xml:space="preserve">Processus non maîtrisées.</t>
  </si>
  <si>
    <t xml:space="preserve">Mettre en place des alertes de sécurité</t>
  </si>
  <si>
    <t xml:space="preserve">Rapports d'efficacité des contrôles</t>
  </si>
  <si>
    <t xml:space="preserve">Établir un cadre de gouvernance des données</t>
  </si>
  <si>
    <t xml:space="preserve">Qualité des corrections apportées</t>
  </si>
  <si>
    <t xml:space="preserve">Grille d'évaluation de la qualité des corrections</t>
  </si>
  <si>
    <t xml:space="preserve">Le nombre de corrections apportées aux données rejetées est-il mesuré et correspond-il aux attentes ou aux besoins identifiés ?</t>
  </si>
  <si>
    <t xml:space="preserve">Absence de système pour corriger les erreurs.</t>
  </si>
  <si>
    <t xml:space="preserve">Contrôles inadéquats.</t>
  </si>
  <si>
    <t xml:space="preserve">Renforcer les mécanismes de contrôle</t>
  </si>
  <si>
    <t xml:space="preserve">Revue des corrections apportées</t>
  </si>
  <si>
    <t xml:space="preserve">Traçabilité des corrections</t>
  </si>
  <si>
    <t xml:space="preserve">Procédure de traitement des corrections</t>
  </si>
  <si>
    <t xml:space="preserve">Chaque correction apportée aux données rejetées est-elle enregistrée de manière à permettre un suivi clair et une vérification ultérieure ?</t>
  </si>
  <si>
    <t xml:space="preserve">Politique de conservation inexistante.</t>
  </si>
  <si>
    <t xml:space="preserve">Actions non documentés.</t>
  </si>
  <si>
    <t xml:space="preserve">Réduire la dépendance aux systèmes existants</t>
  </si>
  <si>
    <t xml:space="preserve">Journal des traitements</t>
  </si>
  <si>
    <t xml:space="preserve">Sécuriser les applications</t>
  </si>
  <si>
    <t xml:space="preserve">Rapidité et respect des délais</t>
  </si>
  <si>
    <t xml:space="preserve">Rapport de respect des délais (de traitement des rejets)</t>
  </si>
  <si>
    <t xml:space="preserve">Les corrections des données rejetées sont-elles contrôlées et validées dans les délais prévus, sans retard impactant le processus global ?</t>
  </si>
  <si>
    <t xml:space="preserve">Logs non protégés.</t>
  </si>
  <si>
    <t xml:space="preserve">Dépendance aux fonctions actuelles .</t>
  </si>
  <si>
    <t xml:space="preserve">Améliorer la gestion de l'infrastructure</t>
  </si>
  <si>
    <t xml:space="preserve">Indicateurs de performance (KPI)</t>
  </si>
  <si>
    <t xml:space="preserve">Conformité aux procédures établies</t>
  </si>
  <si>
    <t xml:space="preserve">Le contrôle des corrections des données rejetées respecte-t-il les procédures et protocoles établis (par exemple, validation par un responsable, utilisation d’outils spécifiques) ?</t>
  </si>
  <si>
    <t xml:space="preserve">Application pas sécurisées</t>
  </si>
  <si>
    <t xml:space="preserve">Registre des non-conformités</t>
  </si>
  <si>
    <t xml:space="preserve">Aligner les objectifs organisationnels</t>
  </si>
  <si>
    <t xml:space="preserve">Vérifier que la mise à jour des données sensibles est suivie</t>
  </si>
  <si>
    <t xml:space="preserve">Procédure de mise à jour des données sensibles documentée</t>
  </si>
  <si>
    <t xml:space="preserve">Procédure de mise à jour des données sensibles</t>
  </si>
  <si>
    <t xml:space="preserve">La procédure de mise à jour des données sensibles est-elle facilement accessible et compréhensible par tous les utilisateurs concernés ?</t>
  </si>
  <si>
    <t xml:space="preserve">Inventaire incomplet.</t>
  </si>
  <si>
    <t xml:space="preserve">Difficulté à gérer les éléments d'infrastructure.</t>
  </si>
  <si>
    <t xml:space="preserve">Journal des mises à jour</t>
  </si>
  <si>
    <t xml:space="preserve">Responsabilités clairement définies pour la mise à jour des données sensibles</t>
  </si>
  <si>
    <t xml:space="preserve">Matrice des responsabilités (RACI) pour la mise à jour</t>
  </si>
  <si>
    <t xml:space="preserve">Les responsabilités pour la mise à jour des données sensibles sont-elles clairement attribuées à des personnes compétentes ?</t>
  </si>
  <si>
    <t xml:space="preserve">Paramètres non documentés.</t>
  </si>
  <si>
    <t xml:space="preserve">Vulnérabilité à l'obsolescence.</t>
  </si>
  <si>
    <t xml:space="preserve">Description des rôles et responsabilités</t>
  </si>
  <si>
    <t xml:space="preserve">Validation des modifications apportées aux données sensibles</t>
  </si>
  <si>
    <t xml:space="preserve">Procédure de validation des modifications</t>
  </si>
  <si>
    <t xml:space="preserve">Existe-t-il un processus d'approbation pour les modifications des données sensibles avant leur application ?</t>
  </si>
  <si>
    <t xml:space="preserve">Analyses irrégulières.</t>
  </si>
  <si>
    <t xml:space="preserve">Mauvaise compréhension des tendances.</t>
  </si>
  <si>
    <t xml:space="preserve">Journal des validations</t>
  </si>
  <si>
    <t xml:space="preserve">Traçabilité des mises à jour des données sensibles</t>
  </si>
  <si>
    <t xml:space="preserve">Politique de traçabilité des données</t>
  </si>
  <si>
    <t xml:space="preserve">Le système de traçabilité enregistre-t-il l'utilisateur, la date, l'heure et la justification de chaque modification apportée aux données sensibles ?</t>
  </si>
  <si>
    <t xml:space="preserve">Objectifs imprécis.</t>
  </si>
  <si>
    <t xml:space="preserve">Difficultés à atteindre les objectifs.</t>
  </si>
  <si>
    <t xml:space="preserve">Logs d'audit des modifications</t>
  </si>
  <si>
    <t xml:space="preserve">Contrôler précisément les droits d'accès</t>
  </si>
  <si>
    <t xml:space="preserve">Gestion des erreurs de mise à jour des données sensibles</t>
  </si>
  <si>
    <t xml:space="preserve">Procédure de gestion des erreurs de mise à jour</t>
  </si>
  <si>
    <t xml:space="preserve">Existe-t-il une procédure pour détecter, signaler et corriger les erreurs lors de la mise à jour des données sensibles ?</t>
  </si>
  <si>
    <t xml:space="preserve">Historique incomplet.</t>
  </si>
  <si>
    <t xml:space="preserve">Difficultés à analyser les causes des problèmes.</t>
  </si>
  <si>
    <t xml:space="preserve">Registre des erreurs de mise à jour</t>
  </si>
  <si>
    <t xml:space="preserve">S’assurer que la journalisation des mises à jour est effective</t>
  </si>
  <si>
    <t xml:space="preserve">Journalisation complète de toutes les mises à jour (utilisateur, date, heure, données modifiées)</t>
  </si>
  <si>
    <t xml:space="preserve">Politique de journalisation des accès et modifications</t>
  </si>
  <si>
    <t xml:space="preserve">Est-ce que les logs d'activité incluent l'utilisateur, la date, l'heure, les données modifiées, le type de modification et toute autre information pertinente pour assurer une traçabilité complète ?</t>
  </si>
  <si>
    <t xml:space="preserve">Distribution des états de sortie non vérifiée.</t>
  </si>
  <si>
    <t xml:space="preserve">Diffusion des données non contrôlée.</t>
  </si>
  <si>
    <t xml:space="preserve">Logs d'audit complets</t>
  </si>
  <si>
    <t xml:space="preserve">Archivage régulier des logs de mise à jour</t>
  </si>
  <si>
    <t xml:space="preserve">Politique d'archivage des logs</t>
  </si>
  <si>
    <t xml:space="preserve">Les logs de mise à jour sont-ils archivés régulièrement selon une fréquence définie ?</t>
  </si>
  <si>
    <t xml:space="preserve">Responsabilités imprécises.</t>
  </si>
  <si>
    <t xml:space="preserve">Intervention des acteurs complexes.</t>
  </si>
  <si>
    <t xml:space="preserve">Plan d'archivage</t>
  </si>
  <si>
    <t xml:space="preserve">Politique de conservation des logs de mise à jour définie</t>
  </si>
  <si>
    <t xml:space="preserve">Politique de conservation des logs</t>
  </si>
  <si>
    <t xml:space="preserve">Existe-t-il une politique de conservation des logs de mise à jour qui spécifie la durée pendant laquelle les logs doivent être conservés ?</t>
  </si>
  <si>
    <t xml:space="preserve">Processus de remédiation inexistant.</t>
  </si>
  <si>
    <t xml:space="preserve">Non-respect des protocoles de résolution.</t>
  </si>
  <si>
    <t xml:space="preserve">Durée de conservation définie</t>
  </si>
  <si>
    <t xml:space="preserve">Protection des logs de mise à jour contre la suppression ou la modification</t>
  </si>
  <si>
    <t xml:space="preserve">Politique de sécurité des logs</t>
  </si>
  <si>
    <t xml:space="preserve">Les logs de mise à jour sont-ils protégés contre la suppression ou la modification non autorisée ?</t>
  </si>
  <si>
    <t xml:space="preserve">Procédure non documentée.</t>
  </si>
  <si>
    <t xml:space="preserve">Application inexistantes.</t>
  </si>
  <si>
    <t xml:space="preserve">Créer des référentiels de données</t>
  </si>
  <si>
    <t xml:space="preserve">Procédure de gestion des accès aux logs</t>
  </si>
  <si>
    <t xml:space="preserve">Développer des tableaux de bord de suivi</t>
  </si>
  <si>
    <t xml:space="preserve">Analyse des logs de mise à jour pour détecter les anomalies</t>
  </si>
  <si>
    <t xml:space="preserve">Procédure d'analyse des logs</t>
  </si>
  <si>
    <t xml:space="preserve">Les logs de mise à jour sont-ils analysés régulièrement pour détecter les anomalies, les activités suspectes ou les erreurs ?</t>
  </si>
  <si>
    <t xml:space="preserve">Revue des états de sortie incomplète.</t>
  </si>
  <si>
    <t xml:space="preserve">Information non revue.</t>
  </si>
  <si>
    <t xml:space="preserve">Rapport d'analyse des logs</t>
  </si>
  <si>
    <t xml:space="preserve">Vérifier l’existence des contrôles automatiques périodiques</t>
  </si>
  <si>
    <t xml:space="preserve">Inventaire des contrôles automatiques périodiques</t>
  </si>
  <si>
    <t xml:space="preserve">Inventaire des contrôles automatiques</t>
  </si>
  <si>
    <t xml:space="preserve">Existe-t-il un inventaire complet et à jour de tous les contrôles automatiques périodiques ?</t>
  </si>
  <si>
    <t xml:space="preserve">Absence d'actions correctives.</t>
  </si>
  <si>
    <t xml:space="preserve">Impact non corrigé.</t>
  </si>
  <si>
    <t xml:space="preserve">Contrôler les points de validation des rapports</t>
  </si>
  <si>
    <t xml:space="preserve">Description détaillée de chaque contrôle</t>
  </si>
  <si>
    <t xml:space="preserve">Sécuriser les interfaces</t>
  </si>
  <si>
    <t xml:space="preserve">Documentation des paramètres de chaque contrôle automatique périodique</t>
  </si>
  <si>
    <t xml:space="preserve">Documentation des paramètres des contrôles</t>
  </si>
  <si>
    <t xml:space="preserve">Les paramètres de chaque contrôle automatique périodique sont-ils documentés de manière claire et précise ?</t>
  </si>
  <si>
    <t xml:space="preserve">Vérification inexistante.</t>
  </si>
  <si>
    <t xml:space="preserve">Absence des points de contrôle des droits.</t>
  </si>
  <si>
    <t xml:space="preserve">Simplifier la maintenance des applications</t>
  </si>
  <si>
    <t xml:space="preserve">Configuration des contrôles</t>
  </si>
  <si>
    <t xml:space="preserve">Gérer rigoureusement les listes de distribution</t>
  </si>
  <si>
    <t xml:space="preserve">Analyse des résultats des contrôles automatiques périodiques</t>
  </si>
  <si>
    <t xml:space="preserve">Analyse des résultats des contrôles</t>
  </si>
  <si>
    <t xml:space="preserve">Les résultats des contrôles automatiques périodiques sont-ils analysés régulièrement pour identifier les anomalies ?</t>
  </si>
  <si>
    <t xml:space="preserve">Non-connaissance de la sécurité.</t>
  </si>
  <si>
    <t xml:space="preserve">Vérifier les identités des utilisateurs</t>
  </si>
  <si>
    <t xml:space="preserve">Rapport d'analyse des résultats</t>
  </si>
  <si>
    <t xml:space="preserve">Développer des mécanismes anti-corruption de fichiers</t>
  </si>
  <si>
    <t xml:space="preserve">Description des objectifs de chaque contrôle automatique périodique</t>
  </si>
  <si>
    <t xml:space="preserve">Description des objectifs des contrôles</t>
  </si>
  <si>
    <t xml:space="preserve">Les objectifs de chaque contrôle sont-ils bien définis et répondent aux besoins de sécurité et de conformité de l'organisation?</t>
  </si>
  <si>
    <t xml:space="preserve">Informations sur l'activité inexistantes.</t>
  </si>
  <si>
    <t xml:space="preserve">Donnée non maitrisée.</t>
  </si>
  <si>
    <t xml:space="preserve">Contrôler les flux systémiques</t>
  </si>
  <si>
    <t xml:space="preserve">Indicateurs clés de performance (KPI) des contrôles</t>
  </si>
  <si>
    <t xml:space="preserve">Implémenter des mesures de sécurité</t>
  </si>
  <si>
    <t xml:space="preserve">Historique des exécutions des contrôles automatiques périodiques</t>
  </si>
  <si>
    <t xml:space="preserve">Historique des exécutions des contrôles</t>
  </si>
  <si>
    <t xml:space="preserve">Existe-t-il un historique des exécutions des contrôles automatiques périodiques qui comprend les résultats (réussite/échec)?</t>
  </si>
  <si>
    <t xml:space="preserve">Méthode non documentée.</t>
  </si>
  <si>
    <t xml:space="preserve">Sécurité incomplète.</t>
  </si>
  <si>
    <t xml:space="preserve">Établir des processus de remédiation</t>
  </si>
  <si>
    <t xml:space="preserve">Journal des exécutions</t>
  </si>
  <si>
    <t xml:space="preserve">Désigner des responsables clairement</t>
  </si>
  <si>
    <t xml:space="preserve">Vérifier que la couverture, le contenu et la distribution des états 
 de sortie est effective</t>
  </si>
  <si>
    <t xml:space="preserve">Suivi de la distribution des états de sortie</t>
  </si>
  <si>
    <t xml:space="preserve">Procédure de suivi des états de sortie</t>
  </si>
  <si>
    <t xml:space="preserve">Existe-t-il un processus de suivi de la distribution des états de sortie qui permet de confirmer que les destinataires ont reçu les rapports ?</t>
  </si>
  <si>
    <t xml:space="preserve">Efficacité non évaluée.</t>
  </si>
  <si>
    <t xml:space="preserve">Protection des données inexistantes.</t>
  </si>
  <si>
    <t xml:space="preserve">Développer des procédures de sécurité</t>
  </si>
  <si>
    <t xml:space="preserve">Grille de suivi des états de sortie</t>
  </si>
  <si>
    <t xml:space="preserve">Améliorer la qualité des informations</t>
  </si>
  <si>
    <t xml:space="preserve">Responsabilités clairement définies pour la revue des états de sortie</t>
  </si>
  <si>
    <t xml:space="preserve">Matrice des responsabilités (RACI) pour la revue</t>
  </si>
  <si>
    <t xml:space="preserve">Les responsabilités pour la revue des états de sortie sont-elles clairement définies, y compris la personne responsable et le délai de revue ?</t>
  </si>
  <si>
    <t xml:space="preserve">Nécessaire vérification inexistante.</t>
  </si>
  <si>
    <t xml:space="preserve">Développer l'expertise de l'environnement</t>
  </si>
  <si>
    <t xml:space="preserve">Maîtriser le cycle de vie des projets</t>
  </si>
  <si>
    <t xml:space="preserve">Identification des anomalies détectées lors de la revue des états de sortie</t>
  </si>
  <si>
    <t xml:space="preserve">Procédure d'identification des anomalies</t>
  </si>
  <si>
    <t xml:space="preserve">Existe-t-il un processus pour enregistrer et suivre les anomalies identifiées lors de la revue des états de sortie ?</t>
  </si>
  <si>
    <t xml:space="preserve">Mesures de sécurité insuffisantes.</t>
  </si>
  <si>
    <t xml:space="preserve">Menaces persistantes</t>
  </si>
  <si>
    <t xml:space="preserve">Évaluer précisément les besoins</t>
  </si>
  <si>
    <t xml:space="preserve">Registre des anomalies détectées</t>
  </si>
  <si>
    <t xml:space="preserve">Approfondir la compréhension des systèmes</t>
  </si>
  <si>
    <t xml:space="preserve">Procédure de revue des états de sortie définie</t>
  </si>
  <si>
    <t xml:space="preserve">Procédure de revue des états de sortie</t>
  </si>
  <si>
    <t xml:space="preserve">Existe-t-il une procédure documentée pour la revue des états de sortie qui spécifie les étapes à suivre et les éléments à vérifier ?</t>
  </si>
  <si>
    <t xml:space="preserve">Absence de procédure documentée pour la revue des états de sortie.</t>
  </si>
  <si>
    <t xml:space="preserve">informations ne sont pas à jours.</t>
  </si>
  <si>
    <t xml:space="preserve">Standardiser les actions</t>
  </si>
  <si>
    <t xml:space="preserve">Plan de revue des états de sortie</t>
  </si>
  <si>
    <t xml:space="preserve">Développer des processus de validation</t>
  </si>
  <si>
    <t xml:space="preserve">Documentation des points vérifiés lors de la revue des états de sortie</t>
  </si>
  <si>
    <t xml:space="preserve">Procédure de documentation des points vérifiés</t>
  </si>
  <si>
    <t xml:space="preserve">La revue des états de sortie comprend-elle une documentation des points critiques vérifiés afin de garantir la qualité et la cohérence des informations ?</t>
  </si>
  <si>
    <t xml:space="preserve">Documentation des points critiques absente.</t>
  </si>
  <si>
    <t xml:space="preserve">Absence d'informations.</t>
  </si>
  <si>
    <t xml:space="preserve">Suivre les tentatives d'intrusion</t>
  </si>
  <si>
    <t xml:space="preserve">Feuille de travail de la revue</t>
  </si>
  <si>
    <t xml:space="preserve">Standardiser les processus de correction</t>
  </si>
  <si>
    <t xml:space="preserve">S’assurer que la revue détaillée des états disponibles et de leur 
 destinataire est effective</t>
  </si>
  <si>
    <t xml:space="preserve">Suivi des actions correctives mises en place suite à la revue des états de sortie</t>
  </si>
  <si>
    <t xml:space="preserve">Procédure de suivi des actions correctives</t>
  </si>
  <si>
    <t xml:space="preserve">Existe-t-il un suivi des actions correctives mises en place en réponse aux anomalies détectées lors de la revue des états de sortie, afin de vérifier leur efficacité ?</t>
  </si>
  <si>
    <t xml:space="preserve">Actions correctives absentes en cas d'anomalies détectées.</t>
  </si>
  <si>
    <t xml:space="preserve">Informations corrompues.</t>
  </si>
  <si>
    <t xml:space="preserve">Clarifier les procédures</t>
  </si>
  <si>
    <t xml:space="preserve">Registre des actions correctives</t>
  </si>
  <si>
    <t xml:space="preserve">Automatiser les évaluations et les contrôles</t>
  </si>
  <si>
    <t xml:space="preserve">Vérification que les états de sortie contiennent les informations nécessaires</t>
  </si>
  <si>
    <t xml:space="preserve">Définition des informations nécessaires des états</t>
  </si>
  <si>
    <t xml:space="preserve">Une vérification est-elle effectuée pour s'assurer que les états de sortie contiennent toutes les informations nécessaires et pertinentes ?</t>
  </si>
  <si>
    <t xml:space="preserve">Vérification insuffisante des informations dans les états de sortie.</t>
  </si>
  <si>
    <t xml:space="preserve">Absence de point de contrôle des rapports.</t>
  </si>
  <si>
    <t xml:space="preserve">Mettre en place des mécanismes de validation des rapports</t>
  </si>
  <si>
    <t xml:space="preserve">Modèles d'états de sortie</t>
  </si>
  <si>
    <t xml:space="preserve">Développer des tableaux de bord de contrôle automatisés</t>
  </si>
  <si>
    <t xml:space="preserve">Vérification que les moyens de contrôle sont mis en place</t>
  </si>
  <si>
    <t xml:space="preserve">Description des moyens de contrôle mis en place</t>
  </si>
  <si>
    <t xml:space="preserve">Des contrôles sont-ils mis en place pour vérifier l'intégrité et la validité des informations contenues dans les états de sortie?</t>
  </si>
  <si>
    <t xml:space="preserve">Interfacer non contrôlés.</t>
  </si>
  <si>
    <t xml:space="preserve">Mettre en place des tests d’interface réguliers pour détecter les anomalies</t>
  </si>
  <si>
    <t xml:space="preserve">Rapports des contrôles effectués</t>
  </si>
  <si>
    <t xml:space="preserve">Développer des protocoles de validation des interactions entre interfaces</t>
  </si>
  <si>
    <t xml:space="preserve">Définition des informations nécessaires pour le suivi de l'activité</t>
  </si>
  <si>
    <t xml:space="preserve">Définition des informations nécessaires au suivi</t>
  </si>
  <si>
    <t xml:space="preserve">Les informations nécessaires pour le suivi de l'activité sont-elles clairement définies, documentées et régulièrement réévaluées ?</t>
  </si>
  <si>
    <t xml:space="preserve">Informations sur l'activité incomplètes.</t>
  </si>
  <si>
    <t xml:space="preserve">Applications complexes à maintenir</t>
  </si>
  <si>
    <t xml:space="preserve">Simplifier l’architecture des applications</t>
  </si>
  <si>
    <t xml:space="preserve">Liste des informations à suivre</t>
  </si>
  <si>
    <t xml:space="preserve">Développer des guides de maintenance standardisés</t>
  </si>
  <si>
    <t xml:space="preserve">Identification des moyens de contrôle nécessaires pour la gestion des risques</t>
  </si>
  <si>
    <t xml:space="preserve">Identification des moyens de contrôle nécessaires</t>
  </si>
  <si>
    <t xml:space="preserve">Existe-t-il une méthode documentée pour identifier les contrôles nécessaires afin de gérer les risques liés aux états de sortie ?</t>
  </si>
  <si>
    <t xml:space="preserve">Méthode non documentée pour les contrôles.</t>
  </si>
  <si>
    <t xml:space="preserve">Accès à distribution à un liste de personnes.</t>
  </si>
  <si>
    <t xml:space="preserve">Mettre en place un registre sécurisé des accès autorisés</t>
  </si>
  <si>
    <t xml:space="preserve">Politique de gestion des risques</t>
  </si>
  <si>
    <t xml:space="preserve">Développer des contrôles d’accès basés sur les rôles des utilisateurs</t>
  </si>
  <si>
    <t xml:space="preserve">Vérifier que le niveau d’information et de moyen de contrôle 
 adapté</t>
  </si>
  <si>
    <t xml:space="preserve">Evaluation de l'efficacité des moyens de contrôle</t>
  </si>
  <si>
    <t xml:space="preserve">Procédure d'évaluation de l'efficacité des contrôles</t>
  </si>
  <si>
    <t xml:space="preserve">L'efficacité des contrôles mis en place pour les états de sortie est-elle évaluée régulièrement, et les résultats de cette évaluation sont-ils documentés ?</t>
  </si>
  <si>
    <t xml:space="preserve">Efficacité des contrôles non évaluée.</t>
  </si>
  <si>
    <t xml:space="preserve">Distribution à des employés non vérifiés.</t>
  </si>
  <si>
    <t xml:space="preserve">Développer un processus de vérification d’identité</t>
  </si>
  <si>
    <t xml:space="preserve">Rapports d'évaluation de l'efficacité</t>
  </si>
  <si>
    <t xml:space="preserve">Créer des procédures d’authentification renforcées</t>
  </si>
  <si>
    <t xml:space="preserve">Vérification que les états de sortie sont distribués aux destinataires prévus</t>
  </si>
  <si>
    <t xml:space="preserve">Liste des destinataires prévus des états</t>
  </si>
  <si>
    <t xml:space="preserve">Existe-t-il un mécanisme de vérification pour confirmer que les états de sortie sont distribués uniquement aux destinataires autorisés ?</t>
  </si>
  <si>
    <t xml:space="preserve">Mécanisme de vérification inexistant.</t>
  </si>
  <si>
    <t xml:space="preserve">Le risque lié à la corruption de fichiers.</t>
  </si>
  <si>
    <t xml:space="preserve">Implémenter des mécanismes de contrôle d’intégrité</t>
  </si>
  <si>
    <t xml:space="preserve">Politique de diffusion des informations</t>
  </si>
  <si>
    <t xml:space="preserve">Développer des systèmes de sauvegarde et restauration</t>
  </si>
  <si>
    <t xml:space="preserve">Mise en place de mesures pour garantir la confidentialité des états de sortie</t>
  </si>
  <si>
    <t xml:space="preserve">Procédure de mise en place des mesures de confidentialité</t>
  </si>
  <si>
    <t xml:space="preserve">Des mesures de sécurité, telles que le chiffrement ou le contrôle d'accès, sont-elles en place pour protéger la confidentialité des états de sortie ?</t>
  </si>
  <si>
    <t xml:space="preserve">Mesures de sécurité inadaptées.</t>
  </si>
  <si>
    <t xml:space="preserve">Contrôle des flux du système.</t>
  </si>
  <si>
    <t xml:space="preserve">Mettre en place des systèmes de monitoring en temps réel</t>
  </si>
  <si>
    <t xml:space="preserve">Politique de confidentialité</t>
  </si>
  <si>
    <t xml:space="preserve">Développer des alertes de flux anormaux</t>
  </si>
  <si>
    <t xml:space="preserve">Identification des destinataires de chaque état de sortie</t>
  </si>
  <si>
    <t xml:space="preserve">Identification des destinataires de chaque état</t>
  </si>
  <si>
    <t xml:space="preserve">Existe-t-il une liste documentée des destinataires autorisés pour chaque type d'état de sortie ?</t>
  </si>
  <si>
    <t xml:space="preserve">Liste des destinataires autorisés inexistante.</t>
  </si>
  <si>
    <t xml:space="preserve">Absence de contrôle des données.</t>
  </si>
  <si>
    <t xml:space="preserve">Créer un référentiel centralisé des données</t>
  </si>
  <si>
    <t xml:space="preserve">Liste de diffusion des états</t>
  </si>
  <si>
    <t xml:space="preserve">Mettre en place des processus de validation des données</t>
  </si>
  <si>
    <t xml:space="preserve">Suivi des livraisons des états de sortie</t>
  </si>
  <si>
    <t xml:space="preserve">Procédure de suivi des livraisons</t>
  </si>
  <si>
    <t xml:space="preserve">Le processus de livraison des états de sortie inclut-il un suivi pour s'assurer de leur réception par les destinataires ?</t>
  </si>
  <si>
    <t xml:space="preserve">Processus de livraison inadéquat.</t>
  </si>
  <si>
    <t xml:space="preserve">Mesures pas implémentés dans le système.</t>
  </si>
  <si>
    <t xml:space="preserve">Développer un cadre de mise en œuvre des mesures</t>
  </si>
  <si>
    <t xml:space="preserve">Journal de distribution des états</t>
  </si>
  <si>
    <t xml:space="preserve">Créer des procédures d’intégration systématique</t>
  </si>
  <si>
    <t xml:space="preserve">S’assurer que la distribution des états de sortie est effective</t>
  </si>
  <si>
    <t xml:space="preserve">Liste formalisée des destinataires autorisés pour chaque type d'état</t>
  </si>
  <si>
    <t xml:space="preserve">Liste formalisée des destinataires autorisés</t>
  </si>
  <si>
    <t xml:space="preserve">Quelle est la liste formalisée des destinataires autorisés pour chaque type d'état ?</t>
  </si>
  <si>
    <t xml:space="preserve">Liste des destinataires non formalisée.</t>
  </si>
  <si>
    <t xml:space="preserve">Processus de remédiation pas établit.</t>
  </si>
  <si>
    <t xml:space="preserve">Définir des protocoles de résolution d’incidents</t>
  </si>
  <si>
    <t xml:space="preserve">Politique d'autorisation d'accès à l'information</t>
  </si>
  <si>
    <t xml:space="preserve">Créer un système de suivi des actions correctives</t>
  </si>
  <si>
    <t xml:space="preserve">Mécanisme de distribution sécurisé et traçable (email, portail, etc?)</t>
  </si>
  <si>
    <t xml:space="preserve">Procédure de distribution sécurisée</t>
  </si>
  <si>
    <t xml:space="preserve">Quel est le mécanisme de distribution sécurisé et traçable (email, portail, etc?) ?</t>
  </si>
  <si>
    <t xml:space="preserve">Mécanisme de distribution non sécurisé.</t>
  </si>
  <si>
    <t xml:space="preserve">Aucun responsable désignés.</t>
  </si>
  <si>
    <t xml:space="preserve">Établir une matrice de responsabilités claire</t>
  </si>
  <si>
    <t xml:space="preserve">Politique de sécurité de l'information</t>
  </si>
  <si>
    <t xml:space="preserve">Définir des rôles et périmètres d’action précis</t>
  </si>
  <si>
    <t xml:space="preserve">Horodatage et preuve de remise des états</t>
  </si>
  <si>
    <t xml:space="preserve">Horodatage des états</t>
  </si>
  <si>
    <t xml:space="preserve">Comment fonctionne l’horodatage et la preuve de remise des états ?</t>
  </si>
  <si>
    <t xml:space="preserve">Horodatage et preuve de remise inexistants.</t>
  </si>
  <si>
    <t xml:space="preserve">Absence de procédure avec sécurité.</t>
  </si>
  <si>
    <t xml:space="preserve">Développer un manuel de procédures de sécurité</t>
  </si>
  <si>
    <t xml:space="preserve">Preuves de remise des états (accusés de réception, logs)</t>
  </si>
  <si>
    <t xml:space="preserve">Mettre en place des formations sur les protocoles</t>
  </si>
  <si>
    <t xml:space="preserve">Respect des fréquences et délais de distribution définis</t>
  </si>
  <si>
    <t xml:space="preserve">Définition des fréquences de distribution</t>
  </si>
  <si>
    <t xml:space="preserve">Quel est le respect des fréquences et délais de distribution définis ?</t>
  </si>
  <si>
    <t xml:space="preserve">Fréquences et délais non respectés.</t>
  </si>
  <si>
    <t xml:space="preserve">Mauvaise qualité des informations.</t>
  </si>
  <si>
    <t xml:space="preserve">Créer des processus de contrôle qualité</t>
  </si>
  <si>
    <t xml:space="preserve">Planning de distribution</t>
  </si>
  <si>
    <t xml:space="preserve">Développer des outils de nettoyage et de validation</t>
  </si>
  <si>
    <t xml:space="preserve">Procédure de gestion des erreurs de distribution</t>
  </si>
  <si>
    <t xml:space="preserve">Quelle est la procédure de gestion des erreurs de distribution ?</t>
  </si>
  <si>
    <t xml:space="preserve">Procédure de gestion des erreurs inexistante.</t>
  </si>
  <si>
    <t xml:space="preserve">Manque d'expertise de l'environnement.</t>
  </si>
  <si>
    <t xml:space="preserve">Mettre en place des programmes de formation</t>
  </si>
  <si>
    <t xml:space="preserve">Registre des erreurs de distribution</t>
  </si>
  <si>
    <t xml:space="preserve">Développer des ressources de transfert de compétences</t>
  </si>
  <si>
    <t xml:space="preserve">Vérifier que les contrôles utilisateurs des états de sortie sont 
 effectifs</t>
  </si>
  <si>
    <t xml:space="preserve">Existence de procédures de contrôle documentées</t>
  </si>
  <si>
    <t xml:space="preserve">Existe-t-il des procédures de contrôle documentées ?</t>
  </si>
  <si>
    <t xml:space="preserve">Procédures de contrôle non documentées.</t>
  </si>
  <si>
    <t xml:space="preserve">Contenu dans le cycle de vie du projet est non maîtrisées</t>
  </si>
  <si>
    <t xml:space="preserve">Développer des outils de gestion de projet</t>
  </si>
  <si>
    <t xml:space="preserve">Manuel des procédures de contrôle</t>
  </si>
  <si>
    <t xml:space="preserve">Créer des méthodes de suivi et de traçabilité</t>
  </si>
  <si>
    <t xml:space="preserve">Désignation des responsables de validation des états</t>
  </si>
  <si>
    <t xml:space="preserve">Désignation des responsables de validation</t>
  </si>
  <si>
    <t xml:space="preserve">Qui sont les responsables de validation des états ?</t>
  </si>
  <si>
    <t xml:space="preserve">Responsables de validation non définis.</t>
  </si>
  <si>
    <t xml:space="preserve">Absence d'évaluation des besoins</t>
  </si>
  <si>
    <t xml:space="preserve">Mettre en place des processus d’analyse des besoins</t>
  </si>
  <si>
    <t xml:space="preserve">Matrice des responsabilités (validation)</t>
  </si>
  <si>
    <t xml:space="preserve">Développer des outils de cartographie des exigences</t>
  </si>
  <si>
    <t xml:space="preserve">Journalisation des vérifications effectuées</t>
  </si>
  <si>
    <t xml:space="preserve">Comment est réalisée la journalisation des vérifications effectuées ?</t>
  </si>
  <si>
    <t xml:space="preserve">Journalisation des vérifications non réalisée.</t>
  </si>
  <si>
    <t xml:space="preserve">Compréhension inexistante sur les systèmes</t>
  </si>
  <si>
    <t xml:space="preserve">Créer de la documentation technique</t>
  </si>
  <si>
    <t xml:space="preserve">Rapports de vérification</t>
  </si>
  <si>
    <t xml:space="preserve">Développer des supports de formation</t>
  </si>
  <si>
    <t xml:space="preserve">Mécanismes de correction des anomalies détectées</t>
  </si>
  <si>
    <t xml:space="preserve">Description des mécanismes de correction</t>
  </si>
  <si>
    <t xml:space="preserve">Quels sont les mécanismes de correction des anomalies détectées ?</t>
  </si>
  <si>
    <t xml:space="preserve">Mécanismes de correction inexistants.</t>
  </si>
  <si>
    <t xml:space="preserve">Actions inappropriées</t>
  </si>
  <si>
    <t xml:space="preserve">Définir des procédures d’action standardisées</t>
  </si>
  <si>
    <t xml:space="preserve">Procédure de correction des anomalies</t>
  </si>
  <si>
    <t xml:space="preserve">Mettre en place des mécanismes de contrôle</t>
  </si>
  <si>
    <t xml:space="preserve">Audits périodiques de l'efficacité des contrôles</t>
  </si>
  <si>
    <t xml:space="preserve">Plan d'audits périodiques</t>
  </si>
  <si>
    <t xml:space="preserve">À quelle fréquence sont réalisés les audits de l'efficacité des contrôles ?</t>
  </si>
  <si>
    <t xml:space="preserve">Audits non réalisés.</t>
  </si>
  <si>
    <t xml:space="preserve">Informations de validation indisponible.</t>
  </si>
  <si>
    <t xml:space="preserve">Rapports d'audit</t>
  </si>
  <si>
    <t xml:space="preserve">Créer des référentiels de données validées</t>
  </si>
  <si>
    <t xml:space="preserve">S’assurer que les procédures de validation des résultats 
 existent</t>
  </si>
  <si>
    <t xml:space="preserve">Suivi des corrections apportées aux résultats non valides</t>
  </si>
  <si>
    <t xml:space="preserve">Procédure de suivi des corrections</t>
  </si>
  <si>
    <t xml:space="preserve">Comment est assuré le suivi des corrections apportées aux résultats non valides ?</t>
  </si>
  <si>
    <t xml:space="preserve">Suivi des connexions non assuré.</t>
  </si>
  <si>
    <t xml:space="preserve">Tentative d'intrusion non suivi</t>
  </si>
  <si>
    <t xml:space="preserve">Mettre en place des systèmes de détection d’intrusion</t>
  </si>
  <si>
    <t xml:space="preserve">Registre des corrections apportées</t>
  </si>
  <si>
    <t xml:space="preserve">Développer des protocoles de réponse aux incidents</t>
  </si>
  <si>
    <t xml:space="preserve">Documentation des règles de gestion utilisées dans l'application</t>
  </si>
  <si>
    <t xml:space="preserve">Documentation des règles de gestion</t>
  </si>
  <si>
    <t xml:space="preserve">Quelle est la documentation des codifications utilisées dans l'application ?</t>
  </si>
  <si>
    <t xml:space="preserve">Documentation des codifications insuffisante.</t>
  </si>
  <si>
    <t xml:space="preserve">Contrainte de devoir corriger les rapports.</t>
  </si>
  <si>
    <t xml:space="preserve">Automatiser les processus de correction</t>
  </si>
  <si>
    <t xml:space="preserve">Spécifications fonctionnelles de l'application</t>
  </si>
  <si>
    <t xml:space="preserve">Développer des outils de vérification automatique</t>
  </si>
  <si>
    <t xml:space="preserve">Processus de mise à jour des codifications et des règles de gestion</t>
  </si>
  <si>
    <t xml:space="preserve">Processus de mise à jour des codifications</t>
  </si>
  <si>
    <t xml:space="preserve">Quels sont les règles de gestion documentées dans l'application ?</t>
  </si>
  <si>
    <t xml:space="preserve">Règles de gestion non documentées.</t>
  </si>
  <si>
    <t xml:space="preserve">Processus confus.</t>
  </si>
  <si>
    <t xml:space="preserve">Clarifier et simplifier les processus</t>
  </si>
  <si>
    <t xml:space="preserve">Historique des modifications des codifications</t>
  </si>
  <si>
    <t xml:space="preserve">Créer des guides et des modes opératoires</t>
  </si>
  <si>
    <t xml:space="preserve">Documentation des codifications utilisées dans l'application</t>
  </si>
  <si>
    <t xml:space="preserve">Documentation des codifications utilisées</t>
  </si>
  <si>
    <t xml:space="preserve">Comment est vérifiée la cohérence des codifications et des règles de gestion entre les modules ?</t>
  </si>
  <si>
    <t xml:space="preserve">Cohérence non vérifiée.</t>
  </si>
  <si>
    <t xml:space="preserve">Mesures à jour inexistantes.</t>
  </si>
  <si>
    <t xml:space="preserve">Développer un système de veille réglementaire</t>
  </si>
  <si>
    <t xml:space="preserve">Référentiels de codification</t>
  </si>
  <si>
    <t xml:space="preserve">Mettre en place des processus de mise à jour périodique</t>
  </si>
  <si>
    <t xml:space="preserve">Vérification de la cohérence des codifications et des règles de gestion entre les différents modules</t>
  </si>
  <si>
    <t xml:space="preserve">Procédure de vérification de la cohérence</t>
  </si>
  <si>
    <t xml:space="preserve">Quel est le processus de mise à jour des codifications et des règles de gestion ?</t>
  </si>
  <si>
    <t xml:space="preserve">Processus de mise à jour inexistant.</t>
  </si>
  <si>
    <t xml:space="preserve">Connaissance des procédures inexistante.</t>
  </si>
  <si>
    <t xml:space="preserve">Créer des supports de formation</t>
  </si>
  <si>
    <t xml:space="preserve">Rapports de vérification de la cohérence</t>
  </si>
  <si>
    <t xml:space="preserve">Développer un système de documentation accessible</t>
  </si>
  <si>
    <t xml:space="preserve">Vérifier que l'homogénéisation des codifications et des règles 
 de gestion est effective</t>
  </si>
  <si>
    <t xml:space="preserve">Formation des utilisateurs aux codifications et aux règles de gestion</t>
  </si>
  <si>
    <t xml:space="preserve">Plan de formation des utilisateurs</t>
  </si>
  <si>
    <t xml:space="preserve">Comment est assurée la formation des utilisateurs aux codifications et aux règles de gestion ?</t>
  </si>
  <si>
    <t xml:space="preserve">Formation inexistante pour les utilisateurs.</t>
  </si>
  <si>
    <t xml:space="preserve">Absence d'évaluation et de l'automatisation</t>
  </si>
  <si>
    <t xml:space="preserve">Mettre en place des outils d’évaluation automatisés</t>
  </si>
  <si>
    <t xml:space="preserve">Supports de formation (manuels, tutoriels)</t>
  </si>
  <si>
    <t xml:space="preserve">Développer des processus d’automatisation des contrôles</t>
  </si>
  <si>
    <t xml:space="preserve">Mécanismes de contrôle de l'exhaustivité des données lors des transmissions</t>
  </si>
  <si>
    <t xml:space="preserve">Description des mécanismes de contrôle d'exhaustivité</t>
  </si>
  <si>
    <t xml:space="preserve">Quels mécanismes sont en place pour garantir que toutes les données nécessaires sont transmises entre les modules ?</t>
  </si>
  <si>
    <t xml:space="preserve">Mécanismes non mis en place.</t>
  </si>
  <si>
    <t xml:space="preserve">Manque de visibilité sur la transmissions des donnés.</t>
  </si>
  <si>
    <t xml:space="preserve">Créer des tableaux de bord de suivi des flux</t>
  </si>
  <si>
    <t xml:space="preserve">Rapports des contrôles d'exhaustivité</t>
  </si>
  <si>
    <t xml:space="preserve">Développer des outils de traçabilité des données</t>
  </si>
  <si>
    <t xml:space="preserve">Journalisation des transmissions de données entre les modules</t>
  </si>
  <si>
    <t xml:space="preserve">Politique de journalisation des transmissions</t>
  </si>
  <si>
    <t xml:space="preserve">Les transmissions de données entre les modules sont-elles journalisées ? Quels détails sont inclus dans ces journaux ?</t>
  </si>
  <si>
    <t xml:space="preserve">Transmissions de données non journalisées.</t>
  </si>
  <si>
    <t xml:space="preserve">Problème d'intégralité et de sécurité des donnés.</t>
  </si>
  <si>
    <t xml:space="preserve">Mettre en place des mécanismes de chiffrement</t>
  </si>
  <si>
    <t xml:space="preserve">Logs de transmission des données</t>
  </si>
  <si>
    <t xml:space="preserve">Développer des protocoles de vérification d’intégrité</t>
  </si>
  <si>
    <t xml:space="preserve">Mécanismes de contrôle de l'intégrité des données lors des transmissions</t>
  </si>
  <si>
    <t xml:space="preserve">Description des mécanismes de contrôle d'intégrité</t>
  </si>
  <si>
    <t xml:space="preserve">Comment l'intégrité des données est-elle assurée lors des transmissions entre les modules (par exemple, checksums, validation des données) ?</t>
  </si>
  <si>
    <t xml:space="preserve">Intégrité des données non assurée.</t>
  </si>
  <si>
    <t xml:space="preserve">Les rapports et les alertes sont absentes</t>
  </si>
  <si>
    <t xml:space="preserve">Créer un système de reporting automatique</t>
  </si>
  <si>
    <t xml:space="preserve">Rapports des contrôles d'intégrité</t>
  </si>
  <si>
    <t xml:space="preserve">Développer des mécanismes d’alerte proactifs</t>
  </si>
  <si>
    <t xml:space="preserve">Procédures de gestion des erreurs de transmission</t>
  </si>
  <si>
    <t xml:space="preserve">Existe-t-il des procédures définies pour gérer les erreurs qui peuvent survenir lors des transmissions de données ?</t>
  </si>
  <si>
    <t xml:space="preserve">Procédures non définies.</t>
  </si>
  <si>
    <t xml:space="preserve">Développer des procédures standardisées pour clarifier les processus</t>
  </si>
  <si>
    <t xml:space="preserve">Registre des erreurs de transmission</t>
  </si>
  <si>
    <t xml:space="preserve">Mettre en place des revues régulières pour évaluer l’efficacité des procédures</t>
  </si>
  <si>
    <t xml:space="preserve">S’assurer que l'intégrité et l'exhaustivité des données 
 transmises entre les différents modules est garantie</t>
  </si>
  <si>
    <t xml:space="preserve">Test de l'intégrité et de l'exhaustivité des données transmises</t>
  </si>
  <si>
    <t xml:space="preserve">Plan de tests d'intégrité et d'exhaustivité</t>
  </si>
  <si>
    <t xml:space="preserve">Des tests sont-ils effectués pour vérifier l'intégrité et l'exhaustivité des données transmises ?</t>
  </si>
  <si>
    <t xml:space="preserve">Tests non réalisés.</t>
  </si>
  <si>
    <t xml:space="preserve">Mettre en place des audits pour évaluer les dysfonctionnements</t>
  </si>
  <si>
    <t xml:space="preserve">Rapports des tests d'intégrité et d'exhaustivité</t>
  </si>
  <si>
    <t xml:space="preserve">Développer des plans pour effectuer des tests réguliers</t>
  </si>
  <si>
    <t xml:space="preserve">Documentation des tâches de développement et d'exploitation</t>
  </si>
  <si>
    <t xml:space="preserve">Documentation des tâches de développement</t>
  </si>
  <si>
    <t xml:space="preserve">Les tâches de développement et d'exploitation sont-elles documentées de manière adéquate ?</t>
  </si>
  <si>
    <t xml:space="preserve">Tâches non documentées.</t>
  </si>
  <si>
    <t xml:space="preserve">Mettre en place des audits pour évaluer les tâches non documentées</t>
  </si>
  <si>
    <t xml:space="preserve">Documentation des tâches d'exploitation</t>
  </si>
  <si>
    <t xml:space="preserve">Développer des guides pour documenter les tâches critiques</t>
  </si>
  <si>
    <t xml:space="preserve">Gestion des incidents et des problèmes rencontrés lors du développement et de l'exploitation</t>
  </si>
  <si>
    <t xml:space="preserve">Procédure de gestion des incidents</t>
  </si>
  <si>
    <t xml:space="preserve">Existe-t-il un processus pour gérer les incidents et les problèmes rencontrés lors du développement et de l'exploitation ?</t>
  </si>
  <si>
    <t xml:space="preserve">Processus de gestion inexistant.</t>
  </si>
  <si>
    <t xml:space="preserve">Absence d'organisation et de gouvernance.</t>
  </si>
  <si>
    <t xml:space="preserve">Mettre en place une structure de gouvernance claire avec des rôles définis</t>
  </si>
  <si>
    <t xml:space="preserve">Registre des incidents</t>
  </si>
  <si>
    <t xml:space="preserve">Développer un plan d’organisation pour coordonner les activités</t>
  </si>
  <si>
    <t xml:space="preserve">Planification des tâches de développement et d'exploitation</t>
  </si>
  <si>
    <t xml:space="preserve">Procédure de gestion des problèmes</t>
  </si>
  <si>
    <t xml:space="preserve">Les tâches de développement et d'exploitation sont-elles planifiées de manière structurée ?</t>
  </si>
  <si>
    <t xml:space="preserve">Tâches non planifiées.</t>
  </si>
  <si>
    <t xml:space="preserve">Difficultés de suivre.</t>
  </si>
  <si>
    <t xml:space="preserve">Instaurer un système de suivi des tâches avec des indicateurs de performance</t>
  </si>
  <si>
    <t xml:space="preserve">Registre des problèmes</t>
  </si>
  <si>
    <t xml:space="preserve">Créer des tableaux de bord pour visualiser les progrès en temps réel</t>
  </si>
  <si>
    <t xml:space="preserve">Suivi de l'avancement des tâches</t>
  </si>
  <si>
    <t xml:space="preserve">Planification des tâches de développement</t>
  </si>
  <si>
    <t xml:space="preserve">Comment l'avancement des tâches de développement et d'exploitation est-il suivi ?</t>
  </si>
  <si>
    <t xml:space="preserve">Suivi de l'avancement inefficace.</t>
  </si>
  <si>
    <t xml:space="preserve">Défaut de la performance.</t>
  </si>
  <si>
    <t xml:space="preserve">Mettre en place des KPI pour évaluer la performance régulièrement</t>
  </si>
  <si>
    <t xml:space="preserve">Calendrier des tâches de développement</t>
  </si>
  <si>
    <t xml:space="preserve">Développer des plans d’amélioration continue basés sur les résultats</t>
  </si>
  <si>
    <t xml:space="preserve">Fonction Informatique</t>
  </si>
  <si>
    <t xml:space="preserve">S’assurer que les tâches relatives au développement et à 
 l'exploitation de l'application sont bien suivies et documentées</t>
  </si>
  <si>
    <t xml:space="preserve">Planification des tâches d'exploitation</t>
  </si>
  <si>
    <t xml:space="preserve">Existe-t-il une politique formelle définissant les règles d'accès aux bibliothèques de production ?</t>
  </si>
  <si>
    <t xml:space="preserve">Politique d'accès inexistante.</t>
  </si>
  <si>
    <t xml:space="preserve">Défaut du suivie des accès autorisés.</t>
  </si>
  <si>
    <t xml:space="preserve">Implémenter un registre des accès autorisés avec des audits périodiques</t>
  </si>
  <si>
    <t xml:space="preserve">Calendrier des tâches d'exploitation</t>
  </si>
  <si>
    <t xml:space="preserve">Outils de suivi de l'avancement des tâches</t>
  </si>
  <si>
    <t xml:space="preserve">Existe-t-il une Documentation des tâches de développement et d'exploitation?</t>
  </si>
  <si>
    <t xml:space="preserve">Documentation inexistante.</t>
  </si>
  <si>
    <t xml:space="preserve">Compréhension de la technique non documentée.</t>
  </si>
  <si>
    <t xml:space="preserve">Créer une documentation technique détaillée pour chaque processus</t>
  </si>
  <si>
    <t xml:space="preserve">Rapports d'avancement des tâches</t>
  </si>
  <si>
    <t xml:space="preserve">Organiser des sessions de formation sur les aspects techniques</t>
  </si>
  <si>
    <t xml:space="preserve">Gestion des incidents et des problèmes rencontrés lors du développement et de l'exploitation est elle effectuee ?</t>
  </si>
  <si>
    <t xml:space="preserve">Gestion des incidents inefficace.</t>
  </si>
  <si>
    <t xml:space="preserve">Les incidents ne sont pas traités correctement</t>
  </si>
  <si>
    <t xml:space="preserve">Définir des protocoles de gestion des incidents avec des délais clairs</t>
  </si>
  <si>
    <t xml:space="preserve">Mettre en place un système de suivi des incidents pour assurer leur résolution</t>
  </si>
  <si>
    <t xml:space="preserve">la Planification des tâches de développement et d'exploitation est elle en place ?</t>
  </si>
  <si>
    <t xml:space="preserve">Planification inexistante.</t>
  </si>
  <si>
    <t xml:space="preserve">Imprévisibles</t>
  </si>
  <si>
    <t xml:space="preserve">Élaborer un plan de gestion des imprévus avec des scénarios préétablis</t>
  </si>
  <si>
    <t xml:space="preserve">Former les équipes à réagir rapidement face aux imprévus</t>
  </si>
  <si>
    <t xml:space="preserve">le Suivi de l'avancement des tâches es il effectif ?</t>
  </si>
  <si>
    <t xml:space="preserve">Suivi inefficace.</t>
  </si>
  <si>
    <t xml:space="preserve">Mesures pas mit en place.</t>
  </si>
  <si>
    <t xml:space="preserve">Développer un cadre de mise en œuvre des mesures avec des échéances</t>
  </si>
  <si>
    <t xml:space="preserve">Créer un comité de suivi pour s’assurer de l’application des mesures</t>
  </si>
  <si>
    <t xml:space="preserve">S’assurer que l'accès aux bibliothèques de production est 
 réglementé</t>
  </si>
  <si>
    <t xml:space="preserve">Politique d'accès aux bibliothèques de production</t>
  </si>
  <si>
    <t xml:space="preserve">la Politique d'accès aux bibliothèques de production est elle efficace ?</t>
  </si>
  <si>
    <t xml:space="preserve">Politique d'accès inefficace.</t>
  </si>
  <si>
    <t xml:space="preserve">Application pas sécurisé.</t>
  </si>
  <si>
    <t xml:space="preserve">Mettre en place des tests de sécurité réguliers pour identifier les failles</t>
  </si>
  <si>
    <t xml:space="preserve">Implémenter des protocoles de sécurité comme le chiffrement des données</t>
  </si>
  <si>
    <t xml:space="preserve">Procédures d'accès aux bibliothèques de production</t>
  </si>
  <si>
    <t xml:space="preserve">la Procédures d'accès aux bibliothèques de production est elle correcte ?</t>
  </si>
  <si>
    <t xml:space="preserve">Procédures d'accès incorrectes.</t>
  </si>
  <si>
    <t xml:space="preserve">Procédure non mises à jours.</t>
  </si>
  <si>
    <t xml:space="preserve">Réaliser un audit de conformité pour identifier les écarts</t>
  </si>
  <si>
    <t xml:space="preserve">Mettre en place des formations sur les exigences de conformité</t>
  </si>
  <si>
    <t xml:space="preserve">Revue régulière des autorisations d'accès aux bibliothèques de production</t>
  </si>
  <si>
    <t xml:space="preserve">Revue régulière des autorisations d'accès aux bibliothèques de production est elle effectue ?</t>
  </si>
  <si>
    <t xml:space="preserve">Revue non effectuée.</t>
  </si>
  <si>
    <t xml:space="preserve">Problème de conformités.</t>
  </si>
  <si>
    <t xml:space="preserve">Développer des contrôles d’accès stricts avec authentification multi-facteurs</t>
  </si>
  <si>
    <t xml:space="preserve">Mettre en place des audits réguliers des accès non autorisés</t>
  </si>
  <si>
    <t xml:space="preserve">Liste des personnes autorisées à accéder aux bibliothèques de production</t>
  </si>
  <si>
    <t xml:space="preserve">Liste des personnes autorisées à accéder aux bibliothèques de production est elle definie ?</t>
  </si>
  <si>
    <t xml:space="preserve">Liste inexistante.</t>
  </si>
  <si>
    <t xml:space="preserve">Accès non contrôlé aux accès restreintes.</t>
  </si>
  <si>
    <t xml:space="preserve">Créer une cartographie des environnements pour clarifier leur fonctionnement</t>
  </si>
  <si>
    <t xml:space="preserve">Organiser des ateliers pour améliorer la compréhension des équipes</t>
  </si>
  <si>
    <t xml:space="preserve">Journalisation des accès aux bibliothèques de production</t>
  </si>
  <si>
    <t xml:space="preserve">la Journalisation des accès aux bibliothèques de production est elle correcte ?</t>
  </si>
  <si>
    <t xml:space="preserve">Journalisation incorrecte.</t>
  </si>
  <si>
    <t xml:space="preserve">Non-compréhension des environnements</t>
  </si>
  <si>
    <t xml:space="preserve">Documenter toutes les techniques utilisées dans un manuel accessible</t>
  </si>
  <si>
    <t xml:space="preserve">Liste des bibliothèques de production</t>
  </si>
  <si>
    <t xml:space="preserve">Mettre en place des sessions de formation sur les techniques documentées</t>
  </si>
  <si>
    <t xml:space="preserve">Vérifier que la maintenance de la séparation des tâches est 
 effective</t>
  </si>
  <si>
    <t xml:space="preserve">Documentation des rôles et responsabilités</t>
  </si>
  <si>
    <t xml:space="preserve">Documentation des rôles et responsabilités possible ?</t>
  </si>
  <si>
    <t xml:space="preserve">Documentation incomplète.</t>
  </si>
  <si>
    <t xml:space="preserve">Technique non documentés</t>
  </si>
  <si>
    <t xml:space="preserve">Réaliser une évaluation des risques de sécurité périodique</t>
  </si>
  <si>
    <t xml:space="preserve">Formulaires de demande d'accès</t>
  </si>
  <si>
    <t xml:space="preserve">Mettre en place des mesures correctives basées sur les résultats</t>
  </si>
  <si>
    <t xml:space="preserve">Evaluation des compétences de l'équipe de maintenance</t>
  </si>
  <si>
    <t xml:space="preserve">Plan de revue des autorisations d'accès</t>
  </si>
  <si>
    <t xml:space="preserve">Evaluation des compétences de l'équipe de maintenance est elle correcte ?</t>
  </si>
  <si>
    <t xml:space="preserve">Evaluation incorrecte.</t>
  </si>
  <si>
    <t xml:space="preserve">Évaluation de le sécurité.</t>
  </si>
  <si>
    <t xml:space="preserve">Définir un référentiel de compétences pour chaque rôle</t>
  </si>
  <si>
    <t xml:space="preserve">Rapports de revue des autorisations</t>
  </si>
  <si>
    <t xml:space="preserve">Mettre en place des programmes de formation pour combler les lacunes</t>
  </si>
  <si>
    <t xml:space="preserve">Documentation des procédures de maintenance</t>
  </si>
  <si>
    <t xml:space="preserve">Liste des personnes autorisées</t>
  </si>
  <si>
    <t xml:space="preserve">Documentation des procédures de maintenance est elle disponible?</t>
  </si>
  <si>
    <t xml:space="preserve">Procédures inexistantes.</t>
  </si>
  <si>
    <t xml:space="preserve">Compétences non définies.</t>
  </si>
  <si>
    <t xml:space="preserve">Organiser des formations spécifiques sur l’utilisation de l’outil</t>
  </si>
  <si>
    <t xml:space="preserve">Politique d'habilitation</t>
  </si>
  <si>
    <t xml:space="preserve">Créer des guides d’utilisation détaillés pour l’outil</t>
  </si>
  <si>
    <t xml:space="preserve">Définition des compétences nécessaires pour la maintenance de l'application</t>
  </si>
  <si>
    <t xml:space="preserve">Politique de journalisation des accès</t>
  </si>
  <si>
    <t xml:space="preserve">Définition des compétences nécessaires pour la maintenance de l'application est elle effective ?</t>
  </si>
  <si>
    <t xml:space="preserve">Définition des compétences inefficace.</t>
  </si>
  <si>
    <t xml:space="preserve">Manque des connaissances nécessaire sur l'outil.</t>
  </si>
  <si>
    <t xml:space="preserve">Mettre en place des canaux de communication clairs et réguliers</t>
  </si>
  <si>
    <t xml:space="preserve">Logs d'accès aux bibliothèques</t>
  </si>
  <si>
    <t xml:space="preserve">Développer un plan de communication pour toutes les parties prenantes</t>
  </si>
  <si>
    <t xml:space="preserve">Plan de formation pour l'équipe de maintenance</t>
  </si>
  <si>
    <t xml:space="preserve">Plan de formation pour l'équipe de maintenance es til disponible ?</t>
  </si>
  <si>
    <t xml:space="preserve">Plan de formation inexistant.</t>
  </si>
  <si>
    <t xml:space="preserve">Communication inefficace.</t>
  </si>
  <si>
    <t xml:space="preserve">Élaborer des procédures standardisées pour chaque processus clé</t>
  </si>
  <si>
    <t xml:space="preserve">Supports de formation (manuels, procédures)</t>
  </si>
  <si>
    <t xml:space="preserve">Former les équipes à l’application des nouvelles procédures</t>
  </si>
  <si>
    <t xml:space="preserve">S’assurer que l'équipe actuelle en charge de la maintenance est 
 autonome et compétente</t>
  </si>
  <si>
    <t xml:space="preserve">Communication entre l'équipe de maintenance et les autres équipes</t>
  </si>
  <si>
    <t xml:space="preserve">Procédure de communication entre équipes</t>
  </si>
  <si>
    <t xml:space="preserve">Communication entre l'équipe de maintenance et les autres équipes est elle effective ?</t>
  </si>
  <si>
    <t xml:space="preserve">Mettre en place un calendrier de mise à jour des versions</t>
  </si>
  <si>
    <t xml:space="preserve">Registre des communications</t>
  </si>
  <si>
    <t xml:space="preserve">Développer un processus de test avant chaque mise à jour</t>
  </si>
  <si>
    <t xml:space="preserve">La procédure couvre les différents types de maintenance (corrective, évolutive, préventive)?</t>
  </si>
  <si>
    <t xml:space="preserve">Procédure de maintenance (intégrale)</t>
  </si>
  <si>
    <t xml:space="preserve">La procédure couvre les différents types de maintenance (corrective, évolutive, préventive)??</t>
  </si>
  <si>
    <t xml:space="preserve">Procédure incomplète.</t>
  </si>
  <si>
    <t xml:space="preserve">Version pas mis à jours.</t>
  </si>
  <si>
    <t xml:space="preserve">Créer un plan d’intégration des données avec des étapes claires</t>
  </si>
  <si>
    <t xml:space="preserve">Typologie des maintenances (corrective, évolutive, préventive)</t>
  </si>
  <si>
    <t xml:space="preserve">Mettre en place des tests d’intégration pour valider les données</t>
  </si>
  <si>
    <t xml:space="preserve">La procédure décrit les étapes à suivre pour la réalisation d'une maintenance?</t>
  </si>
  <si>
    <t xml:space="preserve">Description détaillée des étapes de maintenance</t>
  </si>
  <si>
    <t xml:space="preserve">Procédure non standardisée.</t>
  </si>
  <si>
    <t xml:space="preserve">Intégration des données échouée.</t>
  </si>
  <si>
    <t xml:space="preserve">Instaurer un système de suivi des activités avec des rapports réguliers</t>
  </si>
  <si>
    <t xml:space="preserve">Checklists ou formulaires de réalisation de maintenance</t>
  </si>
  <si>
    <t xml:space="preserve">Développer des outils de suivi automatisé pour les tâches critiques</t>
  </si>
  <si>
    <t xml:space="preserve">Procédure de maintenance formalisée et standardisée documentée?</t>
  </si>
  <si>
    <t xml:space="preserve">Procédure de maintenance formalisée et standardisée</t>
  </si>
  <si>
    <t xml:space="preserve">Procédure de maintenance formalisée et standardisée documentée??</t>
  </si>
  <si>
    <t xml:space="preserve">Suivis inexistantes.</t>
  </si>
  <si>
    <t xml:space="preserve">Revoir la conception avec les parties prenantes pour l’adapter aux besoins</t>
  </si>
  <si>
    <t xml:space="preserve">Manuel de maintenance</t>
  </si>
  <si>
    <t xml:space="preserve">Mettre en place des revues de conception avant validation</t>
  </si>
  <si>
    <t xml:space="preserve">La procédure définit les rôles et responsabilités des intervenants?</t>
  </si>
  <si>
    <t xml:space="preserve">Procédure de maintenance (avec RACI)</t>
  </si>
  <si>
    <t xml:space="preserve">Procédure non revue.</t>
  </si>
  <si>
    <t xml:space="preserve">Conception inadéquat.</t>
  </si>
  <si>
    <t xml:space="preserve">Mettre en place un registre des propriétés intellectuelles avec suivi</t>
  </si>
  <si>
    <t xml:space="preserve">Matrice des rôles et responsabilités (RACI) pour la maintenance</t>
  </si>
  <si>
    <t xml:space="preserve">Former les équipes sur la gestion des droits de propriété intellectuelle</t>
  </si>
  <si>
    <t xml:space="preserve">S’assurer de l’existence de procédure formalisée et standard de 
 maintenance de l’application</t>
  </si>
  <si>
    <t xml:space="preserve">La procédure est revue et mise à jour régulièrement</t>
  </si>
  <si>
    <t xml:space="preserve">Planning de revue de la procédure</t>
  </si>
  <si>
    <t xml:space="preserve">La procédure est revue et mise à jour régulièrement?</t>
  </si>
  <si>
    <t xml:space="preserve">Suivi des versions incomplet.</t>
  </si>
  <si>
    <t xml:space="preserve">Information de propriété intellectuel non suivi.</t>
  </si>
  <si>
    <t xml:space="preserve">Développer un processus de vérification systématique des livrables</t>
  </si>
  <si>
    <t xml:space="preserve">Historique des mises à jour de la procédure</t>
  </si>
  <si>
    <t xml:space="preserve">Mettre en place des checklists pour garantir la vérification</t>
  </si>
  <si>
    <t xml:space="preserve">Le suivi des versions inclut l'identification des changements apportés</t>
  </si>
  <si>
    <t xml:space="preserve">Procédure de gestion des versions</t>
  </si>
  <si>
    <t xml:space="preserve">Nouvelles versions non testées.</t>
  </si>
  <si>
    <t xml:space="preserve">Vérification inexistant.</t>
  </si>
  <si>
    <t xml:space="preserve">Réaliser une analyse des risques complète pour chaque projet</t>
  </si>
  <si>
    <t xml:space="preserve">Journal des versions (avec identification des changements)</t>
  </si>
  <si>
    <t xml:space="preserve">Mettre en place un processus de revue périodique des risques</t>
  </si>
  <si>
    <t xml:space="preserve">Les nouvelles versions sont testées avant leur mise en production</t>
  </si>
  <si>
    <t xml:space="preserve">Plan de tests des nouvelles versions</t>
  </si>
  <si>
    <t xml:space="preserve">Les nouvelles versions sont testées avant leur mise en production?</t>
  </si>
  <si>
    <t xml:space="preserve">Définition des compétences inexistante.</t>
  </si>
  <si>
    <t xml:space="preserve">Absence d'analyse des risques.</t>
  </si>
  <si>
    <t xml:space="preserve">Implémenter des contrôles d’intégrité pour le code source</t>
  </si>
  <si>
    <t xml:space="preserve">Rapports de tests des nouvelles versions</t>
  </si>
  <si>
    <t xml:space="preserve">Mettre en place un système de gestion des versions sécurisé</t>
  </si>
  <si>
    <t xml:space="preserve">Procédure de gestion des nouvelles versions</t>
  </si>
  <si>
    <t xml:space="preserve">Absence de définition des compétences.</t>
  </si>
  <si>
    <t xml:space="preserve">Code source altéré.</t>
  </si>
  <si>
    <t xml:space="preserve">Créer un inventaire des exécutables avec un suivi strict</t>
  </si>
  <si>
    <t xml:space="preserve">Journal des mises en production</t>
  </si>
  <si>
    <t xml:space="preserve">Mettre en place des contrôles pour limiter les exécutables non autorisés</t>
  </si>
  <si>
    <t xml:space="preserve">L'impact des nouvelles versions est évalué</t>
  </si>
  <si>
    <t xml:space="preserve">Procédure d'évaluation de l'impact des nouvelles versions</t>
  </si>
  <si>
    <t xml:space="preserve">L'impact des nouvelles versions est évalué?</t>
  </si>
  <si>
    <t xml:space="preserve">Impact non évalué.</t>
  </si>
  <si>
    <t xml:space="preserve">Exécutables non gérées.</t>
  </si>
  <si>
    <t xml:space="preserve">Mettre en place des sessions de sensibilisation sur le contenu</t>
  </si>
  <si>
    <t xml:space="preserve">Rapport d'évaluation de l'impact</t>
  </si>
  <si>
    <t xml:space="preserve">Adapter le contenu aux besoins spécifiques des utilisateurs</t>
  </si>
  <si>
    <t xml:space="preserve">Vérifier que les nouvelles versions (développement interne, 
 progiciel) sont suivies</t>
  </si>
  <si>
    <t xml:space="preserve">Les nouvelles versions sont déployées selon une procédure définie</t>
  </si>
  <si>
    <t xml:space="preserve">Procédure de déploiement des nouvelles versions</t>
  </si>
  <si>
    <t xml:space="preserve">Les nouvelles versions sont déployées selon une procédure définie?</t>
  </si>
  <si>
    <t xml:space="preserve">Déploiement incontrôlé.</t>
  </si>
  <si>
    <t xml:space="preserve">Utilisateurs non affectés par le contenu.</t>
  </si>
  <si>
    <t xml:space="preserve">Mettre en place un gestionnaire de mots de passe sécurisé</t>
  </si>
  <si>
    <t xml:space="preserve">Plan de déploiement</t>
  </si>
  <si>
    <t xml:space="preserve">Former les utilisateurs à la gestion sécurisée des mots de passe</t>
  </si>
  <si>
    <t xml:space="preserve">La procédure définit les étapes à suivre pour le transfert des programmes</t>
  </si>
  <si>
    <t xml:space="preserve">Procédure de transfert des programmes</t>
  </si>
  <si>
    <t xml:space="preserve">La procédure définit les étapes à suivre pour le transfert des programmes?</t>
  </si>
  <si>
    <t xml:space="preserve">Procédure de transfert inexistante.</t>
  </si>
  <si>
    <t xml:space="preserve">Mots de passe de connexion inconnue</t>
  </si>
  <si>
    <t xml:space="preserve">Développer un plan d’intégration avec des tests à chaque étape</t>
  </si>
  <si>
    <t xml:space="preserve">Description des étapes de transfert</t>
  </si>
  <si>
    <t xml:space="preserve">Mettre en place un suivi des intégrations pour identifier les échecs</t>
  </si>
  <si>
    <t xml:space="preserve">Les transferts de programmes sont journalisés</t>
  </si>
  <si>
    <t xml:space="preserve">Journal des transferts de programmes</t>
  </si>
  <si>
    <t xml:space="preserve">Les transferts de programmes sont journalisés?</t>
  </si>
  <si>
    <t xml:space="preserve">Transferts non journalisés.</t>
  </si>
  <si>
    <t xml:space="preserve">Intégration échouée.</t>
  </si>
  <si>
    <t xml:space="preserve">Créer un référentiel centralisé pour stocker les données critiques</t>
  </si>
  <si>
    <t xml:space="preserve">Logs de transfert</t>
  </si>
  <si>
    <t xml:space="preserve">Mettre en place des sauvegardes régulières pour éviter les pertes</t>
  </si>
  <si>
    <t xml:space="preserve">Procédure de transfert des programmes entre les environnements documentée</t>
  </si>
  <si>
    <t xml:space="preserve">Procédure de transfert des programmes entre environnements</t>
  </si>
  <si>
    <t xml:space="preserve">Procédure de transfert des programmes entre les environnements documentée?</t>
  </si>
  <si>
    <t xml:space="preserve">Procédure de transfert non documentée.</t>
  </si>
  <si>
    <t xml:space="preserve">Absence de données.</t>
  </si>
  <si>
    <t xml:space="preserve">Implémenter des contrôles d’accès stricts avec authentification renforcée</t>
  </si>
  <si>
    <t xml:space="preserve">Politique de gestion des environnements</t>
  </si>
  <si>
    <t xml:space="preserve">La procédure inclut des contrôles pour garantir l'intégrité des programmes transférés</t>
  </si>
  <si>
    <t xml:space="preserve">Procédure de contrôle d'intégrité des programmes</t>
  </si>
  <si>
    <t xml:space="preserve">La procédure inclut des contrôles pour garantir l'intégrité des programmes transférés?</t>
  </si>
  <si>
    <t xml:space="preserve">Contrôles d'intégrité inexistants.</t>
  </si>
  <si>
    <t xml:space="preserve">Accès non contrôlée.</t>
  </si>
  <si>
    <t xml:space="preserve">Développer des politiques d’accès basées sur le principe du moindre privilège</t>
  </si>
  <si>
    <t xml:space="preserve">Mettre en place des alertes pour détecter les accès non autorisés</t>
  </si>
  <si>
    <t xml:space="preserve">Vérifier l’existence de procédure formalisée de transfert des 
 programmes entre les environnements</t>
  </si>
  <si>
    <t xml:space="preserve">Les accès aux environnements sont réglementés</t>
  </si>
  <si>
    <t xml:space="preserve">Politique de gestion des accès aux environnements</t>
  </si>
  <si>
    <t xml:space="preserve">Les accès aux environnements sont réglementés?</t>
  </si>
  <si>
    <t xml:space="preserve">Accès non réglementés.</t>
  </si>
  <si>
    <t xml:space="preserve">Accès non autorisés aux donnés sensibles.</t>
  </si>
  <si>
    <t xml:space="preserve">Créer une documentation simplifiée des systèmes complexes</t>
  </si>
  <si>
    <t xml:space="preserve">Matrice des accès</t>
  </si>
  <si>
    <t xml:space="preserve">Organiser des formations pour améliorer la compréhension des systèmes</t>
  </si>
  <si>
    <t xml:space="preserve">La documentation inclut la description de l'architecture de l'application</t>
  </si>
  <si>
    <t xml:space="preserve">Documentation de l'architecture de l'application</t>
  </si>
  <si>
    <t xml:space="preserve">La documentation inclut la description de l'architecture de l'application?</t>
  </si>
  <si>
    <t xml:space="preserve">Description de l'architecture manquante.</t>
  </si>
  <si>
    <t xml:space="preserve">Connaissance des systèmes compliqués.</t>
  </si>
  <si>
    <t xml:space="preserve">Mettre en place des sessions de clarification pour les utilisateurs</t>
  </si>
  <si>
    <t xml:space="preserve">Schéma d'architecture</t>
  </si>
  <si>
    <t xml:space="preserve">Développer des supports visuels pour faciliter la compréhension</t>
  </si>
  <si>
    <t xml:space="preserve">La documentation inclut les guides utilisateurs</t>
  </si>
  <si>
    <t xml:space="preserve">Guides utilisateurs</t>
  </si>
  <si>
    <t xml:space="preserve">La documentation inclut les guides utilisateurs?</t>
  </si>
  <si>
    <t xml:space="preserve">Guides utilisateurs absents.</t>
  </si>
  <si>
    <t xml:space="preserve">Information non comprises.</t>
  </si>
  <si>
    <t xml:space="preserve">Planifier des interruptions courtes avec des notifications préalables</t>
  </si>
  <si>
    <t xml:space="preserve">Manuels utilisateurs</t>
  </si>
  <si>
    <t xml:space="preserve">Mettre en place des processus de reprise rapide après interruption</t>
  </si>
  <si>
    <t xml:space="preserve">Procédure de gestion des corrections d'urgence documentée</t>
  </si>
  <si>
    <t xml:space="preserve">Procédure de gestion des corrections d'urgence</t>
  </si>
  <si>
    <t xml:space="preserve">Procédure de gestion des corrections d'urgence documentée?</t>
  </si>
  <si>
    <t xml:space="preserve">Longues interruption des processus.</t>
  </si>
  <si>
    <t xml:space="preserve">Réaliser une analyse d’impact avant chaque changement</t>
  </si>
  <si>
    <t xml:space="preserve">Formulaire de demande de correction d'urgence</t>
  </si>
  <si>
    <t xml:space="preserve">Mettre en place des simulations pour évaluer les impacts</t>
  </si>
  <si>
    <t xml:space="preserve">L'impact des corrections d'urgence est évalué</t>
  </si>
  <si>
    <t xml:space="preserve">Procédure d'évaluation de l'impact des corrections d'urgence</t>
  </si>
  <si>
    <t xml:space="preserve">L'impact des corrections d'urgence est évalué?</t>
  </si>
  <si>
    <t xml:space="preserve">Longs à comprendre le impact des changements.</t>
  </si>
  <si>
    <t xml:space="preserve">Implémenter des mécanismes de chiffrement pour protéger les informations</t>
  </si>
  <si>
    <t xml:space="preserve">Mettre en place des politiques de sécurité pour la gestion des données</t>
  </si>
  <si>
    <t xml:space="preserve">S’assurer que la documentation de l'application est effective</t>
  </si>
  <si>
    <t xml:space="preserve">Les corrections d'urgence sont documentées et intégrées dans la version standard</t>
  </si>
  <si>
    <t xml:space="preserve">Procédure de documentation des corrections d'urgence</t>
  </si>
  <si>
    <t xml:space="preserve">Les corrections d'urgence sont documentées et intégrées dans la version standard?</t>
  </si>
  <si>
    <t xml:space="preserve">Corrections non intégrées.</t>
  </si>
  <si>
    <t xml:space="preserve">Information non protégé.</t>
  </si>
  <si>
    <t xml:space="preserve">Mettre en place un contrôle de version strict pour le code source</t>
  </si>
  <si>
    <t xml:space="preserve">Journal des corrections d'urgence intégrées</t>
  </si>
  <si>
    <t xml:space="preserve">Implémenter des audits réguliers pour détecter les modifications non autorisées</t>
  </si>
  <si>
    <t xml:space="preserve">Les programmes sources sont stockés dans un dépôt centralisé et sécurisé</t>
  </si>
  <si>
    <t xml:space="preserve">Politique de gestion du dépôt de code source</t>
  </si>
  <si>
    <t xml:space="preserve">Les programmes sources sont stockés dans un dépôt centralisé et sécurisé?</t>
  </si>
  <si>
    <t xml:space="preserve">Code source non sécurisé.</t>
  </si>
  <si>
    <t xml:space="preserve">Code source altéré ou modifié.</t>
  </si>
  <si>
    <t xml:space="preserve">Réaliser des tests de sécurité réguliers sur le logiciel</t>
  </si>
  <si>
    <t xml:space="preserve">Description de l'architecture du dépôt</t>
  </si>
  <si>
    <t xml:space="preserve">Mettre en place des correctifs pour les failles identifiées</t>
  </si>
  <si>
    <t xml:space="preserve">Les programmes exécutables sont générés à partir des programmes sources gérés</t>
  </si>
  <si>
    <t xml:space="preserve">Procédure de build des exécutables</t>
  </si>
  <si>
    <t xml:space="preserve">Les programmes exécutables sont générés à partir des programmes sources gérés?</t>
  </si>
  <si>
    <t xml:space="preserve">Exécutables non gérés.</t>
  </si>
  <si>
    <t xml:space="preserve">Logiciel potentiellement non sécuriser.</t>
  </si>
  <si>
    <t xml:space="preserve">Planifier une architecture modulaire pour faciliter les évolutions</t>
  </si>
  <si>
    <t xml:space="preserve">Scripts de build</t>
  </si>
  <si>
    <t xml:space="preserve">Mettre en place des tests pour valider les évolutions des applications</t>
  </si>
  <si>
    <t xml:space="preserve">La documentation de l'application est complète et à jour</t>
  </si>
  <si>
    <t xml:space="preserve">Plan de maintenance de la documentation</t>
  </si>
  <si>
    <t xml:space="preserve">La documentation de l'application est complète et à jour?</t>
  </si>
  <si>
    <t xml:space="preserve">Difficulté de faire évoluer les applications.</t>
  </si>
  <si>
    <t xml:space="preserve">Créer des guides d’utilisation détaillés pour chaque fonctionnalité</t>
  </si>
  <si>
    <t xml:space="preserve">Historique des mises à jour de la documentation</t>
  </si>
  <si>
    <t xml:space="preserve">Organiser des formations sur les fonctionnalités clés</t>
  </si>
  <si>
    <t xml:space="preserve">La documentation inclut la description des fonctionnalités de l'application</t>
  </si>
  <si>
    <t xml:space="preserve">Documentation des fonctionnalités de l'application</t>
  </si>
  <si>
    <t xml:space="preserve">La documentation inclut la description des fonctionnalités de l'application?</t>
  </si>
  <si>
    <t xml:space="preserve">Description des fonctionnalités manquante.</t>
  </si>
  <si>
    <t xml:space="preserve">Incompréhension des fonctionnalités.</t>
  </si>
  <si>
    <t xml:space="preserve">Mettre en place un programme de transfert de connaissances</t>
  </si>
  <si>
    <t xml:space="preserve">Manuels fonctionnels</t>
  </si>
  <si>
    <t xml:space="preserve">Créer une base de connaissances accessible à tous</t>
  </si>
  <si>
    <t xml:space="preserve">Vérifier que les corrections effectuées en urgence sur les 
 programmes sont suivies</t>
  </si>
  <si>
    <t xml:space="preserve">La documentation est accessible aux personnes concernées</t>
  </si>
  <si>
    <t xml:space="preserve">Politique d'accès à la documentation</t>
  </si>
  <si>
    <t xml:space="preserve">La documentation est accessible aux personnes concernées?</t>
  </si>
  <si>
    <t xml:space="preserve">Documentation inaccessible.</t>
  </si>
  <si>
    <t xml:space="preserve">Connaissances non transmises.</t>
  </si>
  <si>
    <t xml:space="preserve">Développer un processus de gestion des incidents avec des priorités claires</t>
  </si>
  <si>
    <t xml:space="preserve">Portail d'accès à la documentation</t>
  </si>
  <si>
    <t xml:space="preserve">Mettre en place un suivi des incidents pour éviter les récurrences</t>
  </si>
  <si>
    <t xml:space="preserve">Les corrections d'urgence sont autorisées et tracées</t>
  </si>
  <si>
    <t xml:space="preserve">Procédure d'autorisation des corrections d'urgence</t>
  </si>
  <si>
    <t xml:space="preserve">Les corrections d'urgence sont autorisées et tracées?</t>
  </si>
  <si>
    <t xml:space="preserve">Corrections non autorisées.</t>
  </si>
  <si>
    <t xml:space="preserve">Mauvaise gestion des incidents.</t>
  </si>
  <si>
    <t xml:space="preserve">Réaliser des tests réguliers pour identifier les dysfonctionnements</t>
  </si>
  <si>
    <t xml:space="preserve">Registre des autorisations de corrections d'urgence</t>
  </si>
  <si>
    <t xml:space="preserve">Mettre en place des correctifs rapides pour les fonctionnalités affectées</t>
  </si>
  <si>
    <t xml:space="preserve">Les corrections d'urgence sont testées avant leur mise en production</t>
  </si>
  <si>
    <t xml:space="preserve">Plan de tests des corrections d'urgence</t>
  </si>
  <si>
    <t xml:space="preserve">Les corrections d'urgence sont testées avant leur mise en production?</t>
  </si>
  <si>
    <t xml:space="preserve">Corrections non testées.</t>
  </si>
  <si>
    <t xml:space="preserve">Dysfonctionnement de certaines fonctionalités.</t>
  </si>
  <si>
    <t xml:space="preserve">Vérifier la compatibilité des fichiers avant leur utilisation</t>
  </si>
  <si>
    <t xml:space="preserve">Rapports de tests des corrections d'urgence</t>
  </si>
  <si>
    <t xml:space="preserve">Mettre en place des standards pour les formats de fichiers</t>
  </si>
  <si>
    <t xml:space="preserve">Utilisation d'un logiciel de gestion de versions</t>
  </si>
  <si>
    <t xml:space="preserve">Politique d'utilisation du logiciel de gestion de versions</t>
  </si>
  <si>
    <t xml:space="preserve">Utilisation d'un logiciel de gestion de versions?</t>
  </si>
  <si>
    <t xml:space="preserve">Absence de contrôle de version.</t>
  </si>
  <si>
    <t xml:space="preserve">Problème de compatibilité des fichiers.</t>
  </si>
  <si>
    <t xml:space="preserve">Guide d'utilisation du logiciel de gestion de versions</t>
  </si>
  <si>
    <t xml:space="preserve">Suivi et traçabilité des corrections d’urgence</t>
  </si>
  <si>
    <t xml:space="preserve">Procédure de gestion des corrections d’urgence</t>
  </si>
  <si>
    <t xml:space="preserve">Comment s’assurer que toutes les corrections effectuées en urgence ?</t>
  </si>
  <si>
    <t xml:space="preserve">absence de corrections d'urgence</t>
  </si>
  <si>
    <t xml:space="preserve">difficulte d'effectuer des corrections efficaces</t>
  </si>
  <si>
    <t xml:space="preserve">Instaurer un suivi régulier des incidents et anomalies potentielles afin d’anticiper les besoins en corrections d’urgence</t>
  </si>
  <si>
    <t xml:space="preserve">iche de suivi des corrections d’urgence</t>
  </si>
  <si>
    <t xml:space="preserve">Renforcer les tests et validations des mises à jour avant leur mise en production pour éviter des besoins de corrections urgentes</t>
  </si>
  <si>
    <t xml:space="preserve">S’assurer de l’existence d'un logiciel de contrôle de programmes 
 sources et de programmes exécutables</t>
  </si>
  <si>
    <t xml:space="preserve">Utilisation d’un outil de gestion de versions</t>
  </si>
  <si>
    <t xml:space="preserve">Politique d'utilisation de l'outil de gestion de versions</t>
  </si>
  <si>
    <t xml:space="preserve">Utilisation d’un outil de gestion de versions?</t>
  </si>
  <si>
    <t xml:space="preserve">Utilisation d'un outil non adapté.</t>
  </si>
  <si>
    <t xml:space="preserve">Difficulté à atteindre les objectifs de sécurité et à gérer les risques.</t>
  </si>
  <si>
    <t xml:space="preserve">Mettre en place des politiques de sécurité strictes pour atteindre les objectifs</t>
  </si>
  <si>
    <t xml:space="preserve">Guide d'utilisation de l'outil de gestion de versions</t>
  </si>
  <si>
    <t xml:space="preserve">Développer un plan de gestion des risques pour minimiser les impacts</t>
  </si>
  <si>
    <t xml:space="preserve">Traçabilité des modifications (historique des changements)</t>
  </si>
  <si>
    <t xml:space="preserve">Politique de traçabilité des modifications</t>
  </si>
  <si>
    <t xml:space="preserve">Traçabilité des modifications (historique des changements)?</t>
  </si>
  <si>
    <t xml:space="preserve">Traçabilité des modifications insuffisante.</t>
  </si>
  <si>
    <t xml:space="preserve">Difficulté à identifier l'origine des problèmes et à effectuer des corrections efficaces.</t>
  </si>
  <si>
    <t xml:space="preserve">Créer un processus d’identification des origines des problèmes</t>
  </si>
  <si>
    <t xml:space="preserve">Historique des commits/versions</t>
  </si>
  <si>
    <t xml:space="preserve">Mettre en place des mécanismes de correction rapide et efficace</t>
  </si>
  <si>
    <t xml:space="preserve">Séparation des environnements (dev/test/prod)</t>
  </si>
  <si>
    <t xml:space="preserve">Politique de séparation des environnements</t>
  </si>
  <si>
    <t xml:space="preserve">Séparation des environnements (dev/test/prod)?</t>
  </si>
  <si>
    <t xml:space="preserve">Environnements non séparés.</t>
  </si>
  <si>
    <t xml:space="preserve">Risque de propagation des erreurs et des incidents de sécurité entre les environnements.</t>
  </si>
  <si>
    <t xml:space="preserve">Implémenter des audits réguliers pour détecter les accès non autorisés</t>
  </si>
  <si>
    <t xml:space="preserve">Schéma des environnements</t>
  </si>
  <si>
    <t xml:space="preserve">Développer des contrôles d’accès pour protéger les données sensibles</t>
  </si>
  <si>
    <t xml:space="preserve">Contrôle d’accès basé sur les rôles</t>
  </si>
  <si>
    <t xml:space="preserve">Politique de contrôle d'accès basé sur les rôles</t>
  </si>
  <si>
    <t xml:space="preserve">Contrôle d’accès basé sur les rôles?</t>
  </si>
  <si>
    <t xml:space="preserve">Contrôles d'accès inadéquats.</t>
  </si>
  <si>
    <t xml:space="preserve">Accès non autorisés aux données sensibles et aux fonctionnalités critiques.</t>
  </si>
  <si>
    <t xml:space="preserve">Mettre en place un système de journalisation des incidents majeurs</t>
  </si>
  <si>
    <t xml:space="preserve">Créer un plan de réponse aux incidents pour limiter les pertes de données</t>
  </si>
  <si>
    <t xml:space="preserve">Capacité de sauvegarde et de restauration</t>
  </si>
  <si>
    <t xml:space="preserve">Capacité de sauvegarde et de restauration?</t>
  </si>
  <si>
    <t xml:space="preserve">Capacité de sauvegarde insuffisante.</t>
  </si>
  <si>
    <t xml:space="preserve">Perte de données en cas d'incident majeur.</t>
  </si>
  <si>
    <t xml:space="preserve">Développer un système de traçabilité des événements critiques</t>
  </si>
  <si>
    <t xml:space="preserve">Plan de sauvegarde et de restauration</t>
  </si>
  <si>
    <t xml:space="preserve">Mettre en place des outils de détection des anomalies en temps réel</t>
  </si>
  <si>
    <t xml:space="preserve">S’assurer que les travaux batch de l'application, qu'ils soient 
 périodiques ou à la demande, sont bien suivis</t>
  </si>
  <si>
    <t xml:space="preserve">Journalisation détaillée des exécutions</t>
  </si>
  <si>
    <t xml:space="preserve">Politique de journalisation détaillée</t>
  </si>
  <si>
    <t xml:space="preserve">Journalisation détaillée des exécutions?</t>
  </si>
  <si>
    <t xml:space="preserve">Journalisation détaillée insuffisante.</t>
  </si>
  <si>
    <t xml:space="preserve">Difficulté à retracer les événements et à identifier les causes des problèmes.</t>
  </si>
  <si>
    <t xml:space="preserve">Implémenter des sauvegardes régulières pour éviter la suppression de données</t>
  </si>
  <si>
    <t xml:space="preserve">Configuration des logs d'exécution</t>
  </si>
  <si>
    <t xml:space="preserve">Développer des processus de validation pour garantir la cohérence des données</t>
  </si>
  <si>
    <t xml:space="preserve">Monitoring et alertes en temps réel</t>
  </si>
  <si>
    <t xml:space="preserve">Politique de monitoring et d'alertes</t>
  </si>
  <si>
    <t xml:space="preserve">Monitoring et alertes en temps réel?</t>
  </si>
  <si>
    <t xml:space="preserve">Monitoring insuffisant.</t>
  </si>
  <si>
    <t xml:space="preserve">Incapacité à détecter les anomalies et les incidents en temps réel.</t>
  </si>
  <si>
    <t xml:space="preserve">Mettre en place des tests réguliers pour évaluer le fonctionnement des systèmes</t>
  </si>
  <si>
    <t xml:space="preserve">Configuration du système de monitoring</t>
  </si>
  <si>
    <t xml:space="preserve">Former les équipes à la maintenance proactive pour réduire les pannes</t>
  </si>
  <si>
    <t xml:space="preserve">Planification automatisée des batchs</t>
  </si>
  <si>
    <t xml:space="preserve">Planification automatisée des batches</t>
  </si>
  <si>
    <t xml:space="preserve">Planification automatisée des batchs?</t>
  </si>
  <si>
    <t xml:space="preserve">Purification automatisée non planifiée.</t>
  </si>
  <si>
    <t xml:space="preserve">Suppression involontaire de données importantes.</t>
  </si>
  <si>
    <t xml:space="preserve">Instaurer un système de contrôle des processus pour assurer leur conformité</t>
  </si>
  <si>
    <t xml:space="preserve">Calendrier des batches</t>
  </si>
  <si>
    <t xml:space="preserve">Développer des outils de normalisation pour standardiser les opérations</t>
  </si>
  <si>
    <t xml:space="preserve">Procédure de gestion des erreurs</t>
  </si>
  <si>
    <t xml:space="preserve">Procédure de gestion des erreurs batch</t>
  </si>
  <si>
    <t xml:space="preserve">Procédure de gestion des erreurs?</t>
  </si>
  <si>
    <t xml:space="preserve">Procédure inexistante.</t>
  </si>
  <si>
    <t xml:space="preserve">Processus non reproductibles et incohérents.</t>
  </si>
  <si>
    <t xml:space="preserve">Créer un registre des données historiques pour assurer leur traçabilité</t>
  </si>
  <si>
    <t xml:space="preserve">Registre des erreurs batch</t>
  </si>
  <si>
    <t xml:space="preserve">Mettre en place des audits de conformité pour détecter les écarts réglementaires</t>
  </si>
  <si>
    <t xml:space="preserve">Documentation complète des processus batch</t>
  </si>
  <si>
    <t xml:space="preserve">Documentation des processus batch</t>
  </si>
  <si>
    <t xml:space="preserve">Documentation complète des processus batch?</t>
  </si>
  <si>
    <t xml:space="preserve">Difficulté à comprendre le fonctionnement des systèmes et à effectuer la maintenance.</t>
  </si>
  <si>
    <t xml:space="preserve">Développer un système de détection des données altérées</t>
  </si>
  <si>
    <t xml:space="preserve">Diagrammes de flux des processus batch</t>
  </si>
  <si>
    <t xml:space="preserve">Mettre en place des contrôles pour éviter la suppression non autorisée</t>
  </si>
  <si>
    <t xml:space="preserve">S’assurer que l’existence d’une procédure de contrôle des 
 traitements batch et d'archivage des comptes-rendus d'exécution est 
 garantie</t>
  </si>
  <si>
    <t xml:space="preserve">Existence d’une procédure formalisée de contrôle des batchs</t>
  </si>
  <si>
    <t xml:space="preserve">Procédure de contrôle des batches</t>
  </si>
  <si>
    <t xml:space="preserve">Existence d’une procédure formalisée de contrôle des batchs?</t>
  </si>
  <si>
    <t xml:space="preserve">Procédures formelles inexistantes.</t>
  </si>
  <si>
    <t xml:space="preserve">Manque de contrôle et de normalisation des processus.</t>
  </si>
  <si>
    <t xml:space="preserve">Implémenter un système de contrôle des habilitations des utilisateurs</t>
  </si>
  <si>
    <t xml:space="preserve">Checklist de contrôle des batches</t>
  </si>
  <si>
    <t xml:space="preserve">Développer des outils de suivi pour assurer la conformité des applications</t>
  </si>
  <si>
    <t xml:space="preserve">Archivage systématique des comptes-rendus d’exécution</t>
  </si>
  <si>
    <t xml:space="preserve">Politique d'archivage des comptes-rendus</t>
  </si>
  <si>
    <t xml:space="preserve">Archivage systématique des comptes-rendus d’exécution?</t>
  </si>
  <si>
    <t xml:space="preserve">Archivage systématique inexistant.</t>
  </si>
  <si>
    <t xml:space="preserve">Perte de données historiques et non-conformité aux réglementations.</t>
  </si>
  <si>
    <t xml:space="preserve">Mettre en place des tests réguliers pour valider les mises à jour</t>
  </si>
  <si>
    <t xml:space="preserve">Plan d'archivage des comptes-rendus</t>
  </si>
  <si>
    <t xml:space="preserve">Créer un calendrier de maintenance pour éviter les interruptions</t>
  </si>
  <si>
    <t xml:space="preserve">Vérification de l’intégrité des logs et rapports</t>
  </si>
  <si>
    <t xml:space="preserve">Procédure de vérification de l'intégrité des logs</t>
  </si>
  <si>
    <t xml:space="preserve">Vérification de l’intégrité des logs et rapports?</t>
  </si>
  <si>
    <t xml:space="preserve">Vérification de l'intégrité inexistante.</t>
  </si>
  <si>
    <t xml:space="preserve">Altération des données non détectée.</t>
  </si>
  <si>
    <t xml:space="preserve">Organiser des formations pour combler les lacunes de connaissances</t>
  </si>
  <si>
    <t xml:space="preserve">Outils de vérification d'intégrité</t>
  </si>
  <si>
    <t xml:space="preserve">Développer des bases de connaissances pour faciliter l’accès à l’information</t>
  </si>
  <si>
    <t xml:space="preserve">Durée de conservation conforme aux exigences légales/métier</t>
  </si>
  <si>
    <t xml:space="preserve">Politique de conservation des données (incluant les durées)</t>
  </si>
  <si>
    <t xml:space="preserve">Durée de conservation conforme aux exigences légales/métier?</t>
  </si>
  <si>
    <t xml:space="preserve">Durée de conservation non conforme.</t>
  </si>
  <si>
    <t xml:space="preserve">Données supprimé pour des raisons de conformités.</t>
  </si>
  <si>
    <t xml:space="preserve">Mettre en place un système de suivi des systèmes critiques</t>
  </si>
  <si>
    <t xml:space="preserve">Tableau des durées de conservation</t>
  </si>
  <si>
    <t xml:space="preserve">Développer des processus de validation pour garantir la pérennité des systèmes</t>
  </si>
  <si>
    <t xml:space="preserve">Accessibilité et traçabilité des documents archivés</t>
  </si>
  <si>
    <t xml:space="preserve">Politique d'accessibilité des archives</t>
  </si>
  <si>
    <t xml:space="preserve">Accessibilité et traçabilité des documents archivés?</t>
  </si>
  <si>
    <t xml:space="preserve">Inaccessibilité des documents.</t>
  </si>
  <si>
    <t xml:space="preserve">Règlementation sur ces documents.</t>
  </si>
  <si>
    <t xml:space="preserve">Créer des solutions adaptées pour répondre aux besoins spécifiques</t>
  </si>
  <si>
    <t xml:space="preserve">Procédure de consultation des archives</t>
  </si>
  <si>
    <t xml:space="preserve">Mettre en place des revues régulières pour évaluer l’efficacité des solutions</t>
  </si>
  <si>
    <t xml:space="preserve">Vérifier que la gestion des incidents en général et les procédures 
 d'urgence en particulier est bien documentée</t>
  </si>
  <si>
    <t xml:space="preserve">Procédures d’incident claires et accessibles</t>
  </si>
  <si>
    <t xml:space="preserve">Procédures d'incident claires et accessibles</t>
  </si>
  <si>
    <t xml:space="preserve">Procédures d’incident claires et accessibles?</t>
  </si>
  <si>
    <t xml:space="preserve">Détournement du contrôle.</t>
  </si>
  <si>
    <t xml:space="preserve">Développer un plan de suivi clair pour les actions correctives</t>
  </si>
  <si>
    <t xml:space="preserve">Portail des procédures d'incident</t>
  </si>
  <si>
    <t xml:space="preserve">Mettre en place des indicateurs pour mesurer l’efficacité des suivis</t>
  </si>
  <si>
    <t xml:space="preserve">Définition des rôles et responsabilités en cas d’urgence</t>
  </si>
  <si>
    <t xml:space="preserve">Définition des rôles et responsabilités en cas d'urgence</t>
  </si>
  <si>
    <t xml:space="preserve">Définition des rôles et responsabilités en cas d’urgence?</t>
  </si>
  <si>
    <t xml:space="preserve">Définition des rôles et responsabilités manquantes.</t>
  </si>
  <si>
    <t xml:space="preserve">Manque d'application de suivies d'habilitation.</t>
  </si>
  <si>
    <t xml:space="preserve">Implémenter des sauvegardes régulières pour protéger les données critiques</t>
  </si>
  <si>
    <t xml:space="preserve">Organigramme d'urgence</t>
  </si>
  <si>
    <t xml:space="preserve">Développer des plans de secours pour assurer la continuité des opérations</t>
  </si>
  <si>
    <t xml:space="preserve">Existence d’un registre des incidents (historique et résolution)</t>
  </si>
  <si>
    <t xml:space="preserve">Existence d'un registre des incidents</t>
  </si>
  <si>
    <t xml:space="preserve">Existence d’un registre des incidents (historique et résolution)?</t>
  </si>
  <si>
    <t xml:space="preserve">Registre inexistant.</t>
  </si>
  <si>
    <t xml:space="preserve">Les tests et mise à jours inexistantes.</t>
  </si>
  <si>
    <t xml:space="preserve">Mettre en place des audits réguliers pour vérifier les mesures de sauvegarde</t>
  </si>
  <si>
    <t xml:space="preserve">Historique et statut de résolution des incidents</t>
  </si>
  <si>
    <t xml:space="preserve">Développer des contrôles pour garantir la sécurité des bases de données</t>
  </si>
  <si>
    <t xml:space="preserve">Mise à jour régulière des procédures d’urgence</t>
  </si>
  <si>
    <t xml:space="preserve">Mise à jour régulière des procédures d'urgence</t>
  </si>
  <si>
    <t xml:space="preserve">Mise à jour régulière des procédures d’urgence?</t>
  </si>
  <si>
    <t xml:space="preserve">Mise à jour irrégulière.</t>
  </si>
  <si>
    <t xml:space="preserve">Connaissances manquantes.</t>
  </si>
  <si>
    <t xml:space="preserve">Créer un plan de formation pour développer l’expertise des équipes</t>
  </si>
  <si>
    <t xml:space="preserve">Historique des mises à jour des procédures</t>
  </si>
  <si>
    <t xml:space="preserve">Mettre en place des revues régulières pour évaluer les niveaux de compétence</t>
  </si>
  <si>
    <t xml:space="preserve">Tests périodiques des plans de secours</t>
  </si>
  <si>
    <t xml:space="preserve">Tests périodiques des plans de secours?</t>
  </si>
  <si>
    <t xml:space="preserve">Plans de carrière inexistants.</t>
  </si>
  <si>
    <t xml:space="preserve">Connaissances manquante.</t>
  </si>
  <si>
    <t xml:space="preserve">Développer un plan de continuité pour assurer la disponibilité des systèmes</t>
  </si>
  <si>
    <t xml:space="preserve">Rapports des tests de secours</t>
  </si>
  <si>
    <t xml:space="preserve">Mettre en place des audits pour identifier les failles de sécurité</t>
  </si>
  <si>
    <t xml:space="preserve">S’assurer de l’existence de la documentation d'exploitation</t>
  </si>
  <si>
    <t xml:space="preserve">Documentation technique complète (guides, manuels, schémas)</t>
  </si>
  <si>
    <t xml:space="preserve">Documentation technique complète (guides, manuels, schémas)?</t>
  </si>
  <si>
    <t xml:space="preserve">Documentation technique incomplète.</t>
  </si>
  <si>
    <t xml:space="preserve">Pérennité des systèmes.</t>
  </si>
  <si>
    <t xml:space="preserve">Créer un plan de découverte des systèmes complexes pour les équipes</t>
  </si>
  <si>
    <t xml:space="preserve">Plan de la documentation technique</t>
  </si>
  <si>
    <t xml:space="preserve">Développer des formations pour améliorer la compréhension des systèmes</t>
  </si>
  <si>
    <t xml:space="preserve">Versionnage et mise à jour régulière</t>
  </si>
  <si>
    <t xml:space="preserve">Versionnage et mise à jour régulière de la documentation</t>
  </si>
  <si>
    <t xml:space="preserve">Versionnage et mise à jour régulière?</t>
  </si>
  <si>
    <t xml:space="preserve">Versionnage irrégulier.</t>
  </si>
  <si>
    <t xml:space="preserve">Anomalies non vérifiées.</t>
  </si>
  <si>
    <t xml:space="preserve">Mettre en place des revues régulières pour évaluer les performances</t>
  </si>
  <si>
    <t xml:space="preserve">Historique des versions de la documentation</t>
  </si>
  <si>
    <t xml:space="preserve">Créer un plan de mise à jour pour maintenir les applications à jour</t>
  </si>
  <si>
    <t xml:space="preserve">Accessibilité pour les équipes concernées</t>
  </si>
  <si>
    <t xml:space="preserve">Accessibilité pour les équipes concernées de la documentation</t>
  </si>
  <si>
    <t xml:space="preserve">Accessibilité pour les équipes concernées?</t>
  </si>
  <si>
    <t xml:space="preserve">Remédiation aux incidents incomplète.</t>
  </si>
  <si>
    <t xml:space="preserve">Non correction d'anomalies détectées.</t>
  </si>
  <si>
    <t xml:space="preserve">Développer des sauvegardes régulières pour protéger les données critiques</t>
  </si>
  <si>
    <t xml:space="preserve">Mettre en place des contrôles pour garantir la disponibilité des données</t>
  </si>
  <si>
    <t xml:space="preserve">Couverture des processus critiques</t>
  </si>
  <si>
    <t xml:space="preserve">Couverture des processus critiques par la documentation</t>
  </si>
  <si>
    <t xml:space="preserve">Couverture des processus critiques?</t>
  </si>
  <si>
    <t xml:space="preserve">Couverture incomplète.</t>
  </si>
  <si>
    <t xml:space="preserve">Contraintes sur les opérations.</t>
  </si>
  <si>
    <t xml:space="preserve">Créer un référentiel des éléments critiques à sécuriser</t>
  </si>
  <si>
    <t xml:space="preserve">Liste des processus critiques documentés</t>
  </si>
  <si>
    <t xml:space="preserve">Développer des politiques de sécurité pour protéger les éléments sensibles</t>
  </si>
  <si>
    <t xml:space="preserve">Intégration des retours d’expérience (amélioration continue)</t>
  </si>
  <si>
    <t xml:space="preserve">Intégration des retours d'expérience</t>
  </si>
  <si>
    <t xml:space="preserve">Intégration des retours d’expérience (amélioration continue)?</t>
  </si>
  <si>
    <t xml:space="preserve">Intégration des causes incomplètes.</t>
  </si>
  <si>
    <t xml:space="preserve">Solutions pas adéquats</t>
  </si>
  <si>
    <t xml:space="preserve">Former les équipes pour constituer des équipes compétentes</t>
  </si>
  <si>
    <t xml:space="preserve">Registre des actions d'amélioration continue</t>
  </si>
  <si>
    <t xml:space="preserve">Mettre en place des programmes de certification pour valider les compétences</t>
  </si>
  <si>
    <t xml:space="preserve">S’assurer de l’existence et l’application d’un Contrat de Service</t>
  </si>
  <si>
    <t xml:space="preserve">Existence d’un SLA formalisé et signé</t>
  </si>
  <si>
    <t xml:space="preserve">Document du SLA</t>
  </si>
  <si>
    <t xml:space="preserve">Existence d’un SLA formalisé et signé?</t>
  </si>
  <si>
    <t xml:space="preserve">Évaluation inexistante.</t>
  </si>
  <si>
    <t xml:space="preserve">Mauvaise définition des suivies.</t>
  </si>
  <si>
    <t xml:space="preserve">Créer un plan de sécurisation des environnements critiques</t>
  </si>
  <si>
    <t xml:space="preserve">Contrat de service</t>
  </si>
  <si>
    <t xml:space="preserve">Développer des audits pour identifier les failles dans les environnements</t>
  </si>
  <si>
    <t xml:space="preserve">Définition claire des engagements (disponibilité, temps de réponse, etc?)</t>
  </si>
  <si>
    <t xml:space="preserve">Tableau des engagements de service</t>
  </si>
  <si>
    <t xml:space="preserve">Définition claire des engagements (disponibilité, temps de réponse, etc?)?</t>
  </si>
  <si>
    <t xml:space="preserve">Définition des engagements manquante.</t>
  </si>
  <si>
    <t xml:space="preserve">Sécurité des systèmes</t>
  </si>
  <si>
    <t xml:space="preserve">Mettre en place des processus de vérification des licences utilisées</t>
  </si>
  <si>
    <t xml:space="preserve">Tableau de bord des KPI/SLA</t>
  </si>
  <si>
    <t xml:space="preserve">Créer un registre des licences pour assurer leur conformité</t>
  </si>
  <si>
    <t xml:space="preserve">Suivi régulier des indicateurs de performance (KPI/SLA)</t>
  </si>
  <si>
    <t xml:space="preserve">Calendrier des revues contractuelles</t>
  </si>
  <si>
    <t xml:space="preserve">Suivi régulier des indicateurs de performance (KPI/SLA)?</t>
  </si>
  <si>
    <t xml:space="preserve">Suivi des indicateurs insuffisant.</t>
  </si>
  <si>
    <t xml:space="preserve">Plan incomplets et inexistant.</t>
  </si>
  <si>
    <t xml:space="preserve">Développer des procédures standardisées pour remplacer les processus obsolètes</t>
  </si>
  <si>
    <t xml:space="preserve">Grille des pénalités/mesures correctives</t>
  </si>
  <si>
    <t xml:space="preserve">Mécanismes de reporting et de revue contractuelle</t>
  </si>
  <si>
    <t xml:space="preserve">Catalogue des SLAs et OLAs</t>
  </si>
  <si>
    <t xml:space="preserve">Mécanismes de reporting et de revue contractuelle?</t>
  </si>
  <si>
    <t xml:space="preserve">Mécanismes de reporting inadéquats.</t>
  </si>
  <si>
    <t xml:space="preserve">Connaissance incomplète de l'environnement de sauvegarde</t>
  </si>
  <si>
    <t xml:space="preserve">Former les équipes pour gérer les événements critiques</t>
  </si>
  <si>
    <t xml:space="preserve">Configuration des outils de monitoring</t>
  </si>
  <si>
    <t xml:space="preserve">Développer des plans de réponse pour minimiser les impacts des événements</t>
  </si>
  <si>
    <t xml:space="preserve">Pénalités ou mesures correctives en cas de non-respect</t>
  </si>
  <si>
    <t xml:space="preserve">Compte-rendus des revues de performance</t>
  </si>
  <si>
    <t xml:space="preserve">Pénalités ou mesures correctives en cas de non-respect?</t>
  </si>
  <si>
    <t xml:space="preserve">Mesures correctives non prises.</t>
  </si>
  <si>
    <t xml:space="preserve">Les vulnérabilités ne sont pas corrigées.</t>
  </si>
  <si>
    <t xml:space="preserve">Mettre en place des correctifs pour réduire les vulnérabilités critiques</t>
  </si>
  <si>
    <t xml:space="preserve">Registre des plans d'action</t>
  </si>
  <si>
    <t xml:space="preserve">Développer des audits réguliers pour identifier les risques non corrigés</t>
  </si>
  <si>
    <t xml:space="preserve">S’assurer que les engagements de service et la mesure 
 rigoureuse du niveau de service sont respectés ;</t>
  </si>
  <si>
    <t xml:space="preserve">Définition précise des indicateurs de niveau de service (SLAs, OLAs)</t>
  </si>
  <si>
    <t xml:space="preserve">Plan d'amélioration continue</t>
  </si>
  <si>
    <t xml:space="preserve">Définition précise des indicateurs de niveau de service (SLAs, OLAs)?</t>
  </si>
  <si>
    <t xml:space="preserve">Risques périodiques non maîtrisés.</t>
  </si>
  <si>
    <t xml:space="preserve">Manque de plan de secours</t>
  </si>
  <si>
    <t xml:space="preserve">Mettre en place des plans de secours pour assurer la continuité des opérations</t>
  </si>
  <si>
    <t xml:space="preserve">Exemples de tableaux de bord</t>
  </si>
  <si>
    <t xml:space="preserve">Développer des audits réguliers pour vérifier les mesures de sauvegarde</t>
  </si>
  <si>
    <t xml:space="preserve">Outils de monitoring et reporting en temps réel</t>
  </si>
  <si>
    <t xml:space="preserve">Matrice d'alignement KPI-SLA</t>
  </si>
  <si>
    <t xml:space="preserve">Outils de monitoring et reporting en temps réel?</t>
  </si>
  <si>
    <t xml:space="preserve">Plan d'action inexistant.</t>
  </si>
  <si>
    <t xml:space="preserve">Impact sur la crédibilité des rapports.</t>
  </si>
  <si>
    <t xml:space="preserve">Mettre en place des contrôles pour garantir la sécurité des bases de données</t>
  </si>
  <si>
    <t xml:space="preserve">Rapports d'analyse des tendances</t>
  </si>
  <si>
    <t xml:space="preserve">Revues périodiques des performances avec les parties prenantes</t>
  </si>
  <si>
    <t xml:space="preserve">Configuration des seuils d'alerte</t>
  </si>
  <si>
    <t xml:space="preserve">Revues périodiques des performances avec les parties prenantes?</t>
  </si>
  <si>
    <t xml:space="preserve">Amélioration continue inexistante.</t>
  </si>
  <si>
    <t xml:space="preserve">Mesures de sauvegarde non vérifiées.</t>
  </si>
  <si>
    <t xml:space="preserve">Compte-rendus des revues</t>
  </si>
  <si>
    <t xml:space="preserve">Plan d’action en cas d’écart par rapport aux engagements</t>
  </si>
  <si>
    <t xml:space="preserve">Portail des procédures de sauvegarde et restauration</t>
  </si>
  <si>
    <t xml:space="preserve">Plan d’action en cas d’écart par rapport aux engagements?</t>
  </si>
  <si>
    <t xml:space="preserve">Tableaux de bord inexistants.</t>
  </si>
  <si>
    <t xml:space="preserve">Mesures de sécurité de la base de données insuffisantes</t>
  </si>
  <si>
    <t xml:space="preserve">Planning des sauvegardes</t>
  </si>
  <si>
    <t xml:space="preserve">Amélioration continue basée sur les mesures</t>
  </si>
  <si>
    <t xml:space="preserve">Rapports des tests de restauration</t>
  </si>
  <si>
    <t xml:space="preserve">Amélioration continue basée sur les mesures?</t>
  </si>
  <si>
    <t xml:space="preserve">Indicateurs non alignés.</t>
  </si>
  <si>
    <t xml:space="preserve">Niveaux de données pas suivies</t>
  </si>
  <si>
    <t xml:space="preserve">Politique de sécurité des sauvegardes</t>
  </si>
  <si>
    <t xml:space="preserve">S’assurer que le niveau de service est effectué par l’analyse des 
 tableaux de bord ;</t>
  </si>
  <si>
    <t xml:space="preserve">Existence de tableaux de bord opérationnels et à jour</t>
  </si>
  <si>
    <t xml:space="preserve">Résultats des tests de RTO</t>
  </si>
  <si>
    <t xml:space="preserve">Existence de tableaux de bord opérationnels et à jour?</t>
  </si>
  <si>
    <t xml:space="preserve">Analyses incomplètes.</t>
  </si>
  <si>
    <t xml:space="preserve">Manque d'expertise.</t>
  </si>
  <si>
    <t xml:space="preserve">Logs de planification des sauvegardes</t>
  </si>
  <si>
    <t xml:space="preserve">Indicateurs clés (KPI) alignés sur les engagements de service (SLA)</t>
  </si>
  <si>
    <t xml:space="preserve">Logs de sauvegarde</t>
  </si>
  <si>
    <t xml:space="preserve">Indicateurs clés (KPI) alignés sur les engagements de service (SLA)?</t>
  </si>
  <si>
    <t xml:space="preserve">Alertes non automatisées.</t>
  </si>
  <si>
    <t xml:space="preserve">Sécurité du plan non défini.</t>
  </si>
  <si>
    <t xml:space="preserve">Analyse régulière des tendances et anomalies</t>
  </si>
  <si>
    <t xml:space="preserve">Description de l'architecture de stockage</t>
  </si>
  <si>
    <t xml:space="preserve">Analyse régulière des tendances et anomalies?</t>
  </si>
  <si>
    <t xml:space="preserve">Réunions irrégulières.</t>
  </si>
  <si>
    <t xml:space="preserve">Découvertes complexes.</t>
  </si>
  <si>
    <t xml:space="preserve">Mesures des temps de restauration</t>
  </si>
  <si>
    <t xml:space="preserve">Alertes automatiques en cas de dépassement des seuils critiques</t>
  </si>
  <si>
    <t xml:space="preserve">Alertes automatiques en cas de dépassement des seuils critiques?</t>
  </si>
  <si>
    <t xml:space="preserve">Procédures non documentées.</t>
  </si>
  <si>
    <t xml:space="preserve">Gestion non revue.</t>
  </si>
  <si>
    <t xml:space="preserve">Journal des alertes</t>
  </si>
  <si>
    <t xml:space="preserve">Revues périodiques avec les parties prenantes</t>
  </si>
  <si>
    <t xml:space="preserve">Revues périodiques avec les parties prenantes?</t>
  </si>
  <si>
    <t xml:space="preserve">Périmètre des sauvegardes non définies.</t>
  </si>
  <si>
    <t xml:space="preserve">Application incomplètement.</t>
  </si>
  <si>
    <t xml:space="preserve">Liste des participants aux revues</t>
  </si>
  <si>
    <t xml:space="preserve">Vérifier que les procédures de sauvegarde et de reprise de 
 l’application sont effectives</t>
  </si>
  <si>
    <t xml:space="preserve">Procédures documentées et accessibles</t>
  </si>
  <si>
    <t xml:space="preserve">Procédures documentées et accessibles?</t>
  </si>
  <si>
    <t xml:space="preserve">Tests irréguliers.</t>
  </si>
  <si>
    <t xml:space="preserve">Risques de corruption inconnue.</t>
  </si>
  <si>
    <t xml:space="preserve">Arborescence documentaire des procédures</t>
  </si>
  <si>
    <t xml:space="preserve">Périodicité des sauvegardes conforme aux exigences métier</t>
  </si>
  <si>
    <t xml:space="preserve">Périodicité des sauvegardes conforme aux exigences métier?</t>
  </si>
  <si>
    <t xml:space="preserve">Evaluation du matériel insuffisant.</t>
  </si>
  <si>
    <t xml:space="preserve">Justification des fréquences de sauvegarde</t>
  </si>
  <si>
    <t xml:space="preserve">Tests réguliers de restauration des sauvegardes</t>
  </si>
  <si>
    <t xml:space="preserve">Tests réguliers de restauration des sauvegardes?</t>
  </si>
  <si>
    <t xml:space="preserve">Offre de reprise après sinistre incomplète.</t>
  </si>
  <si>
    <t xml:space="preserve">Incapacité de l'automatisation.</t>
  </si>
  <si>
    <t xml:space="preserve">Plan de tests de restauration</t>
  </si>
  <si>
    <t xml:space="preserve">Sécurisation des supports de sauvegarde (chiffrement, accès restreint)</t>
  </si>
  <si>
    <t xml:space="preserve">Sécurisation des supports de sauvegarde (chiffrement, accès restreint)?</t>
  </si>
  <si>
    <t xml:space="preserve">Planification automatisée inexistante.</t>
  </si>
  <si>
    <t xml:space="preserve">Le plan peut ne pas fonctionner.</t>
  </si>
  <si>
    <t xml:space="preserve">Architecture de sécurisation des sauvegardes</t>
  </si>
  <si>
    <t xml:space="preserve">Délai de reprise après sinistre (RTO) respecté</t>
  </si>
  <si>
    <t xml:space="preserve">Délai de reprise après sinistre (RTO) respecté?</t>
  </si>
  <si>
    <t xml:space="preserve">Anomalisation des opérations inexistante.</t>
  </si>
  <si>
    <t xml:space="preserve">Mauvais rendement.</t>
  </si>
  <si>
    <t xml:space="preserve">Développer un plan de compétences pour gérer les incidents efficacement</t>
  </si>
  <si>
    <t xml:space="preserve">Plan de tests de reprise après sinistre</t>
  </si>
  <si>
    <t xml:space="preserve">Mettre en place des formations pour appliquer les bonnes pratiques</t>
  </si>
  <si>
    <t xml:space="preserve">Vérifier que les sauvegardes sont effectives</t>
  </si>
  <si>
    <t xml:space="preserve">Planification automatisée et vérifiée des sauvegardes</t>
  </si>
  <si>
    <t xml:space="preserve">Planification automatisée et vérifiée des sauvegardes?</t>
  </si>
  <si>
    <t xml:space="preserve">Données de systèmes qui ne sont plus disponibles.</t>
  </si>
  <si>
    <t xml:space="preserve">Mettre en place une gouvernance en cybersécurité avec des rôles clairs</t>
  </si>
  <si>
    <t xml:space="preserve">Rapport de configuration de la planification</t>
  </si>
  <si>
    <t xml:space="preserve">Développer des politiques de sécurité pour réduire les pratiques incohérentes</t>
  </si>
  <si>
    <t xml:space="preserve">Journalisation des opérations de sauvegarde</t>
  </si>
  <si>
    <t xml:space="preserve">Journalisation des opérations de sauvegarde?</t>
  </si>
  <si>
    <t xml:space="preserve">Stockage adéquat inexistant.</t>
  </si>
  <si>
    <t xml:space="preserve">Informations à sécuriser absentes.</t>
  </si>
  <si>
    <t xml:space="preserve">Former les équipes à la détection des erreurs humaines en sécurité</t>
  </si>
  <si>
    <t xml:space="preserve">Analyse des logs de sauvegarde</t>
  </si>
  <si>
    <t xml:space="preserve">Mettre en place des audits pour identifier les failles exploitables</t>
  </si>
  <si>
    <t xml:space="preserve">Contrôle d’intégrité des sauvegardes</t>
  </si>
  <si>
    <t xml:space="preserve">Contrôle d’intégrité des sauvegardes?</t>
  </si>
  <si>
    <t xml:space="preserve">Capacité matérielle insuffisante.</t>
  </si>
  <si>
    <t xml:space="preserve">Absence d'éléments important à sécuriser.</t>
  </si>
  <si>
    <t xml:space="preserve">Mettre en place des outils de détection et de prévention des incidents</t>
  </si>
  <si>
    <t xml:space="preserve">Développer des plans de réponse pour minimiser les impacts des incidents</t>
  </si>
  <si>
    <t xml:space="preserve">Stockage sécurisé (local et hors site)</t>
  </si>
  <si>
    <t xml:space="preserve">Stockage sécurisé (local et hors site)?</t>
  </si>
  <si>
    <t xml:space="preserve">Plan de secours non documenté.</t>
  </si>
  <si>
    <t xml:space="preserve">Difficile à mettre les équipes compétente.</t>
  </si>
  <si>
    <t xml:space="preserve">Implémenter des contrôles d’accès stricts pour limiter les abus</t>
  </si>
  <si>
    <t xml:space="preserve">Plan de capacité de stockage</t>
  </si>
  <si>
    <t xml:space="preserve">Mettre en place des audits réguliers pour détecter les accès non autorisés</t>
  </si>
  <si>
    <t xml:space="preserve">Capacité à restaurer dans un délai acceptable</t>
  </si>
  <si>
    <t xml:space="preserve">Capacité à restaurer dans un délai acceptable?</t>
  </si>
  <si>
    <t xml:space="preserve">Identification des éléments critiques incomplète.</t>
  </si>
  <si>
    <t xml:space="preserve">Environnements critiques pas sécurisées.</t>
  </si>
  <si>
    <t xml:space="preserve">Mettre en place des outils de détection des accès non autorisés</t>
  </si>
  <si>
    <t xml:space="preserve">Rapport d'évaluation des temps de restauration</t>
  </si>
  <si>
    <t xml:space="preserve">Développer des politiques pour enquêter sur les accès non autorisés</t>
  </si>
  <si>
    <t xml:space="preserve">S’assurer de l’existence d'un plan de secours en adéquation 
 avec les besoins et les enjeux</t>
  </si>
  <si>
    <t xml:space="preserve">Plan de secours documenté et validé</t>
  </si>
  <si>
    <t xml:space="preserve">Plan de secours documenté et validé?</t>
  </si>
  <si>
    <t xml:space="preserve">Ressources matérielles / logicielles non disponibles pour la reprise.</t>
  </si>
  <si>
    <t xml:space="preserve">Information des licences sont pas vérifier.</t>
  </si>
  <si>
    <t xml:space="preserve">Mettre en place des contrôles pour détecter les modifications non autorisées</t>
  </si>
  <si>
    <t xml:space="preserve">Historique des validations du plan de secours</t>
  </si>
  <si>
    <t xml:space="preserve">Développer des audits pour identifier les failles de sécurité potentielles</t>
  </si>
  <si>
    <t xml:space="preserve">Identification des scénarios critiques couverts</t>
  </si>
  <si>
    <t xml:space="preserve">Liste des scénarios critiques couverts</t>
  </si>
  <si>
    <t xml:space="preserve">Identification des scénarios critiques couverts?</t>
  </si>
  <si>
    <t xml:space="preserve">Offres de secours insuffisantes.</t>
  </si>
  <si>
    <t xml:space="preserve">Procédure obsolète.</t>
  </si>
  <si>
    <t xml:space="preserve">Implémenter des contrôles d’accès stricts pour protéger les données sensibles</t>
  </si>
  <si>
    <t xml:space="preserve">Matrice de couverture des scénarios</t>
  </si>
  <si>
    <t xml:space="preserve">Mettre en place des audits pour détecter les abus et les intrusions</t>
  </si>
  <si>
    <t xml:space="preserve">Ressources matérielles/logicielles prévues pour la reprise</t>
  </si>
  <si>
    <t xml:space="preserve">Inventaire des ressources de reprise</t>
  </si>
  <si>
    <t xml:space="preserve">Ressources matérielles/logicielles prévues pour la reprise?</t>
  </si>
  <si>
    <t xml:space="preserve">Communication incomplète.</t>
  </si>
  <si>
    <t xml:space="preserve">Événement à réviser pas en place.</t>
  </si>
  <si>
    <t xml:space="preserve">Mettre en place des outils de détection des modifications non autorisées</t>
  </si>
  <si>
    <t xml:space="preserve">Plan de gestion des ressources de reprise</t>
  </si>
  <si>
    <t xml:space="preserve">Développer des politiques pour identifier les changements non autorisés</t>
  </si>
  <si>
    <t xml:space="preserve">Délais de bascule (RPO/RTO) définis et réalistes</t>
  </si>
  <si>
    <t xml:space="preserve">Définition des RPO/RTO</t>
  </si>
  <si>
    <t xml:space="preserve">Délais de bascule (RPO/RTO) définis et réalistes?</t>
  </si>
  <si>
    <t xml:space="preserve">Tests inexistants.</t>
  </si>
  <si>
    <t xml:space="preserve">Équipes non qualifier</t>
  </si>
  <si>
    <t xml:space="preserve">Développer une matrice de responsabilités pour clarifier les rôles</t>
  </si>
  <si>
    <t xml:space="preserve">Résultats des mesures de RPO/RTO</t>
  </si>
  <si>
    <t xml:space="preserve">Mettre en place des revues régulières pour évaluer les responsabilités</t>
  </si>
  <si>
    <t xml:space="preserve">Communication claire des rôles en cas d’activation</t>
  </si>
  <si>
    <t xml:space="preserve">Procédure de communication d'urgence</t>
  </si>
  <si>
    <t xml:space="preserve">Communication claire des rôles en cas d’activation?</t>
  </si>
  <si>
    <t xml:space="preserve">Retour d'expérience inexistant.</t>
  </si>
  <si>
    <t xml:space="preserve">Aucune amélioration continue des processus, répétition des mêmes erreurs.</t>
  </si>
  <si>
    <t xml:space="preserve">Mettre en place des formations pour améliorer la compréhension des procédures</t>
  </si>
  <si>
    <t xml:space="preserve">Liste des contacts d'urgence</t>
  </si>
  <si>
    <t xml:space="preserve">Développer des guides pour standardiser les outils et les processus</t>
  </si>
  <si>
    <t xml:space="preserve">S’assurer que des tests et mises à jour du plan sont effectifs</t>
  </si>
  <si>
    <t xml:space="preserve">Tests périodiques du plan de secours (au moins annuels)</t>
  </si>
  <si>
    <t xml:space="preserve">Plan de tests du plan de secours</t>
  </si>
  <si>
    <t xml:space="preserve">Tests périodiques du plan de secours (au moins annuels)?</t>
  </si>
  <si>
    <t xml:space="preserve">Correction des écarts non identifiée.</t>
  </si>
  <si>
    <t xml:space="preserve">Risque accru de vulnérabilités non corrigées pouvant être exploitées.</t>
  </si>
  <si>
    <t xml:space="preserve">Rapports des tests du plan de secours</t>
  </si>
  <si>
    <t xml:space="preserve">Retours d’expérience intégrés dans les mises à jour</t>
  </si>
  <si>
    <t xml:space="preserve">Registre des retours d'expérience</t>
  </si>
  <si>
    <t xml:space="preserve">Retours d’expérience intégrés dans les mises à jour?</t>
  </si>
  <si>
    <t xml:space="preserve">Formation des équipes inexistante.</t>
  </si>
  <si>
    <t xml:space="preserve">Manque de compétences pour gérer les incidents et appliquer les bonnes pratiques.</t>
  </si>
  <si>
    <t xml:space="preserve">Mettre en place des processus de prise de décision informés</t>
  </si>
  <si>
    <t xml:space="preserve">Plan d'actions correctives post-tests</t>
  </si>
  <si>
    <t xml:space="preserve">Développer des revues régulières pour évaluer les décisions prises</t>
  </si>
  <si>
    <t xml:space="preserve">Correction des écarts identifiés lors des tests</t>
  </si>
  <si>
    <t xml:space="preserve">Procédure de correction des écarts</t>
  </si>
  <si>
    <t xml:space="preserve">Correction des écarts identifiés lors des tests?</t>
  </si>
  <si>
    <t xml:space="preserve">Absence d'avis et de désapprobation des modifications.</t>
  </si>
  <si>
    <t xml:space="preserve">Déploiement de modifications non sécurisées pouvant entraîner des failles.</t>
  </si>
  <si>
    <t xml:space="preserve">Développer des formations pour aligner les équipes sur les objectifs</t>
  </si>
  <si>
    <t xml:space="preserve">Registre des écarts et des corrections</t>
  </si>
  <si>
    <t xml:space="preserve">Mettre en place des revues pour évaluer l’alignement des équipes</t>
  </si>
  <si>
    <t xml:space="preserve">Formation des équipes sur les procédures</t>
  </si>
  <si>
    <t xml:space="preserve">Plan de formation des équipes aux procédures</t>
  </si>
  <si>
    <t xml:space="preserve">Formation des équipes sur les procédures?</t>
  </si>
  <si>
    <t xml:space="preserve">Désignation d'un RSSI inexistante.</t>
  </si>
  <si>
    <t xml:space="preserve">Absence de gouvernance et de stratégie en cybersécurité.</t>
  </si>
  <si>
    <t xml:space="preserve">Mettre en place des revues régulières pour évaluer les retours des équipes</t>
  </si>
  <si>
    <t xml:space="preserve">Supports de formation (manuels, guides)</t>
  </si>
  <si>
    <t xml:space="preserve">Développer des indicateurs pour mesurer la qualité des projets</t>
  </si>
  <si>
    <t xml:space="preserve">Versionnage du plan et historique des modifications</t>
  </si>
  <si>
    <t xml:space="preserve">Politique de gestion des versions du plan de secours</t>
  </si>
  <si>
    <t xml:space="preserve">Versionnage du plan et historique des modifications?</t>
  </si>
  <si>
    <t xml:space="preserve">Politique inexistante.</t>
  </si>
  <si>
    <t xml:space="preserve">Manque de cadre et de règles claires, entraînant des pratiques incohérentes.</t>
  </si>
  <si>
    <t xml:space="preserve">Mettre en place des canaux de communication clairs pour les équipes</t>
  </si>
  <si>
    <t xml:space="preserve">Historique des modifications du plan de secours</t>
  </si>
  <si>
    <t xml:space="preserve">Développer des outils pour faciliter la collaboration entre les équipes</t>
  </si>
  <si>
    <t xml:space="preserve">Vérifier la présence de responsable sécurité et d’une politique 
 formalisée en matière de sécurité informatique</t>
  </si>
  <si>
    <t xml:space="preserve">Désignation d’un RSSI (Responsable Sécurité des Systèmes d’Information)</t>
  </si>
  <si>
    <t xml:space="preserve">Lettre de désignation du RSSI</t>
  </si>
  <si>
    <t xml:space="preserve">Désignation d’un RSSI (Responsable Sécurité des Systèmes d’Information)?</t>
  </si>
  <si>
    <t xml:space="preserve">Sensibilisation du personnel non effectuée.</t>
  </si>
  <si>
    <t xml:space="preserve">Augmentation des erreurs humaines et des incidents de sécurité.</t>
  </si>
  <si>
    <t xml:space="preserve">Mettre en place des contrôles pour évaluer les processus critiques</t>
  </si>
  <si>
    <t xml:space="preserve">Description de poste du RSSI</t>
  </si>
  <si>
    <t xml:space="preserve">Développer des indicateurs pour mesurer la performance des processus</t>
  </si>
  <si>
    <t xml:space="preserve">Politique de sécurité documentée et approuvée</t>
  </si>
  <si>
    <t xml:space="preserve">Politique de sécurité documentée et approuvée?</t>
  </si>
  <si>
    <t xml:space="preserve">Mise à jour non adaptée.</t>
  </si>
  <si>
    <t xml:space="preserve">Persistance de failles de sécurité exploitables par des attaquants.</t>
  </si>
  <si>
    <t xml:space="preserve">Mettre en place des revues régulières pour évaluer les exigences du projet</t>
  </si>
  <si>
    <t xml:space="preserve">Charte de sécurité informatique</t>
  </si>
  <si>
    <t xml:space="preserve">Développer des outils pour valider les solutions et les outils choisis</t>
  </si>
  <si>
    <t xml:space="preserve">Sensibilisation régulière du personnel</t>
  </si>
  <si>
    <t xml:space="preserve">Plan de sensibilisation à la sécurité</t>
  </si>
  <si>
    <t xml:space="preserve">Sensibilisation régulière du personnel?</t>
  </si>
  <si>
    <t xml:space="preserve">Activité de contrôle de sécurité inexistante.</t>
  </si>
  <si>
    <t xml:space="preserve">Incapacité à détecter et prévenir les incidents de sécurité.</t>
  </si>
  <si>
    <t xml:space="preserve">Mettre en place des processus de validation pour détecter les erreurs</t>
  </si>
  <si>
    <t xml:space="preserve">Supports de sensibilisation (affiches, e-learnings)</t>
  </si>
  <si>
    <t xml:space="preserve">Développer des revues régulières pour évaluer les processus en place</t>
  </si>
  <si>
    <t xml:space="preserve">Mise à jour adaptée aux nouvelles menaces</t>
  </si>
  <si>
    <t xml:space="preserve">Veille technologique et sécurité (rapports)</t>
  </si>
  <si>
    <t xml:space="preserve">Mise à jour adaptée aux nouvelles menaces?</t>
  </si>
  <si>
    <t xml:space="preserve">Procédures d'entrées formelles (demande/approbation) inexistantes.</t>
  </si>
  <si>
    <t xml:space="preserve">Accès non contrôlé pouvant entraîner des abus et des intrusions.</t>
  </si>
  <si>
    <t xml:space="preserve">Mettre en place des outils de traçabilité pour suivre les actions effectuées</t>
  </si>
  <si>
    <t xml:space="preserve">Plan de mise à jour des mesures de sécurité</t>
  </si>
  <si>
    <t xml:space="preserve">Développer des audits pour évaluer la documentation des projets</t>
  </si>
  <si>
    <t xml:space="preserve">Contrôle de conformité (audits internes/externes)</t>
  </si>
  <si>
    <t xml:space="preserve">Plan d'audit interne de la sécurité</t>
  </si>
  <si>
    <t xml:space="preserve">Contrôle de conformité (audits internes/externes)?</t>
  </si>
  <si>
    <t xml:space="preserve">Risque d’accès non autorisé à des données sensibles.</t>
  </si>
  <si>
    <t xml:space="preserve">Mettre en place des revues régulières pour évaluer les méthodes utilisées</t>
  </si>
  <si>
    <t xml:space="preserve">Rapports d'audits externes</t>
  </si>
  <si>
    <t xml:space="preserve">Développer des formations pour adapter les équipes aux nouvelles méthodes</t>
  </si>
  <si>
    <t xml:space="preserve">Vérifier que les accès aux commandes système, aux 
 bibliothèques et bases de données de production sont réglementés</t>
  </si>
  <si>
    <t xml:space="preserve">Procédures d’accès formalisées (demande/approbation)</t>
  </si>
  <si>
    <t xml:space="preserve">Procédures de gestion des accès (demande, approbation)</t>
  </si>
  <si>
    <t xml:space="preserve">Procédures d’accès formalisées (demande/approbation)?</t>
  </si>
  <si>
    <t xml:space="preserve">Journalisation inexistante des accès sensibles.</t>
  </si>
  <si>
    <t xml:space="preserve">Impossibilité de détecter ou d’enquêter sur des accès non autorisés.</t>
  </si>
  <si>
    <t xml:space="preserve">Principe du moindre privilège appliqué</t>
  </si>
  <si>
    <t xml:space="preserve">Politique du moindre privilège</t>
  </si>
  <si>
    <t xml:space="preserve">Principe du moindre privilège appliqué?</t>
  </si>
  <si>
    <t xml:space="preserve">Alertes périodiques des modifications inexistantes.</t>
  </si>
  <si>
    <t xml:space="preserve">Modifications non détectées pouvant causer des failles de sécurité.</t>
  </si>
  <si>
    <t xml:space="preserve">Matrice d'accès par rôle</t>
  </si>
  <si>
    <t xml:space="preserve">Journalisation des accès sensibles</t>
  </si>
  <si>
    <t xml:space="preserve">Politique de journalisation des accès sensibles</t>
  </si>
  <si>
    <t xml:space="preserve">Journalisation des accès sensibles?</t>
  </si>
  <si>
    <t xml:space="preserve">Authentification forte non réalisée pour les accès critiques.</t>
  </si>
  <si>
    <t xml:space="preserve">Risque accru d’usurpation d’identité et de compromission des comptes sensibles.</t>
  </si>
  <si>
    <t xml:space="preserve">Logs d'accès sensibles</t>
  </si>
  <si>
    <t xml:space="preserve">Revues périodiques des habilitations</t>
  </si>
  <si>
    <t xml:space="preserve">Planning des revues d'habilitations</t>
  </si>
  <si>
    <t xml:space="preserve">Revues périodiques des habilitations?</t>
  </si>
  <si>
    <t xml:space="preserve">Liste des utilisateurs sensibles non définie.</t>
  </si>
  <si>
    <t xml:space="preserve">Gestion inadéquate des accès critiques, augmentant les risques de fuite d’informations.</t>
  </si>
  <si>
    <t xml:space="preserve">Compte-rendus des revues d'habilitations</t>
  </si>
  <si>
    <t xml:space="preserve">Authentification forte pour les accès critiques</t>
  </si>
  <si>
    <t xml:space="preserve">Politique d'authentification forte</t>
  </si>
  <si>
    <t xml:space="preserve">Authentification forte pour les accès critiques?</t>
  </si>
  <si>
    <t xml:space="preserve">Restriction d'accès par rôle inexistante.</t>
  </si>
  <si>
    <t xml:space="preserve">Mettre en place des contrôles d’accès stricts pour limiter les abus</t>
  </si>
  <si>
    <t xml:space="preserve">Architecture d'authentification forte</t>
  </si>
  <si>
    <t xml:space="preserve">Développer des audits réguliers pour détecter les accès non autorisés</t>
  </si>
  <si>
    <t xml:space="preserve">S’assurer que les accès aux logiciels de base et utilitaires 
 sensibles sont réglementés</t>
  </si>
  <si>
    <t xml:space="preserve">Liste des utilitaires sensibles identifiés</t>
  </si>
  <si>
    <t xml:space="preserve">Liste des utilisateurs sensibles</t>
  </si>
  <si>
    <t xml:space="preserve">Liste des utilitaires sensibles identifiés?</t>
  </si>
  <si>
    <t xml:space="preserve">Traçabilité des modifications non assurée.</t>
  </si>
  <si>
    <t xml:space="preserve">Impossibilité d’identifier les modifications apportées aux systèmes.</t>
  </si>
  <si>
    <t xml:space="preserve">Mettre en place des politiques pour protéger les données critiques</t>
  </si>
  <si>
    <t xml:space="preserve">Politique de gestion des comptes sensibles</t>
  </si>
  <si>
    <t xml:space="preserve">Développer des sauvegardes régulières pour éviter la fuite d’informations</t>
  </si>
  <si>
    <t xml:space="preserve">Restriction d’accès par rôle (ex : équipe infra uniquement)</t>
  </si>
  <si>
    <t xml:space="preserve">Politique de restriction d'accès par rôle</t>
  </si>
  <si>
    <t xml:space="preserve">Restriction d’accès par rôle (ex : équipe infra uniquement)?</t>
  </si>
  <si>
    <t xml:space="preserve">Mécanismes de détection inexistants.</t>
  </si>
  <si>
    <t xml:space="preserve">Détection tardive ou inexistante des incidents de sécurité.</t>
  </si>
  <si>
    <t xml:space="preserve">Mettre en place une matrice de responsabilités pour clarifier les rôles</t>
  </si>
  <si>
    <t xml:space="preserve">Matrice d'accès par équipe/rôle</t>
  </si>
  <si>
    <t xml:space="preserve">Développer des revues régulières pour évaluer les responsabilités</t>
  </si>
  <si>
    <t xml:space="preserve">Traçabilité des modifications via logs</t>
  </si>
  <si>
    <t xml:space="preserve">Politique de journalisation des modifications</t>
  </si>
  <si>
    <t xml:space="preserve">Traçabilité des modifications via logs?</t>
  </si>
  <si>
    <t xml:space="preserve">Audits inexistants des permissions.</t>
  </si>
  <si>
    <t xml:space="preserve">Risque d’attribution inexacte des droits d’accès.</t>
  </si>
  <si>
    <t xml:space="preserve">Mécanismes de détection d’usage non autorisé</t>
  </si>
  <si>
    <t xml:space="preserve">Système de détection d'intrusion (IDS/IPS) - Règles et configuration</t>
  </si>
  <si>
    <t xml:space="preserve">Mécanismes de détection d’usage non autorisé?</t>
  </si>
  <si>
    <t xml:space="preserve">Revues inexistantes/irrégulières des habilitations.</t>
  </si>
  <si>
    <t xml:space="preserve">Maintien des accès inappropriés, augmentant le risque de compromission.</t>
  </si>
  <si>
    <t xml:space="preserve">Alertes du système de détection d'intrusion</t>
  </si>
  <si>
    <t xml:space="preserve">Audits ponctuels des permissions</t>
  </si>
  <si>
    <t xml:space="preserve">Politique d'audit ponctuel des permissions</t>
  </si>
  <si>
    <t xml:space="preserve">Audits ponctuels des permissions?</t>
  </si>
  <si>
    <t xml:space="preserve">Désactivation automatique des comptes inexistante.</t>
  </si>
  <si>
    <t xml:space="preserve">Conservation des accès pour les anciens employés, augmentant les risques d’intrusion.</t>
  </si>
  <si>
    <t xml:space="preserve">Rapports d'audits ponctuels des permissions</t>
  </si>
  <si>
    <t xml:space="preserve">Vérifier l’existence des procédures de contrôle périodique des 
 accès aux ressources de l'application</t>
  </si>
  <si>
    <t xml:space="preserve">Revues trimestrielles/annuelles des habilitations</t>
  </si>
  <si>
    <t xml:space="preserve">Planning des revues trimestrielles/annuelles des habilitations</t>
  </si>
  <si>
    <t xml:space="preserve">Revues trimestrielles/annuelles des habilitations?</t>
  </si>
  <si>
    <t xml:space="preserve">Processus de distribution des rôles au sein du changement de poste inexistante.</t>
  </si>
  <si>
    <t xml:space="preserve">Confusion et mauvaise attribution des responsabilités lors des changements de poste.</t>
  </si>
  <si>
    <t xml:space="preserve">Désactivation automatique des comptes inactifs</t>
  </si>
  <si>
    <t xml:space="preserve">Procédure de désactivation des comptes inactifs</t>
  </si>
  <si>
    <t xml:space="preserve">Désactivation automatique des comptes inactifs?</t>
  </si>
  <si>
    <t xml:space="preserve">Outils de gestion des identités et accès (IAM) inexistants.</t>
  </si>
  <si>
    <t xml:space="preserve">Difficulté à gérer les accès et les identités, facilitant les attaques.</t>
  </si>
  <si>
    <t xml:space="preserve">Registre des comptes désactivés</t>
  </si>
  <si>
    <t xml:space="preserve">Processus de réattribution des droits en cas de changement de poste</t>
  </si>
  <si>
    <t xml:space="preserve">Processus de réattribution des droits en cas de changement de poste?</t>
  </si>
  <si>
    <t xml:space="preserve">Rapports d'activité partagés avec la direction inexistants.</t>
  </si>
  <si>
    <t xml:space="preserve">Absence de visibilité pour la direction, retard dans la prise de décision.</t>
  </si>
  <si>
    <t xml:space="preserve">Formulaire de changement de poste et de réattribution des droits</t>
  </si>
  <si>
    <t xml:space="preserve">Outils de gestion des identités et accès (IAM)</t>
  </si>
  <si>
    <t xml:space="preserve">Outil de gestion des identités et des accès (IAM) - Manuel utilisateur</t>
  </si>
  <si>
    <t xml:space="preserve">Outils de gestion des identités et accès (IAM)?</t>
  </si>
  <si>
    <t xml:space="preserve">Document de formation de synthèse inexistant.</t>
  </si>
  <si>
    <t xml:space="preserve">Manque de formation, mauvaise compréhension des procédures et des outils.</t>
  </si>
  <si>
    <t xml:space="preserve">Politique d'utilisation de l'outil IAM</t>
  </si>
  <si>
    <t xml:space="preserve">Rapports d’audit partagés avec la direction</t>
  </si>
  <si>
    <t xml:space="preserve">Rapports d'audit partagés avec la direction</t>
  </si>
  <si>
    <t xml:space="preserve">Rapports d’audit partagés avec la direction?</t>
  </si>
  <si>
    <t xml:space="preserve">Risque accru de vulnérabilités non corrigées.</t>
  </si>
  <si>
    <t xml:space="preserve">Procès-verbaux des réunions de partage des audits</t>
  </si>
  <si>
    <t xml:space="preserve">Adéquation de l'application aux besoins</t>
  </si>
  <si>
    <t xml:space="preserve">Vérifier qu’un Schéma-directeur du système d’information 
 existe et est à jour</t>
  </si>
  <si>
    <t xml:space="preserve">Existence d’un document formalisé de schéma-directeur</t>
  </si>
  <si>
    <t xml:space="preserve">Schéma directeur des systèmes d'information</t>
  </si>
  <si>
    <t xml:space="preserve">Existence d’un document formalisé de schéma-directeur?</t>
  </si>
  <si>
    <t xml:space="preserve">Réalisation par la direction en parties prenantes, risques inexistants.</t>
  </si>
  <si>
    <t xml:space="preserve">Décisions mal informées pouvant conduire à des failles de sécurité.</t>
  </si>
  <si>
    <t xml:space="preserve">Plan stratégique des systèmes d'information</t>
  </si>
  <si>
    <t xml:space="preserve">Mise à jour régulière (au moins annuelle) en fonction des évolutions stratégiques</t>
  </si>
  <si>
    <t xml:space="preserve">Mise à jour régulière du schéma directeur - Planning</t>
  </si>
  <si>
    <t xml:space="preserve">Mise à jour régulière (au moins annuelle) en fonction des évolutions stratégiques?</t>
  </si>
  <si>
    <t xml:space="preserve">Cohérence avec la feuille de route technologique inexistante.</t>
  </si>
  <si>
    <t xml:space="preserve">Mauvaise adéquation entre les besoins technologiques et les objectifs de l’entreprise.</t>
  </si>
  <si>
    <t xml:space="preserve">Historique des mises à jour du schéma directeur</t>
  </si>
  <si>
    <t xml:space="preserve">Validation par la direction et les parties prenantes clés</t>
  </si>
  <si>
    <t xml:space="preserve">Validation du schéma directeur par la direction</t>
  </si>
  <si>
    <t xml:space="preserve">Validation par la direction et les parties prenantes clés?</t>
  </si>
  <si>
    <t xml:space="preserve">Accessibilité et diffusion auprès des équipes concernées inexistantes.</t>
  </si>
  <si>
    <t xml:space="preserve">Manque d’alignement des équipes, entraînant des erreurs de mise en œuvre.</t>
  </si>
  <si>
    <t xml:space="preserve">Compte-rendus des réunions de validation</t>
  </si>
  <si>
    <t xml:space="preserve">Cohérence avec la feuille de route technologique de l’entreprise</t>
  </si>
  <si>
    <t xml:space="preserve">Feuille de route technologique de l'entreprise</t>
  </si>
  <si>
    <t xml:space="preserve">Cohérence avec la feuille de route technologique de l’entreprise?</t>
  </si>
  <si>
    <t xml:space="preserve">Consultation des remarques des équipes changeantes inexistantes.</t>
  </si>
  <si>
    <t xml:space="preserve">Non-prise en compte des retours des équipes, impactant la qualité du projet.</t>
  </si>
  <si>
    <t xml:space="preserve">Cartographie applicative de l'entreprise</t>
  </si>
  <si>
    <t xml:space="preserve">Accessibilité et diffusion auprès des équipes concernées</t>
  </si>
  <si>
    <t xml:space="preserve">Analyse de cohérence schéma directeur / feuille de route</t>
  </si>
  <si>
    <t xml:space="preserve">Accessibilité et diffusion auprès des équipes concernées?</t>
  </si>
  <si>
    <t xml:space="preserve">Accessibilité et diffusion limitées.</t>
  </si>
  <si>
    <t xml:space="preserve">Information difficilement accessible, freinant la collaboration.</t>
  </si>
  <si>
    <t xml:space="preserve">Mettre en place des formations pour améliorer les compétences des utilisateurs</t>
  </si>
  <si>
    <t xml:space="preserve">Rapport d'analyse de cohérence</t>
  </si>
  <si>
    <t xml:space="preserve">Développer des supports pour faciliter la résolution des problèmes</t>
  </si>
  <si>
    <t xml:space="preserve">S’assurer qu’une évaluation de l’alignement stratégique de 
 l’application avec les orientation de l’entreprise a été réalisée</t>
  </si>
  <si>
    <t xml:space="preserve">Documentation de l’analyse d’alignement stratégique</t>
  </si>
  <si>
    <t xml:space="preserve">Politique d'accès à la documentation du schéma directeur</t>
  </si>
  <si>
    <t xml:space="preserve">Documentation de l’analyse d’alignement stratégique?</t>
  </si>
  <si>
    <t xml:space="preserve">Documentation d'alignement inexistante.</t>
  </si>
  <si>
    <t xml:space="preserve">Manque de directives claires, entraînant des erreurs dans la mise en œuvre.</t>
  </si>
  <si>
    <t xml:space="preserve">Mettre en place des revues régulières pour identifier les ressources nécessaires</t>
  </si>
  <si>
    <t xml:space="preserve">Plan de diffusion du schéma directeur</t>
  </si>
  <si>
    <t xml:space="preserve">Développer des plans pour optimiser l’utilisation des ressources</t>
  </si>
  <si>
    <t xml:space="preserve">Lien clair entre les fonctionnalités de l’application et les objectifs métier</t>
  </si>
  <si>
    <t xml:space="preserve">Documentation de l'analyse d'alignement stratégique</t>
  </si>
  <si>
    <t xml:space="preserve">Lien clair entre les fonctionnalités de l’application et les objectifs métier?</t>
  </si>
  <si>
    <t xml:space="preserve">Objectifs non liés aux fonctionnalités.</t>
  </si>
  <si>
    <t xml:space="preserve">Fonctionnalités développées sans répondre aux besoins réels.</t>
  </si>
  <si>
    <t xml:space="preserve">Développer des guides pour standardiser l’exécution des tâches</t>
  </si>
  <si>
    <t xml:space="preserve">Matrice d'alignement stratégique (SI - Métier)</t>
  </si>
  <si>
    <t xml:space="preserve">Mettre en place des revues pour évaluer l’efficacité des procédures</t>
  </si>
  <si>
    <t xml:space="preserve">Revue par les responsables métier et DSI</t>
  </si>
  <si>
    <t xml:space="preserve">Cartographie des fonctionnalités de l'application</t>
  </si>
  <si>
    <t xml:space="preserve">Revue par les responsables métier et DSI?</t>
  </si>
  <si>
    <t xml:space="preserve">Revue inexistante.</t>
  </si>
  <si>
    <t xml:space="preserve">Absence de contrôle et d’évaluation des processus.</t>
  </si>
  <si>
    <t xml:space="preserve">Mettre en place des processus de prise de décision justifiés</t>
  </si>
  <si>
    <t xml:space="preserve">Tableau de bord des objectifs métier</t>
  </si>
  <si>
    <t xml:space="preserve">Développer des audits pour identifier les erreurs critiques</t>
  </si>
  <si>
    <t xml:space="preserve">Mise à jour en cas de changement stratégique</t>
  </si>
  <si>
    <t xml:space="preserve">Procès-verbaux des revues métier et DSI</t>
  </si>
  <si>
    <t xml:space="preserve">Mise à jour en cas de changement stratégique?</t>
  </si>
  <si>
    <t xml:space="preserve">Non-prise en compte des indicateurs, rendant la performance difficile à évaluer.</t>
  </si>
  <si>
    <t xml:space="preserve">Mettre en place des correctifs pour réduire les risques d’échec</t>
  </si>
  <si>
    <t xml:space="preserve">Plan d'actions suite aux revues</t>
  </si>
  <si>
    <t xml:space="preserve">Développer des audits réguliers pour identifier les dysfonctionnements</t>
  </si>
  <si>
    <t xml:space="preserve">Indicateurs de performance (KPIs) mesurant cet alignement</t>
  </si>
  <si>
    <t xml:space="preserve">Procédure de gestion des changements stratégiques</t>
  </si>
  <si>
    <t xml:space="preserve">Indicateurs de performance (KPIs) mesurant cet alignement?</t>
  </si>
  <si>
    <t xml:space="preserve">Indicateurs de performance non définis.</t>
  </si>
  <si>
    <t xml:space="preserve">Risque de mauvaise définition des exigences du projet.</t>
  </si>
  <si>
    <t xml:space="preserve">Mettre en place une méthodologie claire pour standardiser les décisions</t>
  </si>
  <si>
    <t xml:space="preserve">Historique des changements stratégiques</t>
  </si>
  <si>
    <t xml:space="preserve">Développer des revues régulières pour évaluer la cohérence des décisions</t>
  </si>
  <si>
    <t xml:space="preserve">S’assurer que la définition des spécifications ou les critères de 
 choix de la solution a été clairement établie</t>
  </si>
  <si>
    <t xml:space="preserve">Cahier des charges ou document de spécifications fonctionnelles et techniques</t>
  </si>
  <si>
    <t xml:space="preserve">Indicateurs de performance (KPIs) d'alignement stratégique</t>
  </si>
  <si>
    <t xml:space="preserve">Cahier des charges ou document de spécifications fonctionnelles et techniques?</t>
  </si>
  <si>
    <t xml:space="preserve">Absence de cahier des charges.</t>
  </si>
  <si>
    <t xml:space="preserve">Sélection inappropriée des solutions et outils.</t>
  </si>
  <si>
    <t xml:space="preserve">Mettre en place des correctifs pour réduire les erreurs non corrigées</t>
  </si>
  <si>
    <t xml:space="preserve">Tableau de bord des KPIs d'alignement</t>
  </si>
  <si>
    <t xml:space="preserve">Développer des indicateurs pour mesurer la qualité des services</t>
  </si>
  <si>
    <t xml:space="preserve">Critères de sélection objectifs et priorisés (coût, fonctionnalités, évolutivité, etc?)</t>
  </si>
  <si>
    <t xml:space="preserve">Cahier des charges fonctionnel de l'application</t>
  </si>
  <si>
    <t xml:space="preserve">Critères de sélection absents.</t>
  </si>
  <si>
    <t xml:space="preserve">Erreurs non détectées et absence de validation des processus.</t>
  </si>
  <si>
    <t xml:space="preserve">Mettre en place des revues régulières pour évaluer les besoins des utilisateurs</t>
  </si>
  <si>
    <t xml:space="preserve">Spécifications techniques de l'application</t>
  </si>
  <si>
    <t xml:space="preserve">Développer des formations pour améliorer la compréhension des besoins</t>
  </si>
  <si>
    <t xml:space="preserve">Validation par les parties prenantes (métier, technique, financier)</t>
  </si>
  <si>
    <t xml:space="preserve">Grille de critères de sélection des évolutions</t>
  </si>
  <si>
    <t xml:space="preserve">Validation par les parties prenantes (métier, technique, financier)?</t>
  </si>
  <si>
    <t xml:space="preserve">Validation inexistante.</t>
  </si>
  <si>
    <t xml:space="preserve">Difficulté à comparer différentes solutions et à faire les meilleurs choix.</t>
  </si>
  <si>
    <t xml:space="preserve">Mettre en place des revues régulières pour évaluer les solutions proposées</t>
  </si>
  <si>
    <t xml:space="preserve">Procédure de priorisation des évolutions</t>
  </si>
  <si>
    <t xml:space="preserve">Développer des outils pour comparer les solutions disponibles</t>
  </si>
  <si>
    <t xml:space="preserve">Comparaison des solutions potentielles avec grille d’évaluation</t>
  </si>
  <si>
    <t xml:space="preserve">Validation des évolutions par les parties prenantes</t>
  </si>
  <si>
    <t xml:space="preserve">Comparaison des solutions potentielles avec grille d’évaluation?</t>
  </si>
  <si>
    <t xml:space="preserve">Comparaison inexistante.</t>
  </si>
  <si>
    <t xml:space="preserve">Perte de traçabilité sur les actions effectuées.</t>
  </si>
  <si>
    <t xml:space="preserve">Mettre en place des revues régulières pour évaluer les performances des services</t>
  </si>
  <si>
    <t xml:space="preserve">Compte-rendus des réunions de validation des évolutions</t>
  </si>
  <si>
    <t xml:space="preserve">Traçabilité des décisions et justifications des choix retenus</t>
  </si>
  <si>
    <t xml:space="preserve">Grille d'évaluation des solutions potentielles</t>
  </si>
  <si>
    <t xml:space="preserve">Traçabilité des décisions et justifications des choix retenus?</t>
  </si>
  <si>
    <t xml:space="preserve">Traçabilité inexistante.</t>
  </si>
  <si>
    <t xml:space="preserve">Informations mal documentées, compliquant la gestion des projets.</t>
  </si>
  <si>
    <t xml:space="preserve">Analyse comparative des solutions potentielles</t>
  </si>
  <si>
    <t xml:space="preserve">Vérifier que les tâches des utilisateurs dans l’application sont 
 clairement définies</t>
  </si>
  <si>
    <t xml:space="preserve">Documentation des rôles et permissions par profil utilisateur</t>
  </si>
  <si>
    <t xml:space="preserve">Procédure de traçabilité des décisions</t>
  </si>
  <si>
    <t xml:space="preserve">Documentation des rôles et permissions par profil utilisateur?</t>
  </si>
  <si>
    <t xml:space="preserve">Absence de directives claires, entraînant une mauvaise exécution.</t>
  </si>
  <si>
    <t xml:space="preserve">Journal des décisions et justifications</t>
  </si>
  <si>
    <t xml:space="preserve">Procédures opérationnelles détaillées (modes d’emploi, workflows)</t>
  </si>
  <si>
    <t xml:space="preserve">Procédures opérationnelles détaillées (modes d’emploi, workflows)?</t>
  </si>
  <si>
    <t xml:space="preserve">Procédures non détaillées.</t>
  </si>
  <si>
    <t xml:space="preserve">Manque de compétences et d’adaptation aux nouvelles méthodes.</t>
  </si>
  <si>
    <t xml:space="preserve">Matrice des rôles et accès de l'application</t>
  </si>
  <si>
    <t xml:space="preserve">Formation adaptée aux différents profils d’utilisateurs</t>
  </si>
  <si>
    <t xml:space="preserve">Procédures opérationnelles détaillées (modes d'emploi, workflows)</t>
  </si>
  <si>
    <t xml:space="preserve">Formation adaptée aux différents profils d’utilisateurs?</t>
  </si>
  <si>
    <t xml:space="preserve">Formation inadaptée.</t>
  </si>
  <si>
    <t xml:space="preserve">Données obsolètes, impactant la prise de décision.</t>
  </si>
  <si>
    <t xml:space="preserve">Diagrammes de flux des processus applicatifs</t>
  </si>
  <si>
    <t xml:space="preserve">Mécanismes de mise à jour en cas d’évolution de l’application</t>
  </si>
  <si>
    <t xml:space="preserve">Plan de formation des utilisateurs à l'application</t>
  </si>
  <si>
    <t xml:space="preserve">Mécanismes de mise à jour en cas d’évolution de l’application?</t>
  </si>
  <si>
    <t xml:space="preserve">Situations non mises à jour.</t>
  </si>
  <si>
    <t xml:space="preserve">Utilisateurs sans support, ralentissant la résolution des problèmes.</t>
  </si>
  <si>
    <t xml:space="preserve">Supports de formation adaptés aux profils</t>
  </si>
  <si>
    <t xml:space="preserve">Support utilisateur accessible (FAQ, helpdesk, tutoriels)</t>
  </si>
  <si>
    <t xml:space="preserve">Procédure de mise à jour de la documentation applicative</t>
  </si>
  <si>
    <t xml:space="preserve">Support utilisateur accessible (FAQ, helpdesk, tutoriels)?</t>
  </si>
  <si>
    <t xml:space="preserve">Support utilisateur inaccessible.</t>
  </si>
  <si>
    <t xml:space="preserve">Ressources non identifiées, compliquant leur gestion.</t>
  </si>
  <si>
    <t xml:space="preserve">Vérifier que des systèmes parallèles sont maintenus en activité</t>
  </si>
  <si>
    <t xml:space="preserve">Inventaire des systèmes parallèles en activité</t>
  </si>
  <si>
    <t xml:space="preserve">Inventaire des systèmes parallèles en activité?</t>
  </si>
  <si>
    <t xml:space="preserve">Inventaire inexistant.</t>
  </si>
  <si>
    <t xml:space="preserve">Manque de clarté dans l’exécution des tâches et procédures.</t>
  </si>
  <si>
    <t xml:space="preserve">Base de connaissances du support utilisateur</t>
  </si>
  <si>
    <t xml:space="preserve">Documentation des systèmes parallèles (architecture, configuration)</t>
  </si>
  <si>
    <t xml:space="preserve">Procédures de maintenance des systèmes parallèles ?</t>
  </si>
  <si>
    <t xml:space="preserve">Décisions non justifiées, pouvant entraîner des erreurs critiques.</t>
  </si>
  <si>
    <t xml:space="preserve">Diagramme d'architecture des systèmes parallèles</t>
  </si>
  <si>
    <t xml:space="preserve">Procédures de maintenance des systèmes parallèles</t>
  </si>
  <si>
    <t xml:space="preserve">Documentation des systèmes parallèles (configuration???)</t>
  </si>
  <si>
    <t xml:space="preserve">Justification de la nécessité de maintenir ces systèmes ?</t>
  </si>
  <si>
    <t xml:space="preserve">Justification inexistante.</t>
  </si>
  <si>
    <t xml:space="preserve">Risque d’échecs non détectés et de dysfonctionnements.</t>
  </si>
  <si>
    <t xml:space="preserve">Manuels techniques des systèmes parallèles</t>
  </si>
  <si>
    <t xml:space="preserve">Justification de la nécessité de maintenir ces systèmes</t>
  </si>
  <si>
    <t xml:space="preserve">Tests réguliers du bon fonctionnement des systèmes parallèles ?</t>
  </si>
  <si>
    <t xml:space="preserve">Absence de cadre méthodologique, rendant les décisions incohérentes.</t>
  </si>
  <si>
    <t xml:space="preserve">Planning de maintenance des systèmes parallèles</t>
  </si>
  <si>
    <t xml:space="preserve">Tests réguliers du bon fonctionnement des systèmes parallèles</t>
  </si>
  <si>
    <t xml:space="preserve">Justification du maintien des systèmes parallèles</t>
  </si>
  <si>
    <t xml:space="preserve">Présence d'un document formalisant l'évaluation ?</t>
  </si>
  <si>
    <t xml:space="preserve">Document inexistant.</t>
  </si>
  <si>
    <t xml:space="preserve">Erreurs non corrigées, impactant la qualité des services.</t>
  </si>
  <si>
    <t xml:space="preserve">Analyse coûts-bénéfices du maintien</t>
  </si>
  <si>
    <t xml:space="preserve">S’assurer qu’une évaluation de l’évaluation de l’adéquation aux 
 besoins des utilisateurs a été réalisée</t>
  </si>
  <si>
    <t xml:space="preserve">Présence d'un document formalisant l'évaluation</t>
  </si>
  <si>
    <t xml:space="preserve">Plan de tests réguliers des systèmes parallèles</t>
  </si>
  <si>
    <t xml:space="preserve">Méthode d'évaluation définie (sondages, tests utilisateurs) ?</t>
  </si>
  <si>
    <t xml:space="preserve">Méthode d'évaluation non définie.</t>
  </si>
  <si>
    <t xml:space="preserve">Résultats inexploités, ralentissant l’amélioration continue.</t>
  </si>
  <si>
    <t xml:space="preserve">Mettre en place des revues régulières pour évaluer les résultats obtenus</t>
  </si>
  <si>
    <t xml:space="preserve">Rapports des tests des systèmes parallèles</t>
  </si>
  <si>
    <t xml:space="preserve">Développer des plans d’amélioration continue pour optimiser les performances</t>
  </si>
  <si>
    <t xml:space="preserve">Méthode d'évaluation définie (sondages, tests utilisateurs)</t>
  </si>
  <si>
    <t xml:space="preserve">Document formalisant l'évaluation (post-déploiement, etc?)</t>
  </si>
  <si>
    <t xml:space="preserve">Actions correctives envisagées en fonction des résultats ?</t>
  </si>
  <si>
    <t xml:space="preserve">Actions correctives non envisagées.</t>
  </si>
  <si>
    <t xml:space="preserve">Mauvaise anticipation des coûts et rentabilité non évaluée.</t>
  </si>
  <si>
    <t xml:space="preserve">Mettre en place des audits pour évaluer les coûts et la rentabilité</t>
  </si>
  <si>
    <t xml:space="preserve">Grille d'évaluation et critères</t>
  </si>
  <si>
    <t xml:space="preserve">Développer des indicateurs pour mesurer l’efficacité des projets</t>
  </si>
  <si>
    <t xml:space="preserve">Actions correctives envisagées en fonction des résultats</t>
  </si>
  <si>
    <t xml:space="preserve">Méthode d'évaluation définie (sondages, tests utilisateurs???)</t>
  </si>
  <si>
    <t xml:space="preserve">Identification claire des besoins des utilisateurs ?</t>
  </si>
  <si>
    <t xml:space="preserve">Identification inexistante.</t>
  </si>
  <si>
    <t xml:space="preserve">Manque de rigueur dans l’analyse des projets.</t>
  </si>
  <si>
    <t xml:space="preserve">Mettre en place des revues régulières pour évaluer les projets en cours</t>
  </si>
  <si>
    <t xml:space="preserve">Questionnaires de sondage utilisateur</t>
  </si>
  <si>
    <t xml:space="preserve">Développer des outils pour mesurer les risques dans les projets</t>
  </si>
  <si>
    <t xml:space="preserve">Identification claire des besoins des utilisateurs</t>
  </si>
  <si>
    <t xml:space="preserve">Plan d'actions correctives suite à l'évaluation</t>
  </si>
  <si>
    <t xml:space="preserve">Résultats de l'évaluation analysés et documentés ?</t>
  </si>
  <si>
    <t xml:space="preserve">Résultats non analysés.</t>
  </si>
  <si>
    <t xml:space="preserve">Absence de retour sur investissement mesuré.</t>
  </si>
  <si>
    <t xml:space="preserve">Mettre en place des audits pour évaluer les retours sur investissement</t>
  </si>
  <si>
    <t xml:space="preserve">Développer des plans pour optimiser les investissements mesurés</t>
  </si>
  <si>
    <t xml:space="preserve">Résultats de l'évaluation analysés et documentés</t>
  </si>
  <si>
    <t xml:space="preserve">Rapport d'analyse des résultats d'évaluation</t>
  </si>
  <si>
    <t xml:space="preserve">Document d'évaluation de la rentabilité réalisé ?</t>
  </si>
  <si>
    <t xml:space="preserve">Document de rentabilité inexistant.</t>
  </si>
  <si>
    <t xml:space="preserve">Risques mal évalués et mauvaise prise de décision.</t>
  </si>
  <si>
    <t xml:space="preserve">Mettre en place des revues régulières pour évaluer les décisions prises</t>
  </si>
  <si>
    <t xml:space="preserve">Synthèse des résultats d'évaluation</t>
  </si>
  <si>
    <t xml:space="preserve">Développer des indicateurs pour mesurer l’impact des décisions</t>
  </si>
  <si>
    <t xml:space="preserve">Performance et de la rentabilité</t>
  </si>
  <si>
    <t xml:space="preserve">Vérifier qu’une évaluation de la rentabilité existe</t>
  </si>
  <si>
    <t xml:space="preserve">Document d'évaluation de la rentabilité réalisé?</t>
  </si>
  <si>
    <t xml:space="preserve">Document d'évaluation de la rentabilité</t>
  </si>
  <si>
    <t xml:space="preserve">Méthodologie d'évaluation de la rentabilité définie (VAN, TRI )?</t>
  </si>
  <si>
    <t xml:space="preserve">Méthodologie inexistante.</t>
  </si>
  <si>
    <t xml:space="preserve">Estimations financières inexactes, augmentant les dépassements budgétaires.</t>
  </si>
  <si>
    <t xml:space="preserve">Mettre en place des audits pour évaluer les estimations financières</t>
  </si>
  <si>
    <t xml:space="preserve">Modèle d'évaluation de la rentabilité</t>
  </si>
  <si>
    <t xml:space="preserve">Développer des outils pour comparer les options disponibles</t>
  </si>
  <si>
    <t xml:space="preserve">Méthodologie d'évaluation de la rentabilité définie (VAN, TRI)</t>
  </si>
  <si>
    <t xml:space="preserve">Méthodologie d'évaluation de la rentabilité</t>
  </si>
  <si>
    <t xml:space="preserve">Les résultats de l'évaluation sont présentés aux parties prenantes ?</t>
  </si>
  <si>
    <t xml:space="preserve">Résultats non présentés.</t>
  </si>
  <si>
    <t xml:space="preserve">Comparaisons insuffisantes pour identifier les meilleures options.</t>
  </si>
  <si>
    <t xml:space="preserve">Mettre en place des revues régulières pour justifier les décisions prises</t>
  </si>
  <si>
    <t xml:space="preserve">Guide d'application de la méthodologie</t>
  </si>
  <si>
    <t xml:space="preserve">Développer des critères objectifs pour guider la prise de décision</t>
  </si>
  <si>
    <t xml:space="preserve">Les résultats de l'évaluation sont présentés aux parties prenantes</t>
  </si>
  <si>
    <t xml:space="preserve">Présentation des résultats de l'évaluation</t>
  </si>
  <si>
    <t xml:space="preserve">L'évaluation prend en compte les coûts et les bénéfices attendus ?</t>
  </si>
  <si>
    <t xml:space="preserve">Évaluation incomplète.</t>
  </si>
  <si>
    <t xml:space="preserve">Justification insuffisante des décisions prises.</t>
  </si>
  <si>
    <t xml:space="preserve">Mettre en place des revues régulières pour identifier les opportunités</t>
  </si>
  <si>
    <t xml:space="preserve">Procès-verbal de la présentation</t>
  </si>
  <si>
    <t xml:space="preserve">Développer des outils pour évaluer les menaces potentielles</t>
  </si>
  <si>
    <t xml:space="preserve">L'évaluation prend en compte les coûts et les bénéfices attendus</t>
  </si>
  <si>
    <t xml:space="preserve">Tableau des coûts et bénéfices attendus</t>
  </si>
  <si>
    <t xml:space="preserve">Les hypothèses de l'évaluation sont documentées ?</t>
  </si>
  <si>
    <t xml:space="preserve">Hypothèses non documentées.</t>
  </si>
  <si>
    <t xml:space="preserve">Absence de critères objectifs, rendant la sélection aléatoire.</t>
  </si>
  <si>
    <t xml:space="preserve">Mettre en place des revues régulières pour anticiper les risques</t>
  </si>
  <si>
    <t xml:space="preserve">Rapport d'analyse coûts-bénéfices</t>
  </si>
  <si>
    <t xml:space="preserve">Développer des plans de contingence pour gérer les retards et surcoûts</t>
  </si>
  <si>
    <t xml:space="preserve">Les hypothèses de l'évaluation sont documentées</t>
  </si>
  <si>
    <t xml:space="preserve">Document listant les hypothèses d'évaluation</t>
  </si>
  <si>
    <t xml:space="preserve">Document listant les coûts de déploiement (matériel, logiciel, personnel) ?</t>
  </si>
  <si>
    <t xml:space="preserve">Identification incomplète des opportunités et menaces.</t>
  </si>
  <si>
    <t xml:space="preserve">Mettre en place des revues régulières pour identifier les problèmes</t>
  </si>
  <si>
    <t xml:space="preserve">Justification des hypothèses</t>
  </si>
  <si>
    <t xml:space="preserve">Développer des outils pour accélérer la correction des erreurs</t>
  </si>
  <si>
    <t xml:space="preserve">S’assurer qu’une intégration des coûts de déploiement a été 
 réalisée</t>
  </si>
  <si>
    <t xml:space="preserve">Document listant les coûts de déploiement (matériel, logiciel, personnel???)</t>
  </si>
  <si>
    <t xml:space="preserve">Document listant les coûts de déploiement</t>
  </si>
  <si>
    <t xml:space="preserve">Les coûts de déploiement sont comparés aux coûts prévus ?</t>
  </si>
  <si>
    <t xml:space="preserve">Coûts non comparés.</t>
  </si>
  <si>
    <t xml:space="preserve">Risques mal anticipés, entraînant des retards et des surcoûts.</t>
  </si>
  <si>
    <t xml:space="preserve">Mettre en place des revues régulières pour évaluer les délais</t>
  </si>
  <si>
    <t xml:space="preserve">Répartition budgétaire des coûts de déploiement</t>
  </si>
  <si>
    <t xml:space="preserve">Développer des plans pour réduire les retards dans les projets</t>
  </si>
  <si>
    <t xml:space="preserve">Les coûts de déploiement sont comparés aux coûts prévus</t>
  </si>
  <si>
    <t xml:space="preserve">Comparaison des coûts de déploiement réels et prévus</t>
  </si>
  <si>
    <t xml:space="preserve">Analyse de l'impact des coûts de déploiement sur la rentabilité ?</t>
  </si>
  <si>
    <t xml:space="preserve">Analyse d'impact inexistante.</t>
  </si>
  <si>
    <t xml:space="preserve">Suivi insuffisant, rendant difficile l’identification des problèmes.</t>
  </si>
  <si>
    <t xml:space="preserve">Mettre en place des revues régulières pour évaluer les imprévus</t>
  </si>
  <si>
    <t xml:space="preserve">État de rapprochement des coûts réels</t>
  </si>
  <si>
    <t xml:space="preserve">Développer des plans de contingence pour gérer les imprévus</t>
  </si>
  <si>
    <t xml:space="preserve">Analyse de l'impact des coûts de déploiement sur la rentabilité</t>
  </si>
  <si>
    <t xml:space="preserve">Les coûts de déploiement sont budgétés et suivis ?</t>
  </si>
  <si>
    <t xml:space="preserve">Coûts non budgétés.</t>
  </si>
  <si>
    <t xml:space="preserve">Manque de réactivité dans la correction des erreurs.</t>
  </si>
  <si>
    <t xml:space="preserve">Mettre en place des plans structurés pour réduire les risques d’échec</t>
  </si>
  <si>
    <t xml:space="preserve">Rapport d'analyse d'impact financier</t>
  </si>
  <si>
    <t xml:space="preserve">Développer des revues régulières pour évaluer les pertes de contrôle</t>
  </si>
  <si>
    <t xml:space="preserve">Les coûts de déploiement sont budgétés et suivis</t>
  </si>
  <si>
    <t xml:space="preserve">Budget des coûts de déploiement</t>
  </si>
  <si>
    <t xml:space="preserve">Justification des écarts entre les coûts réels et les coûts prévus ?</t>
  </si>
  <si>
    <t xml:space="preserve">Délais imprécis, conduisant à des retards.</t>
  </si>
  <si>
    <t xml:space="preserve">Mettre en place des revues régulières pour évaluer les besoins métiers</t>
  </si>
  <si>
    <t xml:space="preserve">Suivi budgétaire mensuel</t>
  </si>
  <si>
    <t xml:space="preserve">Développer des outils pour aligner les décisions sur les besoins</t>
  </si>
  <si>
    <t xml:space="preserve">Justification des écarts entre les coûts réels et les coûts prévus</t>
  </si>
  <si>
    <t xml:space="preserve">Justification des écarts de coûts</t>
  </si>
  <si>
    <t xml:space="preserve">Document listant les offres du marché étudiées ?</t>
  </si>
  <si>
    <t xml:space="preserve">Gestion inefficace des retards et des imprévus.</t>
  </si>
  <si>
    <t xml:space="preserve">Analyse des raisons de chaque écart</t>
  </si>
  <si>
    <t xml:space="preserve">Développer des revues régulières pour évaluer les décisions du comité</t>
  </si>
  <si>
    <t xml:space="preserve">S’assurer qu’une étude sérieuse des offres du marché a été 
 réalisée</t>
  </si>
  <si>
    <t xml:space="preserve">Document listant les offres du marché étudiées</t>
  </si>
  <si>
    <t xml:space="preserve">Une analyse comparative des offres est réalisée ?</t>
  </si>
  <si>
    <t xml:space="preserve">Analyse comparative inexistante.</t>
  </si>
  <si>
    <t xml:space="preserve">Absence d’un plan structuré, augmentant les risques d’échec.</t>
  </si>
  <si>
    <t xml:space="preserve">Grille d'évaluation des offres</t>
  </si>
  <si>
    <t xml:space="preserve">Développer des formations pour améliorer l’adoption des systèmes</t>
  </si>
  <si>
    <t xml:space="preserve">Une analyse comparative des offres est réalisée</t>
  </si>
  <si>
    <t xml:space="preserve">Analyse comparative des offres</t>
  </si>
  <si>
    <t xml:space="preserve">La solution retenue est justifiée par rapport aux autres offres ?</t>
  </si>
  <si>
    <t xml:space="preserve">Solution non justifiée.</t>
  </si>
  <si>
    <t xml:space="preserve">Suivi déficient, entraînant des dérives et des pertes de contrôle.</t>
  </si>
  <si>
    <t xml:space="preserve">Mettre en place des revues régulières pour évaluer les objectifs métiers</t>
  </si>
  <si>
    <t xml:space="preserve">Synthèse comparative des offres</t>
  </si>
  <si>
    <t xml:space="preserve">Développer des plans pour réduire les pertes de temps sur les sujets clés</t>
  </si>
  <si>
    <t xml:space="preserve">La solution retenue est justifiée par rapport aux autres offres</t>
  </si>
  <si>
    <t xml:space="preserve">Justification du choix de la solution retenue</t>
  </si>
  <si>
    <t xml:space="preserve">Les critères de comparaison des offres sont définis ?</t>
  </si>
  <si>
    <t xml:space="preserve">Critères non définis.</t>
  </si>
  <si>
    <t xml:space="preserve">Mettre en place des audits pour évaluer les coûts des fonctions</t>
  </si>
  <si>
    <t xml:space="preserve">Rapport de justification du choix</t>
  </si>
  <si>
    <t xml:space="preserve">Développer des plans pour réduire la duplication des fonctions</t>
  </si>
  <si>
    <t xml:space="preserve">Les critères de comparaison des offres sont définis</t>
  </si>
  <si>
    <t xml:space="preserve">Définition des critères de comparaison des offres</t>
  </si>
  <si>
    <t xml:space="preserve">Les forces et faiblesses de chaque offre sont identifiées ?</t>
  </si>
  <si>
    <t xml:space="preserve">Forces et faiblesses non identifiées.</t>
  </si>
  <si>
    <t xml:space="preserve">Mettre en place des audits pour évaluer les risques de sécurité</t>
  </si>
  <si>
    <t xml:space="preserve">Notation pour chaque critère</t>
  </si>
  <si>
    <t xml:space="preserve">Développer des formations pour réduire les erreurs d’utilisation</t>
  </si>
  <si>
    <t xml:space="preserve">Les forces et faiblesses de chaque offre sont identifiées</t>
  </si>
  <si>
    <t xml:space="preserve">Identification des forces et faiblesses de chaque offre</t>
  </si>
  <si>
    <t xml:space="preserve">Planification des tâches de mise en œuvre de l'application ?</t>
  </si>
  <si>
    <t xml:space="preserve">Mettre en place des audits pour évaluer la conformité des applications</t>
  </si>
  <si>
    <t xml:space="preserve">Tableau SWOT des offres</t>
  </si>
  <si>
    <t xml:space="preserve">Développer des plans pour résoudre les problèmes de conformité</t>
  </si>
  <si>
    <t xml:space="preserve">Vérifier que les délais de mise en œuvre de l’application ont été 
 pris en compte</t>
  </si>
  <si>
    <t xml:space="preserve">Planification des tâches de mise en œuvre de l'application</t>
  </si>
  <si>
    <t xml:space="preserve">Planification des tâches de mise en œuvre</t>
  </si>
  <si>
    <t xml:space="preserve">Suivi de l'avancement des tâches par rapport au planning ?</t>
  </si>
  <si>
    <t xml:space="preserve">Suivi insuffisant.</t>
  </si>
  <si>
    <t xml:space="preserve">Mettre en place des audits pour évaluer les pratiques en place</t>
  </si>
  <si>
    <t xml:space="preserve">Diagramme de Gantt de la mise en œuvre</t>
  </si>
  <si>
    <t xml:space="preserve">Développer des plans pour résoudre les problèmes persistants</t>
  </si>
  <si>
    <t xml:space="preserve">Suivi de l'avancement des tâches par rapport au planning</t>
  </si>
  <si>
    <t xml:space="preserve">Mise en place d'actions correctives pour respecter les délais ?</t>
  </si>
  <si>
    <t xml:space="preserve">Actions correctives non mises en place.</t>
  </si>
  <si>
    <t xml:space="preserve">Mettre en place des revues régulières pour évaluer les phases du cycle de vie</t>
  </si>
  <si>
    <t xml:space="preserve">Tableau de bord de suivi</t>
  </si>
  <si>
    <t xml:space="preserve">Développer des audits pour identifier les erreurs dans les phases</t>
  </si>
  <si>
    <t xml:space="preserve">Mise en place d'actions correctives pour respecter les délais</t>
  </si>
  <si>
    <t xml:space="preserve">Estimation des délais pour chaque tâche ?</t>
  </si>
  <si>
    <t xml:space="preserve">Estimation des délais absente.</t>
  </si>
  <si>
    <t xml:space="preserve">Mettre en place des revues régulières pour évaluer la qualité des données</t>
  </si>
  <si>
    <t xml:space="preserve">Développer des outils pour réduire les pertes d’informations</t>
  </si>
  <si>
    <t xml:space="preserve">Estimation des délais pour chaque tâche</t>
  </si>
  <si>
    <t xml:space="preserve">Identification des retards et des causes des retards ?</t>
  </si>
  <si>
    <t xml:space="preserve">Identification des retards inexistante.</t>
  </si>
  <si>
    <t xml:space="preserve">Mettre en place des revues régulières pour évaluer les erreurs fréquentes</t>
  </si>
  <si>
    <t xml:space="preserve">Plan d'affectation des ressources</t>
  </si>
  <si>
    <t xml:space="preserve">Développer des formations pour clarifier les responsabilités</t>
  </si>
  <si>
    <t xml:space="preserve">Identification des retards et des causes des retards</t>
  </si>
  <si>
    <t xml:space="preserve">Mettre en place des audits pour évaluer les mesures de sécurité</t>
  </si>
  <si>
    <t xml:space="preserve">Registre des retards et des causes</t>
  </si>
  <si>
    <t xml:space="preserve">Développer des plans pour adapter les mesures aux besoins actuels</t>
  </si>
  <si>
    <t xml:space="preserve">S’assurer qu’un bilan post-projet a été réalisé</t>
  </si>
  <si>
    <t xml:space="preserve">Planification révisée des tâches de mise en œuvre</t>
  </si>
  <si>
    <t xml:space="preserve">Mettre en place des revues régulières pour évaluer les systèmes obsolètes</t>
  </si>
  <si>
    <t xml:space="preserve">Schéma des étapes</t>
  </si>
  <si>
    <t xml:space="preserve">Développer des plans de migration pour moderniser les systèmes</t>
  </si>
  <si>
    <t xml:space="preserve">Suivi de l'avancement des tâches par rapport au planning révisé</t>
  </si>
  <si>
    <t xml:space="preserve">Mettre en place des audits pour évaluer les difficultés de maintenance</t>
  </si>
  <si>
    <t xml:space="preserve">Fiche de suivi de l'avancement des étapes</t>
  </si>
  <si>
    <t xml:space="preserve">Développer des formations pour améliorer la satisfaction des utilisateurs</t>
  </si>
  <si>
    <t xml:space="preserve">Actions correctives supplémentaires pour respecter les délais</t>
  </si>
  <si>
    <t xml:space="preserve">Mettre en place des audits pour évaluer les accès non autorisés</t>
  </si>
  <si>
    <t xml:space="preserve">Plan d'actions correctives additionnel</t>
  </si>
  <si>
    <t xml:space="preserve">Développer des politiques pour protéger les données sensibles</t>
  </si>
  <si>
    <t xml:space="preserve">Nouvelle estimation des délais pour chaque tâche</t>
  </si>
  <si>
    <t xml:space="preserve">Mettre en place des audits pour évaluer les comptes non sécurisés</t>
  </si>
  <si>
    <t xml:space="preserve">Nouvelle répartition des ressources</t>
  </si>
  <si>
    <t xml:space="preserve">Développer des politiques pour sécuriser les comptes rendus</t>
  </si>
  <si>
    <t xml:space="preserve">Document listant les charges à réduire ?</t>
  </si>
  <si>
    <t xml:space="preserve">Document absent.</t>
  </si>
  <si>
    <t xml:space="preserve">Mettre en place des audits pour évaluer le contrôle de la sécurité</t>
  </si>
  <si>
    <t xml:space="preserve">Développer des plans pour améliorer la détection des activités malveillantes</t>
  </si>
  <si>
    <t xml:space="preserve">Vérifier qu’une analyse de la réduction des charges a été 
 effectuée</t>
  </si>
  <si>
    <t xml:space="preserve">Document listant les charges à réduire</t>
  </si>
  <si>
    <t xml:space="preserve">Identification des actions possibles pour réduire les charges ?</t>
  </si>
  <si>
    <t xml:space="preserve">Identification des actions manquante.</t>
  </si>
  <si>
    <t xml:space="preserve">Mettre en place des audits pour évaluer les violations de données</t>
  </si>
  <si>
    <t xml:space="preserve">Rapport d'analyse des charges</t>
  </si>
  <si>
    <t xml:space="preserve">Développer des politiques pour protéger les informations sensibles</t>
  </si>
  <si>
    <t xml:space="preserve">Identification des actions possibles pour réduire les charges</t>
  </si>
  <si>
    <t xml:space="preserve">Suivi de la mise en œuvre des actions de réduction des charges ?</t>
  </si>
  <si>
    <t xml:space="preserve">Plan d'actions pour la réduction des charges</t>
  </si>
  <si>
    <t xml:space="preserve">Suivi de la mise en œuvre des actions de réduction des charges</t>
  </si>
  <si>
    <t xml:space="preserve">Analyse des causes des charges ?</t>
  </si>
  <si>
    <t xml:space="preserve">Analyse inexistante.</t>
  </si>
  <si>
    <t xml:space="preserve">Tableau de bord de suivi de la réduction des charges</t>
  </si>
  <si>
    <t xml:space="preserve">Analyse des causes des charges</t>
  </si>
  <si>
    <t xml:space="preserve">Estimation des économies potentielles ?</t>
  </si>
  <si>
    <t xml:space="preserve">Estimation manquante.</t>
  </si>
  <si>
    <t xml:space="preserve">Accès non autorisés.</t>
  </si>
  <si>
    <t xml:space="preserve">Diagramme de Pareto des causes des charges</t>
  </si>
  <si>
    <t xml:space="preserve">Estimation des économies potentielles</t>
  </si>
  <si>
    <t xml:space="preserve">Identification des améliorations non quantifiables (satisfaction utilisateur, image de marque) ?</t>
  </si>
  <si>
    <t xml:space="preserve">En raison de cette difficulté, difficulté à répondre rapidement</t>
  </si>
  <si>
    <t xml:space="preserve">Business case des économies</t>
  </si>
  <si>
    <t xml:space="preserve">Vérifier que des améliorations non quantifiables ont été pris en 
 compte</t>
  </si>
  <si>
    <t xml:space="preserve">Identification des améliorations non quantifiables (satisfaction utilisateur, image de marque)</t>
  </si>
  <si>
    <t xml:space="preserve">Identification des améliorations non quantifiables (satisfaction utilisateur, image de marque???)</t>
  </si>
  <si>
    <t xml:space="preserve">Suivi des améliorations non quantifiables ?</t>
  </si>
  <si>
    <t xml:space="preserve">Suivi absent.</t>
  </si>
  <si>
    <t xml:space="preserve">Comptes rendue non sécurisés</t>
  </si>
  <si>
    <t xml:space="preserve">Grille d'évaluation des améliorations non quantifiables</t>
  </si>
  <si>
    <t xml:space="preserve">Suivi des améliorations non quantifiables</t>
  </si>
  <si>
    <t xml:space="preserve">Présentation des améliorations non quantifiables aux parties prenantes ?</t>
  </si>
  <si>
    <t xml:space="preserve">Présentation absente.</t>
  </si>
  <si>
    <t xml:space="preserve">Tableau de bord du suivi des améliorations non quantifiables</t>
  </si>
  <si>
    <t xml:space="preserve">Présentation des améliorations non quantifiables aux parties prenantes</t>
  </si>
  <si>
    <t xml:space="preserve">Méthode d'évaluation des améliorations non quantifiables ?</t>
  </si>
  <si>
    <t xml:space="preserve">Méthode non définie.</t>
  </si>
  <si>
    <t xml:space="preserve">Mettre en place des audits pour évaluer l’ensemble de la sécurité</t>
  </si>
  <si>
    <t xml:space="preserve">Compte-rendu de la présentation aux parties prenantes</t>
  </si>
  <si>
    <t xml:space="preserve">Développer des plans pour renforcer les mesures de protection</t>
  </si>
  <si>
    <t xml:space="preserve">Méthode d'évaluation des améliorations non quantifiables</t>
  </si>
  <si>
    <t xml:space="preserve">Analyse de l'impact des améliorations non quantifiables sur l'entreprise ?</t>
  </si>
  <si>
    <t xml:space="preserve">Violation de données non détectées.</t>
  </si>
  <si>
    <t xml:space="preserve">Mettre en place des audits pour évaluer la sécurité des informations</t>
  </si>
  <si>
    <t xml:space="preserve">Guide d'application de la méthode d'évaluation</t>
  </si>
  <si>
    <t xml:space="preserve">Développer des politiques pour limiter les accès non autorisés</t>
  </si>
  <si>
    <t xml:space="preserve">Analyse de l'impact des améliorations non quantifiables sur l'entreprise</t>
  </si>
  <si>
    <t xml:space="preserve">Schéma des processus existants ?</t>
  </si>
  <si>
    <t xml:space="preserve">Schéma inexistant.</t>
  </si>
  <si>
    <t xml:space="preserve">Protection limitée des informations.</t>
  </si>
  <si>
    <t xml:space="preserve">Mettre en place des audits pour évaluer la sécurité des mots de passe</t>
  </si>
  <si>
    <t xml:space="preserve">Rapport d'analyse d'impact</t>
  </si>
  <si>
    <t xml:space="preserve">Développer des politiques pour renforcer la gestion des mots de passe</t>
  </si>
  <si>
    <t xml:space="preserve">S’assurer qu’une réingénierie des processus est disponible</t>
  </si>
  <si>
    <t xml:space="preserve">Schéma des processus existants</t>
  </si>
  <si>
    <t xml:space="preserve">Schéma des processus réingénierés ?</t>
  </si>
  <si>
    <t xml:space="preserve">Compromettre l'ensemble de la sécurité.</t>
  </si>
  <si>
    <t xml:space="preserve">Mettre en place des audits pour évaluer les intrusions potentielles</t>
  </si>
  <si>
    <t xml:space="preserve">Cartographie des processus existants</t>
  </si>
  <si>
    <t xml:space="preserve">Développer des plans pour améliorer la détection des intrusions</t>
  </si>
  <si>
    <t xml:space="preserve">Schéma des processus réingénierés</t>
  </si>
  <si>
    <t xml:space="preserve">Documentation des processus réingénierés ?</t>
  </si>
  <si>
    <t xml:space="preserve">Mettre en place des audits pour évaluer les problèmes de sécurité</t>
  </si>
  <si>
    <t xml:space="preserve">Cartographie des processus réingénierés</t>
  </si>
  <si>
    <t xml:space="preserve">Développer des formations pour améliorer la compréhension des risques</t>
  </si>
  <si>
    <t xml:space="preserve">Documentation des processus réingénierés</t>
  </si>
  <si>
    <t xml:space="preserve">Analyse des processus existants ?</t>
  </si>
  <si>
    <t xml:space="preserve">Mettre en place des audits pour évaluer les attaques non traçables</t>
  </si>
  <si>
    <t xml:space="preserve">Diagrammes de flux des processus réingénierés</t>
  </si>
  <si>
    <t xml:space="preserve">Développer des outils pour améliorer la traçabilité des attaques</t>
  </si>
  <si>
    <t xml:space="preserve">Analyse des processus existants</t>
  </si>
  <si>
    <t xml:space="preserve">Justification des modifications apportées aux processus ?</t>
  </si>
  <si>
    <t xml:space="preserve">Modifications injustifiées.</t>
  </si>
  <si>
    <t xml:space="preserve">Les intrusions peuvent ne pas être découvertes.</t>
  </si>
  <si>
    <t xml:space="preserve">Mettre en place des audits pour évaluer les alertes inutiles</t>
  </si>
  <si>
    <t xml:space="preserve">Diagrammes de flux des processus existants</t>
  </si>
  <si>
    <t xml:space="preserve">Développer des politiques pour optimiser les systèmes d’alerte</t>
  </si>
  <si>
    <t xml:space="preserve">Justification des modifications apportées aux processus</t>
  </si>
  <si>
    <t xml:space="preserve">Identification des processus métiers impactés par l'application ?</t>
  </si>
  <si>
    <t xml:space="preserve">Processus métiers non impactés.</t>
  </si>
  <si>
    <t xml:space="preserve">Difficulté à comprendre et problèmes de sécurité.</t>
  </si>
  <si>
    <t xml:space="preserve">Mettre en place des audits pour évaluer les procédures de réponse</t>
  </si>
  <si>
    <t xml:space="preserve">Tableau comparatif des modifications</t>
  </si>
  <si>
    <t xml:space="preserve">Développer des plans pour accélérer les réponses aux incidents</t>
  </si>
  <si>
    <t xml:space="preserve">Vérifier que les processus métiers ont été pris en compte</t>
  </si>
  <si>
    <t xml:space="preserve">Identification des processus métiers impactés par l'application</t>
  </si>
  <si>
    <t xml:space="preserve">Adaptation de l'application aux processus métiers ?</t>
  </si>
  <si>
    <t xml:space="preserve">Application non adaptée.</t>
  </si>
  <si>
    <t xml:space="preserve">Mettre en place des audits pour évaluer les délais de réponse</t>
  </si>
  <si>
    <t xml:space="preserve">Liste des processus métiers impactés</t>
  </si>
  <si>
    <t xml:space="preserve">Développer des outils pour réduire les délais de réponse</t>
  </si>
  <si>
    <t xml:space="preserve">Adaptation de l'application aux processus métiers</t>
  </si>
  <si>
    <t xml:space="preserve">Suivi de l'impact de l'application sur les processus métiers ?</t>
  </si>
  <si>
    <t xml:space="preserve">Suivi d'impact inexistant.</t>
  </si>
  <si>
    <t xml:space="preserve">Traces non analysées.</t>
  </si>
  <si>
    <t xml:space="preserve">Mettre en place des audits pour évaluer les accès non autorisés aux informations</t>
  </si>
  <si>
    <t xml:space="preserve">Spécifications techniques de l'adaptation</t>
  </si>
  <si>
    <t xml:space="preserve">Suivi de l'impact de l'application sur les processus métiers</t>
  </si>
  <si>
    <t xml:space="preserve">Analyse des besoins des processus métiers ?</t>
  </si>
  <si>
    <t xml:space="preserve">Besoins non analysés.</t>
  </si>
  <si>
    <t xml:space="preserve">Alertes inutilisées.</t>
  </si>
  <si>
    <t xml:space="preserve">Mettre en place une gouvernance claire avec des rôles définis</t>
  </si>
  <si>
    <t xml:space="preserve">Tableau de bord de suivi de l'impact</t>
  </si>
  <si>
    <t xml:space="preserve">Développer des audits pour évaluer l’efficacité de la gouvernance</t>
  </si>
  <si>
    <t xml:space="preserve">Analyse des besoins des processus métiers</t>
  </si>
  <si>
    <t xml:space="preserve">Formation des utilisateurs aux processus métiers ?</t>
  </si>
  <si>
    <t xml:space="preserve">Formation inexistante.</t>
  </si>
  <si>
    <t xml:space="preserve">Mettre en place des audits pour évaluer les processus non gérés</t>
  </si>
  <si>
    <t xml:space="preserve">Cahier des charges des besoins métiers</t>
  </si>
  <si>
    <t xml:space="preserve">Développer des plans pour standardiser les processus critiques</t>
  </si>
  <si>
    <t xml:space="preserve">Formation des utilisateurs aux processus métiers</t>
  </si>
  <si>
    <t xml:space="preserve">Identification des traitements à réaliser par l'application ?</t>
  </si>
  <si>
    <t xml:space="preserve">Traitements non identifiés.</t>
  </si>
  <si>
    <t xml:space="preserve">Procédure avec de long délais.</t>
  </si>
  <si>
    <t xml:space="preserve">Mettre en place des audits pour évaluer les techniques non documentées</t>
  </si>
  <si>
    <t xml:space="preserve">Supports de formation pour les utilisateurs</t>
  </si>
  <si>
    <t xml:space="preserve">Développer des guides pour documenter les techniques utilisées</t>
  </si>
  <si>
    <t xml:space="preserve">S’assurer que les traitements ont été pris en compte</t>
  </si>
  <si>
    <t xml:space="preserve">Identification des traitements à réaliser par l'application</t>
  </si>
  <si>
    <t xml:space="preserve">Validation des traitements ?</t>
  </si>
  <si>
    <t xml:space="preserve">Validation manquante.</t>
  </si>
  <si>
    <t xml:space="preserve">Accès non autorisés des informations sensibles.</t>
  </si>
  <si>
    <t xml:space="preserve">Mettre en place des audits pour évaluer les compétences du personnel</t>
  </si>
  <si>
    <t xml:space="preserve">Spécifications fonctionnelles des traitements</t>
  </si>
  <si>
    <t xml:space="preserve">Développer des formations pour améliorer les compétences des équipes</t>
  </si>
  <si>
    <t xml:space="preserve">Validation des traitements</t>
  </si>
  <si>
    <t xml:space="preserve">Gestion des erreurs de traitement ?</t>
  </si>
  <si>
    <t xml:space="preserve">Gestion des erreurs inexistante.</t>
  </si>
  <si>
    <t xml:space="preserve">Mauvaise gouvernance.</t>
  </si>
  <si>
    <t xml:space="preserve">Mettre en place des audits pour évaluer les suivis des incidents</t>
  </si>
  <si>
    <t xml:space="preserve">Plan de tests des traitements</t>
  </si>
  <si>
    <t xml:space="preserve">Développer des plans pour améliorer la définition des suivis</t>
  </si>
  <si>
    <t xml:space="preserve">Gestion des erreurs de traitement</t>
  </si>
  <si>
    <t xml:space="preserve">Spécifications des traitements ?</t>
  </si>
  <si>
    <t xml:space="preserve">Spécifications incomplètes.</t>
  </si>
  <si>
    <t xml:space="preserve">Processus non géré.</t>
  </si>
  <si>
    <t xml:space="preserve">Spécifications des traitements</t>
  </si>
  <si>
    <t xml:space="preserve">Suivi de l'exécution des traitements ?</t>
  </si>
  <si>
    <t xml:space="preserve">Suivi de l'exécution inexistant.</t>
  </si>
  <si>
    <t xml:space="preserve">Techniques non documentées.</t>
  </si>
  <si>
    <t xml:space="preserve">Schémas de données des traitements</t>
  </si>
  <si>
    <t xml:space="preserve">Suivi de l'exécution des traitements</t>
  </si>
  <si>
    <t xml:space="preserve">Description de l'architecture technique de l'application ?</t>
  </si>
  <si>
    <t xml:space="preserve">Logs d'exécution des traitements</t>
  </si>
  <si>
    <t xml:space="preserve">Vérifier que l’architecture technique est prise en compte</t>
  </si>
  <si>
    <t xml:space="preserve">Description de l'architecture technique de l'application</t>
  </si>
  <si>
    <t xml:space="preserve">Documentation de l'architecture technique ?</t>
  </si>
  <si>
    <t xml:space="preserve">Diagramme d'architecture technique</t>
  </si>
  <si>
    <t xml:space="preserve">Documentation de l'architecture technique</t>
  </si>
  <si>
    <t xml:space="preserve">Gestion des problèmes techniques ?</t>
  </si>
  <si>
    <t xml:space="preserve">Gestion des problèmes inexistante.</t>
  </si>
  <si>
    <t xml:space="preserve">Sécurité des données à risques.</t>
  </si>
  <si>
    <t xml:space="preserve">Mettre en place des audits pour évaluer les risques de sécurité des données</t>
  </si>
  <si>
    <t xml:space="preserve">Référentiel d'architecture technique</t>
  </si>
  <si>
    <t xml:space="preserve">Gestion des problèmes techniques</t>
  </si>
  <si>
    <t xml:space="preserve">Justification des choix techniques ?</t>
  </si>
  <si>
    <t xml:space="preserve">Justification des choix absente.</t>
  </si>
  <si>
    <t xml:space="preserve">Mettre en place des audits pour évaluer la sécurité des applications</t>
  </si>
  <si>
    <t xml:space="preserve">Registre des problèmes techniques</t>
  </si>
  <si>
    <t xml:space="preserve">Développer des plans pour renforcer les mesures de sécurité</t>
  </si>
  <si>
    <t xml:space="preserve">Justification des choix techniques</t>
  </si>
  <si>
    <t xml:space="preserve">Suivi de l'évolution de l'architecture technique ?</t>
  </si>
  <si>
    <t xml:space="preserve">Suivi de l'évolution inexistant.</t>
  </si>
  <si>
    <t xml:space="preserve">Mettre en place des audits pour évaluer les processus confus</t>
  </si>
  <si>
    <t xml:space="preserve">Rapport de choix techniques</t>
  </si>
  <si>
    <t xml:space="preserve">Développer des guides pour clarifier les processus critiques</t>
  </si>
  <si>
    <t xml:space="preserve">Suivi de l'évolution de l'architecture technique</t>
  </si>
  <si>
    <t xml:space="preserve">Définition des indicateurs de performance (KPI) ?</t>
  </si>
  <si>
    <t xml:space="preserve">KPI non définis.</t>
  </si>
  <si>
    <t xml:space="preserve">Mesures pas implémentés.</t>
  </si>
  <si>
    <t xml:space="preserve">Mettre en place des audits pour évaluer les qualifications du personnel</t>
  </si>
  <si>
    <t xml:space="preserve">Planning des évolutions de l'architecture</t>
  </si>
  <si>
    <t xml:space="preserve">S’assurer que les indicateurs de performance et un contrat de 
 service sont disponibles</t>
  </si>
  <si>
    <t xml:space="preserve">Définition des indicateurs de performance (KPI)</t>
  </si>
  <si>
    <t xml:space="preserve">Calcul des KPI ?</t>
  </si>
  <si>
    <t xml:space="preserve">Calcul des KPI inexistant.</t>
  </si>
  <si>
    <t xml:space="preserve">Personnel sans qualifications.</t>
  </si>
  <si>
    <t xml:space="preserve">Tableau des définitions des KPI</t>
  </si>
  <si>
    <t xml:space="preserve">Développer des indicateurs pour mesurer les performances des projets</t>
  </si>
  <si>
    <t xml:space="preserve">Calcul des KPI</t>
  </si>
  <si>
    <t xml:space="preserve">Suivi des objectifs de performance définis dans le contrat de service ?</t>
  </si>
  <si>
    <t xml:space="preserve">Suivi non défini dans le contrat de service.</t>
  </si>
  <si>
    <t xml:space="preserve">Impossibilité d'évaluer correctement les résultats ou les performances, entraînant des décisions mal informées.</t>
  </si>
  <si>
    <t xml:space="preserve">Mettre en place des audits pour évaluer les faiblesses non corrigées</t>
  </si>
  <si>
    <t xml:space="preserve">Scripts de calcul des KPI</t>
  </si>
  <si>
    <t xml:space="preserve">Développer des plans pour corriger les faiblesses identifiées</t>
  </si>
  <si>
    <t xml:space="preserve">Suivi des objectifs de performance définis dans le contrat de service</t>
  </si>
  <si>
    <t xml:space="preserve">Collecte des données pour les KPI ?</t>
  </si>
  <si>
    <t xml:space="preserve">Collecte des données inexistante.</t>
  </si>
  <si>
    <t xml:space="preserve">Mauvaise allocation des ressources, avec des faiblesses non corrigées et des forces sous-exploitées.</t>
  </si>
  <si>
    <t xml:space="preserve">Mettre en place des revues régulières pour évaluer les retards des projets</t>
  </si>
  <si>
    <t xml:space="preserve">Rapports de suivi des objectifs</t>
  </si>
  <si>
    <t xml:space="preserve">Développer des plans pour réduire les risques d’échec des projets</t>
  </si>
  <si>
    <t xml:space="preserve">Collecte des données pour les KPI</t>
  </si>
  <si>
    <t xml:space="preserve">Présentation des KPI sur des tableaux de bord ?</t>
  </si>
  <si>
    <t xml:space="preserve">Présentation inexistante.</t>
  </si>
  <si>
    <t xml:space="preserve">Retards, désorganisation et échec potentiel du projet ou de la tâche.</t>
  </si>
  <si>
    <t xml:space="preserve">Mettre en place des revues régulières pour évaluer les problèmes tardifs</t>
  </si>
  <si>
    <t xml:space="preserve">Procédure de collecte des données</t>
  </si>
  <si>
    <t xml:space="preserve">Développer des outils pour accélérer la détection des problèmes</t>
  </si>
  <si>
    <t xml:space="preserve">Présentation des KPI sur des tableaux de bord</t>
  </si>
  <si>
    <t xml:space="preserve">Outils de mesure de la performance mis en place et fonctionnels ?</t>
  </si>
  <si>
    <t xml:space="preserve">Outil de mesure inexistant.</t>
  </si>
  <si>
    <t xml:space="preserve">Détection tardive des problèmes, entraînant des dérives ou des échecs.</t>
  </si>
  <si>
    <t xml:space="preserve">Développer des indicateurs pour mesurer l’efficacité des décisions</t>
  </si>
  <si>
    <t xml:space="preserve">S’assurer que les outils de mesure de la performance et les 
 tableaux de bord sont disponibles</t>
  </si>
  <si>
    <t xml:space="preserve">Outils de mesure de la performance mis en place et fonctionnels</t>
  </si>
  <si>
    <t xml:space="preserve">Les tableaux de bord présentent les indicateurs de performance ?</t>
  </si>
  <si>
    <t xml:space="preserve">Tableaux de bord ne présentant pas les indicateurs de performance.</t>
  </si>
  <si>
    <t xml:space="preserve">Manque de visibilité sur les performances, entraînant une mauvaise prise de décision.</t>
  </si>
  <si>
    <t xml:space="preserve">Mettre en place des revues régulières pour évaluer les pertes de temps</t>
  </si>
  <si>
    <t xml:space="preserve">Guide d'utilisation des outils de mesure</t>
  </si>
  <si>
    <t xml:space="preserve">Développer des outils pour optimiser l’utilisation des ressources</t>
  </si>
  <si>
    <t xml:space="preserve">Les tableaux de bord présentent les indicateurs de performance</t>
  </si>
  <si>
    <t xml:space="preserve">Les tableaux de bord sont utilisés pour prendre des décisions ?</t>
  </si>
  <si>
    <t xml:space="preserve">Tableaux de bord non utilisés.</t>
  </si>
  <si>
    <t xml:space="preserve">Outil inefficace, entraînant une perte de temps et de ressources.</t>
  </si>
  <si>
    <t xml:space="preserve">Mettre en place des revues régulières pour évaluer les informations clés</t>
  </si>
  <si>
    <t xml:space="preserve">Documentation des tableaux de bord</t>
  </si>
  <si>
    <t xml:space="preserve">Développer des canaux pour améliorer l’accès aux informations</t>
  </si>
  <si>
    <t xml:space="preserve">Les tableaux de bord sont utilisés pour prendre des décisions</t>
  </si>
  <si>
    <t xml:space="preserve">Tableaux de bord disponibles et à jour ?</t>
  </si>
  <si>
    <t xml:space="preserve">Tableaux de bord indisponibles.</t>
  </si>
  <si>
    <t xml:space="preserve">Absence d’accès aux informations clés, entraînant des décisions mal informées.</t>
  </si>
  <si>
    <t xml:space="preserve">Mettre en place des revues régulières pour évaluer les objectifs des projets</t>
  </si>
  <si>
    <t xml:space="preserve">Procès-verbaux des réunions de prise de décision</t>
  </si>
  <si>
    <t xml:space="preserve">Développer des indicateurs pour mesurer l’alignement des actions</t>
  </si>
  <si>
    <t xml:space="preserve">Tableaux de bord disponibles et à jour</t>
  </si>
  <si>
    <t xml:space="preserve">Les tableaux de bord permettent d'identifier les problèmes et les tendances ?</t>
  </si>
  <si>
    <t xml:space="preserve">Objectifs de l'entité non compris.</t>
  </si>
  <si>
    <t xml:space="preserve">Actions mal alignées avec les objectifs, entraînant des résultats inefficaces.</t>
  </si>
  <si>
    <t xml:space="preserve">Mettre en place des revues régulières pour évaluer les opérations</t>
  </si>
  <si>
    <t xml:space="preserve">Politique de mise à jour des tableaux de bord</t>
  </si>
  <si>
    <t xml:space="preserve">Développer des plans pour réduire les échecs opérationnels</t>
  </si>
  <si>
    <t xml:space="preserve">Les tableaux de bord permettent d'identifier les problèmes et les tendances</t>
  </si>
  <si>
    <t xml:space="preserve">Les objectifs de l'entité sont clairement définis et documentés ?</t>
  </si>
  <si>
    <t xml:space="preserve">Technologies ne supportent pas les besoins métiers de l'entité.</t>
  </si>
  <si>
    <t xml:space="preserve">Solutions inadaptées, entraînant des échecs opérationnels.</t>
  </si>
  <si>
    <t xml:space="preserve">Mettre en place des revues régulières pour évaluer les besoins futurs</t>
  </si>
  <si>
    <t xml:space="preserve">Rapports d'analyse des tendances basés sur les tableaux de bord</t>
  </si>
  <si>
    <t xml:space="preserve">Développer des plans pour anticiper les solutions nécessaires</t>
  </si>
  <si>
    <t xml:space="preserve">Evolutivité/pérennité de l'application</t>
  </si>
  <si>
    <t xml:space="preserve">Vérifier que les technologies utilisées sont conformes aux 
 aspirations de l’entité</t>
  </si>
  <si>
    <t xml:space="preserve">Les objectifs de l'entité sont clairement définis et documentés</t>
  </si>
  <si>
    <t xml:space="preserve">Charte stratégique de l'entité</t>
  </si>
  <si>
    <t xml:space="preserve">Les technologies utilisées supportent les besoins métiers de l'entité ?</t>
  </si>
  <si>
    <t xml:space="preserve">Plan d'évolution inexistant.</t>
  </si>
  <si>
    <t xml:space="preserve">Incapacité à anticiper les besoins futurs, entraînant des solutions obsolètes.</t>
  </si>
  <si>
    <t xml:space="preserve">Mettre en place des revues régulières pour évaluer les besoins des projets</t>
  </si>
  <si>
    <t xml:space="preserve">Rapport de alignement stratégique</t>
  </si>
  <si>
    <t xml:space="preserve">Développer des plans pour adapter les solutions aux besoins</t>
  </si>
  <si>
    <t xml:space="preserve">Les technologies utilisées supportent les besoins métiers de l'entité</t>
  </si>
  <si>
    <t xml:space="preserve">Un plan d'évolution des technologies est en place ?</t>
  </si>
  <si>
    <t xml:space="preserve">Analyse d'adéquation inexistante.</t>
  </si>
  <si>
    <t xml:space="preserve">Solutions mal adaptées aux besoins, entraînant des inefficacités.</t>
  </si>
  <si>
    <t xml:space="preserve">Mettre en place des revues régulières pour évaluer les intégrations</t>
  </si>
  <si>
    <t xml:space="preserve">Dossier de validation technique</t>
  </si>
  <si>
    <t xml:space="preserve">Développer des outils pour réduire les interruptions des systèmes</t>
  </si>
  <si>
    <t xml:space="preserve">Un plan d'évolution des technologies est en place</t>
  </si>
  <si>
    <t xml:space="preserve">Feuille de route technologique</t>
  </si>
  <si>
    <t xml:space="preserve">Une analyse a été menée pour évaluer l'adéquation des technologies aux objectifs ?</t>
  </si>
  <si>
    <t xml:space="preserve">Technologies incompatibles.</t>
  </si>
  <si>
    <t xml:space="preserve">Dysfonctionnements ou échecs d’intégration, entraînant des interruptions.</t>
  </si>
  <si>
    <t xml:space="preserve">Mettre en place des revues régulières pour évaluer les performances des systèmes</t>
  </si>
  <si>
    <t xml:space="preserve">Analyse prospective des technologies émergentes</t>
  </si>
  <si>
    <t xml:space="preserve">Développer des plans pour améliorer l’efficacité des systèmes</t>
  </si>
  <si>
    <t xml:space="preserve">Une analyse a été menée pour évaluer l'adéquation des technologies aux objectifs</t>
  </si>
  <si>
    <t xml:space="preserve">Matrice d'évaluation technologique</t>
  </si>
  <si>
    <t xml:space="preserve">Les technologies sont compatibles avec l'infrastructure existante ?</t>
  </si>
  <si>
    <t xml:space="preserve">Architecture non alignée.</t>
  </si>
  <si>
    <t xml:space="preserve">Système inefficace ou inadapté, entraînant des performances médiocres.</t>
  </si>
  <si>
    <t xml:space="preserve">Rapport d'impact stratégique des technologies</t>
  </si>
  <si>
    <t xml:space="preserve">Développer des plans pour réduire les pertes de productivité</t>
  </si>
  <si>
    <t xml:space="preserve">Les technologies sont compatibles avec l'infrastructure existante</t>
  </si>
  <si>
    <t xml:space="preserve">Diagnostic d'intégration technique</t>
  </si>
  <si>
    <t xml:space="preserve">L'architecture du logiciel est alignée avec les objectifs de l'entité ?</t>
  </si>
  <si>
    <t xml:space="preserve">Logiciel non performant.</t>
  </si>
  <si>
    <t xml:space="preserve">Ralentissements ou échecs opérationnels, entraînant des pertes de productivité.</t>
  </si>
  <si>
    <t xml:space="preserve">Mettre en place des revues régulières pour évaluer les changements</t>
  </si>
  <si>
    <t xml:space="preserve">Rapport de compatibilité et d'interopérabilité</t>
  </si>
  <si>
    <t xml:space="preserve">Développer des plans pour adapter les solutions aux changements</t>
  </si>
  <si>
    <t xml:space="preserve">S’assurer que technologie du logiciel sont conformes aux 
 aspirations de l’entité</t>
  </si>
  <si>
    <t xml:space="preserve">L'architecture du logiciel est alignée avec les objectifs de l'entité</t>
  </si>
  <si>
    <t xml:space="preserve">Modèle d'architecture d'entreprise</t>
  </si>
  <si>
    <t xml:space="preserve">Le logiciel est performant et fiable ?</t>
  </si>
  <si>
    <t xml:space="preserve">Logiciel non évolutif.</t>
  </si>
  <si>
    <t xml:space="preserve">Incapacité à s’adapter à la croissance ou aux changements, entraînant des solutions obsolètes.</t>
  </si>
  <si>
    <t xml:space="preserve">Mettre en place des revues régulières pour évaluer les processus clés</t>
  </si>
  <si>
    <t xml:space="preserve">Document de conception architecturale</t>
  </si>
  <si>
    <t xml:space="preserve">Développer des guides pour clarifier les fonctionnalités critiques</t>
  </si>
  <si>
    <t xml:space="preserve">Le logiciel est performant et fiable</t>
  </si>
  <si>
    <t xml:space="preserve">Rapport de benchmarking des performances</t>
  </si>
  <si>
    <t xml:space="preserve">Le logiciel est évolutif ?</t>
  </si>
  <si>
    <t xml:space="preserve">Fonctionnalités du logiciel non supportées.</t>
  </si>
  <si>
    <t xml:space="preserve">Manque de fonctionnalités clés, entraînant des processus incomplets.</t>
  </si>
  <si>
    <t xml:space="preserve">Dossier de qualification et de fiabilité</t>
  </si>
  <si>
    <t xml:space="preserve">Le logiciel est évolutif</t>
  </si>
  <si>
    <t xml:space="preserve">Plan de scalabilité</t>
  </si>
  <si>
    <t xml:space="preserve">Les fonctionnalités du logiciel supportent les besoins métiers ?</t>
  </si>
  <si>
    <t xml:space="preserve">Logiciel difficile à utiliser.</t>
  </si>
  <si>
    <t xml:space="preserve">Adoption faible ou erreurs fréquentes, entraînant une inefficacité.</t>
  </si>
  <si>
    <t xml:space="preserve">Mettre en place des audits pour évaluer les erreurs fréquentes</t>
  </si>
  <si>
    <t xml:space="preserve">Stratégie de développement évolutif</t>
  </si>
  <si>
    <t xml:space="preserve">Développer des formations pour réduire les inefficacités</t>
  </si>
  <si>
    <t xml:space="preserve">Les fonctionnalités du logiciel supportent les besoins métiers</t>
  </si>
  <si>
    <t xml:space="preserve">Cahier des charges fonctionnel</t>
  </si>
  <si>
    <t xml:space="preserve">Le logiciel est facile à utiliser et à maintenir ?</t>
  </si>
  <si>
    <t xml:space="preserve">Technologies n'ayant pas fait leurs preuves.</t>
  </si>
  <si>
    <t xml:space="preserve">Risque d’échec ou de dysfonctionnement, entraînant des pertes de temps et d’argent.</t>
  </si>
  <si>
    <t xml:space="preserve">Matrice de couverture des besoins</t>
  </si>
  <si>
    <t xml:space="preserve">Développer des plans pour réduire les dysfonctionnements</t>
  </si>
  <si>
    <t xml:space="preserve">Le logiciel est facile à utiliser et à maintenir</t>
  </si>
  <si>
    <t xml:space="preserve">Guide d'ergonomie et d'utilisabilité</t>
  </si>
  <si>
    <t xml:space="preserve">Les technologies ont fait leurs preuves dans des environnements similaires ?</t>
  </si>
  <si>
    <t xml:space="preserve">Technologies non documentées.</t>
  </si>
  <si>
    <t xml:space="preserve">Difficulté à utiliser ou à maintenir, entraînant des erreurs ou des interruptions.</t>
  </si>
  <si>
    <t xml:space="preserve">Mettre en place des audits pour évaluer les erreurs d’utilisation</t>
  </si>
  <si>
    <t xml:space="preserve">Manuel de maintenance et de support</t>
  </si>
  <si>
    <t xml:space="preserve">Développer des formations pour améliorer la maintenance des applications</t>
  </si>
  <si>
    <t xml:space="preserve">Vérifier que les technologies utilisées sont matures</t>
  </si>
  <si>
    <t xml:space="preserve">Les technologies ont fait leurs preuves dans des environnements similaires</t>
  </si>
  <si>
    <t xml:space="preserve">Étude de cas et retours d'expérience</t>
  </si>
  <si>
    <t xml:space="preserve">Les technologies sont documentées ?</t>
  </si>
  <si>
    <t xml:space="preserve">Technologies non conformes.</t>
  </si>
  <si>
    <t xml:space="preserve">Non-respect des normes ou réglementations, entraînant des sanctions ou des échecs.</t>
  </si>
  <si>
    <t xml:space="preserve">Mettre en place des audits pour évaluer la conformité aux normes</t>
  </si>
  <si>
    <t xml:space="preserve">Rapport de benchmark sectoriel</t>
  </si>
  <si>
    <t xml:space="preserve">Développer des plans pour réduire les risques de sanctions</t>
  </si>
  <si>
    <t xml:space="preserve">Les technologies sont documentées</t>
  </si>
  <si>
    <t xml:space="preserve">Référentiel technique</t>
  </si>
  <si>
    <t xml:space="preserve">Les technologies sont conformes aux normes et standards en vigueur ?</t>
  </si>
  <si>
    <t xml:space="preserve">Technologies non supportées.</t>
  </si>
  <si>
    <t xml:space="preserve">Absence de support technique, entraînant des problèmes non résolus.</t>
  </si>
  <si>
    <t xml:space="preserve">Mettre en place des audits pour évaluer le support technique</t>
  </si>
  <si>
    <t xml:space="preserve">Manuel de documentation technologique</t>
  </si>
  <si>
    <t xml:space="preserve">Développer des plans pour résoudre les problèmes non résolus</t>
  </si>
  <si>
    <t xml:space="preserve">Les technologies sont conformes aux normes et standards en vigueur</t>
  </si>
  <si>
    <t xml:space="preserve">Dossier de conformité réglementaire</t>
  </si>
  <si>
    <t xml:space="preserve">Les technologies sont supportées par des communautés actives ?</t>
  </si>
  <si>
    <t xml:space="preserve">Technologies non disponibles auprès de plusieurs fournisseurs.</t>
  </si>
  <si>
    <t xml:space="preserve">Dépendance à un fournisseur unique, entraînant des risques d’approvisionnement.</t>
  </si>
  <si>
    <t xml:space="preserve">Mettre en place des audits pour évaluer les dépendances aux fournisseurs</t>
  </si>
  <si>
    <t xml:space="preserve">Rapport de conformité aux standards</t>
  </si>
  <si>
    <t xml:space="preserve">Développer des plans pour diversifier les sources d’approvisionnement</t>
  </si>
  <si>
    <t xml:space="preserve">Les technologies sont supportées par des communautés actives</t>
  </si>
  <si>
    <t xml:space="preserve">Analyse des communautés technologiques</t>
  </si>
  <si>
    <t xml:space="preserve">Les technologies sont disponibles auprès de plusieurs fournisseurs ?</t>
  </si>
  <si>
    <t xml:space="preserve">Technologies non scalables.</t>
  </si>
  <si>
    <t xml:space="preserve">Incapacité à gérer une augmentation de la charge, entraînant des échecs opérationnels.</t>
  </si>
  <si>
    <t xml:space="preserve">Mettre en place des audits pour évaluer la charge des systèmes</t>
  </si>
  <si>
    <t xml:space="preserve">Rapport de support et d'engagement communautaire</t>
  </si>
  <si>
    <t xml:space="preserve">Les technologies sont disponibles auprès de plusieurs fournisseurs</t>
  </si>
  <si>
    <t xml:space="preserve">Étude comparative des fournisseurs</t>
  </si>
  <si>
    <t xml:space="preserve">Les technologies sont scalables ?</t>
  </si>
  <si>
    <t xml:space="preserve">Technologies non flexibles.</t>
  </si>
  <si>
    <t xml:space="preserve">Système surchargé, entraînant des ralentissements ou des pannes.</t>
  </si>
  <si>
    <t xml:space="preserve">Mettre en place des audits pour évaluer les coûts de remplacement</t>
  </si>
  <si>
    <t xml:space="preserve">Matrice d'évaluation des fournisseurs</t>
  </si>
  <si>
    <t xml:space="preserve">Développer des plans pour optimiser les coûts de remplacement</t>
  </si>
  <si>
    <t xml:space="preserve">S’assurer que les technologies utilisées peuvent s’adapter à la 
 croissance</t>
  </si>
  <si>
    <t xml:space="preserve">Les technologies sont scalables</t>
  </si>
  <si>
    <t xml:space="preserve">Plan de scalabilité technique</t>
  </si>
  <si>
    <t xml:space="preserve">Les technologies sont flexibles et peuvent être adaptées aux nouveaux besoins ?</t>
  </si>
  <si>
    <t xml:space="preserve">Plan de gestion de la croissance inexistant.</t>
  </si>
  <si>
    <t xml:space="preserve">Obsolescence rapide, entraînant des coûts de remplacement élevés.</t>
  </si>
  <si>
    <t xml:space="preserve">Stratégie de gestion de la croissance</t>
  </si>
  <si>
    <t xml:space="preserve">Les technologies sont flexibles et peuvent être adaptées aux nouveaux besoins</t>
  </si>
  <si>
    <t xml:space="preserve">Analyse de capacité de montée en charge</t>
  </si>
  <si>
    <t xml:space="preserve">Un plan de gestion de la croissance est en place ?</t>
  </si>
  <si>
    <t xml:space="preserve">Technologies ne supportant pas l'augmentation des utilisateurs et des données.</t>
  </si>
  <si>
    <t xml:space="preserve">Rapport de performance évolutive</t>
  </si>
  <si>
    <t xml:space="preserve">Un plan de gestion de la croissance est en place</t>
  </si>
  <si>
    <t xml:space="preserve">Étude de compatibilité technologique</t>
  </si>
  <si>
    <t xml:space="preserve">Les technologies peuvent supporter un nombre croissant d'utilisateurs et de données ?</t>
  </si>
  <si>
    <t xml:space="preserve">Technologies incompatibles avec les nouvelles technologies.</t>
  </si>
  <si>
    <t xml:space="preserve">Mettre en place des audits pour évaluer les volumes de données</t>
  </si>
  <si>
    <t xml:space="preserve">Rapport d'interopérabilité future</t>
  </si>
  <si>
    <t xml:space="preserve">Développer des plans pour gérer la croissance des données</t>
  </si>
  <si>
    <t xml:space="preserve">Les technologies peuvent supporter un nombre croissant d'utilisateurs et de données</t>
  </si>
  <si>
    <t xml:space="preserve">Plan de gestion de la croissance</t>
  </si>
  <si>
    <t xml:space="preserve">Les technologies sont compatibles avec les nouvelles technologies ?</t>
  </si>
  <si>
    <t xml:space="preserve">Application non compatible.</t>
  </si>
  <si>
    <t xml:space="preserve">Incapacité à gérer des volumes de données croissants, entraînant des échecs opérationnels.</t>
  </si>
  <si>
    <t xml:space="preserve">Mettre en place des audits pour évaluer les difficultés d’utilisation</t>
  </si>
  <si>
    <t xml:space="preserve">Stratégie d'adaptation aux nouveaux besoins</t>
  </si>
  <si>
    <t xml:space="preserve">Développer des guides pour documenter les processus d’utilisation</t>
  </si>
  <si>
    <t xml:space="preserve">Les technologies sont compatibles avec les nouvelles technologies</t>
  </si>
  <si>
    <t xml:space="preserve">Dossier de veille technologique</t>
  </si>
  <si>
    <t xml:space="preserve">L'application est compatible avec les autres applications du système ?</t>
  </si>
  <si>
    <t xml:space="preserve">Application ne respectant pas les normes et standards.</t>
  </si>
  <si>
    <t xml:space="preserve">Absence de documentation, entraînant des difficultés de maintenance ou d’utilisation.</t>
  </si>
  <si>
    <t xml:space="preserve">Mettre en place des audits pour évaluer les inefficacités des applications</t>
  </si>
  <si>
    <t xml:space="preserve">Rapport de prospective et d'innovation</t>
  </si>
  <si>
    <t xml:space="preserve">Développer des plans pour personnaliser les applications</t>
  </si>
  <si>
    <t xml:space="preserve">S’assurer que l'application peut s’intégrer dans le système de 
 l’entité</t>
  </si>
  <si>
    <t xml:space="preserve">L'application est compatible avec les autres applications du système</t>
  </si>
  <si>
    <t xml:space="preserve">Matrice de compatibilité inter-applicative</t>
  </si>
  <si>
    <t xml:space="preserve">L'application respecte les normes et standards de l'entité ?</t>
  </si>
  <si>
    <t xml:space="preserve">Intégration non testée.</t>
  </si>
  <si>
    <t xml:space="preserve">Incapacité à personnaliser l’application, entraînant une inefficacité.</t>
  </si>
  <si>
    <t xml:space="preserve">Mettre en place des audits pour évaluer les dépendances aux solutions uniques</t>
  </si>
  <si>
    <t xml:space="preserve">Rapport d'interopérabilité systémique</t>
  </si>
  <si>
    <t xml:space="preserve">Développer des plans pour diversifier les solutions en cas de panne</t>
  </si>
  <si>
    <t xml:space="preserve">L'application respecte les normes et standards de l'entité</t>
  </si>
  <si>
    <t xml:space="preserve">Référentiel des normes et standards de l'entité</t>
  </si>
  <si>
    <t xml:space="preserve">L'intégration de l'application est testée ?</t>
  </si>
  <si>
    <t xml:space="preserve">Application ne pouvant pas échanger des données.</t>
  </si>
  <si>
    <t xml:space="preserve">Dépendance à une solution unique, entraînant des risques en cas de panne.</t>
  </si>
  <si>
    <t xml:space="preserve">Mettre en place des audits pour évaluer les adaptations aux changements</t>
  </si>
  <si>
    <t xml:space="preserve">Dossier de conformité technique</t>
  </si>
  <si>
    <t xml:space="preserve">Développer des plans pour anticiper les solutions obsolètes</t>
  </si>
  <si>
    <t xml:space="preserve">L'intégration de l'application est testée</t>
  </si>
  <si>
    <t xml:space="preserve">Plan de test d'intégration</t>
  </si>
  <si>
    <t xml:space="preserve">L'application peut échanger des données avec les autres applications ?</t>
  </si>
  <si>
    <t xml:space="preserve">Intégration non documentée.</t>
  </si>
  <si>
    <t xml:space="preserve">Incapacité à s’adapter aux changements, entraînant des solutions obsolètes.</t>
  </si>
  <si>
    <t xml:space="preserve">Rapport de validation d'intégration</t>
  </si>
  <si>
    <t xml:space="preserve">L'application peut échanger des données avec les autres applications</t>
  </si>
  <si>
    <t xml:space="preserve">Protocole d'échange de données</t>
  </si>
  <si>
    <t xml:space="preserve">L'intégration de l'application est documentée ?</t>
  </si>
  <si>
    <t xml:space="preserve">Application non décomposée en modules indépendants.</t>
  </si>
  <si>
    <t xml:space="preserve">Absence de tests, entraînant des dysfonctionnements ou des échecs.</t>
  </si>
  <si>
    <t xml:space="preserve">Mettre en place des audits pour évaluer les modifications des applications</t>
  </si>
  <si>
    <t xml:space="preserve">Spécification des interfaces d'échange</t>
  </si>
  <si>
    <t xml:space="preserve">Développer des plans pour moderniser les applications obsolètes</t>
  </si>
  <si>
    <t xml:space="preserve">L'intégration de l'application est documentée</t>
  </si>
  <si>
    <t xml:space="preserve">Documentation technique d'intégration</t>
  </si>
  <si>
    <t xml:space="preserve">L'application est composée de modules indépendants ?</t>
  </si>
  <si>
    <t xml:space="preserve">Application non indépendante des modules.</t>
  </si>
  <si>
    <t xml:space="preserve">Incapacité à ajuster ou modifier l’application, entraînant une obsolescence rapide.</t>
  </si>
  <si>
    <t xml:space="preserve">Cartographie des interfaces</t>
  </si>
  <si>
    <t xml:space="preserve">Développer des guides pour documenter les processus de maintenance</t>
  </si>
  <si>
    <t xml:space="preserve">S’assurer que l’application est modulaire et adaptable</t>
  </si>
  <si>
    <t xml:space="preserve">L'application est composée de modules indépendants</t>
  </si>
  <si>
    <t xml:space="preserve">Modèle de conception modulaire</t>
  </si>
  <si>
    <t xml:space="preserve">L'application peut être adaptée aux besoins spécifiques de l'entité ?</t>
  </si>
  <si>
    <t xml:space="preserve">Application non adaptable.</t>
  </si>
  <si>
    <t xml:space="preserve">Absence de documentation, entraînant des difficultés d’utilisation ou de maintenance.</t>
  </si>
  <si>
    <t xml:space="preserve">Mettre en place des audits pour évaluer les versions des applications</t>
  </si>
  <si>
    <t xml:space="preserve">Rapport d'architecture modulaire</t>
  </si>
  <si>
    <t xml:space="preserve">Développer des plans pour réduire les erreurs d’incohérence</t>
  </si>
  <si>
    <t xml:space="preserve">L'application peut être adaptée aux besoins spécifiques de l'entité</t>
  </si>
  <si>
    <t xml:space="preserve">Cahier des charges d'adaptabilité</t>
  </si>
  <si>
    <t xml:space="preserve">L'adaptation de l'application est testée ?</t>
  </si>
  <si>
    <t xml:space="preserve">Adaptation non testée.</t>
  </si>
  <si>
    <t xml:space="preserve">Absence de contrôle des versions, entraînant des erreurs ou des incohérences.</t>
  </si>
  <si>
    <t xml:space="preserve">Dossier de spécifications d'adaptation</t>
  </si>
  <si>
    <t xml:space="preserve">Développer des outils pour suivre les erreurs de modification</t>
  </si>
  <si>
    <t xml:space="preserve">L'adaptation de l'application est testée</t>
  </si>
  <si>
    <t xml:space="preserve">Rapport de tests d'adaptabilité</t>
  </si>
  <si>
    <t xml:space="preserve">Les modules peuvent être ajoutés, supprimés ou modifiés sans impacter le reste de l'application ?</t>
  </si>
  <si>
    <t xml:space="preserve">Les modules ne peuvent pas être ajoutés, supprimés ou modifiés sans impacter le reste de l'application.</t>
  </si>
  <si>
    <t xml:space="preserve">Perte de traçabilité des modifications, entraînant des erreurs ou des malentendus.</t>
  </si>
  <si>
    <t xml:space="preserve">Mettre en place des audits pour évaluer les changements historiques</t>
  </si>
  <si>
    <t xml:space="preserve">Procès-verbal de validation d'adaptation</t>
  </si>
  <si>
    <t xml:space="preserve">Développer des plans pour retracer les modifications effectuées</t>
  </si>
  <si>
    <t xml:space="preserve">Les modules peuvent être ajoutés, supprimés ou modifiés sans impacter le reste de l'application</t>
  </si>
  <si>
    <t xml:space="preserve">Procédure de modification modulaire</t>
  </si>
  <si>
    <t xml:space="preserve">L'adaptation de l'application est documentée ?</t>
  </si>
  <si>
    <t xml:space="preserve">Adaptation non documentée.</t>
  </si>
  <si>
    <t xml:space="preserve">Perte d’historique, entraînant des difficultés à retracer les changements.</t>
  </si>
  <si>
    <t xml:space="preserve">Mettre en place des audits pour évaluer les malentendus des applications</t>
  </si>
  <si>
    <t xml:space="preserve">Guide de maintenance modulaire</t>
  </si>
  <si>
    <t xml:space="preserve">Développer des formations pour clarifier les processus d’utilisation</t>
  </si>
  <si>
    <t xml:space="preserve">L'adaptation de l'application est documentée</t>
  </si>
  <si>
    <t xml:space="preserve">Politique de gestion des versions</t>
  </si>
  <si>
    <t xml:space="preserve">Un système de gestion des versions est en place ?</t>
  </si>
  <si>
    <t xml:space="preserve">Absence de gestion des versions.</t>
  </si>
  <si>
    <t xml:space="preserve">Documentation partielle, entraînant des malentendus ou des erreurs.</t>
  </si>
  <si>
    <t xml:space="preserve">Registre des versions</t>
  </si>
  <si>
    <t xml:space="preserve">Développer des plans pour réduire les dysfonctionnements des versions</t>
  </si>
  <si>
    <t xml:space="preserve">S’assurer que l'application significativement version par 
 version</t>
  </si>
  <si>
    <t xml:space="preserve">Un système de gestion des versions est en place</t>
  </si>
  <si>
    <t xml:space="preserve">Manuel de suivi des changements</t>
  </si>
  <si>
    <t xml:space="preserve">Les changements apportés à chaque version sont documentés ?</t>
  </si>
  <si>
    <t xml:space="preserve">Changements non documentés.</t>
  </si>
  <si>
    <t xml:space="preserve">Absence de validation des versions, entraînant des dysfonctionnements.</t>
  </si>
  <si>
    <t xml:space="preserve">Archives des versions historiques</t>
  </si>
  <si>
    <t xml:space="preserve">Les changements apportés à chaque version sont documentés</t>
  </si>
  <si>
    <t xml:space="preserve">Procédure d'identification des versions</t>
  </si>
  <si>
    <t xml:space="preserve">Les anciennes versions sont archivées ?</t>
  </si>
  <si>
    <t xml:space="preserve">Anciennes versions non archivées.</t>
  </si>
  <si>
    <t xml:space="preserve">Absence de suivi, entraînant des retards ou des échecs de maintenance.</t>
  </si>
  <si>
    <t xml:space="preserve">Mettre en place des audits pour évaluer les retards de maintenance</t>
  </si>
  <si>
    <t xml:space="preserve">Rapport de tests pré-production</t>
  </si>
  <si>
    <t xml:space="preserve">Développer des plans pour accélérer la résolution des problèmes</t>
  </si>
  <si>
    <t xml:space="preserve">Les anciennes versions sont archivées</t>
  </si>
  <si>
    <t xml:space="preserve">Tableau de bord des demandes de maintenance</t>
  </si>
  <si>
    <t xml:space="preserve">Chaque version de l'application est identifiée et documentée ?</t>
  </si>
  <si>
    <t xml:space="preserve">Identification et documentation incomplètes.</t>
  </si>
  <si>
    <t xml:space="preserve">Mauvaise planification des priorités, entraînant des retards ou des inefficacités.</t>
  </si>
  <si>
    <t xml:space="preserve">Mettre en place des revues régulières pour évaluer les priorités</t>
  </si>
  <si>
    <t xml:space="preserve">Matrice de priorisation des demandes</t>
  </si>
  <si>
    <t xml:space="preserve">Développer des outils pour optimiser la gestion des priorités</t>
  </si>
  <si>
    <t xml:space="preserve">Chaque version de l'application est identifiée et documentée</t>
  </si>
  <si>
    <t xml:space="preserve">Tableau de suivi des coûts de maintenance</t>
  </si>
  <si>
    <t xml:space="preserve">Les versions sont testées avant leur mise en production ?</t>
  </si>
  <si>
    <t xml:space="preserve">Versions non testées.</t>
  </si>
  <si>
    <t xml:space="preserve">Absence de suivi des coûts, entraînant des dépassements budgétaires.</t>
  </si>
  <si>
    <t xml:space="preserve">Mettre en place des audits pour évaluer les coûts des projets</t>
  </si>
  <si>
    <t xml:space="preserve">Analyse statistique des demandes</t>
  </si>
  <si>
    <t xml:space="preserve">Développer des plans pour optimiser les dépenses budgétaires</t>
  </si>
  <si>
    <t xml:space="preserve">Les versions sont testées avant leur mise en production</t>
  </si>
  <si>
    <t xml:space="preserve">Rapport d'analyse des tendances de maintenance</t>
  </si>
  <si>
    <t xml:space="preserve">Le nombre de demandes de maintenance est suivi ?</t>
  </si>
  <si>
    <t xml:space="preserve">Suivi des demandes de maintenance inexistant.</t>
  </si>
  <si>
    <t xml:space="preserve">Décisions mal informées, entraînant des erreurs stratégiques.</t>
  </si>
  <si>
    <t xml:space="preserve">Tableau de bord des délais de résolution</t>
  </si>
  <si>
    <t xml:space="preserve">Développer des outils pour améliorer la prise de décision stratégique</t>
  </si>
  <si>
    <t xml:space="preserve">Vérifier que le volume des demandes de maintenance évolutive 
 est acceptable et cohérent avec l’utilisation de l’application</t>
  </si>
  <si>
    <t xml:space="preserve">Le nombre de demandes de maintenance est suivi</t>
  </si>
  <si>
    <t xml:space="preserve">Référentiel des compétences de maintenance</t>
  </si>
  <si>
    <t xml:space="preserve">Les demandes de maintenance sont priorisées ?</t>
  </si>
  <si>
    <t xml:space="preserve">Priorisation inexistante.</t>
  </si>
  <si>
    <t xml:space="preserve">Résolution tardive des problèmes, entraînant des interruptions prolongées.</t>
  </si>
  <si>
    <t xml:space="preserve">Mettre en place des audits pour évaluer les interruptions prolongées</t>
  </si>
  <si>
    <t xml:space="preserve">Plan de développement des compétences</t>
  </si>
  <si>
    <t xml:space="preserve">Développer des plans pour réduire les impacts des interruptions</t>
  </si>
  <si>
    <t xml:space="preserve">Les demandes de maintenance sont priorisées</t>
  </si>
  <si>
    <t xml:space="preserve">Charte d'autonomie de l'équipe</t>
  </si>
  <si>
    <t xml:space="preserve">Le coût de la maintenance est suivi ?</t>
  </si>
  <si>
    <t xml:space="preserve">Suivi des coûts inexistant.</t>
  </si>
  <si>
    <t xml:space="preserve">Manque de compétences, entraînant des erreurs ou des inefficacités.</t>
  </si>
  <si>
    <t xml:space="preserve">Mettre en place des audits pour évaluer les compétences des équipes</t>
  </si>
  <si>
    <t xml:space="preserve">Matrice des habilitations</t>
  </si>
  <si>
    <t xml:space="preserve">Développer des formations pour améliorer les compétences critiques</t>
  </si>
  <si>
    <t xml:space="preserve">Le coût de la maintenance est suivi</t>
  </si>
  <si>
    <t xml:space="preserve">Guide des processus décisionnels</t>
  </si>
  <si>
    <t xml:space="preserve">Les demandes de maintenance sont analysées pour identifier les tendances ?</t>
  </si>
  <si>
    <t xml:space="preserve">Absence d’autonomie, entraînant une dépendance excessive à des tiers.</t>
  </si>
  <si>
    <t xml:space="preserve">Mettre en place des audits pour évaluer les dépendances aux tiers</t>
  </si>
  <si>
    <t xml:space="preserve">Baromètre de motivation de l'équipe</t>
  </si>
  <si>
    <t xml:space="preserve">Développer des plans pour réduire les dépendances excessives</t>
  </si>
  <si>
    <t xml:space="preserve">Les demandes de maintenance sont analysées pour identifier les tendances</t>
  </si>
  <si>
    <t xml:space="preserve">Plan d'engagement et de reconnaissance</t>
  </si>
  <si>
    <t xml:space="preserve">Les demandes de maintenance sont résolues dans un délai raisonnable ?</t>
  </si>
  <si>
    <t xml:space="preserve">Résolution tardive.</t>
  </si>
  <si>
    <t xml:space="preserve">Manque d’implication, entraînant des retards ou des échecs.</t>
  </si>
  <si>
    <t xml:space="preserve">Mettre en place des audits pour évaluer les retards des projets</t>
  </si>
  <si>
    <t xml:space="preserve">Inventaire des outils de maintenance</t>
  </si>
  <si>
    <t xml:space="preserve">Les demandes de maintenance sont résolues dans un délai raisonnable</t>
  </si>
  <si>
    <t xml:space="preserve">Matrice des ressources disponibles</t>
  </si>
  <si>
    <t xml:space="preserve">L'équipe de maintenance dispose des compétences nécessaires ?</t>
  </si>
  <si>
    <t xml:space="preserve">Compétences inadéquates.</t>
  </si>
  <si>
    <t xml:space="preserve">Manque de ressources, entraînant des retards ou des échecs opérationnels.</t>
  </si>
  <si>
    <t xml:space="preserve">Mettre en place des audits pour évaluer les ressources disponibles</t>
  </si>
  <si>
    <t xml:space="preserve">Plan de formation technologique</t>
  </si>
  <si>
    <t xml:space="preserve">Vérifier que structure en charge de la maintenance est 
 autonome et compétente</t>
  </si>
  <si>
    <t xml:space="preserve">L'équipe de maintenance dispose des compétences nécessaires</t>
  </si>
  <si>
    <t xml:space="preserve">Programme de veille technologique</t>
  </si>
  <si>
    <t xml:space="preserve">L'équipe de maintenance est autonome et peut prendre des décisions ?</t>
  </si>
  <si>
    <t xml:space="preserve">Autonomie inexistante.</t>
  </si>
  <si>
    <t xml:space="preserve">Manque de formation, entraînant des erreurs ou une adoption inefficace.</t>
  </si>
  <si>
    <t xml:space="preserve">Mettre en place des audits pour évaluer les erreurs d’adoption</t>
  </si>
  <si>
    <t xml:space="preserve">Référentiel des compétences émergentes</t>
  </si>
  <si>
    <t xml:space="preserve">Développer des formations pour améliorer l’adoption des outils</t>
  </si>
  <si>
    <t xml:space="preserve">L'équipe de maintenance est autonome et peut prendre des décisions</t>
  </si>
  <si>
    <t xml:space="preserve">Dossier de qualification technique</t>
  </si>
  <si>
    <t xml:space="preserve">L'équipe de maintenance est motivée et engagée ?</t>
  </si>
  <si>
    <t xml:space="preserve">Motivation et engagement absents.</t>
  </si>
  <si>
    <t xml:space="preserve">Absence d’évaluation, entraînant des risques non anticipés.</t>
  </si>
  <si>
    <t xml:space="preserve">Mettre en place des audits pour évaluer les risques non anticipés</t>
  </si>
  <si>
    <t xml:space="preserve">Rapport d'évaluation des compétences</t>
  </si>
  <si>
    <t xml:space="preserve">Développer des plans pour anticiper les risques potentiels</t>
  </si>
  <si>
    <t xml:space="preserve">L'équipe de maintenance est motivée et engagée</t>
  </si>
  <si>
    <t xml:space="preserve">Stratégie de montée en compétences</t>
  </si>
  <si>
    <t xml:space="preserve">L'équipe de maintenance a accès aux outils et ressources nécessaires ?</t>
  </si>
  <si>
    <t xml:space="preserve">Outils et ressources manquants.</t>
  </si>
  <si>
    <t xml:space="preserve">Manque de compétences internes, entraînant des dépendances externes coûteuses.</t>
  </si>
  <si>
    <t xml:space="preserve">Mettre en place des audits pour évaluer les dépendances externes</t>
  </si>
  <si>
    <t xml:space="preserve">Plan de gestion des connaissances</t>
  </si>
  <si>
    <t xml:space="preserve">Développer des plans pour réduire les coûts externes</t>
  </si>
  <si>
    <t xml:space="preserve">L'équipe de maintenance a accès aux outils et ressources nécessaires</t>
  </si>
  <si>
    <t xml:space="preserve">Matrice des risques de maintenance</t>
  </si>
  <si>
    <t xml:space="preserve">L'équipe de maintenance est formée aux nouvelles technologies ?</t>
  </si>
  <si>
    <t xml:space="preserve">Formation aux nouvelles technologies absente.</t>
  </si>
  <si>
    <t xml:space="preserve">Absence de support à long terme, entraînant des interruptions ou des échecs.</t>
  </si>
  <si>
    <t xml:space="preserve">Mettre en place des audits pour évaluer le support à long terme</t>
  </si>
  <si>
    <t xml:space="preserve">Tableau de bord des indicateurs de performance</t>
  </si>
  <si>
    <t xml:space="preserve">Développer des plans pour assurer un support durable</t>
  </si>
  <si>
    <t xml:space="preserve">L'équipe de maintenance est formée aux nouvelles technologies</t>
  </si>
  <si>
    <t xml:space="preserve">Rapport d'amélioration continue</t>
  </si>
  <si>
    <t xml:space="preserve">Avez-vous réalisé une évaluation documentée et exhaustive des risques potentiels liés à votre dépendance technologique ?</t>
  </si>
  <si>
    <t xml:space="preserve">Évaluation des risques inexistante.</t>
  </si>
  <si>
    <t xml:space="preserve">Absence de plan de transfert, entraînant des interruptions lors des transitions.</t>
  </si>
  <si>
    <t xml:space="preserve">Mettre en place des audits pour évaluer les transitions des projets</t>
  </si>
  <si>
    <t xml:space="preserve">Dossier de prospective et d'innovation</t>
  </si>
  <si>
    <t xml:space="preserve">Développer des plans pour gérer les interruptions des transitions</t>
  </si>
  <si>
    <t xml:space="preserve">S’assurer que le niveau de dépendance vis-à-vis de la structure 
 de développement de l’application est acceptable</t>
  </si>
  <si>
    <t xml:space="preserve">Évaluation documentée des risques liés à la dépendance</t>
  </si>
  <si>
    <t xml:space="preserve">Matrice d'analyse des risques de dépendance</t>
  </si>
  <si>
    <t xml:space="preserve">Votre organisation dispose-t-elle de compétences internes suffisantes pour assurer la maintenance corrective et évolutive de votre solution ?</t>
  </si>
  <si>
    <t xml:space="preserve">Compétences internes insuffisantes.</t>
  </si>
  <si>
    <t xml:space="preserve">Absence de solutions alternatives, entraînant une dépendance risquée.</t>
  </si>
  <si>
    <t xml:space="preserve">Mettre en place des audits pour évaluer les solutions alternatives</t>
  </si>
  <si>
    <t xml:space="preserve">Rapport d'évaluation des vulnérabilités</t>
  </si>
  <si>
    <t xml:space="preserve">Développer des plans pour diversifier les solutions disponibles</t>
  </si>
  <si>
    <t xml:space="preserve">Existence de compétences internes pour la maintenance corrective et évolutive</t>
  </si>
  <si>
    <t xml:space="preserve">Référentiel des compétences internes de maintenance</t>
  </si>
  <si>
    <t xml:space="preserve">Les clauses contractuelles actuelles garantissent-elles un support technique et fonctionnel à long terme ?</t>
  </si>
  <si>
    <t xml:space="preserve">Support technique et fonctionnel non garanti à long terme.</t>
  </si>
  <si>
    <t xml:space="preserve">Mauvaise réputation, entraînant une perte de confiance ou de clients.</t>
  </si>
  <si>
    <t xml:space="preserve">Mettre en place des audits pour évaluer la confiance des clients</t>
  </si>
  <si>
    <t xml:space="preserve">Plan de développement des compétences correctives</t>
  </si>
  <si>
    <t xml:space="preserve">Développer des plans pour améliorer la satisfaction des clients</t>
  </si>
  <si>
    <t xml:space="preserve">Clauses contractuelles garantissant un support à long terme</t>
  </si>
  <si>
    <t xml:space="preserve">Cartographie des compétences évolutives</t>
  </si>
  <si>
    <t xml:space="preserve">Existe-t-il un plan formel et détaillé de transfert de connaissances entre le fournisseur et votre équipe ?</t>
  </si>
  <si>
    <t xml:space="preserve">Plan de transfert inexistant.</t>
  </si>
  <si>
    <t xml:space="preserve">Instabilité financière, entraînant des difficultés à maintenir les opérations.</t>
  </si>
  <si>
    <t xml:space="preserve">Mettre en place des audits pour évaluer les difficultés financières</t>
  </si>
  <si>
    <t xml:space="preserve">Modèle de clause de support à long terme</t>
  </si>
  <si>
    <t xml:space="preserve">Développer des plans pour stabiliser les opérations financières</t>
  </si>
  <si>
    <t xml:space="preserve">Plan de transfert de connaissances formalisé</t>
  </si>
  <si>
    <t xml:space="preserve">Contrat de garantie de maintenance</t>
  </si>
  <si>
    <t xml:space="preserve">Avez-vous identifié et qualifié des prestataires alternatifs capables de prendre le relais en cas de défaillance de votre fournisseur principal ?</t>
  </si>
  <si>
    <t xml:space="preserve">Prestataires alternatifs non identifiés.</t>
  </si>
  <si>
    <t xml:space="preserve">Engagements non tenus, entraînant des litiges ou une perte de crédibilité.</t>
  </si>
  <si>
    <t xml:space="preserve">Mettre en place des audits pour évaluer les litiges potentiels</t>
  </si>
  <si>
    <t xml:space="preserve">Plan de transfert de connaissances</t>
  </si>
  <si>
    <t xml:space="preserve">Développer des plans pour réduire les risques de litiges</t>
  </si>
  <si>
    <t xml:space="preserve">Possibilité de recours à des prestataires alternatifs en cas de défaillance</t>
  </si>
  <si>
    <t xml:space="preserve">Procédure de transmission des savoirs</t>
  </si>
  <si>
    <t xml:space="preserve">L'éditeur a une bonne réputation sur le marché ?</t>
  </si>
  <si>
    <t xml:space="preserve">L'éditeur n'a pas une bonne réputation sur le marché.</t>
  </si>
  <si>
    <t xml:space="preserve">Insatisfaction des clients, entraînant une perte de fidélité ou de revenus.</t>
  </si>
  <si>
    <t xml:space="preserve">Mettre en place des audits pour évaluer la fidélité des clients</t>
  </si>
  <si>
    <t xml:space="preserve">Étude de marché des prestataires alternatifs</t>
  </si>
  <si>
    <t xml:space="preserve">S’assurer que l’éditeur de l’application a des références 
 indiscutables</t>
  </si>
  <si>
    <t xml:space="preserve">L'éditeur a une bonne réputation sur le marché</t>
  </si>
  <si>
    <t xml:space="preserve">Matrice d'évaluation des fournisseurs potentiels</t>
  </si>
  <si>
    <t xml:space="preserve">L'éditeur a une situation financière stable ?</t>
  </si>
  <si>
    <t xml:space="preserve">L'éditeur n'a pas de situation financière stable.</t>
  </si>
  <si>
    <t xml:space="preserve">Incertitude sur l’avenir de l’application, entraînant des hésitations ou des abandons.</t>
  </si>
  <si>
    <t xml:space="preserve">Mettre en place des audits pour évaluer les hésitations des applications</t>
  </si>
  <si>
    <t xml:space="preserve">Dossier de continuité de service</t>
  </si>
  <si>
    <t xml:space="preserve">Développer des plans pour stabiliser les performances des applications</t>
  </si>
  <si>
    <t xml:space="preserve">L'éditeur a une situation financière stable</t>
  </si>
  <si>
    <t xml:space="preserve">Analyse de réputation de l'éditeur</t>
  </si>
  <si>
    <t xml:space="preserve">L'éditeur est engagé dans le développement de l'application ?</t>
  </si>
  <si>
    <t xml:space="preserve">Éditeur non engagé.</t>
  </si>
  <si>
    <t xml:space="preserve">Absence de processus, entraînant des retards ou des erreurs.</t>
  </si>
  <si>
    <t xml:space="preserve">Mettre en place des audits pour évaluer les retards des processus</t>
  </si>
  <si>
    <t xml:space="preserve">Rapport de benchmark éditeur</t>
  </si>
  <si>
    <t xml:space="preserve">L'éditeur est engagé dans le développement de l'application</t>
  </si>
  <si>
    <t xml:space="preserve">Étude financière de l'éditeur</t>
  </si>
  <si>
    <t xml:space="preserve">L'éditeur a des clients satisfaits ?</t>
  </si>
  <si>
    <t xml:space="preserve">Clients insatisfaits.</t>
  </si>
  <si>
    <t xml:space="preserve">Absence de tests, entraînant des erreurs ou des dysfonctionnements.</t>
  </si>
  <si>
    <t xml:space="preserve">Analyse de stabilité financière</t>
  </si>
  <si>
    <t xml:space="preserve">L'éditeur a des clients satisfaits</t>
  </si>
  <si>
    <t xml:space="preserve">Dossier de stratégie de développement</t>
  </si>
  <si>
    <t xml:space="preserve">L'éditeur a une vision claire de l'avenir de l'application ?</t>
  </si>
  <si>
    <t xml:space="preserve">Vision d'avenir de l'application incertaine.</t>
  </si>
  <si>
    <t xml:space="preserve">Manque d’information, entraînant des malentendus ou des erreurs.</t>
  </si>
  <si>
    <t xml:space="preserve">Feuille de route de l'éditeur</t>
  </si>
  <si>
    <t xml:space="preserve">L'éditeur a une vision claire de l'avenir de l'application</t>
  </si>
  <si>
    <t xml:space="preserve">Rapport de satisfaction clients</t>
  </si>
  <si>
    <t xml:space="preserve">Un processus de mise à jour du progiciel est en place ?</t>
  </si>
  <si>
    <t xml:space="preserve">Mises à jour irrégulières, entraînant des dysfonctionnements ou des retards.</t>
  </si>
  <si>
    <t xml:space="preserve">Mettre en place des audits pour évaluer les mises à jour irrégulières</t>
  </si>
  <si>
    <t xml:space="preserve">Étude de référencement client</t>
  </si>
  <si>
    <t xml:space="preserve">Développer des plans pour réduire les dysfonctionnements des mises à jour</t>
  </si>
  <si>
    <t xml:space="preserve">S’assurer que la version du progiciel installée dans 
 l’organisation est la plus récente</t>
  </si>
  <si>
    <t xml:space="preserve">Un processus de mise à jour du progiciel est en place</t>
  </si>
  <si>
    <t xml:space="preserve">Document de vision prospective</t>
  </si>
  <si>
    <t xml:space="preserve">Les mises à jour sont testées avant leur mise en production ?</t>
  </si>
  <si>
    <t xml:space="preserve">Mises à jour non testées.</t>
  </si>
  <si>
    <t xml:space="preserve">Absence de documentation, entraînant des difficultés de suivi ou de maintenance.</t>
  </si>
  <si>
    <t xml:space="preserve">Stratégie de développement long terme</t>
  </si>
  <si>
    <t xml:space="preserve">Les mises à jour sont testées avant leur mise en production</t>
  </si>
  <si>
    <t xml:space="preserve">Politique de mise à jour</t>
  </si>
  <si>
    <t xml:space="preserve">Les utilisateurs sont informés des mises à jour ?</t>
  </si>
  <si>
    <t xml:space="preserve">Utilisateurs non informés.</t>
  </si>
  <si>
    <t xml:space="preserve">Procédure de test des mises à jour</t>
  </si>
  <si>
    <t xml:space="preserve">Les utilisateurs sont informés des mises à jour</t>
  </si>
  <si>
    <t xml:space="preserve">Plan de communication des mises à jour</t>
  </si>
  <si>
    <t xml:space="preserve">Les mises à jour sont installées régulièrement ?</t>
  </si>
  <si>
    <t xml:space="preserve">Mises à jour irrégulières.</t>
  </si>
  <si>
    <t xml:space="preserve">Calendrier des mises à jour</t>
  </si>
  <si>
    <t xml:space="preserve">Les mises à jour sont installées régulièrement</t>
  </si>
  <si>
    <t xml:space="preserve">Registre des mises à jour</t>
  </si>
  <si>
    <t xml:space="preserve">Les mises à jour sont documentées ?</t>
  </si>
  <si>
    <t xml:space="preserve">Mises à jour non documentées.</t>
  </si>
  <si>
    <t xml:space="preserve">Guide de documentation des mises à jour</t>
  </si>
  <si>
    <t xml:space="preserve">Les mises à jour sont documentées</t>
  </si>
  <si>
    <t xml:space="preserve">Référentiel des développements spécifiques</t>
  </si>
  <si>
    <t xml:space="preserve">Les développements spécifiques sont documentés ?</t>
  </si>
  <si>
    <t xml:space="preserve">Développements spécifiques non documentés.</t>
  </si>
  <si>
    <t xml:space="preserve">Mettre en place des audits pour évaluer les fonctionnalités manquantes</t>
  </si>
  <si>
    <t xml:space="preserve">Cahier des charges des développements</t>
  </si>
  <si>
    <t xml:space="preserve">Développer des plans pour intégrer les fonctionnalités nécessaires</t>
  </si>
  <si>
    <t xml:space="preserve">S’assurer que les développements spécifiques sont bien suivis</t>
  </si>
  <si>
    <t xml:space="preserve">Les développements spécifiques sont documentés</t>
  </si>
  <si>
    <t xml:space="preserve">Matrice de compatibilité des développements</t>
  </si>
  <si>
    <t xml:space="preserve">Les développements spécifiques sont intégrés dans la version standard de l'application ?</t>
  </si>
  <si>
    <t xml:space="preserve">Développements spécifiques non intégrés.</t>
  </si>
  <si>
    <t xml:space="preserve">Absence de développements spécifiques, entraînant des fonctionnalités manquantes ou inadaptées.</t>
  </si>
  <si>
    <t xml:space="preserve">Plan d'intégration des développements</t>
  </si>
  <si>
    <t xml:space="preserve">Développer des outils pour réduire les dysfonctionnements des systèmes</t>
  </si>
  <si>
    <t xml:space="preserve">Les développements spécifiques sont intégrés dans la version standard de l'application</t>
  </si>
  <si>
    <t xml:space="preserve">Rapport de test des développements</t>
  </si>
  <si>
    <t xml:space="preserve">Les développements spécifiques sont compatibles avec les mises à jour du progiciel ?</t>
  </si>
  <si>
    <t xml:space="preserve">Développements spécifiques incompatibles.</t>
  </si>
  <si>
    <t xml:space="preserve">Incompatibilité des développements, entraînant des dysfonctionnements ou des échecs d’intégration.</t>
  </si>
  <si>
    <t xml:space="preserve">Procédure de maintenance des développements</t>
  </si>
  <si>
    <t xml:space="preserve">Les développements spécifiques sont compatibles avec les mises à jour du progiciel</t>
  </si>
  <si>
    <t xml:space="preserve">Dossier d'adhésion au club utilisateurs</t>
  </si>
  <si>
    <t xml:space="preserve">Les développements spécifiques sont testés ?</t>
  </si>
  <si>
    <t xml:space="preserve">Développements spécifiques non testés.</t>
  </si>
  <si>
    <t xml:space="preserve">Mettre en place des audits pour évaluer les pannes des applications</t>
  </si>
  <si>
    <t xml:space="preserve">Compte-rendu des contributions</t>
  </si>
  <si>
    <t xml:space="preserve">Les développements spécifiques sont testés</t>
  </si>
  <si>
    <t xml:space="preserve">Rapport d'influence sur le progiciel</t>
  </si>
  <si>
    <t xml:space="preserve">Les développements spécifiques sont maintenus ?</t>
  </si>
  <si>
    <t xml:space="preserve">Développements spécifiques non maintenus.</t>
  </si>
  <si>
    <t xml:space="preserve">Absence de maintenance, entraînant une obsolescence rapide ou des pannes.</t>
  </si>
  <si>
    <t xml:space="preserve">Mettre en place des audits pour évaluer la coordination des équipes</t>
  </si>
  <si>
    <t xml:space="preserve">Planning des réunions du club</t>
  </si>
  <si>
    <t xml:space="preserve">Développer des plans pour améliorer la communication entre les équipes</t>
  </si>
  <si>
    <t xml:space="preserve">Les développements spécifiques sont maintenus</t>
  </si>
  <si>
    <t xml:space="preserve">Registre des échanges et informations</t>
  </si>
  <si>
    <t xml:space="preserve">L'entité est membre d'un club utilisateurs actif ?</t>
  </si>
  <si>
    <t xml:space="preserve">Entité non membre.</t>
  </si>
  <si>
    <t xml:space="preserve">Entité non intégrée, entraînant une mauvaise coordination ou des malentendus.</t>
  </si>
  <si>
    <t xml:space="preserve">Mettre en place des audits pour évaluer la valeur ajoutée des projets</t>
  </si>
  <si>
    <t xml:space="preserve">Analyse des retours du club utilisateurs</t>
  </si>
  <si>
    <t xml:space="preserve">Développer des indicateurs pour mesurer l’impact des projets</t>
  </si>
  <si>
    <t xml:space="preserve">Vérifier que l’entité est membre d’un club utilisateurs</t>
  </si>
  <si>
    <t xml:space="preserve">L'entité est membre d'un club utilisateurs actif</t>
  </si>
  <si>
    <t xml:space="preserve">Stratégie de participation active</t>
  </si>
  <si>
    <t xml:space="preserve">L'entité contribue aux discussions du club utilisateurs ?</t>
  </si>
  <si>
    <t xml:space="preserve">Entité ne contribuant pas.</t>
  </si>
  <si>
    <t xml:space="preserve">Absence de contribution, entraînant un manque de valeur ajoutée ou d’impact.</t>
  </si>
  <si>
    <t xml:space="preserve">Mettre en place des audits pour évaluer la prise en compte des projets</t>
  </si>
  <si>
    <t xml:space="preserve">Tableau de bord des interactions</t>
  </si>
  <si>
    <t xml:space="preserve">Développer des plans pour améliorer l’engagement des équipes</t>
  </si>
  <si>
    <t xml:space="preserve">L'entité contribue aux discussions du club utilisateurs</t>
  </si>
  <si>
    <t xml:space="preserve">L'entité influence l'évolution du progiciel ?</t>
  </si>
  <si>
    <t xml:space="preserve">Entité n'influençant pas.</t>
  </si>
  <si>
    <t xml:space="preserve">Manque d’influence, entraînant une marginalisation ou un manque de prise en compte.</t>
  </si>
  <si>
    <t xml:space="preserve">Développer des plans pour optimiser les bénéfices des projets</t>
  </si>
  <si>
    <t xml:space="preserve">L'entité influence l'évolution du progiciel</t>
  </si>
  <si>
    <t xml:space="preserve">Matrice des opportunités d'évolution</t>
  </si>
  <si>
    <t xml:space="preserve">L'entité participe aux réunions du club utilisateurs ?</t>
  </si>
  <si>
    <t xml:space="preserve">Entité ne participant pas.</t>
  </si>
  <si>
    <t xml:space="preserve">Non-participation, entraînant un manque d’engagement ou de collaboration.</t>
  </si>
  <si>
    <t xml:space="preserve">Plan de positionnement stratégique</t>
  </si>
  <si>
    <t xml:space="preserve">L'entité participe aux réunions du club utilisateurs</t>
  </si>
  <si>
    <t xml:space="preserve">Étude comparative des versions</t>
  </si>
  <si>
    <t xml:space="preserve">L'entité bénéficie des informations et des échanges du club utilisateurs ?</t>
  </si>
  <si>
    <t xml:space="preserve">Entité ne bénéficiant pas.</t>
  </si>
  <si>
    <t xml:space="preserve">Absence de bénéfices, entraînant un retour sur investissement nul ou négatif.</t>
  </si>
  <si>
    <t xml:space="preserve">Mettre en place des audits pour évaluer les attentes non satisfaites</t>
  </si>
  <si>
    <t xml:space="preserve">Analyse des tendances du marché</t>
  </si>
  <si>
    <t xml:space="preserve">Développer des plans pour aligner les prestations sur les attentes</t>
  </si>
  <si>
    <t xml:space="preserve">L'entité bénéficie des informations et des échanges du club utilisateurs</t>
  </si>
  <si>
    <t xml:space="preserve">Rapport de prospective technologique</t>
  </si>
  <si>
    <t xml:space="preserve">Un contrat de maintenance est en place ?</t>
  </si>
  <si>
    <t xml:space="preserve">Contrat inexistant.</t>
  </si>
  <si>
    <t xml:space="preserve">Absence de contrat, entraînant des ambiguïtés ou des litiges.</t>
  </si>
  <si>
    <t xml:space="preserve">Mettre en place des audits pour évaluer les prestations inadéquates</t>
  </si>
  <si>
    <t xml:space="preserve">Dossier de stratégie d'innovation</t>
  </si>
  <si>
    <t xml:space="preserve">Développer des plans pour améliorer la qualité des prestations</t>
  </si>
  <si>
    <t xml:space="preserve">S’assurer que l’entité a un contrat de maintenance avec 
 l’éditeur</t>
  </si>
  <si>
    <t xml:space="preserve">Un contrat de maintenance est en place</t>
  </si>
  <si>
    <t xml:space="preserve">Contrat de maintenance cadre</t>
  </si>
  <si>
    <t xml:space="preserve">Le contrat de maintenance définit les niveaux de service ?</t>
  </si>
  <si>
    <t xml:space="preserve">Niveaux de service non définis.</t>
  </si>
  <si>
    <t xml:space="preserve">Niveau de service mal défini, entraînant des attentes non satisfaites ou des échecs de prestation.</t>
  </si>
  <si>
    <t xml:space="preserve">Mettre en place des audits pour évaluer les conflits potentiels</t>
  </si>
  <si>
    <t xml:space="preserve">Annexe des niveaux de service</t>
  </si>
  <si>
    <t xml:space="preserve">Développer des plans pour clarifier les responsabilités des équipes</t>
  </si>
  <si>
    <t xml:space="preserve">Le contrat de maintenance définit les niveaux de service</t>
  </si>
  <si>
    <t xml:space="preserve">Rapport périodique de revue contractuelle</t>
  </si>
  <si>
    <t xml:space="preserve">Le contrat de maintenance est régulièrement revu ?</t>
  </si>
  <si>
    <t xml:space="preserve">Contrat non revu.</t>
  </si>
  <si>
    <t xml:space="preserve">Absence de contrat, entraînant des incertitudes juridiques ou des litiges.</t>
  </si>
  <si>
    <t xml:space="preserve">Catalogue des services couverts</t>
  </si>
  <si>
    <t xml:space="preserve">Développer des plans pour réduire les désalignements des équipes</t>
  </si>
  <si>
    <t xml:space="preserve">Le contrat de maintenance est régulièrement revu</t>
  </si>
  <si>
    <t xml:space="preserve">Matrice des responsabilités contractuelles</t>
  </si>
  <si>
    <t xml:space="preserve">Le contrat de maintenance définit les services couverts ?</t>
  </si>
  <si>
    <t xml:space="preserve">Services non définis.</t>
  </si>
  <si>
    <t xml:space="preserve">Services mal définis, entraînant des prestations inadéquates ou des malentendus.</t>
  </si>
  <si>
    <t xml:space="preserve">Mettre en place des audits pour évaluer les retards de gestion</t>
  </si>
  <si>
    <t xml:space="preserve">Calendrier contractuel des échéances</t>
  </si>
  <si>
    <t xml:space="preserve">Développer des plans pour standardiser les processus de suivi</t>
  </si>
  <si>
    <t xml:space="preserve">Le contrat de maintenance définit les services couverts</t>
  </si>
  <si>
    <t xml:space="preserve">Procédure de suivi des paiements</t>
  </si>
  <si>
    <t xml:space="preserve">Le contrat de maintenance définit les responsabilités des parties ?</t>
  </si>
  <si>
    <t xml:space="preserve">Responsabilités non définies.</t>
  </si>
  <si>
    <t xml:space="preserve">Responsabilités floues, entraînant des conflits ou des retards.</t>
  </si>
  <si>
    <t xml:space="preserve">Mettre en place des audits pour évaluer les décisions contestées</t>
  </si>
  <si>
    <t xml:space="preserve">Processus de relance contractuelle</t>
  </si>
  <si>
    <t xml:space="preserve">Développer des plans pour justifier les décisions prises</t>
  </si>
  <si>
    <t xml:space="preserve">Le contrat de maintenance définit les responsabilités des parties</t>
  </si>
  <si>
    <t xml:space="preserve">Registre des justificatifs de paiement</t>
  </si>
  <si>
    <t xml:space="preserve">Avez-vous un calendrier contractuel précis et exhaustif détaillant l'ensemble des échéances de paiement ?</t>
  </si>
  <si>
    <t xml:space="preserve">Calendrier contractuel inexistant.</t>
  </si>
  <si>
    <t xml:space="preserve">Absence de calendrier contractuel, entraînant des retards ou des désalignements.</t>
  </si>
  <si>
    <t xml:space="preserve">Mettre en place des audits pour évaluer les problèmes tardifs</t>
  </si>
  <si>
    <t xml:space="preserve">Tableau de bord des alertes financières</t>
  </si>
  <si>
    <t xml:space="preserve">Développer des plans pour améliorer la détection des problèmes</t>
  </si>
  <si>
    <t xml:space="preserve">S’assurer que les redevances de maintenance sont payées dans 
 les délais</t>
  </si>
  <si>
    <t xml:space="preserve">Existence d’un calendrier contractuel des échéances de paiement</t>
  </si>
  <si>
    <t xml:space="preserve">Rapport de revue financière trimestriel</t>
  </si>
  <si>
    <t xml:space="preserve">Votre processus de suivi et de relance des paiements est-il formalisé et efficace ?</t>
  </si>
  <si>
    <t xml:space="preserve">Processus de suivi inexistant.</t>
  </si>
  <si>
    <t xml:space="preserve">Absence de processus de suivi, entraînant des dérives ou des échecs de gestion.</t>
  </si>
  <si>
    <t xml:space="preserve">Mettre en place des audits pour évaluer le contrôle des projets</t>
  </si>
  <si>
    <t xml:space="preserve">Historique des paiements de maintenance</t>
  </si>
  <si>
    <t xml:space="preserve">Développer des plans pour améliorer les revues des projets</t>
  </si>
  <si>
    <t xml:space="preserve">Mise en place d’un processus de suivi et de relance des paiements</t>
  </si>
  <si>
    <t xml:space="preserve">Matrice de résolution des problèmes de paiement</t>
  </si>
  <si>
    <t xml:space="preserve">Comment archivez-vous et rendez-vous accessibles les justificatifs de paiement ?</t>
  </si>
  <si>
    <t xml:space="preserve">Justificatifs inaccessibles.</t>
  </si>
  <si>
    <t xml:space="preserve">Justifications insuffisantes, entraînant des décisions contestées ou mal comprises.</t>
  </si>
  <si>
    <t xml:space="preserve">Mettre en place des audits pour évaluer les ambiguïtés des projets</t>
  </si>
  <si>
    <t xml:space="preserve">Tableau de suivi du respect des clauses</t>
  </si>
  <si>
    <t xml:space="preserve">Développer des plans pour clarifier les termes des projets</t>
  </si>
  <si>
    <t xml:space="preserve">Justificatifs de paiement archivés et accessibles</t>
  </si>
  <si>
    <t xml:space="preserve">Rapport de conformité contractuelle</t>
  </si>
  <si>
    <t xml:space="preserve">Disposez-vous d'un système d'alerte fiable en cas de retard ou défaut de paiement ?</t>
  </si>
  <si>
    <t xml:space="preserve">Système d'alerte non fiable.</t>
  </si>
  <si>
    <t xml:space="preserve">Système d’alerte défaillant, entraînant une détection tardive des problèmes.</t>
  </si>
  <si>
    <t xml:space="preserve">Tableau de bord des paiements</t>
  </si>
  <si>
    <t xml:space="preserve">Alertes en cas de retard ou de défaut de paiement</t>
  </si>
  <si>
    <t xml:space="preserve">Calendrier de renouvellement des contrats</t>
  </si>
  <si>
    <t xml:space="preserve">Réalisez-vous des revues périodiques approfondies des engagements financiers avec le fournisseur ?</t>
  </si>
  <si>
    <t xml:space="preserve">Revues non réalisées.</t>
  </si>
  <si>
    <t xml:space="preserve">Absence de revues, entraînant un manque de contrôle ou d’amélioration continue.</t>
  </si>
  <si>
    <t xml:space="preserve">Procédure de renouvellement contractuel</t>
  </si>
  <si>
    <t xml:space="preserve">Revue périodique des engagements financiers avec le fournisseur</t>
  </si>
  <si>
    <t xml:space="preserve">Politique de montée de version</t>
  </si>
  <si>
    <t xml:space="preserve">Une clause d'Escrow Agreement est présente dans le contrat ?</t>
  </si>
  <si>
    <t xml:space="preserve">Clause non présente.</t>
  </si>
  <si>
    <t xml:space="preserve">Clause absente, entraînant des ambiguïtés ou des litiges.</t>
  </si>
  <si>
    <t xml:space="preserve">Procédure de gestion des montées de version</t>
  </si>
  <si>
    <t xml:space="preserve">S’assurer qu’une clause dite d’ « Escrow Agreement » est 
 présente dans le contrat</t>
  </si>
  <si>
    <t xml:space="preserve">Les redevances de maintenance sont payées dans les délais</t>
  </si>
  <si>
    <t xml:space="preserve">Rapport de documentation des montées</t>
  </si>
  <si>
    <t xml:space="preserve">La clause protège les intérêts de l'entité en cas de défaillance de l'éditeur ?</t>
  </si>
  <si>
    <t xml:space="preserve">Clause ne protégeant pas.</t>
  </si>
  <si>
    <t xml:space="preserve">Clause non protectrice, entraînant des risques juridiques ou financiers.</t>
  </si>
  <si>
    <t xml:space="preserve">Mettre en place des audits pour évaluer les risques juridiques</t>
  </si>
  <si>
    <t xml:space="preserve">Dossier de tests de montée de version</t>
  </si>
  <si>
    <t xml:space="preserve">Développer des politiques pour protéger les aspects financiers</t>
  </si>
  <si>
    <t xml:space="preserve">Les problèmes de paiement sont résolus rapidement</t>
  </si>
  <si>
    <t xml:space="preserve">Plan de communication des montées</t>
  </si>
  <si>
    <t xml:space="preserve">Les conditions de la clause sont respectées ?</t>
  </si>
  <si>
    <t xml:space="preserve">Conditions non respectées.</t>
  </si>
  <si>
    <t xml:space="preserve">Conditions non respectées, entraînant des litiges ou des pénalités.</t>
  </si>
  <si>
    <t xml:space="preserve">Rapport de validation pré-production</t>
  </si>
  <si>
    <t xml:space="preserve">Développer des plans pour réduire les risques de pénalités</t>
  </si>
  <si>
    <t xml:space="preserve">Les conditions de la clause sont respectées</t>
  </si>
  <si>
    <t xml:space="preserve">Matrice d'impact des montées de version</t>
  </si>
  <si>
    <t xml:space="preserve">La clause définit les conditions de libération du code source ?</t>
  </si>
  <si>
    <t xml:space="preserve">Conditions non définies.</t>
  </si>
  <si>
    <t xml:space="preserve">Conditions mal définies, entraînant des malentendus ou des échecs d’exécution.</t>
  </si>
  <si>
    <t xml:space="preserve">Mettre en place des audits pour évaluer les malentendus d’exécution</t>
  </si>
  <si>
    <t xml:space="preserve">Procès-verbal de mise en production</t>
  </si>
  <si>
    <t xml:space="preserve">Développer des plans pour clarifier les attentes d’exécution</t>
  </si>
  <si>
    <t xml:space="preserve">Un suivi des paiements est réalisé</t>
  </si>
  <si>
    <t xml:space="preserve">Dossier de communication utilisateurs</t>
  </si>
  <si>
    <t xml:space="preserve">La clause est régulièrement revue ?</t>
  </si>
  <si>
    <t xml:space="preserve">Clause non revue.</t>
  </si>
  <si>
    <t xml:space="preserve">Clause non revue, entraînant des risques juridiques ou des engagements non tenus.</t>
  </si>
  <si>
    <t xml:space="preserve">Mettre en place des audits pour évaluer les engagements non tenus</t>
  </si>
  <si>
    <t xml:space="preserve">Document de pérennité du progiciel</t>
  </si>
  <si>
    <t xml:space="preserve">Développer des plans pour réviser les clauses des engagements</t>
  </si>
  <si>
    <t xml:space="preserve">Les contrats de maintenance sont renouvelés à temps</t>
  </si>
  <si>
    <t xml:space="preserve">Analyse de la trajectoire stratégique</t>
  </si>
  <si>
    <t xml:space="preserve">Un processus de montée de version est en place ?</t>
  </si>
  <si>
    <t xml:space="preserve">Processus inexistant.</t>
  </si>
  <si>
    <t xml:space="preserve">Rapport d'évaluation de la soutenabilité</t>
  </si>
  <si>
    <t xml:space="preserve">Vérifier que les montées de versions sont suivies</t>
  </si>
  <si>
    <t xml:space="preserve">Un processus de montée de version est en place</t>
  </si>
  <si>
    <t xml:space="preserve">Matrice d'influence sur le progiciel</t>
  </si>
  <si>
    <t xml:space="preserve">Les montées de version sont documentées ?</t>
  </si>
  <si>
    <t xml:space="preserve">Montées de version non documentées.</t>
  </si>
  <si>
    <t xml:space="preserve">Dossier de stratégie long terme de l'éditeur</t>
  </si>
  <si>
    <t xml:space="preserve">Les montées de version sont documentées</t>
  </si>
  <si>
    <t xml:space="preserve">Compte-rendu des comités stratégiques</t>
  </si>
  <si>
    <t xml:space="preserve">Les montées de version se déroulent sans problème majeur ?</t>
  </si>
  <si>
    <t xml:space="preserve">Montées de version problématiques.</t>
  </si>
  <si>
    <t xml:space="preserve">Montées de version problématiques, entraînant des dysfonctionnements ou des interruptions.</t>
  </si>
  <si>
    <t xml:space="preserve">Rapport de participation communautaire</t>
  </si>
  <si>
    <t xml:space="preserve">Les montées de version se déroulent sans problème majeur</t>
  </si>
  <si>
    <t xml:space="preserve">Registre des contributions communautaires</t>
  </si>
  <si>
    <t xml:space="preserve">Les montées de version sont testées avant leur mise en production ?</t>
  </si>
  <si>
    <t xml:space="preserve">Montées de version non testées.</t>
  </si>
  <si>
    <t xml:space="preserve">Les montées de version sont testées avant leur mise en production</t>
  </si>
  <si>
    <t xml:space="preserve">Analyse comparative des éditeurs</t>
  </si>
  <si>
    <t xml:space="preserve">Les utilisateurs sont informés des montées de version ?</t>
  </si>
  <si>
    <t xml:space="preserve">Mettre en place des audits pour évaluer les abandons des logiciels</t>
  </si>
  <si>
    <t xml:space="preserve">Rapport de positionnement sectoriel</t>
  </si>
  <si>
    <t xml:space="preserve">Développer des plans pour moderniser les logiciels obsolètes</t>
  </si>
  <si>
    <t xml:space="preserve">Les utilisateurs sont informés des montées de version</t>
  </si>
  <si>
    <t xml:space="preserve">Étude prospective du progiciel</t>
  </si>
  <si>
    <t xml:space="preserve">L'éditeur s'engage sur la pérennité du progiciel ?</t>
  </si>
  <si>
    <t xml:space="preserve">L'éditeur ne s'engage pas sur la pérennité du progiciel.</t>
  </si>
  <si>
    <t xml:space="preserve">Manque d’engagement, entraînant une obsolescence rapide ou un abandon du logiciel.</t>
  </si>
  <si>
    <t xml:space="preserve">Mettre en place des audits pour évaluer les informations disponibles</t>
  </si>
  <si>
    <t xml:space="preserve">Matrice des risques technologiques</t>
  </si>
  <si>
    <t xml:space="preserve">Développer des plans pour améliorer l’accès aux informations</t>
  </si>
  <si>
    <t xml:space="preserve">S’assurer qu’il existe des engagements et ou une visibilité 
 suffisante pour la pérennité du progiciel</t>
  </si>
  <si>
    <t xml:space="preserve">L'éditeur s'engage sur la pérennité du progiciel</t>
  </si>
  <si>
    <t xml:space="preserve">Plan de continuité technologique</t>
  </si>
  <si>
    <t xml:space="preserve">L'entité dispose d'informations suffisantes pour évaluer la pérennité du progiciel ?</t>
  </si>
  <si>
    <t xml:space="preserve">Informations insuffisantes pour évaluer la pérennité.</t>
  </si>
  <si>
    <t xml:space="preserve">Informations insuffisantes, entraînant une évaluation erronée ou incomplète.</t>
  </si>
  <si>
    <t xml:space="preserve">Dossier de gouvernance communautaire</t>
  </si>
  <si>
    <t xml:space="preserve">L'entité dispose d'informations suffisantes pour évaluer la pérennité du progiciel</t>
  </si>
  <si>
    <t xml:space="preserve">L'entité a une influence sur l'évolution du progiciel ?</t>
  </si>
  <si>
    <t xml:space="preserve">Absence d'influence sur l'évolution du progiciel.</t>
  </si>
  <si>
    <t xml:space="preserve">Manque d’influence, entraînant une marginalisation ou un manque d’impact.</t>
  </si>
  <si>
    <t xml:space="preserve">Mettre en place des audits pour évaluer l’alignement stratégique</t>
  </si>
  <si>
    <t xml:space="preserve">Rapport d'influence stratégique</t>
  </si>
  <si>
    <t xml:space="preserve">Développer des plans pour améliorer la communication stratégique</t>
  </si>
  <si>
    <t xml:space="preserve">L'entité a une influence sur l'évolution du progiciel</t>
  </si>
  <si>
    <t xml:space="preserve">Analyse des retours de la communauté</t>
  </si>
  <si>
    <t xml:space="preserve">L'éditeur communique sur sa stratégie à long terme ?</t>
  </si>
  <si>
    <t xml:space="preserve">L'éditeur ne communique pas sur sa stratégie à long terme.</t>
  </si>
  <si>
    <t xml:space="preserve">Absence de communication, entraînant un manque d’alignement stratégique.</t>
  </si>
  <si>
    <t xml:space="preserve">Mettre en place des audits pour évaluer la cohésion des équipes</t>
  </si>
  <si>
    <t xml:space="preserve">Document de vision partagée</t>
  </si>
  <si>
    <t xml:space="preserve">Développer des plans pour améliorer l’impact communautaire</t>
  </si>
  <si>
    <t xml:space="preserve">L'éditeur communique sur sa stratégie à long terme</t>
  </si>
  <si>
    <t xml:space="preserve">L'entité est impliquée dans la communauté du progiciel ?</t>
  </si>
  <si>
    <t xml:space="preserve">L'entité n'est pas impliquée dans la communauté du progiciel.</t>
  </si>
  <si>
    <t xml:space="preserve">Manque d’implication, entraînant un manque de cohésion ou d’impact communautaire.</t>
  </si>
  <si>
    <t xml:space="preserve">Organiser ou participer à des initiatives collaboratives au sein de la communauté</t>
  </si>
  <si>
    <t xml:space="preserve">Rapport de benchmark communautaire</t>
  </si>
  <si>
    <t xml:space="preserve">Mettre en place une stratégie de communication active pour valoriser son rôle dans la communauté</t>
  </si>
  <si>
    <t xml:space="preserve">L'entité est impliquée dans la communauté du progiciel</t>
  </si>
  <si>
    <t xml:space="preserve">Dossier de positionnement stratégique</t>
  </si>
  <si>
    <t xml:space="preserve">L'entité s'engage activement au sein de la communauté du progiciel?</t>
  </si>
  <si>
    <t xml:space="preserve">L'entité ne s'engage activement au sein de la communauté du progiciel</t>
  </si>
  <si>
    <t xml:space="preserve">isolation de l’entité vis-à-vis des évolutions et des bonnes pratiques</t>
  </si>
  <si>
    <t xml:space="preserve">Participer aux forums, événements et groupes d’utilisateurs du progiciel</t>
  </si>
  <si>
    <t xml:space="preserve">Synthèse prospective du progiciel</t>
  </si>
  <si>
    <t xml:space="preserve">Établir un partenariat ou une collaboration avec d’autres utilisateurs du progiciel</t>
  </si>
  <si>
    <t xml:space="preserve">Points de Contrôle</t>
  </si>
  <si>
    <t xml:space="preserve">Objectifs de Contrôle </t>
  </si>
  <si>
    <t xml:space="preserve">Critère d’Évaluation </t>
  </si>
  <si>
    <t xml:space="preserve">Question d’Évaluation </t>
  </si>
  <si>
    <t xml:space="preserve">Documents Requis </t>
  </si>
  <si>
    <t xml:space="preserve">Conséquences</t>
  </si>
  <si>
    <t xml:space="preserve">Recommendations</t>
  </si>
  <si>
    <t xml:space="preserve">Audit de la Fonction Informatique</t>
  </si>
  <si>
    <t xml:space="preserve">Rôle et positionnement de l'informatique dans l'organisation </t>
  </si>
  <si>
    <t xml:space="preserve">Vérifier qu’ont été créés des Comités « informatique » 
(stratégique, pilotage,..) regroupant les différentes directions de 
l’Organisation en charge de recenser les besoins et les opportunités, 
gérer les priorités et suivre les projets ; </t>
  </si>
  <si>
    <t xml:space="preserve">Existence officielle des comités</t>
  </si>
  <si>
    <t xml:space="preserve">Existe-t-il officiellement des comités informatiques ?</t>
  </si>
  <si>
    <t xml:space="preserve">oui</t>
  </si>
  <si>
    <t xml:space="preserve">Comptes rendus de réunions.</t>
  </si>
  <si>
    <t xml:space="preserve">Absence de gouvernance claire due à des comités non formalisés.</t>
  </si>
  <si>
    <t xml:space="preserve">Désalignement stratégique compromettant les objectifs IT.</t>
  </si>
  <si>
    <t xml:space="preserve">Voici deux recommandations pour chaque critère d'évaluation:</t>
  </si>
  <si>
    <t xml:space="preserve">.</t>
  </si>
  <si>
    <t xml:space="preserve">Invitations aux réunions ou Ordres du jour.</t>
  </si>
  <si>
    <t xml:space="preserve">Établir un mécanisme de nomination formalisé garantissant une représentation équilibrée des directions au sein des comités informatiques.</t>
  </si>
  <si>
    <t xml:space="preserve">Représentation adéquate des différentes directions</t>
  </si>
  <si>
    <t xml:space="preserve">Les différentes directions sont-elles représentées dans ces comités ?</t>
  </si>
  <si>
    <t xml:space="preserve">non</t>
  </si>
  <si>
    <t xml:space="preserve">Listes des participants.</t>
  </si>
  <si>
    <t xml:space="preserve">Manque de diversité des perspectives dans les décisions informatiques.</t>
  </si>
  <si>
    <t xml:space="preserve">Solutions inadaptées aux besoins réels de l’entreprise.</t>
  </si>
  <si>
    <t xml:space="preserve">Mettre en place des réunions trimestrielles de coordination inter-directions pour assurer l'expression des besoins de toutes les entités.</t>
  </si>
  <si>
    <t xml:space="preserve">Organigramme de l'entreprise.</t>
  </si>
  <si>
    <t xml:space="preserve">Implémenter un processus structuré de collecte des besoins avec des entretiens réguliers auprès des utilisateurs clés.</t>
  </si>
  <si>
    <t xml:space="preserve">Capacité à identifier les besoins et opportunités informatiques</t>
  </si>
  <si>
    <t xml:space="preserve">Les comités sont-ils capables d'identifier les besoins et opportunités informatiques ?</t>
  </si>
  <si>
    <t xml:space="preserve">pas</t>
  </si>
  <si>
    <t xml:space="preserve">Incapacité à anticiper les évolutions technologiques ou métiers.</t>
  </si>
  <si>
    <t xml:space="preserve">Retard technologique affectant la compétitivité.</t>
  </si>
  <si>
    <t xml:space="preserve">Créer une veille technologique participative où chaque département contribue à l'identification d'opportunités d'amélioration.</t>
  </si>
  <si>
    <t xml:space="preserve">Liste des demandes ou projets en attente/proposés.</t>
  </si>
  <si>
    <t xml:space="preserve">Déployer une matrice de priorisation multicritères (valeur business, coût, risque, alignement stratégique) pour objectiver les décisions.</t>
  </si>
  <si>
    <t xml:space="preserve">Gestion efficace des priorités</t>
  </si>
  <si>
    <t xml:space="preserve">Les comités gèrent-ils efficacement les priorités ?</t>
  </si>
  <si>
    <t xml:space="preserve">Mauvaise allocation des ressources par priorisation inadéquate.</t>
  </si>
  <si>
    <t xml:space="preserve">Surcoûts ou inefficacités opérationnelles.</t>
  </si>
  <si>
    <t xml:space="preserve">Instaurer des revues trimestrielles de portefeuille projets permettant de réaligner les priorités selon l'évolution du contexte.</t>
  </si>
  <si>
    <t xml:space="preserve">Liste des projets en cours.</t>
  </si>
  <si>
    <t xml:space="preserve">Mettre en place un tableau de bord de suivi de projet standardisé avec indicateurs clés consultable par toutes les parties prenantes.</t>
  </si>
  <si>
    <t xml:space="preserve">Suivi régulier des projets</t>
  </si>
  <si>
    <t xml:space="preserve">Les comités assurent-ils un suivi régulier des projets ?</t>
  </si>
  <si>
    <t xml:space="preserve">Ordres du jour ou Comptes rendus sur plusieurs périodes.</t>
  </si>
  <si>
    <t xml:space="preserve">Retards ou échecs de projets par manque de suivi.</t>
  </si>
  <si>
    <t xml:space="preserve">Échecs de projets entraînant des pertes financières.</t>
  </si>
  <si>
    <t xml:space="preserve">Instaurer des réunions d'avancement hebdomadaires avec compte-rendu formalisé et suivi des actions.</t>
  </si>
  <si>
    <t xml:space="preserve">Emails de suivi ou points d'avancement.</t>
  </si>
  <si>
    <t xml:space="preserve">Officialiser les comités par une charte définissant leur composition, rôle, fréquence et modes de fonctionnement.</t>
  </si>
  <si>
    <t xml:space="preserve">Vérifier l’existence d’une charte informatique ou de tout autre 
document définissant le rôle et le périmètre de responsabilité de la 
DSI ; </t>
  </si>
  <si>
    <t xml:space="preserve">Charte ou mandat officiel du comité informatique.</t>
  </si>
  <si>
    <t xml:space="preserve">Redondance dans la prise de décision sans comités officiels.</t>
  </si>
  <si>
    <t xml:space="preserve">Retards décisionnels et inefficacité organisationnelle.</t>
  </si>
  <si>
    <t xml:space="preserve">Documenter systématiquement les décisions des comités dans un référentiel accessible et diffusé à tous les acteurs concernés.</t>
  </si>
  <si>
    <t xml:space="preserve">Procès-verbaux ou rapports des réunions du comité informatique.</t>
  </si>
  <si>
    <t xml:space="preserve">Établir un quota minimum de représentation pour chaque direction dans les instances de gouvernance informatique.</t>
  </si>
  <si>
    <t xml:space="preserve">Liste des membres du comité informatique avec leurs rôles et départements.</t>
  </si>
  <si>
    <t xml:space="preserve">Décisions biaisées par une représentation déséquilibrée.</t>
  </si>
  <si>
    <t xml:space="preserve">Mauvais choix stratégiques impactant la performance IT.</t>
  </si>
  <si>
    <t xml:space="preserve">Organiser des sessions de travail dédiées pour les directions sous-représentées afin de garantir la prise en compte de leurs besoins.</t>
  </si>
  <si>
    <t xml:space="preserve">Organigramme ou tableau de représentation des directions au sein du comité.</t>
  </si>
  <si>
    <t xml:space="preserve">Mettre en œuvre un processus continu d'analyse des besoins utilisateurs incluant observations terrain et ateliers de co-création.</t>
  </si>
  <si>
    <t xml:space="preserve">Documents de synthèse ou rapports sur l’identification des besoins informatiques.</t>
  </si>
  <si>
    <t xml:space="preserve">Solutions inadaptées faute d’identification des besoins.</t>
  </si>
  <si>
    <t xml:space="preserve">Mise en œuvre de systèmes inefficaces ou coûteux.</t>
  </si>
  <si>
    <t xml:space="preserve">Développer un canal de remontée d'idées innovantes avec un système de valorisation des propositions retenues.</t>
  </si>
  <si>
    <t xml:space="preserve">Plan stratégique informatique basé sur les recommandations du comité.</t>
  </si>
  <si>
    <t xml:space="preserve">Adopter une méthodologie de scoring objective pour hiérarchiser les projets selon des critères stratégiques préétablis.</t>
  </si>
  <si>
    <t xml:space="preserve">Tableau de bord des priorités informatiques validé par le comité.</t>
  </si>
  <si>
    <t xml:space="preserve">Surcoûts ou délais dus à une mauvaise gestion des priorités.</t>
  </si>
  <si>
    <t xml:space="preserve">Dérapages budgétaires et retards de livraison.</t>
  </si>
  <si>
    <t xml:space="preserve">Établir un comité d'arbitrage mensuel pour réévaluer les priorités face aux changements de contexte business.</t>
  </si>
  <si>
    <t xml:space="preserve">Plan d’action ou calendrier des projets priorisés par le comité.</t>
  </si>
  <si>
    <t xml:space="preserve">Implémenter un outil de gestion de projet collaboratif permettant un suivi en temps réel des avancées et blocages.</t>
  </si>
  <si>
    <t xml:space="preserve">Rapports périodiques de suivi des projets (exemple : état d’avancement, KPI).</t>
  </si>
  <si>
    <t xml:space="preserve">Déviation des objectifs sans suivi régulier des projets.</t>
  </si>
  <si>
    <t xml:space="preserve">Échec dans l’atteinte des objectifs stratégiques.</t>
  </si>
  <si>
    <t xml:space="preserve">Instituer des revues de jalons formelles avec validation explicite des livrables par les parties prenantes.</t>
  </si>
  <si>
    <t xml:space="preserve">Minutes ou comptes rendus des réunions de suivi des projets.</t>
  </si>
  <si>
    <t xml:space="preserve">Intégrer systématiquement le DSI aux comités de direction et aux sessions de planification stratégique de l'entreprise.</t>
  </si>
  <si>
    <t xml:space="preserve">Évaluer le degré d’implication et de maîtrise des organes de 
gestion dans les systèmes d’information de l’Organisation ; 
4.2.4.1.4. 
Vérifier en pratique que le leadership des grands projets est 
assuré par les organes de gestion ;</t>
  </si>
  <si>
    <t xml:space="preserve">Niveau d'implication dans la prise de décision stratégique</t>
  </si>
  <si>
    <t xml:space="preserve">Les organes de gestion sont-ils impliqués dans la prise de décision stratégique ?</t>
  </si>
  <si>
    <t xml:space="preserve">Procès-verbaux des réunions stratégiques auxquelles les organes de gestion ont participé</t>
  </si>
  <si>
    <t xml:space="preserve">Influence limitée sur les orientations stratégiques de l’IT.</t>
  </si>
  <si>
    <t xml:space="preserve">Incapacité à orienter les investissements IT efficacement.</t>
  </si>
  <si>
    <t xml:space="preserve">Formaliser le rôle consultatif de la DSI dans les décisions business ayant des implications technologiques significatives.</t>
  </si>
  <si>
    <t xml:space="preserve">Plan stratégique validé par les organes de gestion</t>
  </si>
  <si>
    <t xml:space="preserve">Établir un programme de formation continue pour la direction informatique sur les processus métiers et les enjeux sectoriels.</t>
  </si>
  <si>
    <t xml:space="preserve">Compréhension approfondie des systèmes d'information</t>
  </si>
  <si>
    <t xml:space="preserve">Les organes de gestion ont-ils une compréhension approfondie des systèmes d'information ?</t>
  </si>
  <si>
    <t xml:space="preserve">Documents de formation ou de sensibilisation aux systèmes d’information destinés aux organes de gestion</t>
  </si>
  <si>
    <t xml:space="preserve">Choix technologiques inadaptés par méconnaissance des systèmes.</t>
  </si>
  <si>
    <t xml:space="preserve">Adoption de solutions obsolètes ou non performantes.</t>
  </si>
  <si>
    <t xml:space="preserve">Organiser des immersions périodiques des responsables informatiques dans les départements opérationnels.</t>
  </si>
  <si>
    <t xml:space="preserve">Rapports ou présentations sur le fonctionnement des systèmes d’information, destinés aux organes de gestion</t>
  </si>
  <si>
    <t xml:space="preserve">Créer un comité d'innovation technologique présidé par le DSI pour évaluer et proposer des orientations stratégiques.</t>
  </si>
  <si>
    <t xml:space="preserve">Capacité à influencer les orientations technologiques</t>
  </si>
  <si>
    <t xml:space="preserve">Les organes de gestion peuvent-ils influencer les orientations technologiques ?</t>
  </si>
  <si>
    <t xml:space="preserve">Documents de planification des orientations technologiques avec contributions des organes de gestion</t>
  </si>
  <si>
    <t xml:space="preserve">Retard dans l’adoption de technologies pertinentes.</t>
  </si>
  <si>
    <t xml:space="preserve">Perte de compétitivité face aux concurrents.</t>
  </si>
  <si>
    <t xml:space="preserve">Établir un processus formel de validation des choix technologiques impliquant consultations et démonstrations de faisabilité.</t>
  </si>
  <si>
    <t xml:space="preserve">Recommandations ou avis des organes de gestion sur les choix technologiques</t>
  </si>
  <si>
    <t xml:space="preserve">Développer un curriculum de formation adapté au profil de chaque décideur couvrant les fondamentaux des SI.</t>
  </si>
  <si>
    <t xml:space="preserve">Accès à une formation ou support adéquat</t>
  </si>
  <si>
    <t xml:space="preserve">Les organes de gestion ont-ils accès à une formation ou support adéquat ?</t>
  </si>
  <si>
    <t xml:space="preserve">Programme de formation des organes de gestion sur les systèmes d’information</t>
  </si>
  <si>
    <t xml:space="preserve">Incompétence dans la gestion IT faute de formation.</t>
  </si>
  <si>
    <t xml:space="preserve">Erreurs opérationnelles dues à des compétences insuffisantes.</t>
  </si>
  <si>
    <t xml:space="preserve">Mettre en place un système de mentorat ou coaching technologique pour les dirigeants moins familiers avec le numérique.</t>
  </si>
  <si>
    <t xml:space="preserve">Documentation de support ou guide d’utilisation des systèmes d’information, destinés aux organes de gestion</t>
  </si>
  <si>
    <t xml:space="preserve">Rendre obligatoire la présence des décideurs aux réunions stratégiques liées aux SI avec préparation préalable structurée.</t>
  </si>
  <si>
    <t xml:space="preserve">Participation active aux réunions liées aux systèmes d'information</t>
  </si>
  <si>
    <t xml:space="preserve">Les organes de gestion participent-ils activement aux réunions liées aux systèmes d'information ?</t>
  </si>
  <si>
    <t xml:space="preserve">Liste de présence aux réunions concernant les systèmes d’information</t>
  </si>
  <si>
    <t xml:space="preserve">Décisions mal informées par manque de participation.</t>
  </si>
  <si>
    <t xml:space="preserve">Mauvais choix technologiques ou stratégiques.</t>
  </si>
  <si>
    <t xml:space="preserve">Créer des synthèses décisionnelles adaptées aux profils des dirigeants pour faciliter leur participation informée.</t>
  </si>
  <si>
    <t xml:space="preserve">Comptes rendus des réunions montrant la participation des organes de gestion</t>
  </si>
  <si>
    <t xml:space="preserve">Établir une matrice RACI claire définissant le rôle de la direction dans chaque phase critique des projets.</t>
  </si>
  <si>
    <t xml:space="preserve">Vérifier en pratique que le leadership des grands projets est 
assuré par les organes de gestion ; </t>
  </si>
  <si>
    <t xml:space="preserve">Présence active et leadership dans la direction des projets</t>
  </si>
  <si>
    <t xml:space="preserve">Les organes de gestion sont-ils présents et actifs dans la direction des projets ?</t>
  </si>
  <si>
    <t xml:space="preserve">Comptes rendus des réunions de direction de projets montrant la participation des organes de gestion</t>
  </si>
  <si>
    <t xml:space="preserve">Échecs de projets par absence de leadership affirmé.</t>
  </si>
  <si>
    <t xml:space="preserve">Abandon ou échec de projets critiques.</t>
  </si>
  <si>
    <t xml:space="preserve">Instituer des points de décision formels nécessitant l'implication directe de la direction avec préparation adéquate.</t>
  </si>
  <si>
    <t xml:space="preserve">Documents de suivi des actions ou décisions prises par les organes de gestion dans le cadre des projets</t>
  </si>
  <si>
    <t xml:space="preserve">Mettre en place un processus budgétaire itératif avec révisions trimestrielles basées sur l'avancement réel des projets.</t>
  </si>
  <si>
    <t xml:space="preserve">Allocation efficace des ressources nécessaires</t>
  </si>
  <si>
    <t xml:space="preserve">Les ressources nécessaires sont-elles allouées efficacement ?</t>
  </si>
  <si>
    <t xml:space="preserve">Budget alloué aux projets informatiques validé par les organes de gestion</t>
  </si>
  <si>
    <t xml:space="preserve">Sous-utilisation des ressources par une allocation inefficace.</t>
  </si>
  <si>
    <t xml:space="preserve">Gaspillage de ressources humaines et matérielles.</t>
  </si>
  <si>
    <t xml:space="preserve">Développer des scénarios d'allocation de ressources alternatifs pour s'adapter rapidement aux changements de priorités.</t>
  </si>
  <si>
    <t xml:space="preserve">État des ressources (humaines, financières, matérielles) allouées aux projets</t>
  </si>
  <si>
    <t xml:space="preserve">Implémenter un système de rapports d'avancement standardisés avec indicateurs de performance alignés sur les objectifs stratégiques.</t>
  </si>
  <si>
    <t xml:space="preserve">Suivi régulier et ajustements stratégiques des progrès</t>
  </si>
  <si>
    <t xml:space="preserve">Un suivi régulier des progrès est-il effectué avec des ajustements stratégiques ?</t>
  </si>
  <si>
    <t xml:space="preserve">Rapports d’avancement réguliers des projets informatiques</t>
  </si>
  <si>
    <t xml:space="preserve">Dérapages stratégiques sans ajustements réguliers.</t>
  </si>
  <si>
    <t xml:space="preserve">Déviation des priorités stratégiques de l’entreprise.</t>
  </si>
  <si>
    <t xml:space="preserve">Établir des revues d'étape obligatoires avec la direction pour valider les ajustements de cap nécessaires.</t>
  </si>
  <si>
    <t xml:space="preserve">Documents justifiant les ajustements stratégiques apportés aux projets</t>
  </si>
  <si>
    <t xml:space="preserve">Définir un plan de communication structuré incluant fréquence, format et canaux adaptés à chaque niveau de l'organisation.</t>
  </si>
  <si>
    <t xml:space="preserve">Communication efficace avec les équipes de projet</t>
  </si>
  <si>
    <t xml:space="preserve">La communication avec les équipes de projet est-elle efficace ?</t>
  </si>
  <si>
    <t xml:space="preserve">Plan de communication entre les organes de gestion et les équipes de projet</t>
  </si>
  <si>
    <t xml:space="preserve">Mauvaise coordination due à une communication insuffisante.</t>
  </si>
  <si>
    <t xml:space="preserve">Retards ou conflits inter-équipes.</t>
  </si>
  <si>
    <t xml:space="preserve">Mettre en place des sessions de feedback régulières entre la direction et les équipes projet pour maintenir l'alignement.</t>
  </si>
  <si>
    <t xml:space="preserve">Enquêtes de satisfaction ou retours d’expérience sur la communication</t>
  </si>
  <si>
    <t xml:space="preserve">Établir un processus décisionnel clair avec niveaux d'escalade et délais maximums de réponse pour éviter les blocages.</t>
  </si>
  <si>
    <t xml:space="preserve">Capacité à prendre des décisions stratégiques pour les projets</t>
  </si>
  <si>
    <t xml:space="preserve">Les organes de gestion sont-ils capables de prendre des décisions stratégiques pour les projets ?</t>
  </si>
  <si>
    <t xml:space="preserve">Documents de décision stratégique validés par les organes de gestion</t>
  </si>
  <si>
    <t xml:space="preserve">Blocages ou erreurs par manque de décisions stratégiques.</t>
  </si>
  <si>
    <t xml:space="preserve">Blocages opérationnels ou stratégiques.</t>
  </si>
  <si>
    <t xml:space="preserve">Développer un cadre d'évaluation des impacts business pour éclairer les décisions avec une vision globale des enjeux.</t>
  </si>
  <si>
    <t xml:space="preserve">Analyses d'impact ou études de faisabilité ayant mené à ces décisions</t>
  </si>
  <si>
    <t xml:space="preserve">Former les MOA aux techniques d'analyse des processus métiers et cartographie des flux d'information.</t>
  </si>
  <si>
    <t xml:space="preserve">Vérifier que les métiers assurent leur rôle de MOA. </t>
  </si>
  <si>
    <t xml:space="preserve">Compréhension approfondie des besoins métiers</t>
  </si>
  <si>
    <t xml:space="preserve">Les organes de gestion ont-ils une compréhension approfondie des besoins métiers ?</t>
  </si>
  <si>
    <t xml:space="preserve">Documents de synthèse des besoins métiers validés par les organes de gestion</t>
  </si>
  <si>
    <t xml:space="preserve">Solutions inadaptées par méconnaissance des besoins métiers.</t>
  </si>
  <si>
    <t xml:space="preserve">Mise en place de solutions non fonctionnelles.</t>
  </si>
  <si>
    <t xml:space="preserve">Organiser des ateliers réguliers entre MOA et utilisateurs finaux pour capturer les besoins implicites.</t>
  </si>
  <si>
    <t xml:space="preserve">Spécifications fonctionnelles détaillées rédigées ou validées par les organes de gestion</t>
  </si>
  <si>
    <t xml:space="preserve">Établir des modèles standardisés de spécifications fonctionnelles avec exemples concrets et cas d'utilisation.</t>
  </si>
  <si>
    <t xml:space="preserve">Capacité à spécifier clairement les exigences fonctionnelles</t>
  </si>
  <si>
    <t xml:space="preserve">Les organes de gestion peuvent-ils spécifier clairement les exigences fonctionnelles ?</t>
  </si>
  <si>
    <t xml:space="preserve">Spécifications fonctionnelles détaillées rédigées ou approuvées par les organes de gestion.</t>
  </si>
  <si>
    <t xml:space="preserve">Exigences floues entraînant des livrables non conformes.</t>
  </si>
  <si>
    <t xml:space="preserve">Livraison de systèmes non conformes aux attentes.</t>
  </si>
  <si>
    <t xml:space="preserve">Former les MOA aux techniques de rédaction de user stories et critères d'acceptation selon les méthodologies agiles.</t>
  </si>
  <si>
    <t xml:space="preserve">Matrice de traçabilité des exigences fonctionnelles, montrant comment les exigences métiers sont traduites en spécifications techniques.</t>
  </si>
  <si>
    <t xml:space="preserve">Instaurer des rituels de collaboration structurés (ateliers de conception, démonstrations intermédiaires, revues de sprint).</t>
  </si>
  <si>
    <t xml:space="preserve">Collaboration efficace avec les équipes techniques</t>
  </si>
  <si>
    <t xml:space="preserve">Une collaboration efficace avec les équipes techniques est-elle assurée ?</t>
  </si>
  <si>
    <t xml:space="preserve">Plan de communication et de collaboration entre les organes de gestion et les équipes techniques</t>
  </si>
  <si>
    <t xml:space="preserve">Conflits ou retards dus à une mauvaise collaboration technique.</t>
  </si>
  <si>
    <t xml:space="preserve">Retards de projets et tensions organisationnelles.</t>
  </si>
  <si>
    <t xml:space="preserve">Établir un glossaire commun MOA/MOE pour assurer une compréhension partagée des concepts techniques et métiers.</t>
  </si>
  <si>
    <t xml:space="preserve">Retours d'expérience ou enquêtes de satisfaction mesurant l'efficacité de cette collaboration</t>
  </si>
  <si>
    <t xml:space="preserve">Systématiser les tests utilisateurs avec scénarios réels avant validation finale des solutions.</t>
  </si>
  <si>
    <t xml:space="preserve">Validation des solutions pour s'assurer de leur adéquation</t>
  </si>
  <si>
    <t xml:space="preserve">Les solutions sont-elles validées pour s'assurer de leur adéquation ?</t>
  </si>
  <si>
    <t xml:space="preserve">Documents de validation des solutions informatiques par les organes de gestion</t>
  </si>
  <si>
    <t xml:space="preserve">Mise en production de solutions inadéquates.</t>
  </si>
  <si>
    <t xml:space="preserve">Pertes financières et insatisfaction des utilisateurs.</t>
  </si>
  <si>
    <t xml:space="preserve">Mettre en place des phases de recette formalisées avec critères d'acceptation mesurables et objectifs.</t>
  </si>
  <si>
    <t xml:space="preserve">Critères de validation des solutions</t>
  </si>
  <si>
    <t xml:space="preserve">Développer un parcours de formation certifiant pour les MOA couvrant analyse fonctionnelle, gestion de projet et techniques de test.</t>
  </si>
  <si>
    <t xml:space="preserve">Accès à une formation ou support pour leur rôle de MOA</t>
  </si>
  <si>
    <t xml:space="preserve">Les MOA ont-ils accès à une formation ou support pour leur rôle ?</t>
  </si>
  <si>
    <t xml:space="preserve">Plan de formation pour les MOA</t>
  </si>
  <si>
    <t xml:space="preserve">Incapacité à assumer le rôle de MOA faute de support.</t>
  </si>
  <si>
    <t xml:space="preserve">Échec des projets par manque de pilotage MOA.</t>
  </si>
  <si>
    <t xml:space="preserve">Créer une communauté de pratique des MOA pour le partage d'expériences et l'entraide entre pairs.</t>
  </si>
  <si>
    <t xml:space="preserve">Documentation ou support mis à disposition des MOA</t>
  </si>
  <si>
    <t xml:space="preserve">Établir un processus de validation des exigences métiers impliquant les utilisateurs finaux et la direction.</t>
  </si>
  <si>
    <t xml:space="preserve">Instituer des revues régulières des solutions déployées pour évaluer leur adéquation continue aux besoins évolutifs.</t>
  </si>
  <si>
    <t xml:space="preserve">Mettre en place une matrice de couverture fonctionnelle évaluée régulièrement par les utilisateurs clés.</t>
  </si>
  <si>
    <t xml:space="preserve">Planification stratégique</t>
  </si>
  <si>
    <t xml:space="preserve">Vérifier la couverture du périmètre fonctionnel ;</t>
  </si>
  <si>
    <t xml:space="preserve">Alignement avec les besoins métiers</t>
  </si>
  <si>
    <t xml:space="preserve">Les solutions sont-elles alignées avec les besoins métiers ?</t>
  </si>
  <si>
    <t xml:space="preserve">Matrice de traçabilité des exigences métiers vers les fonctionnalités de la solution.</t>
  </si>
  <si>
    <t xml:space="preserve">Solutions déconnectées des besoins opérationnels.</t>
  </si>
  <si>
    <t xml:space="preserve">Insatisfaction des utilisateurs et inefficacité opérationnelle.</t>
  </si>
  <si>
    <t xml:space="preserve">Établir un processus d'amélioration continue avec collecte structurée des besoins non couverts.</t>
  </si>
  <si>
    <t xml:space="preserve">Résultats des tests d'acceptation utilisateur (UAT) validant l'alignement avec les besoins métiers.</t>
  </si>
  <si>
    <t xml:space="preserve">Développer une cartographie des interfaces et flux de données entre systèmes, régulièrement mise à jour.</t>
  </si>
  <si>
    <t xml:space="preserve">Exhaustivité des fonctionnalités couvertes</t>
  </si>
  <si>
    <t xml:space="preserve">Les fonctionnalités couvertes sont-elles exhaustives ?</t>
  </si>
  <si>
    <t xml:space="preserve">Tableau comparatif des fonctionnalités requises et des fonctionnalités implémentées.</t>
  </si>
  <si>
    <t xml:space="preserve">Manque de fonctionnalités critiques dans les systèmes.</t>
  </si>
  <si>
    <t xml:space="preserve">Systèmes incomplets ou inutilisables.</t>
  </si>
  <si>
    <t xml:space="preserve">Établir des standards d'interopérabilité et API governance pour faciliter les intégrations futures.</t>
  </si>
  <si>
    <t xml:space="preserve">Documentation des analyses de couverture fonctionnelle.</t>
  </si>
  <si>
    <t xml:space="preserve">Mettre en place une veille réglementaire proactive avec évaluation périodique des impacts sur les systèmes.</t>
  </si>
  <si>
    <t xml:space="preserve">Intégration avec d'autres systèmes existants</t>
  </si>
  <si>
    <t xml:space="preserve">Les solutions sont-elles intégrées avec d'autres systèmes existants ?</t>
  </si>
  <si>
    <t xml:space="preserve">Problèmes d’interopérabilité avec les systèmes existants.</t>
  </si>
  <si>
    <t xml:space="preserve">Pannes ou inefficacités dues à des systèmes non intégrés.</t>
  </si>
  <si>
    <t xml:space="preserve">Établir un comité de conformité impliquant DSI, juridique et métiers pour anticiper les évolutions réglementaires.</t>
  </si>
  <si>
    <t xml:space="preserve">Adopter des architectures modulaires permettant d'isoler les composants susceptibles d'évoluer fréquemment.</t>
  </si>
  <si>
    <t xml:space="preserve">Capacité à répondre aux exigences réglementaires</t>
  </si>
  <si>
    <t xml:space="preserve">Les solutions répondent-elles aux exigences réglementaires ?</t>
  </si>
  <si>
    <t xml:space="preserve">Rapport d'audit de conformité réglementaire.</t>
  </si>
  <si>
    <t xml:space="preserve">Non-conformité réglementaire des solutions déployées.</t>
  </si>
  <si>
    <t xml:space="preserve">Amendes ou sanctions réglementaires.</t>
  </si>
  <si>
    <t xml:space="preserve">Établir des principes d'architecture évolutive privilégiant le découplage et les microservices quand pertinent.</t>
  </si>
  <si>
    <t xml:space="preserve">Documentation des contrôles mis en place pour répondre aux exigences réglementaires.</t>
  </si>
  <si>
    <t xml:space="preserve">Instituer une révision semestrielle des analyses et procédures avec validation formelle des mises à jour.</t>
  </si>
  <si>
    <t xml:space="preserve">Flexibilité pour s'adapter aux changements organisationnels</t>
  </si>
  <si>
    <t xml:space="preserve">Les solutions sont-elles flexibles pour s'adapter aux changements organisationnels ?</t>
  </si>
  <si>
    <t xml:space="preserve">Documentation sur la modularité et la configurabilité de la solution.</t>
  </si>
  <si>
    <t xml:space="preserve">Inflexibilité face aux évolutions organisationnelles.</t>
  </si>
  <si>
    <t xml:space="preserve">Incapacité à répondre aux évolutions organisationnelles.</t>
  </si>
  <si>
    <t xml:space="preserve">Mettre en place un système d'alerte automatique pour les documents n'ayant pas été revus depuis plus de 12 mois.</t>
  </si>
  <si>
    <t xml:space="preserve">Exemples de modifications ou d'adaptations réalisées lors de changements organisationnels.</t>
  </si>
  <si>
    <t xml:space="preserve">Cartographier les contributions des systèmes d'information aux objectifs stratégiques de l'entreprise.</t>
  </si>
  <si>
    <t xml:space="preserve">Vérifier l’existence d’une analyse à jour des procédures de 
pilotage et de mise à jour du plan informatique ; </t>
  </si>
  <si>
    <t xml:space="preserve">Actualité des analyses et des procédures</t>
  </si>
  <si>
    <t xml:space="preserve">Les analyses et procédures sont-elles à jour ?</t>
  </si>
  <si>
    <t xml:space="preserve">Historique des révisions des documents d'analyse et de procédure.</t>
  </si>
  <si>
    <t xml:space="preserve">Obsolescence des processus par analyses non actualisées.</t>
  </si>
  <si>
    <t xml:space="preserve">Processus inefficaces ou obsolètes.</t>
  </si>
  <si>
    <t xml:space="preserve">Établir un processus de validation croisée des initiatives informatiques avec la stratégie globale documentée.</t>
  </si>
  <si>
    <t xml:space="preserve">Dates de dernière revue et approbation des documents.</t>
  </si>
  <si>
    <t xml:space="preserve">Systématiser les workshops multi-acteurs lors des phases d'analyse et de conception des solutions.</t>
  </si>
  <si>
    <t xml:space="preserve">Cohérence avec la stratégie informatique globale</t>
  </si>
  <si>
    <t xml:space="preserve">Les solutions sont-elles cohérentes avec la stratégie informatique globale ?</t>
  </si>
  <si>
    <t xml:space="preserve">Schéma directeur informatique montrant l'alignement de la solution avec la stratégie.</t>
  </si>
  <si>
    <t xml:space="preserve">Déviation des objectifs IT par manque de cohérence stratégique.</t>
  </si>
  <si>
    <t xml:space="preserve">Non-atteinte des objectifs IT stratégiques.</t>
  </si>
  <si>
    <t xml:space="preserve">Mettre en place un modèle de gouvernance participative avec représentation formelle des parties prenantes clés.</t>
  </si>
  <si>
    <t xml:space="preserve">Justification de la solution par rapport aux objectifs stratégiques de l'entreprise.</t>
  </si>
  <si>
    <t xml:space="preserve">Établir un calendrier de révision systématique des documents avec responsables désignés.</t>
  </si>
  <si>
    <t xml:space="preserve">Implication des parties prenantes dans le processus</t>
  </si>
  <si>
    <t xml:space="preserve">Les parties prenantes sont-elles impliquées dans le processus ?</t>
  </si>
  <si>
    <t xml:space="preserve">Liste des parties prenantes impliquées dans le projet.</t>
  </si>
  <si>
    <t xml:space="preserve">Décisions mal informées sans implication des parties prenantes.</t>
  </si>
  <si>
    <t xml:space="preserve">Décisions stratégiques mal fondées.</t>
  </si>
  <si>
    <t xml:space="preserve">Implémenter un workflow de validation des mises à jour incluant approbations multi-niveaux.</t>
  </si>
  <si>
    <t xml:space="preserve">Comptes rendus des réunions avec les parties prenantes.</t>
  </si>
  <si>
    <t xml:space="preserve">Créer un tableau de bord de suivi des actions correctives avec statuts et échéances claires.</t>
  </si>
  <si>
    <t xml:space="preserve">Efficacité des mécanismes de mise à jour</t>
  </si>
  <si>
    <t xml:space="preserve">Les mécanismes de mise à jour sont-ils efficaces ?</t>
  </si>
  <si>
    <t xml:space="preserve">Procédure de gestion des mises à jour.</t>
  </si>
  <si>
    <t xml:space="preserve">Stagnation des processus par des mises à jour inefficaces.</t>
  </si>
  <si>
    <t xml:space="preserve">Absence d’amélioration des processus IT.</t>
  </si>
  <si>
    <t xml:space="preserve">Mettre en place des revues périodiques dédiées au suivi des recommandations antérieures.</t>
  </si>
  <si>
    <t xml:space="preserve">Historique des mises à jour avec les résultats et les incidents éventuels.</t>
  </si>
  <si>
    <t xml:space="preserve">Établir un référentiel documentaire centralisé avec modèles standardisés et métadonnées.</t>
  </si>
  <si>
    <t xml:space="preserve">Suivi des recommandations et des actions correctives</t>
  </si>
  <si>
    <t xml:space="preserve">Les recommandations et actions correctives sont-elles suivies ?</t>
  </si>
  <si>
    <t xml:space="preserve">Plan d'action pour le suivi des recommandations.</t>
  </si>
  <si>
    <t xml:space="preserve">Non-application des recommandations correctives.</t>
  </si>
  <si>
    <t xml:space="preserve">Répétition des erreurs opérationnelles.</t>
  </si>
  <si>
    <t xml:space="preserve">Formaliser le processus de création et validation des documents avec étapes et responsables clairement définis.</t>
  </si>
  <si>
    <t xml:space="preserve">Rapports de suivi des actions correctives.</t>
  </si>
  <si>
    <t xml:space="preserve">Mettre en place un processus de revue périodique avec alertes automatiques pour les documents obsolètes.</t>
  </si>
  <si>
    <t xml:space="preserve"> 
Vérifier l’existence des documents à jour d’urbanisme de 
l’Organisation ; </t>
  </si>
  <si>
    <t xml:space="preserve">Existence formelle des documents</t>
  </si>
  <si>
    <t xml:space="preserve">Existe-t-il des documents formels pour ces processus ?</t>
  </si>
  <si>
    <t xml:space="preserve">Manuel des procédures.</t>
  </si>
  <si>
    <t xml:space="preserve">Absence de documentation entraînant des incohérences.</t>
  </si>
  <si>
    <t xml:space="preserve">Erreurs opérationnelles dues à des incohérences.</t>
  </si>
  <si>
    <t xml:space="preserve">Établir un calendrier rolling de mise à jour des informations critiques avec responsables désignés.</t>
  </si>
  <si>
    <t xml:space="preserve">Diagrammes de processus (BPMN, etc.).</t>
  </si>
  <si>
    <t xml:space="preserve">Déployer une plateforme documentaire collaborative avec droits d'accès différenciés selon les profils utilisateurs.</t>
  </si>
  <si>
    <t xml:space="preserve">Actualité des informations contenues</t>
  </si>
  <si>
    <t xml:space="preserve">Les informations contenues dans les documents sont-elles à jour ?</t>
  </si>
  <si>
    <t xml:space="preserve">Historique des révisions des documents.</t>
  </si>
  <si>
    <t xml:space="preserve">Utilisation d’informations obsolètes dans les décisions.</t>
  </si>
  <si>
    <t xml:space="preserve">Décisions stratégiques erronées.</t>
  </si>
  <si>
    <t xml:space="preserve">Mettre en œuvre un système d'indexation et recherche performant facilitant l'accès contextuel aux documents.</t>
  </si>
  <si>
    <t xml:space="preserve">Dates de la dernière mise à jour des documents.</t>
  </si>
  <si>
    <t xml:space="preserve">Établir une matrice de conformité entre la documentation SI et les politiques organisationnelles.</t>
  </si>
  <si>
    <t xml:space="preserve">Accessibilité pour toutes les parties concernées</t>
  </si>
  <si>
    <t xml:space="preserve">Les documents sont-ils accessibles pour toutes les parties concernées ?</t>
  </si>
  <si>
    <t xml:space="preserve">Politique d'accès aux documents.</t>
  </si>
  <si>
    <t xml:space="preserve">Manque de transparence par documents inaccessibles.</t>
  </si>
  <si>
    <t xml:space="preserve">Manque de confiance des parties prenantes.</t>
  </si>
  <si>
    <t xml:space="preserve">Instaurer un processus de validation croisée impliquant les responsables des politiques internes.</t>
  </si>
  <si>
    <t xml:space="preserve">Liste des droits d'accès aux documents.</t>
  </si>
  <si>
    <t xml:space="preserve">Créer des liens explicites entre la documentation et les processus décisionnels qu'elle doit éclairer.</t>
  </si>
  <si>
    <t xml:space="preserve">Alignement avec les politiques organisationnelles</t>
  </si>
  <si>
    <t xml:space="preserve">Les solutions sont-elles alignées avec les politiques organisationnelles ?</t>
  </si>
  <si>
    <t xml:space="preserve">Tableau de conformité des solutions avec les politiques.</t>
  </si>
  <si>
    <t xml:space="preserve">Non-respect des politiques par manque d’alignement.</t>
  </si>
  <si>
    <t xml:space="preserve">Non-conformité aux politiques internes.</t>
  </si>
  <si>
    <t xml:space="preserve">Formaliser l'utilisation obligatoire de certains documents clés dans les processus de gouvernance.</t>
  </si>
  <si>
    <t xml:space="preserve">Justification de l'alignement des solutions avec les politiques.</t>
  </si>
  <si>
    <t xml:space="preserve">Établir un calendrier de révision obligatoire avec rôles et responsabilités clairement définis.</t>
  </si>
  <si>
    <t xml:space="preserve">Intégration dans les processus décisionnels</t>
  </si>
  <si>
    <t xml:space="preserve">Les solutions sont-elles intégrées dans les processus décisionnels ?</t>
  </si>
  <si>
    <t xml:space="preserve">Diagramme montrant l'intégration des solutions dans les processus décisionnels.</t>
  </si>
  <si>
    <t xml:space="preserve">Décisions non documentées compromettant la traçabilité.</t>
  </si>
  <si>
    <t xml:space="preserve">Perte de traçabilité des décisions critiques.</t>
  </si>
  <si>
    <t xml:space="preserve">Mettre en place des indicateurs de fraîcheur des analyses visibles par tous les utilisateurs.</t>
  </si>
  <si>
    <t xml:space="preserve">Exemples de décisions prises basées sur l'utilisation de ces solutions.</t>
  </si>
  <si>
    <t xml:space="preserve">Développer une matrice de conformité documentant l'alignement des pratiques avec les exigences réglementaires.</t>
  </si>
  <si>
    <t xml:space="preserve">Vérifier l’existence d’une analyse à jour des procédures de 
pilotage et de mise à jour du plan d’occupation des sols (POS) ;</t>
  </si>
  <si>
    <t xml:space="preserve">Historique des révisions des documents d'analyse.</t>
  </si>
  <si>
    <t xml:space="preserve">Décisions basées sur des analyses dépassées.</t>
  </si>
  <si>
    <t xml:space="preserve">Mauvais choix opérationnels ou stratégiques.</t>
  </si>
  <si>
    <t xml:space="preserve">Établir un processus de revue réglementaire annuel impliquant experts juridiques et informatiques.</t>
  </si>
  <si>
    <t xml:space="preserve">Dates de dernière revue et approbation des procédures.</t>
  </si>
  <si>
    <t xml:space="preserve">Former des référents locaux responsables de la collecte et validation des informations spécifiques.</t>
  </si>
  <si>
    <t xml:space="preserve">Conformité aux réglementations locales</t>
  </si>
  <si>
    <t xml:space="preserve">Les procédures sont-elles conformes aux réglementations locales ?</t>
  </si>
  <si>
    <t xml:space="preserve">Rapport d'audit de conformité aux réglementations locales.</t>
  </si>
  <si>
    <t xml:space="preserve">Risques juridiques par non-conformité réglementaire.</t>
  </si>
  <si>
    <t xml:space="preserve">Poursuites judiciaires ou amendes.</t>
  </si>
  <si>
    <t xml:space="preserve">Organiser des ateliers collaboratifs réguliers impliquant les équipes locales dans les mises à jour.</t>
  </si>
  <si>
    <t xml:space="preserve">Tableau de conformité des procédures avec les réglementations locales.</t>
  </si>
  <si>
    <t xml:space="preserve">Automatiser les alertes de révision basées sur des événements déclencheurs (changements organisationnels, évolutions réglementaires).</t>
  </si>
  <si>
    <t xml:space="preserve">Implication des acteurs locaux dans le processus</t>
  </si>
  <si>
    <t xml:space="preserve">Les acteurs locaux sont-ils impliqués dans le processus ?</t>
  </si>
  <si>
    <t xml:space="preserve">Liste des acteurs locaux impliqués.</t>
  </si>
  <si>
    <t xml:space="preserve">Manque d’adhésion locale aux processus IT.</t>
  </si>
  <si>
    <t xml:space="preserve">Résistance au changement et inefficacité locale.</t>
  </si>
  <si>
    <t xml:space="preserve">Établir un workflow de validation des mises à jour avec étapes et responsables clairement identifiés.</t>
  </si>
  <si>
    <t xml:space="preserve">Comptes rendus des réunions avec les acteurs locaux.</t>
  </si>
  <si>
    <t xml:space="preserve">Implémenter un système de tracking des recommandations avec indicateurs de mise en œuvre.</t>
  </si>
  <si>
    <t xml:space="preserve">Retards dans l’adaptation des procédures aux changements.</t>
  </si>
  <si>
    <t xml:space="preserve">Processus inadaptés aux nouvelles exigences.</t>
  </si>
  <si>
    <t xml:space="preserve">Établir des revues formelles d'efficacité post-implémentation des actions correctives.</t>
  </si>
  <si>
    <t xml:space="preserve">Historique des mises à jour et incidents rencontrés.</t>
  </si>
  <si>
    <t xml:space="preserve">Établir un référentiel technologique officiel avec roadmaps d'évolution pour chaque composant.</t>
  </si>
  <si>
    <t xml:space="preserve">Plan de suivi des recommandations (ou simple liste Excel).</t>
  </si>
  <si>
    <t xml:space="preserve">Persistance des problèmes par absence de suivi correctif.</t>
  </si>
  <si>
    <t xml:space="preserve">Problèmes récurrents affectant la performance.</t>
  </si>
  <si>
    <t xml:space="preserve">Mettre en place un comité d'architecture chargé de valider les choix technologiques et exceptions.</t>
  </si>
  <si>
    <t xml:space="preserve">Emails ou preuves de clôture des actions.</t>
  </si>
  <si>
    <t xml:space="preserve">Cartographier les flux de données inter-applications et identifier les opportunités d'intégration.</t>
  </si>
  <si>
    <t xml:space="preserve">Vérifier la cohérence et l’homogénéité des technologies ;</t>
  </si>
  <si>
    <t xml:space="preserve">Standardisation des technologies utilisées</t>
  </si>
  <si>
    <t xml:space="preserve">Les technologies utilisées sont-elles standardisées ?</t>
  </si>
  <si>
    <t xml:space="preserve">Liste des logiciels et matériels principaux utilisés.</t>
  </si>
  <si>
    <t xml:space="preserve">Hétérogénéité technologique compliquant la maintenance.</t>
  </si>
  <si>
    <t xml:space="preserve">Coûts de maintenance élevés et pannes fréquentes.</t>
  </si>
  <si>
    <t xml:space="preserve">Déployer une plateforme d'intégration (ESB ou API Management) pour standardiser les échanges.</t>
  </si>
  <si>
    <t xml:space="preserve">Inventaire du parc informatique.</t>
  </si>
  <si>
    <t xml:space="preserve">Établir une matrice d'alignement entre les choix technologiques et les orientations stratégiques.</t>
  </si>
  <si>
    <t xml:space="preserve">Intégration des systèmes pour éviter les silos</t>
  </si>
  <si>
    <t xml:space="preserve">Les systèmes sont-ils intégrés pour éviter les silos ?</t>
  </si>
  <si>
    <t xml:space="preserve">Schéma simplifié des applications et de leurs liens.</t>
  </si>
  <si>
    <t xml:space="preserve">Inefficacité due à des systèmes non intégrés.</t>
  </si>
  <si>
    <t xml:space="preserve">Perte d’efficacité opérationnelle.</t>
  </si>
  <si>
    <t xml:space="preserve">Développer des principes d'architecture d'entreprise guidant les décisions techniques vers la cible.</t>
  </si>
  <si>
    <t xml:space="preserve">Description des flux de données entre systèmes principaux.</t>
  </si>
  <si>
    <t xml:space="preserve">Mettre en place des tests utilisateurs systématiques avant déploiement de nouvelles interfaces.</t>
  </si>
  <si>
    <t xml:space="preserve">Cohérence avec la stratégie technologique globale</t>
  </si>
  <si>
    <t xml:space="preserve">Les solutions sont-elles cohérentes avec la stratégie technologique globale ?</t>
  </si>
  <si>
    <t xml:space="preserve">Document de stratégie informatique (même synthétique).</t>
  </si>
  <si>
    <t xml:space="preserve">Incohérence avec les objectifs technologiques à long terme.</t>
  </si>
  <si>
    <t xml:space="preserve">Déviation des priorités technologiques.</t>
  </si>
  <si>
    <t xml:space="preserve">Établir des standards d'ergonomie et d'expérience utilisateur adaptés aux différents profils.</t>
  </si>
  <si>
    <t xml:space="preserve">Compte-rendu de comité validant les choix technologiques.</t>
  </si>
  <si>
    <t xml:space="preserve">Facilité d'utilisation pour les utilisateurs</t>
  </si>
  <si>
    <t xml:space="preserve">Les solutions sont-elles faciles à utiliser pour les utilisateurs ?</t>
  </si>
  <si>
    <t xml:space="preserve">Retours utilisateurs collectés (emails, tickets support, notes).</t>
  </si>
  <si>
    <t xml:space="preserve">Adoption limitée par une interface utilisateur complexe.</t>
  </si>
  <si>
    <t xml:space="preserve">Faible adoption des systèmes par les utilisateurs.</t>
  </si>
  <si>
    <t xml:space="preserve">Guides utilisateurs ou supports de formation.</t>
  </si>
  <si>
    <t xml:space="preserve">Mettre en place des tests d'utilisabilité réguliers avec différentes catégories d'utilisateurs pour identifier les points d'amélioration.</t>
  </si>
  <si>
    <t xml:space="preserve">Capacité à supporter l'évolution des besoins</t>
  </si>
  <si>
    <t xml:space="preserve">Les solutions sont-elles capables de supporter l'évolution des besoins ?</t>
  </si>
  <si>
    <t xml:space="preserve">Liste des évolutions prévues ou en cours pour les applications clés.</t>
  </si>
  <si>
    <t xml:space="preserve">Incapacité à répondre aux nouveaux besoins métiers.</t>
  </si>
  <si>
    <t xml:space="preserve">Incapacité à répondre aux évolutions des besoins.</t>
  </si>
  <si>
    <t xml:space="preserve">Développer un programme de formation personnalisé selon les profils utilisateurs avec tutoriels vidéo et documentation adaptée.</t>
  </si>
  <si>
    <t xml:space="preserve">Compte-rendu de réunion discutant des évolutions futures.</t>
  </si>
  <si>
    <t xml:space="preserve">Adopter une architecture modulaire permettant l'extension des fonctionnalités sans refonte majeure.</t>
  </si>
  <si>
    <t xml:space="preserve">Vérifier l’existence et l’unicité des référentiels (clients, 
fournisseurs, articles…) et des saisies.</t>
  </si>
  <si>
    <t xml:space="preserve">Existence de référentiels uniques et centralisés</t>
  </si>
  <si>
    <t xml:space="preserve">Existe-t-il des référentiels uniques et centralisés ?</t>
  </si>
  <si>
    <t xml:space="preserve">Liste des principales bases de données de référence (clients, produits...).</t>
  </si>
  <si>
    <t xml:space="preserve">Incohérences dues à des référentiels multiples ou décentralisés.</t>
  </si>
  <si>
    <t xml:space="preserve">Erreurs opérationnelles dues à des données incohérentes.</t>
  </si>
  <si>
    <t xml:space="preserve">Mettre en place un processus formalisé de gestion des demandes d'évolution avec priorisation collaborative.</t>
  </si>
  <si>
    <t xml:space="preserve">Nom des applications qui gèrent ces données de référence.</t>
  </si>
  <si>
    <t xml:space="preserve">Implémenter une solution de Master Data Management avec gouvernance et règles de gestion clairement définies.</t>
  </si>
  <si>
    <t xml:space="preserve">Exactitude et actualité des données</t>
  </si>
  <si>
    <t xml:space="preserve">Les données sont-elles exactes et à jour ?</t>
  </si>
  <si>
    <t xml:space="preserve">Exemples de contrôles effectués sur les données.</t>
  </si>
  <si>
    <t xml:space="preserve">Décisions erronées basées sur des données obsolètes ou inexactes.</t>
  </si>
  <si>
    <t xml:space="preserve">Mauvais choix stratégiques basés sur des données erronées.</t>
  </si>
  <si>
    <t xml:space="preserve">Établir des processus de validation des données lors de leur création pour garantir l'unicité des référentiels.</t>
  </si>
  <si>
    <t xml:space="preserve">Logs ou historique montrant les dernières mises à jour.</t>
  </si>
  <si>
    <t xml:space="preserve">Mettre en place des contrôles automatisés de qualité des données avec alertes sur les anomalies détectées.</t>
  </si>
  <si>
    <t xml:space="preserve">Accessibilité et sécurité des données</t>
  </si>
  <si>
    <t xml:space="preserve">Les données sont-elles accessibles et sécurisées ?</t>
  </si>
  <si>
    <t xml:space="preserve">Procédure de demande d'accès aux données.</t>
  </si>
  <si>
    <t xml:space="preserve">Fuites de données ou accès non autorisés.</t>
  </si>
  <si>
    <t xml:space="preserve">Compromission de la sécurité des données.</t>
  </si>
  <si>
    <t xml:space="preserve">Établir un calendrier de mise à jour des données critiques avec responsables et processus de validation formalisés.</t>
  </si>
  <si>
    <t xml:space="preserve">Liste des profils utilisateurs et leurs droits d'accès principaux.</t>
  </si>
  <si>
    <t xml:space="preserve">Déployer une solution d'authentification unique (SSO) facilitant l'accès sécurisé aux données pour les utilisateurs autorisés.</t>
  </si>
  <si>
    <t xml:space="preserve">Utilisation uniforme des référentiels dans l'organisation</t>
  </si>
  <si>
    <t xml:space="preserve">Les référentiels sont-ils utilisés de manière uniforme dans l'organisation ?</t>
  </si>
  <si>
    <t xml:space="preserve">Exemples de rapports ou d'écrans utilisant les données de référence.</t>
  </si>
  <si>
    <t xml:space="preserve">Hétérogénéité des pratiques par manque d’uniformité.</t>
  </si>
  <si>
    <t xml:space="preserve">Pratiques incohérentes entraînant des erreurs.</t>
  </si>
  <si>
    <t xml:space="preserve">Implémenter un système de classification des données avec contrôles d'accès granulaires selon leur sensibilité.</t>
  </si>
  <si>
    <t xml:space="preserve">Procédures métiers indiquant quelles données utiliser.</t>
  </si>
  <si>
    <t xml:space="preserve">Auditer régulièrement l'utilisation des référentiels pour identifier et corriger les cas d'utilisation de données non officielles.</t>
  </si>
  <si>
    <t xml:space="preserve">Processus de mise à jour efficace</t>
  </si>
  <si>
    <t xml:space="preserve">Le processus de mise à jour des référentiels est-il efficace ?</t>
  </si>
  <si>
    <t xml:space="preserve">Description simple du processus de mise à jour (qui fait quoi).</t>
  </si>
  <si>
    <t xml:space="preserve">Données obsolètes par un processus de mise à jour inefficace.</t>
  </si>
  <si>
    <t xml:space="preserve">Décisions basées sur des données non fiables.</t>
  </si>
  <si>
    <t xml:space="preserve">Mettre en place des connecteurs standardisés garantissant l'intégration des référentiels dans tous les systèmes.</t>
  </si>
  <si>
    <t xml:space="preserve">Logs ou historique des modifications des données de référence.</t>
  </si>
  <si>
    <t xml:space="preserve">Automatiser les processus de mise à jour des référentiels avec workflows d'approbation et traçabilité des modifications.</t>
  </si>
  <si>
    <t xml:space="preserve">Budgets et coûts informatiques</t>
  </si>
  <si>
    <t xml:space="preserve">Évaluer l’organisation et les processus existants ; </t>
  </si>
  <si>
    <t xml:space="preserve">Efficacité des processus opérationnels</t>
  </si>
  <si>
    <t xml:space="preserve">Les processus opérationnels sont-ils efficaces et bien organisés ?</t>
  </si>
  <si>
    <t xml:space="preserve">Description ou schéma des processus clés.</t>
  </si>
  <si>
    <t xml:space="preserve">Retards ou erreurs dans les opérations quotidiennes.</t>
  </si>
  <si>
    <t xml:space="preserve">Perturbations des opérations quotidiennes.</t>
  </si>
  <si>
    <t xml:space="preserve">Établir des rôles de data stewards responsables de la qualité et de l'actualité des données dans leurs domaines respectifs.</t>
  </si>
  <si>
    <t xml:space="preserve">Indicateurs de performance (KPIs) des processus.</t>
  </si>
  <si>
    <t xml:space="preserve">Cartographier et optimiser les processus opérationnels en utilisant des méthodologies comme Lean ou Six Sigma.</t>
  </si>
  <si>
    <t xml:space="preserve">Alignement avec les objectifs stratégiques</t>
  </si>
  <si>
    <t xml:space="preserve">Les processus opérationnels sont-ils alignés avec les objectifs stratégiques ?</t>
  </si>
  <si>
    <t xml:space="preserve">Plan stratégique de l'entreprise.</t>
  </si>
  <si>
    <t xml:space="preserve">Déviation des processus par rapport aux priorités stratégiques.</t>
  </si>
  <si>
    <t xml:space="preserve">Non-atteinte des objectifs stratégiques.</t>
  </si>
  <si>
    <t xml:space="preserve">Implémenter des outils de workflow pour automatiser les tâches répétitives et réduire les erreurs manuelles.</t>
  </si>
  <si>
    <t xml:space="preserve">Objectifs assignés aux processus ou départements.</t>
  </si>
  <si>
    <t xml:space="preserve">Établir une matrice de contribution des initiatives informatiques aux objectifs stratégiques de l'entreprise.</t>
  </si>
  <si>
    <t xml:space="preserve">Flexibilité pour s'adapter aux changements</t>
  </si>
  <si>
    <t xml:space="preserve">Les processus opérationnels sont-ils flexibles pour s'adapter aux changements organisationnels ?</t>
  </si>
  <si>
    <t xml:space="preserve">Historique des changements apportés aux processus.</t>
  </si>
  <si>
    <t xml:space="preserve">Rigidité face aux évolutions organisationnelles ou technologiques.</t>
  </si>
  <si>
    <t xml:space="preserve">Incapacité à s’adapter aux changements.</t>
  </si>
  <si>
    <t xml:space="preserve">Mettre en place des revues trimestrielles pour évaluer l'alignement des projets informatiques avec la stratégie.</t>
  </si>
  <si>
    <t xml:space="preserve">Comptes rendus de réunions discutant d'adaptations.</t>
  </si>
  <si>
    <t xml:space="preserve">Adopter des méthodes agiles permettant de recalibrer rapidement les projets face aux changements d'environnement.</t>
  </si>
  <si>
    <t xml:space="preserve">Implication des parties prenantes dans l'amélioration continue</t>
  </si>
  <si>
    <t xml:space="preserve">Les parties prenantes sont-elles impliquées dans l'amélioration continue des processus ?</t>
  </si>
  <si>
    <t xml:space="preserve">Comptes rendus de réunions d'amélioration.</t>
  </si>
  <si>
    <t xml:space="preserve">Manque d’amélioration continue sans implication des parties prenantes.</t>
  </si>
  <si>
    <t xml:space="preserve">Stagnation des performances opérationnelles.</t>
  </si>
  <si>
    <t xml:space="preserve">Développer une architecture d'entreprise modulaire facilitant l'adaptation aux évolutions organisationnelles.</t>
  </si>
  <si>
    <t xml:space="preserve">Liste des suggestions ou retours collectés sur les processus.</t>
  </si>
  <si>
    <t xml:space="preserve">Créer un dispositif de collecte structurée des retours utilisateurs avec priorisation des axes d'amélioration.</t>
  </si>
  <si>
    <t xml:space="preserve">Suivi et évaluation régulière des performances</t>
  </si>
  <si>
    <t xml:space="preserve">Un suivi et une évaluation régulière des performances sont-ils effectués ?</t>
  </si>
  <si>
    <t xml:space="preserve">Tableaux de bord ou rapports de performance.</t>
  </si>
  <si>
    <t xml:space="preserve">Performances sous-optimales par absence d’évaluation régulière.</t>
  </si>
  <si>
    <t xml:space="preserve">Performances sous-optimales non corrigées.</t>
  </si>
  <si>
    <t xml:space="preserve">Établir des communautés de pratique impliquant utilisateurs et équipes IT pour co-construire l'évolution des solutions.</t>
  </si>
  <si>
    <t xml:space="preserve">Comptes rendus de revues de performance.</t>
  </si>
  <si>
    <t xml:space="preserve">Mettre en place un tableau de bord avec KPIs alignés sur les attentes des utilisateurs et des parties prenantes.</t>
  </si>
  <si>
    <t xml:space="preserve">Vérifier l’existence des ratios et des éléments de benchmark 
(interne et/ou externe, ratio coûts/CA, …).  </t>
  </si>
  <si>
    <t xml:space="preserve">Existence de ratios de coûts</t>
  </si>
  <si>
    <t xml:space="preserve">Existe-t-il des ratios de coûts pour évaluer l'efficacité financière ?</t>
  </si>
  <si>
    <t xml:space="preserve">Rapports financiers ou de gestion incluant des ratios.</t>
  </si>
  <si>
    <t xml:space="preserve">Manque de visibilité sur la structure des coûts informatiques.</t>
  </si>
  <si>
    <t xml:space="preserve">Surcoûts dus à une mauvaise gestion des dépenses.</t>
  </si>
  <si>
    <t xml:space="preserve">Instaurer des revues de performance régulières avec objectifs d'amélioration mesurables pour chaque service IT.</t>
  </si>
  <si>
    <t xml:space="preserve">Liste des ratios de coûts suivis.</t>
  </si>
  <si>
    <t xml:space="preserve">Développer un modèle de coûts complet (TCO) pour chaque service et application critique.</t>
  </si>
  <si>
    <t xml:space="preserve">Benchmark interne</t>
  </si>
  <si>
    <t xml:space="preserve">Des benchmarks internes sont-ils utilisés pour comparer les performances ?</t>
  </si>
  <si>
    <t xml:space="preserve">Rapports comparant les performances entre périodes ou services.</t>
  </si>
  <si>
    <t xml:space="preserve">Absence de comparaison interne pour identifier les inefficacités.</t>
  </si>
  <si>
    <t xml:space="preserve">Inefficacités opérationnelles non détectées.</t>
  </si>
  <si>
    <t xml:space="preserve">Établir des ratios de coûts informatiques par utilisateur, par fonction métier et par service fourni.</t>
  </si>
  <si>
    <t xml:space="preserve">Tableaux de bord avec comparaisons internes.</t>
  </si>
  <si>
    <t xml:space="preserve">Mettre en place une comparaison systématique des coûts et performances entre différentes entités de l'organisation.</t>
  </si>
  <si>
    <t xml:space="preserve">Benchmark externe</t>
  </si>
  <si>
    <t xml:space="preserve">Des benchmarks externes sont-ils utilisés pour comparer les performances avec celles des concurrents ?</t>
  </si>
  <si>
    <t xml:space="preserve">Études sectorielles ou de marché utilisées.</t>
  </si>
  <si>
    <t xml:space="preserve">Positionnement défavorable par rapport aux standards du marché.</t>
  </si>
  <si>
    <t xml:space="preserve">Perte de compétitivité sur le marché.</t>
  </si>
  <si>
    <t xml:space="preserve">Établir un processus de partage des bonnes pratiques entre départements pour harmoniser l'efficience.</t>
  </si>
  <si>
    <t xml:space="preserve">Rapports internes comparant les performances à des données externes.</t>
  </si>
  <si>
    <t xml:space="preserve">S'abonner à des services d'analyse comparative sectoriels pour positionner les coûts IT par rapport aux standards du marché.</t>
  </si>
  <si>
    <t xml:space="preserve">Utilisation de ratios structurants</t>
  </si>
  <si>
    <t xml:space="preserve">Des ratios structurants sont-ils utilisés pour analyser les coûts et optimiser les processus ?</t>
  </si>
  <si>
    <t xml:space="preserve">Analyses de coûts basées sur des ratios.</t>
  </si>
  <si>
    <t xml:space="preserve">Décisions non structurées sans ratios pertinents.</t>
  </si>
  <si>
    <t xml:space="preserve">Mauvaise allocation des ressources financières.</t>
  </si>
  <si>
    <t xml:space="preserve">Participer à des groupes d'échange entre DSI du même secteur pour comparer les approches et ratios financiers.</t>
  </si>
  <si>
    <t xml:space="preserve">Décisions documentées basées sur l'analyse de ratios.</t>
  </si>
  <si>
    <t xml:space="preserve">Utiliser des ratios comme le pourcentage des dépenses IT par rapport au chiffre d'affaires ou aux dépenses globales.</t>
  </si>
  <si>
    <t xml:space="preserve">Analyse de l'évolution temporelle</t>
  </si>
  <si>
    <t xml:space="preserve">Une analyse de l'évolution temporelle des ratios est-elle régulièrement effectuée pour identifier les tendances ?</t>
  </si>
  <si>
    <t xml:space="preserve">Graphiques ou rapports montrant l'évolution des ratios.</t>
  </si>
  <si>
    <t xml:space="preserve">Manque de perspective sur les tendances des coûts.</t>
  </si>
  <si>
    <t xml:space="preserve">Incapacité à anticiper les besoins financiers futurs.</t>
  </si>
  <si>
    <t xml:space="preserve">Établir des ratios de répartition entre run/build/transform pour équilibrer maintenance et innovation.</t>
  </si>
  <si>
    <t xml:space="preserve">Analyses de tendances documentées.</t>
  </si>
  <si>
    <t xml:space="preserve">Mettre en place un suivi des tendances des coûts IT sur plusieurs années avec analyse des facteurs d'évolution.</t>
  </si>
  <si>
    <t xml:space="preserve">Vérifier l'alignement des dépenses informatiques avec les objectifs stratégiques</t>
  </si>
  <si>
    <t xml:space="preserve">Alignement des dépenses sur les objectifs métiers</t>
  </si>
  <si>
    <t xml:space="preserve">Les dépenses sont-elles alignées sur les objectifs métiers ?</t>
  </si>
  <si>
    <t xml:space="preserve">Budget informatique détaillé par projet ou service.</t>
  </si>
  <si>
    <t xml:space="preserve">Dépenses non alignées avec les besoins opérationnels.</t>
  </si>
  <si>
    <t xml:space="preserve">Investissements inefficaces ou inutiles.</t>
  </si>
  <si>
    <t xml:space="preserve">Établir des objectifs d'amélioration continue des ratios avec trajectoire pluriannuelle.</t>
  </si>
  <si>
    <t xml:space="preserve">Objectifs métiers documentés (plan annuel, objectifs par département...).</t>
  </si>
  <si>
    <t xml:space="preserve">Développer une matrice de contribution des dépenses IT aux objectifs métiers avec évaluation régulière.</t>
  </si>
  <si>
    <t xml:space="preserve">Contribution des dépenses à la mission de l'entreprise</t>
  </si>
  <si>
    <t xml:space="preserve">Les dépenses contribuent-elles à la mission de l'entreprise ?</t>
  </si>
  <si>
    <t xml:space="preserve">Présentation de la mission et vision de l'entreprise.</t>
  </si>
  <si>
    <t xml:space="preserve">Investissements IT sans valeur ajoutée pour l’entreprise.</t>
  </si>
  <si>
    <t xml:space="preserve">Absence de retour sur investissement IT.</t>
  </si>
  <si>
    <t xml:space="preserve">Mettre en place un processus de validation des investissements IT impliquant systématiquement les responsables métiers.</t>
  </si>
  <si>
    <t xml:space="preserve">Justification des principales lignes budgétaires IT.</t>
  </si>
  <si>
    <t xml:space="preserve">Établir un cadre d'évaluation de la valeur ajoutée des services IT pour chaque fonction de l'entreprise.</t>
  </si>
  <si>
    <t xml:space="preserve">Cohérence avec la stratégie globale de l'organisation</t>
  </si>
  <si>
    <t xml:space="preserve">Les dépenses sont-elles cohérentes avec la stratégie globale de l'organisation ?</t>
  </si>
  <si>
    <t xml:space="preserve">Plan stratégique global de l'organisation.</t>
  </si>
  <si>
    <t xml:space="preserve">Incohérence des dépenses avec les objectifs à long terme.</t>
  </si>
  <si>
    <t xml:space="preserve">Dépenses non alignées avec la stratégie globale.</t>
  </si>
  <si>
    <t xml:space="preserve">Mettre en place un processus systématique d'analyse de la valeur pour chaque dépense informatique significative.</t>
  </si>
  <si>
    <t xml:space="preserve">Budget IT approuvé et sa présentation/justification.</t>
  </si>
  <si>
    <t xml:space="preserve">Cartographier explicitement les liens entre le plan d'investissement IT et les axes stratégiques de l'organisation.</t>
  </si>
  <si>
    <t xml:space="preserve">Utilisation efficace des ressources pour soutenir les initiatives stratégiques</t>
  </si>
  <si>
    <t xml:space="preserve">Les ressources sont-elles utilisées efficacement pour soutenir les initiatives stratégiques ?</t>
  </si>
  <si>
    <t xml:space="preserve">Liste des projets/initiatives stratégiques avec budget associé.</t>
  </si>
  <si>
    <t xml:space="preserve">Gaspillage de ressources sur des initiatives non prioritaires.</t>
  </si>
  <si>
    <t xml:space="preserve">Surcoûts dus à des projets non prioritaires.</t>
  </si>
  <si>
    <t xml:space="preserve">Établir un processus formel d'alignement des roadmaps technologiques avec le plan stratégique pluriannuel.</t>
  </si>
  <si>
    <t xml:space="preserve">Suivi budgétaire spécifique pour ces initiatives.</t>
  </si>
  <si>
    <t xml:space="preserve">Implémenter une gestion de portefeuille de projets priorisant les initiatives à forte valeur ajoutée.</t>
  </si>
  <si>
    <t xml:space="preserve">Suivi et ajustement régulier des dépenses pour maintenir l'alignement</t>
  </si>
  <si>
    <t xml:space="preserve">Un suivi et un ajustement réguliers des dépenses sont-ils effectués pour maintenir l'alignement ?</t>
  </si>
  <si>
    <t xml:space="preserve">Rapports de suivi budgétaire (mensuels, trimestriels...).</t>
  </si>
  <si>
    <t xml:space="preserve">Dérive budgétaire par manque de suivi et d’ajustements.</t>
  </si>
  <si>
    <t xml:space="preserve">Dérapages financiers non contrôlés.</t>
  </si>
  <si>
    <t xml:space="preserve">Mettre en place une gouvernance IT incluant des représentants des directions métiers dans les décisions d'allocation.</t>
  </si>
  <si>
    <t xml:space="preserve">Comptes rendus de réunions de revue budgétaire.</t>
  </si>
  <si>
    <t xml:space="preserve">Établir des revues trimestrielles de l'efficacité des dépenses avec ajustements budgétaires si nécessaire.</t>
  </si>
  <si>
    <t xml:space="preserve">Évaluer la gestion des coûts et l'optimisation des dépenses</t>
  </si>
  <si>
    <t xml:space="preserve">Identification des coûts récurrents et opportunités d'économie</t>
  </si>
  <si>
    <t xml:space="preserve">Les coûts récurrents sont-ils identifiés et analysés pour trouver des opportunités d'économie ?</t>
  </si>
  <si>
    <t xml:space="preserve">Liste des contrats de maintenance, licences, abonnements.</t>
  </si>
  <si>
    <t xml:space="preserve">Coûts récurrents non optimisés entraînant des dépenses excessives.</t>
  </si>
  <si>
    <t xml:space="preserve">Dépenses excessives impactant la rentabilité.</t>
  </si>
  <si>
    <t xml:space="preserve">Développer des tableaux de bord financiers permettant de visualiser les écarts entre valeur attendue et réalisée.</t>
  </si>
  <si>
    <t xml:space="preserve">Rapport d'analyse des coûts récurrents.</t>
  </si>
  <si>
    <t xml:space="preserve">Mettre en place un processus d'analyse régulière des coûts récurrents avec identification des opportunités de rationalisation.</t>
  </si>
  <si>
    <t xml:space="preserve">Utilisation de méthodes pour réduire les coûts sans impacter la performance</t>
  </si>
  <si>
    <t xml:space="preserve">Des méthodes sont-elles utilisées pour réduire les coûts sans impacter la performance ?</t>
  </si>
  <si>
    <t xml:space="preserve">Plan ou liste des actions de réduction des coûts.</t>
  </si>
  <si>
    <t xml:space="preserve">Dégradation des performances par des réductions de coûts mal ciblées.</t>
  </si>
  <si>
    <t xml:space="preserve">Baisse de performance des systèmes IT.</t>
  </si>
  <si>
    <t xml:space="preserve">Établir un programme systématique de revue des contrats et licences pour éliminer les redondances et sous-utilisations.</t>
  </si>
  <si>
    <t xml:space="preserve">Compte-rendu de décision sur les optimisations (ex: renégociation contrat).</t>
  </si>
  <si>
    <t xml:space="preserve">Adopter des méthodologies de right-sizing pour dimensionner correctement les ressources techniques aux besoins réels.</t>
  </si>
  <si>
    <t xml:space="preserve">Prolongement du cycle de vie des actifs informatiques</t>
  </si>
  <si>
    <t xml:space="preserve">Le cycle de vie des actifs informatiques est-il prolongé pour optimiser les ressources ?</t>
  </si>
  <si>
    <t xml:space="preserve">Inventaire du matériel avec dates d'achat/garantie.</t>
  </si>
  <si>
    <t xml:space="preserve">Obsolescence prématurée des actifs informatiques.</t>
  </si>
  <si>
    <t xml:space="preserve">Remplacements coûteux d’équipements obsolètes.</t>
  </si>
  <si>
    <t xml:space="preserve">Implémenter des politiques de cloud hybride optimisant le rapport coût/flexibilité selon les typologies d'usage.</t>
  </si>
  <si>
    <t xml:space="preserve">Politique de renouvellement du matériel.</t>
  </si>
  <si>
    <t xml:space="preserve">Établir une stratégie d'obsolescence planifiée avec évaluation régulière du rapport coût/risque du maintien des équipements.</t>
  </si>
  <si>
    <t xml:space="preserve">Analyse régulière des coûts pour optimiser les dépenses</t>
  </si>
  <si>
    <t xml:space="preserve">Une analyse régulière des coûts est-elle effectuée pour optimiser les dépenses ?</t>
  </si>
  <si>
    <t xml:space="preserve">Rapports d'analyse des coûts par catégorie (matériel, logiciel, personnel...).</t>
  </si>
  <si>
    <t xml:space="preserve">Surcoûts par absence d’analyse régulière des dépenses.</t>
  </si>
  <si>
    <t xml:space="preserve">Pertes financières dues à des dépenses non optimisées.</t>
  </si>
  <si>
    <t xml:space="preserve">Mettre en place un processus de réaffectation des équipements encore fonctionnels à des usages moins exigeants.</t>
  </si>
  <si>
    <t xml:space="preserve">Historique des dépenses pour identifier les variations.</t>
  </si>
  <si>
    <t xml:space="preserve">Implémenter un processus de zero-based budgeting pour justifier chaque dépense sans se baser sur l'historique.</t>
  </si>
  <si>
    <t xml:space="preserve">Mise en place de processus pour éviter les dépenses inutiles</t>
  </si>
  <si>
    <t xml:space="preserve">Des processus sont-ils mis en place pour éviter les dépenses inutiles ?</t>
  </si>
  <si>
    <t xml:space="preserve">Procédure d'approbation des achats informatiques.</t>
  </si>
  <si>
    <t xml:space="preserve">Dépenses superflues par manque de processus de contrôle.</t>
  </si>
  <si>
    <t xml:space="preserve">Surcoûts imprévus affectant le budget.</t>
  </si>
  <si>
    <t xml:space="preserve">Établir des revues périodiques de valeur pour chaque service IT avec évaluation coût/bénéfice.</t>
  </si>
  <si>
    <t xml:space="preserve">Politique d'achat ou de validation des dépenses.</t>
  </si>
  <si>
    <t xml:space="preserve">Mettre en place un comité de validation des dépenses avec représentation métier et financière.</t>
  </si>
  <si>
    <t xml:space="preserve">Contrôler le suivi et la gestion des écarts budgétaires</t>
  </si>
  <si>
    <t xml:space="preserve">Existence d'un système de suivi des dépenses réelles par rapport aux prévisions</t>
  </si>
  <si>
    <t xml:space="preserve">Existe-t-il un système de suivi des dépenses réelles par rapport aux prévisions ?</t>
  </si>
  <si>
    <t xml:space="preserve">Rapports "Budget vs Réel".</t>
  </si>
  <si>
    <t xml:space="preserve">Dérapages budgétaires par absence de suivi des dépenses réelles.</t>
  </si>
  <si>
    <t xml:space="preserve">Dérapages budgétaires récurrents.</t>
  </si>
  <si>
    <t xml:space="preserve">Développer des processus d'achat centralisés pour bénéficier d'économies d'échelle et éliminer les achats redondants.</t>
  </si>
  <si>
    <t xml:space="preserve">Extrait du logiciel comptable ou de suivi budgétaire.</t>
  </si>
  <si>
    <t xml:space="preserve">Implémenter un système de suivi budgétaire en temps réel accessible aux responsables financiers et IT.</t>
  </si>
  <si>
    <t xml:space="preserve">Analyse régulière des écarts budgétaires pour identifier les causes</t>
  </si>
  <si>
    <t xml:space="preserve">Les écarts budgétaires sont-ils régulièrement analysés pour identifier les causes ?</t>
  </si>
  <si>
    <t xml:space="preserve">Rapports d'analyse des écarts.</t>
  </si>
  <si>
    <t xml:space="preserve">Incapacité à identifier les causes des écarts budgétaires.</t>
  </si>
  <si>
    <t xml:space="preserve">Incapacité à corriger les écarts financiers.</t>
  </si>
  <si>
    <t xml:space="preserve">Établir un processus de reporting financier mensuel avec comparaison prévisionnel/réel et analyse des tendances.</t>
  </si>
  <si>
    <t xml:space="preserve">Comptes rendus de réunions budgétaires.</t>
  </si>
  <si>
    <t xml:space="preserve">Mettre en place des sessions d'analyse dédiées aux écarts budgétaires avec méthodologie structurée de recherche des causes.</t>
  </si>
  <si>
    <t xml:space="preserve">Application de mesures correctives pour réaligner les dépenses</t>
  </si>
  <si>
    <t xml:space="preserve">Des mesures correctives sont-elles appliquées pour réaligner les dépenses ?</t>
  </si>
  <si>
    <t xml:space="preserve">Plan d'actions suite aux analyses d'écarts.</t>
  </si>
  <si>
    <t xml:space="preserve">Persistance des écarts sans mesures correctives efficaces.</t>
  </si>
  <si>
    <t xml:space="preserve">Persistance des problèmes budgétaires.</t>
  </si>
  <si>
    <t xml:space="preserve">Établir une classification des types d'écarts pour faciliter l'identification des actions correctives adaptées.</t>
  </si>
  <si>
    <t xml:space="preserve">Emails ou notes documentant les décisions correctives.</t>
  </si>
  <si>
    <t xml:space="preserve">Développer un processus formel de plan d'action pour chaque écart significatif avec responsable et délai.</t>
  </si>
  <si>
    <t xml:space="preserve">Communication transparente sur les écarts et les actions prises</t>
  </si>
  <si>
    <t xml:space="preserve">La communication sur les écarts et les actions prises est-elle transparente ?</t>
  </si>
  <si>
    <t xml:space="preserve">Rapports budgétaires diffusés aux parties concernées.</t>
  </si>
  <si>
    <t xml:space="preserve">Manque de transparence érodant la confiance des parties prenantes.</t>
  </si>
  <si>
    <t xml:space="preserve">Perte de crédibilité auprès des parties prenantes.</t>
  </si>
  <si>
    <t xml:space="preserve">Mettre en place une gouvernance financière assurant le suivi systématique des mesures correctives jusqu'à résolution.</t>
  </si>
  <si>
    <t xml:space="preserve">Présentations en comité sur la situation budgétaire.</t>
  </si>
  <si>
    <t xml:space="preserve">Établir un reporting transparent des écarts budgétaires et des actions correctrices aux parties prenantes concernées.</t>
  </si>
  <si>
    <t xml:space="preserve">Capacité à ajuster les prévisions budgétaires en fonction des résultats</t>
  </si>
  <si>
    <t xml:space="preserve">Les prévisions budgétaires peuvent-elles être ajustées en fonction des résultats ?</t>
  </si>
  <si>
    <t xml:space="preserve">Processus de révision budgétaire (reforecast).</t>
  </si>
  <si>
    <t xml:space="preserve">Prévisions budgétaires inadaptées aux réalités opérationnelles.</t>
  </si>
  <si>
    <t xml:space="preserve">Mauvaise planification financière.</t>
  </si>
  <si>
    <t xml:space="preserve">Mettre en place des sessions de partage d'expérience sur les dérapages et solutions mises en œuvre.</t>
  </si>
  <si>
    <t xml:space="preserve">Versions successives du budget montrant les ajustements.</t>
  </si>
  <si>
    <t xml:space="preserve">Adopter un modèle de prévision budgétaire glissant mis à jour trimestriellement selon les résultats observés.</t>
  </si>
  <si>
    <t xml:space="preserve">Mesure et suivi de la performance informatique</t>
  </si>
  <si>
    <t xml:space="preserve">Vérifier que des objectifs de court, moyen et long termes 
existent et sont assignés à la DSI (approche BSC ?) et que ces 
objectifs sont déclinés au sein de l’entité ; </t>
  </si>
  <si>
    <t xml:space="preserve">Existence formelle d'objectifs stratégiques pour la DSI</t>
  </si>
  <si>
    <t xml:space="preserve">Existe-t-il des objectifs stratégiques formels pour la DSI ?</t>
  </si>
  <si>
    <t xml:space="preserve">Plan stratégique de la DSI / Schéma directeur.</t>
  </si>
  <si>
    <t xml:space="preserve">Absence de direction claire pour la DSI sans objectifs formalisés.</t>
  </si>
  <si>
    <t xml:space="preserve">Absence de pilotage stratégique de la DSI.</t>
  </si>
  <si>
    <t xml:space="preserve">Établir des seuils de tolérance déclenchant automatiquement des révisions budgétaires en cas d'écarts importants.</t>
  </si>
  <si>
    <t xml:space="preserve">Liste des objectifs annuels de la DSI.</t>
  </si>
  <si>
    <t xml:space="preserve">Formaliser un plan stratégique IT aligné sur les objectifs de l'entreprise avec révision annuelle.</t>
  </si>
  <si>
    <t xml:space="preserve">Déclinaison des objectifs en actions concrètes pour chaque entité</t>
  </si>
  <si>
    <t xml:space="preserve">Les objectifs stratégiques sont-ils déclinés en actions concrètes pour chaque entité ?</t>
  </si>
  <si>
    <t xml:space="preserve">Feuilles de route par équipe ou domaine.</t>
  </si>
  <si>
    <t xml:space="preserve">Manque de mise en œuvre concrète des objectifs stratégiques.</t>
  </si>
  <si>
    <t xml:space="preserve">Échec dans la mise en œuvre des priorités IT.</t>
  </si>
  <si>
    <t xml:space="preserve">Établir une charte détaillant la mission, vision et valeurs de la DSI avec validation par la direction générale.</t>
  </si>
  <si>
    <t xml:space="preserve">Objectifs individuels ou d'équipe liés aux objectifs DSI.</t>
  </si>
  <si>
    <t xml:space="preserve">Créer un plan d'action opérationnel par département IT avec KPIs spécifiques et responsables désignés.</t>
  </si>
  <si>
    <t xml:space="preserve">Alignement des objectifs avec la stratégie globale de l'entreprise</t>
  </si>
  <si>
    <t xml:space="preserve">Les objectifs de la DSI sont-ils alignés avec la stratégie globale de l'entreprise ?</t>
  </si>
  <si>
    <t xml:space="preserve">Déconnexion des objectifs IT avec la vision de l’entreprise.</t>
  </si>
  <si>
    <t xml:space="preserve">Déconnexion des projets IT avec les besoins de l’entreprise.</t>
  </si>
  <si>
    <t xml:space="preserve">Mettre en place un processus de cascade des objectifs stratégiques jusqu'aux objectifs individuels.</t>
  </si>
  <si>
    <t xml:space="preserve">Document d'alignement stratégique IT/métier (si existant) ou Plan stratégique DSI.</t>
  </si>
  <si>
    <t xml:space="preserve">Développer une matrice de contribution des initiatives IT aux axes stratégiques de l'entreprise.</t>
  </si>
  <si>
    <t xml:space="preserve">Suivi régulier de la progression vers les objectifs</t>
  </si>
  <si>
    <t xml:space="preserve">Un suivi régulier de la progression vers les objectifs est-il effectué ?</t>
  </si>
  <si>
    <t xml:space="preserve">Tableaux de bord de suivi des objectifs DSI.</t>
  </si>
  <si>
    <t xml:space="preserve">Échec dans l’atteinte des objectifs sans suivi régulier.</t>
  </si>
  <si>
    <t xml:space="preserve">Établir un processus de validation croisée des projets IT avec les responsables de la stratégie d'entreprise.</t>
  </si>
  <si>
    <t xml:space="preserve">Comptes rendus de réunions de suivi des objectifs/projets.</t>
  </si>
  <si>
    <t xml:space="preserve">Implémenter un système de suivi mensuel des KPIs avec alertes en cas de déviation significative.</t>
  </si>
  <si>
    <t xml:space="preserve">Adaptabilité des objectifs en fonction des changements organisationnels</t>
  </si>
  <si>
    <t xml:space="preserve">Les objectifs sont-ils adaptés en fonction des changements organisationnels ?</t>
  </si>
  <si>
    <t xml:space="preserve">Comptes rendus de réunions de revue des objectifs.</t>
  </si>
  <si>
    <t xml:space="preserve">Inflexibilité des objectifs face aux évolutions organisationnelles.</t>
  </si>
  <si>
    <t xml:space="preserve">Incapacité à s’adapter aux changements organisationnels.</t>
  </si>
  <si>
    <t xml:space="preserve">Organiser des revues trimestrielles d'alignement stratégique avec ajustements des plans d'action si nécessaire.</t>
  </si>
  <si>
    <t xml:space="preserve">Versions mises à jour du plan stratégique ou des objectifs DSI.</t>
  </si>
  <si>
    <t xml:space="preserve">Mettre en place un processus de révision agile des objectifs face aux évolutions du contexte business.</t>
  </si>
  <si>
    <t xml:space="preserve">Vérifier l’existence d’un comité informatique regroupant les 
différentes directions de l’organisation ; </t>
  </si>
  <si>
    <t xml:space="preserve">Existence d'un tableau de bord complet et à jour</t>
  </si>
  <si>
    <t xml:space="preserve">Existe-t-il un tableau de bord complet et à jour pour la DSI ?</t>
  </si>
  <si>
    <t xml:space="preserve">Le tableau de bord de la DSI lui-même.</t>
  </si>
  <si>
    <t xml:space="preserve">Manque de visibilité sur les performances sans tableau de bord.</t>
  </si>
  <si>
    <t xml:space="preserve">Manque de pilotage des performances IT.</t>
  </si>
  <si>
    <t xml:space="preserve">Établir un comité de pilotage stratégique capable de redéfinir les priorités en cas de changement majeur.</t>
  </si>
  <si>
    <t xml:space="preserve">Rapport de performance périodique de la DSI.</t>
  </si>
  <si>
    <t xml:space="preserve">Développer un tableau de bord multi-niveaux adressant aspects financiers, opérationnels, utilisateurs et innovation.</t>
  </si>
  <si>
    <t xml:space="preserve">Inclusion de indicateurs opérationnels et financiers</t>
  </si>
  <si>
    <t xml:space="preserve">Le tableau de bord inclut-il des indicateurs opérationnels et financiers ?</t>
  </si>
  <si>
    <t xml:space="preserve">Document du tableau de bord DSI actuel montrant tous les indicateurs suivis</t>
  </si>
  <si>
    <t xml:space="preserve">Suivi incomplet sans indicateurs opérationnels et financiers.</t>
  </si>
  <si>
    <t xml:space="preserve">Incapacité à évaluer l’efficacité des services IT.</t>
  </si>
  <si>
    <t xml:space="preserve">Mettre en place un processus d'actualisation automatisée des indicateurs avec alertes sur les déviations significatives.</t>
  </si>
  <si>
    <t xml:space="preserve">Rapport financier IT avec les KPIs opérationnels intégrés</t>
  </si>
  <si>
    <t xml:space="preserve">Intégrer des indicateurs de performance des systèmes, de coûts unitaires et de satisfaction utilisateur.</t>
  </si>
  <si>
    <t xml:space="preserve">Utilisation d'un cadre de référence comme le Balanced Scorecard (BSC)</t>
  </si>
  <si>
    <t xml:space="preserve">Un cadre de référence comme le Balanced Scorecard (BSC) est-il utilisé ?</t>
  </si>
  <si>
    <t xml:space="preserve">Documentation de la méthodologie BSC ou autre cadre de référence adoptée</t>
  </si>
  <si>
    <t xml:space="preserve">Mesure désalignée sans cadre de référence structuré.</t>
  </si>
  <si>
    <t xml:space="preserve">Mesures inefficaces compromettant les objectifs.</t>
  </si>
  <si>
    <t xml:space="preserve">Établir des métriques d'efficience opérationnelle et financière avec benchmarks internes et externes.</t>
  </si>
  <si>
    <t xml:space="preserve">Manuel de procédures d'élaboration du tableau de bord</t>
  </si>
  <si>
    <t xml:space="preserve">Adopter une approche BSC structurée autour des quatre perspectives: financière, client, processus internes, apprentissage.</t>
  </si>
  <si>
    <t xml:space="preserve">Capacité à suivre la qualité des prestations informatiques</t>
  </si>
  <si>
    <t xml:space="preserve">Le tableau de bord permet-il de suivre la qualité des prestations informatiques ?</t>
  </si>
  <si>
    <t xml:space="preserve">Rapport de qualité de service (SLA/SLO) avec indicateurs et mesures</t>
  </si>
  <si>
    <t xml:space="preserve">Incapacité à évaluer la qualité des services informatiques.</t>
  </si>
  <si>
    <t xml:space="preserve">Services IT inadaptés aux besoins réels.</t>
  </si>
  <si>
    <t xml:space="preserve">Former les responsables IT aux principes du Balanced Scorecard pour une utilisation optimale du cadre.</t>
  </si>
  <si>
    <t xml:space="preserve">Historique des indicateurs de qualité sur les 12 derniers mois</t>
  </si>
  <si>
    <t xml:space="preserve">Implémenter des SLAs mesurables pour chaque service IT avec suivi automatisé des performances.</t>
  </si>
  <si>
    <t xml:space="preserve">Utilisation du tableau de bord pour prendre des décisions éclairées</t>
  </si>
  <si>
    <t xml:space="preserve">Le tableau de bord est-il utilisé pour prendre des décisions éclairées ?</t>
  </si>
  <si>
    <t xml:space="preserve">Procès-verbaux des réunions de direction mentionnant l'utilisation du tableau de bord</t>
  </si>
  <si>
    <t xml:space="preserve">Décisions mal informées par manque d’exploitation du tableau de bord.</t>
  </si>
  <si>
    <t xml:space="preserve">Mauvais choix stratégiques ou opérationnels.</t>
  </si>
  <si>
    <t xml:space="preserve">Mettre en place des enquêtes régulières de satisfaction utilisateur avec analyse des tendances.</t>
  </si>
  <si>
    <t xml:space="preserve">Exemples de décisions prises sur la base des indicateurs du tableau de bord</t>
  </si>
  <si>
    <t xml:space="preserve">Organiser des revues mensuelles des indicateurs clés avec prise de décision basée sur les données.</t>
  </si>
  <si>
    <t xml:space="preserve">Évaluer la pertinence des indicateurs de qualité et de 
performance ainsi que les moyens et outils de mesure ; </t>
  </si>
  <si>
    <t xml:space="preserve">Relevance des indicateurs par rapport aux objectifs stratégiques</t>
  </si>
  <si>
    <t xml:space="preserve">Les indicateurs utilisés sont-ils pertinents par rapport aux objectifs stratégiques ?</t>
  </si>
  <si>
    <t xml:space="preserve">Plan stratégique IT avec les objectifs formalisés</t>
  </si>
  <si>
    <t xml:space="preserve">Indicateurs non pertinents compromettant le suivi stratégique.</t>
  </si>
  <si>
    <t xml:space="preserve">Suivi stratégique inefficace.</t>
  </si>
  <si>
    <t xml:space="preserve">Établir un lien formel entre les résultats du tableau de bord et les actions d'amélioration à mettre en place.</t>
  </si>
  <si>
    <t xml:space="preserve">Document de mapping entre les indicateurs du tableau de bord et les objectifs stratégiques</t>
  </si>
  <si>
    <t xml:space="preserve">Aligner chaque indicateur sur un ou plusieurs objectifs stratégiques avec matrice de contribution.</t>
  </si>
  <si>
    <t xml:space="preserve">Utilisation d'outils de mesure efficaces pour suivre les performances</t>
  </si>
  <si>
    <t xml:space="preserve">Des outils de mesure efficaces sont-ils utilisés pour suivre les performances ?</t>
  </si>
  <si>
    <t xml:space="preserve">Documentation technique des outils de collecte et d'analyse des données</t>
  </si>
  <si>
    <t xml:space="preserve">Mesures inefficaces entravant le suivi des performances.</t>
  </si>
  <si>
    <t xml:space="preserve">Incapacité à optimiser les performances IT.</t>
  </si>
  <si>
    <t xml:space="preserve">Réviser périodiquement la pertinence des indicateurs face à l'évolution des priorités business.</t>
  </si>
  <si>
    <t xml:space="preserve">Procédures d'extraction et de traitement des données pour le tableau de bord</t>
  </si>
  <si>
    <t xml:space="preserve">Automatiser la collecte des données de performance pour garantir fiabilité et régularité des mesures.</t>
  </si>
  <si>
    <t xml:space="preserve">Capacité à ajuster les indicateurs en fonction des résultats</t>
  </si>
  <si>
    <t xml:space="preserve">Les indicateurs peuvent-ils être ajustés en fonction des résultats obtenus ?</t>
  </si>
  <si>
    <t xml:space="preserve">Procédure de révision périodique des indicateurs</t>
  </si>
  <si>
    <t xml:space="preserve">Indicateurs figés ne reflétant pas les évolutions des besoins.</t>
  </si>
  <si>
    <t xml:space="preserve">Indicateurs inadaptés aux besoins actuels.</t>
  </si>
  <si>
    <t xml:space="preserve">Investir dans des outils analytiques permettant d'explorer les données et d'identifier les corrélations significatives.</t>
  </si>
  <si>
    <t xml:space="preserve">Historique des modifications apportées aux indicateurs avec justifications</t>
  </si>
  <si>
    <t xml:space="preserve">Établir un processus de révision annuelle des indicateurs avec participation des parties prenantes clés.</t>
  </si>
  <si>
    <t xml:space="preserve">Intégration des indicateurs dans un système de gestion global</t>
  </si>
  <si>
    <t xml:space="preserve">Les indicateurs sont-ils intégrés dans un système de gestion global ?</t>
  </si>
  <si>
    <t xml:space="preserve">Schéma d'architecture du système d'information de gestion</t>
  </si>
  <si>
    <t xml:space="preserve">Fragmentation des données sans intégration dans un système global.</t>
  </si>
  <si>
    <t xml:space="preserve">Données non exploitables pour la prise de décision.</t>
  </si>
  <si>
    <t xml:space="preserve">Mettre en place un mécanisme permettant de tester de nouveaux indicateurs avant adoption définitive.</t>
  </si>
  <si>
    <t xml:space="preserve">Documentation d'intégration des indicateurs IT dans le système de reporting global</t>
  </si>
  <si>
    <t xml:space="preserve">Développer une vue consolidée des indicateurs IT dans le système de pilotage global de l'entreprise.</t>
  </si>
  <si>
    <t xml:space="preserve">Utilisation des données pour améliorer la qualité et la performance</t>
  </si>
  <si>
    <t xml:space="preserve">Les données collectées sont-elles utilisées pour améliorer la qualité et la performance ?</t>
  </si>
  <si>
    <t xml:space="preserve">Plans d'action basés sur l'analyse des indicateurs</t>
  </si>
  <si>
    <t xml:space="preserve">Stagnation de la qualité par non-exploitation des données.</t>
  </si>
  <si>
    <t xml:space="preserve">Absence d’amélioration des services IT.</t>
  </si>
  <si>
    <t xml:space="preserve">Aligner les cycles de reporting IT avec les cycles de gouvernance d'entreprise.</t>
  </si>
  <si>
    <t xml:space="preserve">Rapports de suivi des améliorations mises en œuvre</t>
  </si>
  <si>
    <t xml:space="preserve">Implémenter un processus d'analyse des tendances identifiées pour développer des actions d'amélioration.</t>
  </si>
  <si>
    <t xml:space="preserve">Vérifier que la DSI tient un tableau de bord (idéalement de type 
BSC) permettant un suivi consolidé de la performance (opérationnelle 
et financière) et de la qualité des prestations informatiques ; </t>
  </si>
  <si>
    <t xml:space="preserve">Dernière version du tableau de bord DSI avec date de mise à jour</t>
  </si>
  <si>
    <t xml:space="preserve">Manque de pilotage sans tableau de bord actualisé.</t>
  </si>
  <si>
    <t xml:space="preserve">Manque de visibilité sur les performances globales.</t>
  </si>
  <si>
    <t xml:space="preserve">Établir un lien direct entre les indicateurs de performance et les objectifs des responsables IT.</t>
  </si>
  <si>
    <t xml:space="preserve">Calendrier de mise à jour et de diffusion du tableau de bord</t>
  </si>
  <si>
    <t xml:space="preserve">Développer un tableau de bord hiérarchisé avec synthèse exécutive et possibilité d'analyse détaillée.</t>
  </si>
  <si>
    <t xml:space="preserve">Inclusion d'indicateurs opérationnels et financiers</t>
  </si>
  <si>
    <t xml:space="preserve">Catalogue des indicateurs opérationnels et financiers utilisés</t>
  </si>
  <si>
    <t xml:space="preserve">Visibilité partielle sans indicateurs clés opérationnels et financiers.</t>
  </si>
  <si>
    <t xml:space="preserve">Suivi incomplet des performances IT.</t>
  </si>
  <si>
    <t xml:space="preserve">Mettre en place un processus d'actualisation en temps réel des indicateurs critiques.</t>
  </si>
  <si>
    <t xml:space="preserve">Méthodologie de calcul des indicateurs financiers IT</t>
  </si>
  <si>
    <t xml:space="preserve">Intégrer des métriques de disponibilité, performance, coûts et satisfaction utilisateur dans un même tableau de bord.</t>
  </si>
  <si>
    <t xml:space="preserve">Certificats de formation du personnel à la méthodologie BSC</t>
  </si>
  <si>
    <t xml:space="preserve">Suivi désordonné sans cadre structuré comme le BSC.</t>
  </si>
  <si>
    <t xml:space="preserve">Manque de cohérence dans le pilotage stratégique.</t>
  </si>
  <si>
    <t xml:space="preserve">Établir des ratios d'efficience opérationnelle et financière permettant la comparaison entre services.</t>
  </si>
  <si>
    <t xml:space="preserve">Modèle de BSC adapté à l'organisation</t>
  </si>
  <si>
    <t xml:space="preserve">Former les responsables IT à l'utilisation du BSC pour équilibrer les perspectives financières et non-financières.</t>
  </si>
  <si>
    <t xml:space="preserve">Enquêtes de satisfaction des utilisateurs liées aux indicateurs</t>
  </si>
  <si>
    <t xml:space="preserve">Adapter le modèle BSC aux spécificités des services informatiques avec des métriques pertinentes pour chaque dimension.</t>
  </si>
  <si>
    <t xml:space="preserve">Rapport de conformité des prestations par rapport aux engagements</t>
  </si>
  <si>
    <t xml:space="preserve">Mettre en place des SLAs mesurables avec indicateurs automatisés de conformité et temps de résolution.</t>
  </si>
  <si>
    <t xml:space="preserve">Organigramme du processus décisionnel intégrant l'utilisation du tableau de bord</t>
  </si>
  <si>
    <t xml:space="preserve">Décisions mal informées par un tableau de bord non exploité.</t>
  </si>
  <si>
    <t xml:space="preserve">Perte d’opportunités stratégiques dues à une mauvaise compréhension de la performance.</t>
  </si>
  <si>
    <t xml:space="preserve">Développer un système de mesure de l'expérience utilisateur avec feedback en temps réel.</t>
  </si>
  <si>
    <t xml:space="preserve">Étude de cas d'une décision stratégique basée sur les indicateurs</t>
  </si>
  <si>
    <t xml:space="preserve">Formaliser l'utilisation du tableau de bord dans les processus de prise de décision à tous les niveaux.</t>
  </si>
  <si>
    <t xml:space="preserve">Vérifier qu’il est systématiquement effectué un bilan après 
chaque projet et notamment un bilan économique (bilan rapproché 
des prévisions de l’étude préalable).</t>
  </si>
  <si>
    <t xml:space="preserve">Existence formelle d'un processus de bilan après projet</t>
  </si>
  <si>
    <t xml:space="preserve">Existe-t-il un processus formel de bilan après projet ?</t>
  </si>
  <si>
    <t xml:space="preserve">Template de bilan de fin de projet standardisé</t>
  </si>
  <si>
    <t xml:space="preserve">Absence d’amélioration continue sans bilan post-projet.</t>
  </si>
  <si>
    <t xml:space="preserve">Projets récurrents inefficaces et non optimisés.</t>
  </si>
  <si>
    <t xml:space="preserve">Établir un lien direct entre les indicateurs de performance et les plans d'amélioration continue.</t>
  </si>
  <si>
    <t xml:space="preserve">Procédure formalisée de clôture et bilan de projet</t>
  </si>
  <si>
    <t xml:space="preserve">Établir un modèle standardisé de bilan de projet incluant rétrospectives techniques et fonctionnelles.</t>
  </si>
  <si>
    <t xml:space="preserve">Inclusion d'un bilan économique comparatif avec les prévisions</t>
  </si>
  <si>
    <t xml:space="preserve">Le bilan inclut-il un comparatif économique avec les prévisions initiales ?</t>
  </si>
  <si>
    <t xml:space="preserve">Exemples de bilans financiers de projets récents avec comparaisons budget/réel</t>
  </si>
  <si>
    <t xml:space="preserve">Manque de visibilité sur les écarts financiers sans bilan économique.</t>
  </si>
  <si>
    <t xml:space="preserve">Décisions budgétaires faussées et perte de maîtrise des coûts.</t>
  </si>
  <si>
    <t xml:space="preserve">Formaliser un processus systématique d'évaluation post-projet applicable à tous les projets significatifs.</t>
  </si>
  <si>
    <t xml:space="preserve">Modèle d'analyse des écarts budgétaires utilisé pour les projets</t>
  </si>
  <si>
    <t xml:space="preserve">Développer un cadre d'analyse comparative entre coûts prévus et réels avec explication des écarts.</t>
  </si>
  <si>
    <t xml:space="preserve">Analyse des leçons apprises pour améliorer les futurs projets</t>
  </si>
  <si>
    <t xml:space="preserve">Les leçons apprises sont-elles analysées pour améliorer les futurs projets ?</t>
  </si>
  <si>
    <t xml:space="preserve">Base de données ou registre des leçons apprises</t>
  </si>
  <si>
    <t xml:space="preserve">Répétition des erreurs par non-analyse des leçons apprises.</t>
  </si>
  <si>
    <t xml:space="preserve">Reproduction systématique des mêmes erreurs dans les projets futurs.</t>
  </si>
  <si>
    <t xml:space="preserve">Mettre en place un processus de suivi des bénéfices réels post-implémentation sur 6-12 mois.</t>
  </si>
  <si>
    <t xml:space="preserve">Procédure d'intégration des leçons apprises dans la méthodologie de gestion de projet</t>
  </si>
  <si>
    <t xml:space="preserve">Créer une base de connaissances structurée des leçons apprises accessible à tous les chefs de projet.</t>
  </si>
  <si>
    <t xml:space="preserve">Communication claire des résultats aux parties prenantes</t>
  </si>
  <si>
    <t xml:space="preserve">Les résultats du bilan sont-ils clairement communiqués aux parties prenantes ?</t>
  </si>
  <si>
    <t xml:space="preserve">Plan de communication des résultats de projet</t>
  </si>
  <si>
    <t xml:space="preserve">Manque de transparence avec les parties prenantes.</t>
  </si>
  <si>
    <t xml:space="preserve">Défiance ou incompréhension des parties prenantes.</t>
  </si>
  <si>
    <t xml:space="preserve">Organiser des sessions formelles de partage d'expérience après chaque projet significatif.</t>
  </si>
  <si>
    <t xml:space="preserve">Exemples de communications (présentations, rapports) destinées aux parties prenantes</t>
  </si>
  <si>
    <t xml:space="preserve">Établir un processus de communication des résultats de projet aux parties prenantes avec format adapté à chaque audience.</t>
  </si>
  <si>
    <t xml:space="preserve">Utilisation des bilans pour ajuster les stratégies futures</t>
  </si>
  <si>
    <t xml:space="preserve">Les bilans sont-ils utilisés pour ajuster les stratégies futures ?</t>
  </si>
  <si>
    <t xml:space="preserve">Document de révision de la stratégie IT mentionnant les bilans de projets</t>
  </si>
  <si>
    <t xml:space="preserve">Stratégies futures inadaptées sans ajustements basés sur bilans.</t>
  </si>
  <si>
    <t xml:space="preserve">Orientation erronée des objectifs à moyen et long terme.</t>
  </si>
  <si>
    <t xml:space="preserve">Développer des formats synthétiques de présentation des bilans de projet pour la direction générale.</t>
  </si>
  <si>
    <t xml:space="preserve">Exemples d'ajustements stratégiques réalisés suite aux bilans de projets</t>
  </si>
  <si>
    <t xml:space="preserve">Intégrer systématiquement les leçons apprises dans les méthodologies et processus de gestion de projet.</t>
  </si>
  <si>
    <t xml:space="preserve">Organisation et structure de la DSI </t>
  </si>
  <si>
    <t xml:space="preserve">Vérifier l’existence d’un organigramme à jour de la DSI ; </t>
  </si>
  <si>
    <t xml:space="preserve">Existence d'un organigramme formel et mis à jour</t>
  </si>
  <si>
    <t xml:space="preserve">Existe-t-il un organigramme formel et mis à jour ?</t>
  </si>
  <si>
    <t xml:space="preserve">Organigramme officiel de la DSI avec date de dernière mise à jour</t>
  </si>
  <si>
    <t xml:space="preserve">Confusion organisationnelle sans organigramme actualisé.</t>
  </si>
  <si>
    <t xml:space="preserve">Difficulté à identifier les responsables et à coordonner les actions.</t>
  </si>
  <si>
    <t xml:space="preserve">Établir une révision périodique des pratiques de gestion de projet basée sur l'analyse des bilans réalisés.</t>
  </si>
  <si>
    <t xml:space="preserve">Procédure de mise à jour de l'organigramme</t>
  </si>
  <si>
    <t xml:space="preserve">Mettre à jour l'organigramme IT dans un format standardisé avec révision trimestrielle systématique.</t>
  </si>
  <si>
    <t xml:space="preserve">Clarté dans la définition des rôles et responsabilités</t>
  </si>
  <si>
    <t xml:space="preserve">Fiches de poste détaillées pour chaque fonction IT</t>
  </si>
  <si>
    <t xml:space="preserve">Chevauchement des rôles par manque de clarté dans les responsabilités.</t>
  </si>
  <si>
    <t xml:space="preserve">Conflits internes et inefficacité dans la répartition des tâches.</t>
  </si>
  <si>
    <t xml:space="preserve">Publier l'organigramme sur l'intranet avec informations de contact et domaines d'expertise de chaque équipe.</t>
  </si>
  <si>
    <t xml:space="preserve">Matrice RACI (Responsible, Accountable, Consulted, Informed) des processus IT</t>
  </si>
  <si>
    <t xml:space="preserve">Développer des descriptions de poste détaillées pour chaque fonction IT avec matrices de compétences associées.</t>
  </si>
  <si>
    <t xml:space="preserve">Alignement avec la structure organisationnelle globale</t>
  </si>
  <si>
    <t xml:space="preserve">L'organigramme est-il aligné avec la structure organisationnelle globale ?</t>
  </si>
  <si>
    <t xml:space="preserve">Organigramme général de l'entreprise montrant l'intégration de la DSI</t>
  </si>
  <si>
    <t xml:space="preserve">Incohérence avec la structure globale de l’entreprise.</t>
  </si>
  <si>
    <t xml:space="preserve">Risque de décalage entre l’IT et la direction générale.</t>
  </si>
  <si>
    <t xml:space="preserve">Établir des matrices RACI pour les processus IT critiques clarifiant les responsabilités de chaque rôle.</t>
  </si>
  <si>
    <t xml:space="preserve">Document de gouvernance décrivant les liens hiérarchiques et fonctionnels</t>
  </si>
  <si>
    <t xml:space="preserve">Assurer la cohérence entre l'organisation IT et la structure globale avec points de contact clairement identifiés.</t>
  </si>
  <si>
    <t xml:space="preserve">L'organigramme est-il accessible pour toutes les parties concernées ?</t>
  </si>
  <si>
    <t xml:space="preserve">Politique de communication interne concernant l'organigramme</t>
  </si>
  <si>
    <t xml:space="preserve">Manque d’accès à l’organigramme pour les parties concernées.</t>
  </si>
  <si>
    <t xml:space="preserve">Perte de repères pour les nouveaux arrivants et partenaires.</t>
  </si>
  <si>
    <t xml:space="preserve">Organiser des sessions régulières d'information sur l'organisation IT pour les directions métiers.</t>
  </si>
  <si>
    <t xml:space="preserve">Preuves de diffusion de l'organigramme (intranet, affichage, etc.)</t>
  </si>
  <si>
    <t xml:space="preserve">Diffuser l'organigramme dans un format accessible à tous les collaborateurs avec moteur de recherche par compétence.</t>
  </si>
  <si>
    <t xml:space="preserve">Révision régulière pour refléter les changements organisationnels</t>
  </si>
  <si>
    <t xml:space="preserve">L'organigramme est-il révisé régulièrement pour refléter les changements organisationnels ?</t>
  </si>
  <si>
    <t xml:space="preserve">Historique des versions de l'organigramme</t>
  </si>
  <si>
    <t xml:space="preserve">Organisation obsolète sans révision régulière.</t>
  </si>
  <si>
    <t xml:space="preserve">Persistance d’une organisation inadaptée au contexte actuel.</t>
  </si>
  <si>
    <t xml:space="preserve">Créer une version interactive de l'organigramme permettant d'identifier rapidement les responsables par domaine.</t>
  </si>
  <si>
    <t xml:space="preserve">Calendrier ou procédure de révision périodique de l'organigramme</t>
  </si>
  <si>
    <t xml:space="preserve">Établir un processus de révision obligatoire de l'organigramme suite aux réorganisations ou changements majeurs.</t>
  </si>
  <si>
    <t xml:space="preserve">Vérifier l’existence d’une définition de fonction et d’un partage 
clair des rôles et des responsabilités pour chaque poste figurant sur 
l’organigramme ;</t>
  </si>
  <si>
    <t xml:space="preserve">Couverture des aspects clés comme la veille technologique et la sécurité</t>
  </si>
  <si>
    <t xml:space="preserve">La veille technologique et la sécurité sont-elles bien couvertes ?</t>
  </si>
  <si>
    <t xml:space="preserve">Procédure formalisée de veille technologique</t>
  </si>
  <si>
    <t xml:space="preserve">Lacunes dans la prise en compte de la sécurité ou de la veille technologique.</t>
  </si>
  <si>
    <t xml:space="preserve">Manque d’innovation et retard dans l’adoption de nouvelles technologies.</t>
  </si>
  <si>
    <t xml:space="preserve">Mettre en place un système d'alerte signalant les informations organisationnelles obsolètes depuis plus de 6 mois.</t>
  </si>
  <si>
    <t xml:space="preserve">Politique de sécurité des systèmes d'information (PSSI)</t>
  </si>
  <si>
    <t xml:space="preserve">Créer une cellule de veille technologique formelle avec missions, processus et livrables clairement définis.</t>
  </si>
  <si>
    <t xml:space="preserve">Intégration de la fonction qualité et des méthodes</t>
  </si>
  <si>
    <t xml:space="preserve">La fonction qualité et les méthodes sont-elles intégrées dans les processus ?</t>
  </si>
  <si>
    <t xml:space="preserve">Manuel qualité ou référentiel méthodologique IT</t>
  </si>
  <si>
    <t xml:space="preserve">Absence de standards qualité compromettant les processus.</t>
  </si>
  <si>
    <t xml:space="preserve">Non-conformité aux exigences internes ou externes de qualité.</t>
  </si>
  <si>
    <t xml:space="preserve">Établir une équipe dédiée à la sécurité avec responsabilités transverses et reporting direct à la direction.</t>
  </si>
  <si>
    <t xml:space="preserve">Cartographie des processus incluant les aspects qualité</t>
  </si>
  <si>
    <t xml:space="preserve">Formaliser la fonction qualité avec méthodologies standardisées et processus d'amélioration continue.</t>
  </si>
  <si>
    <t xml:space="preserve">Gestion efficace des ressources humaines</t>
  </si>
  <si>
    <t xml:space="preserve">Les ressources humaines sont-elles gérées efficacement ?</t>
  </si>
  <si>
    <t xml:space="preserve">Plan de gestion des compétences IT</t>
  </si>
  <si>
    <t xml:space="preserve">Gaspillage ou sous-utilisation des ressources humaines.</t>
  </si>
  <si>
    <t xml:space="preserve">Non-valorisation des compétences internes disponibles.</t>
  </si>
  <si>
    <t xml:space="preserve">Mettre en place une équipe méthodes responsable de l'uniformisation des pratiques et de la documentation.</t>
  </si>
  <si>
    <t xml:space="preserve">Tableau de bord RH spécifique à la DSI</t>
  </si>
  <si>
    <t xml:space="preserve">Établir une fonction RH dédiée à l'IT avec plans de développement et gestion des compétences critiques.</t>
  </si>
  <si>
    <t xml:space="preserve">Contrôle de gestion et suivi des performances</t>
  </si>
  <si>
    <t xml:space="preserve">Le contrôle de gestion et le suivi des performances sont-ils bien mis en place ?</t>
  </si>
  <si>
    <t xml:space="preserve">Procédures de contrôle de gestion IT</t>
  </si>
  <si>
    <t xml:space="preserve">Performances sous-optimales sans suivi rigoureux.</t>
  </si>
  <si>
    <t xml:space="preserve">Manque de réactivité dans l’atteinte des objectifs.</t>
  </si>
  <si>
    <t xml:space="preserve">Développer un programme de fidélisation des talents avec parcours d'évolution clairement définis.</t>
  </si>
  <si>
    <t xml:space="preserve">Rapports de suivi budgétaire et de performance</t>
  </si>
  <si>
    <t xml:space="preserve">Implémenter un système de reporting analytique permettant d'identifier les tendances et opportunités d'amélioration.</t>
  </si>
  <si>
    <t xml:space="preserve">Support utilisateur efficace et administration des serveurs bien organisée</t>
  </si>
  <si>
    <t xml:space="preserve">Le support utilisateur est-il efficace et l'administration des serveurs bien organisée ?</t>
  </si>
  <si>
    <t xml:space="preserve">Procédures d'exploitation du support utilisateur</t>
  </si>
  <si>
    <t xml:space="preserve">Insatisfaction des utilisateurs par un support inefficace.</t>
  </si>
  <si>
    <t xml:space="preserve">Détérioration de l’image du service informatique auprès des utilisateurs.</t>
  </si>
  <si>
    <t xml:space="preserve">Mettre en place un processus d'analyse prédictive des performances pour anticiper les problèmes potentiels.</t>
  </si>
  <si>
    <t xml:space="preserve">Documentation d'administration des serveurs et infrastructure</t>
  </si>
  <si>
    <t xml:space="preserve">Établir un service desk structuré avec processus ITIL de gestion des incidents et des problèmes.</t>
  </si>
  <si>
    <t xml:space="preserve">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 ;</t>
  </si>
  <si>
    <t xml:space="preserve">Couverture de la veille technologique pour rester à jour</t>
  </si>
  <si>
    <t xml:space="preserve">Une veille technologique est-elle mise en place pour rester à jour sur les innovations et tendances ?</t>
  </si>
  <si>
    <t xml:space="preserve">Rapport ou newsletter de veille technologique</t>
  </si>
  <si>
    <t xml:space="preserve">Retard technologique par absence de veille active.</t>
  </si>
  <si>
    <t xml:space="preserve">Incapacité à anticiper ou à suivre les évolutions technologiques.</t>
  </si>
  <si>
    <t xml:space="preserve">Mettre en place une équipe d'administration serveurs avec procédures standardisées et monitoring proactif.</t>
  </si>
  <si>
    <t xml:space="preserve">Plan d'action issu de la veille technologique</t>
  </si>
  <si>
    <t xml:space="preserve">Formaliser un processus de veille avec sources, méthodologie d'analyse et diffusion des insights pertinents.</t>
  </si>
  <si>
    <t xml:space="preserve">Mise en place de mesures de sécurité informatique robustes</t>
  </si>
  <si>
    <t xml:space="preserve">Des mesures de sécurité informatique robustes sont-elles en place pour protéger les données et les systèmes ?</t>
  </si>
  <si>
    <t xml:space="preserve">Plan de sécurité informatique</t>
  </si>
  <si>
    <t xml:space="preserve">Vulnérabilités informatiques dues à des mesures de sécurité faibles.</t>
  </si>
  <si>
    <t xml:space="preserve">Exposition accrue aux cyberattaques ou incidents de sécurité.</t>
  </si>
  <si>
    <t xml:space="preserve">Établir un comité d'innovation évaluant régulièrement les technologies émergentes pour adoption potentielle.</t>
  </si>
  <si>
    <t xml:space="preserve">Résultats des derniers tests/audits de sécurité</t>
  </si>
  <si>
    <t xml:space="preserve">Implémenter un système de gestion de la sécurité de l'information (SMSI) conforme aux normes ISO 27001.</t>
  </si>
  <si>
    <t xml:space="preserve">Existence d'une fonction qualité et méthodes bien définie</t>
  </si>
  <si>
    <t xml:space="preserve">Une fonction qualité avec des méthodes bien définies existe-t-elle pour assurer la qualité des processus ?</t>
  </si>
  <si>
    <t xml:space="preserve">Organigramme de la fonction qualité IT</t>
  </si>
  <si>
    <t xml:space="preserve">Processus inefficaces sans fonction qualité clairement définie.</t>
  </si>
  <si>
    <t xml:space="preserve">Manque de fiabilité dans les processus clés.</t>
  </si>
  <si>
    <t xml:space="preserve">Établir un programme de sensibilisation à la sécurité avec formations régulières pour tous les collaborateurs.</t>
  </si>
  <si>
    <t xml:space="preserve">Référentiel méthodologique appliqué (ITIL, COBIT, etc.)</t>
  </si>
  <si>
    <t xml:space="preserve">Créer une cellule qualité IT avec métriques et processus d'assurance qualité pour tous les livrables.</t>
  </si>
  <si>
    <t xml:space="preserve">Les ressources humaines sont-elles gérées efficacement pour soutenir les objectifs stratégiques ?</t>
  </si>
  <si>
    <t xml:space="preserve">Plan de développement des compétences IT</t>
  </si>
  <si>
    <t xml:space="preserve">Turnover élevé par une gestion RH inadéquate.</t>
  </si>
  <si>
    <t xml:space="preserve">Climat social dégradé et perte de savoir-faire.</t>
  </si>
  <si>
    <t xml:space="preserve">Développer un référentiel méthodologique unifié accessible à toutes les équipes de développement.</t>
  </si>
  <si>
    <t xml:space="preserve">Indicateurs de performance RH (turnover, satisfaction, etc.)</t>
  </si>
  <si>
    <t xml:space="preserve">Mettre en place un plan de gestion prévisionnelle des emplois et compétences (GPEC) spécifique à l'IT.</t>
  </si>
  <si>
    <t xml:space="preserve">Disponibilité d'un support utilisateur de proximité et à distance</t>
  </si>
  <si>
    <t xml:space="preserve">Un support utilisateur de proximité et à distance est-il disponible pour répondre aux besoins des utilisateurs ?</t>
  </si>
  <si>
    <t xml:space="preserve">Temps de réponse excessifs pour le support utilisateur.</t>
  </si>
  <si>
    <t xml:space="preserve">Mécontentement des utilisateurs et baisse de la productivité.</t>
  </si>
  <si>
    <t xml:space="preserve">Établir un processus structuré d'évaluation des performances avec plans de développement individualisés.</t>
  </si>
  <si>
    <t xml:space="preserve">Implémenter un système de ticketing multi-canal avec SLAs différenciés selon la criticité des demandes.</t>
  </si>
  <si>
    <t xml:space="preserve">Évaluer l’adéquation des effectifs aux besoins et aux enjeux ; </t>
  </si>
  <si>
    <t xml:space="preserve">Alignement des effectifs avec les objectifs stratégiques</t>
  </si>
  <si>
    <t xml:space="preserve">Les effectifs sont-ils alignés avec les objectifs stratégiques de l'entreprise ?</t>
  </si>
  <si>
    <t xml:space="preserve">Plan stratégique RH IT aligné sur la stratégie d'entreprise</t>
  </si>
  <si>
    <t xml:space="preserve">Surcharge ou sous-effectif par mauvais alignement des effectifs.</t>
  </si>
  <si>
    <t xml:space="preserve">Déséquilibre entre charge de travail et capacité humaine.</t>
  </si>
  <si>
    <t xml:space="preserve">Développer un portail self-service avec base de connaissances et outils de diagnostic automatisés.</t>
  </si>
  <si>
    <t xml:space="preserve">Document d'analyse des besoins en ressources par rapport aux objectifs</t>
  </si>
  <si>
    <t xml:space="preserve">Réaliser une analyse des compétences requises pour soutenir les initiatives stratégiques à 3-5 ans.</t>
  </si>
  <si>
    <t xml:space="preserve">Suffisance numérique pour répondre aux besoins opérationnels</t>
  </si>
  <si>
    <t xml:space="preserve">Existe-t-il une suffisance numérique pour répondre aux besoins opérationnels ?</t>
  </si>
  <si>
    <t xml:space="preserve">Étude de charge et dimensionnement des équipes</t>
  </si>
  <si>
    <t xml:space="preserve">Manque de ressources pour répondre aux besoins opérationnels.</t>
  </si>
  <si>
    <t xml:space="preserve">Incapacité à mener les projets dans les délais ou avec qualité.</t>
  </si>
  <si>
    <t xml:space="preserve">Établir un plan d'effectifs prévisionnel aligné sur les roadmaps technologiques et projets stratégiques.</t>
  </si>
  <si>
    <t xml:space="preserve">Rapports d'activité montrant l'adéquation ressources/charge</t>
  </si>
  <si>
    <t xml:space="preserve">Conduire une analyse de charge régulière pour identifier les goulots d'étranglement et besoins en ressources.</t>
  </si>
  <si>
    <t xml:space="preserve">Les effectifs sont-ils flexibles pour s'adapter aux changements organisationnels ?</t>
  </si>
  <si>
    <t xml:space="preserve">Plan de gestion des compétences et polyvalence</t>
  </si>
  <si>
    <t xml:space="preserve">Rigidité organisationnelle face aux changements.</t>
  </si>
  <si>
    <t xml:space="preserve">Mettre en place un modèle de staffing flexible combinant équipes internes, consultants et ressources externes.</t>
  </si>
  <si>
    <t xml:space="preserve">Politique de mobilité interne et externe</t>
  </si>
  <si>
    <t xml:space="preserve">Développer un modèle organisationnel adaptable avec équipes virtuelles et communautés de pratique.</t>
  </si>
  <si>
    <t xml:space="preserve">Équilibre entre les compétences techniques et non techniques</t>
  </si>
  <si>
    <t xml:space="preserve">Y a-t-il un équilibre entre les compétences techniques et non techniques au sein des effectifs ?</t>
  </si>
  <si>
    <t xml:space="preserve">Cartographie des compétences de l'équipe IT</t>
  </si>
  <si>
    <t xml:space="preserve">Déséquilibre des compétences compromettant les projets.</t>
  </si>
  <si>
    <t xml:space="preserve">Difficulté à constituer des équipes projet efficaces.</t>
  </si>
  <si>
    <t xml:space="preserve">Établir des principes de mobilité interne facilitant la réaffectation des ressources selon les priorités.</t>
  </si>
  <si>
    <t xml:space="preserve">Plan de formation incluant les compétences techniques et soft skills</t>
  </si>
  <si>
    <t xml:space="preserve">Cartographier les compétences techniques et non techniques pour identifier les forces et lacunes.</t>
  </si>
  <si>
    <t xml:space="preserve">Planification de la croissance ou de la réduction des effectifs</t>
  </si>
  <si>
    <t xml:space="preserve">Une planification est-elle en place pour la croissance ou la réduction des effectifs en fonction des besoins stratégiques ?</t>
  </si>
  <si>
    <t xml:space="preserve">Plan de gestion prévisionnelle des emplois et compétences (GPEC) IT</t>
  </si>
  <si>
    <t xml:space="preserve">Effectifs mal dimensionnés pour les besoins futurs.</t>
  </si>
  <si>
    <t xml:space="preserve">Pénurie ou excès de compétences dans les projets futurs.</t>
  </si>
  <si>
    <t xml:space="preserve">Mettre en place un programme de développement des compétences transversales (gestion de projet, communication).</t>
  </si>
  <si>
    <t xml:space="preserve">Document de planification des ressources humaines aligné sur le plan stratégique</t>
  </si>
  <si>
    <t xml:space="preserve">Évaluer l’adéquation des qualifications du personnel avec les 
fonctions qu’ils occupent ; </t>
  </si>
  <si>
    <t xml:space="preserve">Correspondance entre les qualifications et les responsabilités</t>
  </si>
  <si>
    <t xml:space="preserve">Existe-t-il une correspondance claire entre les qualifications requises et les responsabilités assignées à chaque poste ?</t>
  </si>
  <si>
    <t xml:space="preserve">Référentiel des compétences et qualifications par poste</t>
  </si>
  <si>
    <t xml:space="preserve">Inadéquation des profils avec les tâches assignées.</t>
  </si>
  <si>
    <t xml:space="preserve">Difficulté d’atteinte des objectifs opérationnels.</t>
  </si>
  <si>
    <t xml:space="preserve">Matrice de correspondance entre postes, qualifications et responsabilités</t>
  </si>
  <si>
    <t xml:space="preserve">Niveau de compétence technique requis pour chaque poste</t>
  </si>
  <si>
    <t xml:space="preserve">Un niveau de compétence technique spécifique est-il requis pour chaque poste ?</t>
  </si>
  <si>
    <t xml:space="preserve">Référentiel des compétences techniques par poste</t>
  </si>
  <si>
    <t xml:space="preserve">Obsolescence des compétences sans formation adéquate.</t>
  </si>
  <si>
    <t xml:space="preserve">Incapacité à suivre les évolutions techniques et réglementaires.</t>
  </si>
  <si>
    <t xml:space="preserve">Grille d'évaluation des compétences techniques utilisée lors des recrutements</t>
  </si>
  <si>
    <t xml:space="preserve">Formation continue pour maintenir les compétences à jour</t>
  </si>
  <si>
    <t xml:space="preserve">Une formation continue est-elle offerte pour maintenir les compétences à jour ?</t>
  </si>
  <si>
    <t xml:space="preserve">Plan de formation annuel de la DSI</t>
  </si>
  <si>
    <t xml:space="preserve">Stagnation des compétences par absence de formation continue.</t>
  </si>
  <si>
    <t xml:space="preserve">Perte de compétitivité et démotivation du personnel.</t>
  </si>
  <si>
    <t xml:space="preserve">Suivi des formations réalisées et des certifications obtenues</t>
  </si>
  <si>
    <t xml:space="preserve">Évaluation régulière des performances pour identifier les besoins de formation</t>
  </si>
  <si>
    <t xml:space="preserve">Une évaluation régulière des performances est-elle effectuée pour identifier les besoins de formation ?</t>
  </si>
  <si>
    <t xml:space="preserve">Modèle d'évaluation des performances utilisé</t>
  </si>
  <si>
    <t xml:space="preserve">Besoins de formation non identifiés sans évaluation régulière.</t>
  </si>
  <si>
    <t xml:space="preserve">Investissements de formation mal ciblés ou inefficaces.</t>
  </si>
  <si>
    <t xml:space="preserve">Synthèse des besoins de formation identifiés lors des évaluations</t>
  </si>
  <si>
    <t xml:space="preserve">Plan de développement professionnel pour les employés</t>
  </si>
  <si>
    <t xml:space="preserve">Un plan de développement professionnel est-il mis en place pour les employés ?</t>
  </si>
  <si>
    <t xml:space="preserve">Plans de développement individuels des collaborateurs</t>
  </si>
  <si>
    <t xml:space="preserve">Manque de motivation sans plan de développement professionnel.</t>
  </si>
  <si>
    <t xml:space="preserve">Absence de montée en compétence sur les sujets critiques.</t>
  </si>
  <si>
    <t xml:space="preserve">Procédure de gestion des parcours professionnels</t>
  </si>
  <si>
    <t xml:space="preserve">Vérifier que l’expression des besoins, les spécifications 
fonctionnelles et la recette des applications sont effectuées par les 
utilisateurs ; </t>
  </si>
  <si>
    <t xml:space="preserve">Implication active des utilisateurs dans la définition des besoins</t>
  </si>
  <si>
    <t xml:space="preserve">Les utilisateurs sont-ils impliqués activement dans la définition des besoins ?</t>
  </si>
  <si>
    <t xml:space="preserve">Exemples de spécifications fonctionnelles rédigées ou validées par les utilisateurs</t>
  </si>
  <si>
    <t xml:space="preserve">Besoins mal définis par manque d’implication des utilisateurs.</t>
  </si>
  <si>
    <t xml:space="preserve">Non-prise en compte des aspirations individuelles.</t>
  </si>
  <si>
    <t xml:space="preserve">Guide ou template pour l'expression des besoins fonctionnels</t>
  </si>
  <si>
    <t xml:space="preserve">Capacité des utilisateurs à spécifier clairement les exigences fonctionnelles</t>
  </si>
  <si>
    <t xml:space="preserve">Les utilisateurs sont-ils capables de spécifier clairement les exigences fonctionnelles ?</t>
  </si>
  <si>
    <t xml:space="preserve">Exigences floues entraînant des solutions inadaptées.</t>
  </si>
  <si>
    <t xml:space="preserve">Solutions non conformes aux attentes métiers.</t>
  </si>
  <si>
    <t xml:space="preserve">Processus de validation des applications par les utilisateurs</t>
  </si>
  <si>
    <t xml:space="preserve">Un processus de validation des applications par les utilisateurs est-il en place ?</t>
  </si>
  <si>
    <t xml:space="preserve">Procédure de recette utilisateur</t>
  </si>
  <si>
    <t xml:space="preserve">Mise en production de solutions non validées par les utilisateurs.</t>
  </si>
  <si>
    <t xml:space="preserve">Dérive fonctionnelle et insatisfaction des utilisateurs finaux.</t>
  </si>
  <si>
    <t xml:space="preserve">Exemples de PV de recette signés par les utilisateurs</t>
  </si>
  <si>
    <t xml:space="preserve">Collaboration efficace entre les utilisateurs et les équipes techniques</t>
  </si>
  <si>
    <t xml:space="preserve">Existe-t-il une collaboration efficace entre les utilisateurs et les équipes techniques ?</t>
  </si>
  <si>
    <t xml:space="preserve">Charte de collaboration IT-métiers</t>
  </si>
  <si>
    <t xml:space="preserve">Retards ou conflits par une collaboration inefficace.</t>
  </si>
  <si>
    <t xml:space="preserve">Acceptation de livrables inadaptés.</t>
  </si>
  <si>
    <t xml:space="preserve">Comptes-rendus des comités utilisateurs ou groupes de travail conjoints</t>
  </si>
  <si>
    <t xml:space="preserve">Suivi des retours d'expérience pour améliorer les futurs développements</t>
  </si>
  <si>
    <t xml:space="preserve">Les retours d'expérience sont-ils suivis pour améliorer les futurs développements ?</t>
  </si>
  <si>
    <t xml:space="preserve">Base de données des retours d'expérience utilisateurs</t>
  </si>
  <si>
    <t xml:space="preserve">Solutions perfectibles sans retours d’expérience exploités.</t>
  </si>
  <si>
    <t xml:space="preserve">Retards importants et dégradation de la qualité des livrables.</t>
  </si>
  <si>
    <t xml:space="preserve">Procédure d'intégration des retours d'expérience dans les nouveaux projets</t>
  </si>
  <si>
    <t xml:space="preserve">Vérifier que les tâches, les locaux et les environnements relatifs 
aux fonctions études et exploitation, qu’ils soient assurés ou fournis 
en interne, ou externalisés, sont séparés ; </t>
  </si>
  <si>
    <t xml:space="preserve">Séparation physique ou logique des environnements</t>
  </si>
  <si>
    <t xml:space="preserve">Les environnements sont-ils séparés physiquement ou logiquement pour éviter les interférences ?</t>
  </si>
  <si>
    <t xml:space="preserve">chéma d'architecture des différents environnements (développement, test, production)</t>
  </si>
  <si>
    <t xml:space="preserve">Contamination des environnements par manque de séparation.</t>
  </si>
  <si>
    <t xml:space="preserve">Perte d’opportunités d’amélioration ou d’innovation.</t>
  </si>
  <si>
    <t xml:space="preserve">Contrôle d'accès et sécurité pour les environnements sensibles</t>
  </si>
  <si>
    <t xml:space="preserve">Des contrôles d'accès et des mesures de sécurité sont-ils en place pour protéger les environnements sensibles ?</t>
  </si>
  <si>
    <t xml:space="preserve">Matrice des droits d'accès par environnement</t>
  </si>
  <si>
    <t xml:space="preserve">Accès non autorisés aux environnements sensibles.</t>
  </si>
  <si>
    <t xml:space="preserve">Propagation d’erreurs ou de données entre environnements.</t>
  </si>
  <si>
    <t xml:space="preserve">Procédures de sécurité spécifiques aux environnements sensibles</t>
  </si>
  <si>
    <t xml:space="preserve">Processus de gestion des changements pour éviter les interférences</t>
  </si>
  <si>
    <t xml:space="preserve">Un processus de gestion des changements est-il mis en œuvre pour éviter les interférences entre les environnements ?</t>
  </si>
  <si>
    <t xml:space="preserve">Procédure de gestion des changements (change management)</t>
  </si>
  <si>
    <t xml:space="preserve">Erreurs de production par une gestion des changements inadéquate.</t>
  </si>
  <si>
    <t xml:space="preserve">Compromission de données sensibles ou critiques.</t>
  </si>
  <si>
    <t xml:space="preserve">Historique des demandes de changement avec leur impact sur les environnements</t>
  </si>
  <si>
    <t xml:space="preserve">Utilisation de méthodes de travail standardisées dans chaque environnement</t>
  </si>
  <si>
    <t xml:space="preserve">Des méthodes de travail standardisées sont-elles utilisées dans chaque environnement ?</t>
  </si>
  <si>
    <t xml:space="preserve">Documentation des méthodes de travail par environnement</t>
  </si>
  <si>
    <t xml:space="preserve">Incohérences opérationnelles sans méthodes standardisées.</t>
  </si>
  <si>
    <t xml:space="preserve">Perturbation des services en production.</t>
  </si>
  <si>
    <t xml:space="preserve">Référentiel des bonnes pratiques par environnement</t>
  </si>
  <si>
    <t xml:space="preserve">Suivi des performances pour identifier les opportunités d'amélioration</t>
  </si>
  <si>
    <t xml:space="preserve">Un suivi des performances est-il effectué pour identifier les opportunités d'amélioration ?</t>
  </si>
  <si>
    <t xml:space="preserve">Tableau de bord de performance des environnements</t>
  </si>
  <si>
    <t xml:space="preserve">Performances sous-optimales sans suivi des environnements.</t>
  </si>
  <si>
    <t xml:space="preserve">Différences dans la réalisation des tâches similaires.</t>
  </si>
  <si>
    <t xml:space="preserve">Rapports d'analyse des incidents et problèmes par environnement</t>
  </si>
  <si>
    <t xml:space="preserve">Vérifier l’existence d’une procédure de mise en production ;</t>
  </si>
  <si>
    <t xml:space="preserve">Existence formelle d'une procédure écrite</t>
  </si>
  <si>
    <t xml:space="preserve">Manuel des procédures opérationnelles IT</t>
  </si>
  <si>
    <t xml:space="preserve">Déploiements chaotiques sans procédure formalisée.</t>
  </si>
  <si>
    <t xml:space="preserve">Dégradation progressive de la performance des systèmes.</t>
  </si>
  <si>
    <t xml:space="preserve">Référentiel documentaire des procédures avec index et système de gestion des versions</t>
  </si>
  <si>
    <t xml:space="preserve">Planification détaillée incluant les étapes clés</t>
  </si>
  <si>
    <t xml:space="preserve">Modèle de plan de projet avec jalons standard</t>
  </si>
  <si>
    <t xml:space="preserve">Retards ou échecs par une planification insuffisante.</t>
  </si>
  <si>
    <t xml:space="preserve">Erreurs fréquentes lors de mises en production.</t>
  </si>
  <si>
    <t xml:space="preserve">Exemples de planifications de projets récents avec étapes clés identifiées</t>
  </si>
  <si>
    <t xml:space="preserve">Tests et validation avant déploiement</t>
  </si>
  <si>
    <t xml:space="preserve">Stratégie et plan de tests</t>
  </si>
  <si>
    <t xml:space="preserve">Mise en production prématurée sans tests rigoureux.</t>
  </si>
  <si>
    <t xml:space="preserve">Non-respect des délais et surcharge des équipes.</t>
  </si>
  <si>
    <t xml:space="preserve">Procédures de validation et exemples de PV de validation avant mise en production</t>
  </si>
  <si>
    <t xml:space="preserve">Gestion des risques et plan de contingence</t>
  </si>
  <si>
    <t xml:space="preserve">Registre des risques IT avec plans d'atténuation</t>
  </si>
  <si>
    <t xml:space="preserve">Pannes ou échecs sans plan de contingence.</t>
  </si>
  <si>
    <t xml:space="preserve">Incidents ou anomalies non détectés avant mise en ligne.</t>
  </si>
  <si>
    <t xml:space="preserve">Plan de continuité d'activité informatique (PCA/PRA)</t>
  </si>
  <si>
    <t xml:space="preserve">Suivi et maintenance après mise en production</t>
  </si>
  <si>
    <t xml:space="preserve">Procédure de maintenance des applications</t>
  </si>
  <si>
    <t xml:space="preserve">Problèmes récurrents par manque de maintenance post-déploiement.</t>
  </si>
  <si>
    <t xml:space="preserve">Interruption d’activité en cas de défaillance.</t>
  </si>
  <si>
    <t xml:space="preserve">Rapport de suivi post-implémentation avec KPIs</t>
  </si>
  <si>
    <t xml:space="preserve">Lorsque les organisations le permettent, vérifier que les 
différentes tâches d'administration des bases de données -DBA- sont 
séparées entre les études et l’exploitation ; </t>
  </si>
  <si>
    <t xml:space="preserve">Documentation d'architecture des environnements IT</t>
  </si>
  <si>
    <t xml:space="preserve">Risques d’interférences sans séparation des environnements.</t>
  </si>
  <si>
    <t xml:space="preserve">Coûts accrus de correction et dégradation de la qualité.</t>
  </si>
  <si>
    <t xml:space="preserve">Politique de ségrégation des environnements</t>
  </si>
  <si>
    <t xml:space="preserve">Politique de contrôle d'accès par environnement</t>
  </si>
  <si>
    <t xml:space="preserve">Vulnérabilités par des contrôles d’accès insuffisants.</t>
  </si>
  <si>
    <t xml:space="preserve">Conflits entre processus métiers et environnements techniques.</t>
  </si>
  <si>
    <t xml:space="preserve">Résultats d'audit de sécurité des environnements</t>
  </si>
  <si>
    <t xml:space="preserve">Modifications non contrôlées perturbant les opérations.</t>
  </si>
  <si>
    <t xml:space="preserve">Exposition à des fuites d’informations ou abus de droits.</t>
  </si>
  <si>
    <t xml:space="preserve">Manuel des procédures opérationnelles par environnement</t>
  </si>
  <si>
    <t xml:space="preserve">Hétérogénéité des pratiques par manque de standardisation.</t>
  </si>
  <si>
    <t xml:space="preserve">Instabilité et imprévisibilité des systèmes en production.</t>
  </si>
  <si>
    <t xml:space="preserve">Check-lists d'exploitation spécifiques à chaque environnement</t>
  </si>
  <si>
    <t xml:space="preserve">Tableaux de bord de performance des systèmes</t>
  </si>
  <si>
    <t xml:space="preserve">Manque d’optimisation des processus par absence de suivi des performances.</t>
  </si>
  <si>
    <t xml:space="preserve">Perte de cohérence entre équipes, services et projets.</t>
  </si>
  <si>
    <t xml:space="preserve">Rapports d'analyse d'incidents avec plans d'amélioration</t>
  </si>
  <si>
    <t xml:space="preserve">Diminution de la qualité des services ou produits livrés.</t>
  </si>
  <si>
    <t xml:space="preserve"> 
Vérifier que la séparation des tâches est maintenue et assurée 
lors de la rotation des équipes, des vacances et du départ d'un 
personnel ; </t>
  </si>
  <si>
    <t xml:space="preserve">Processus de transfert des responsabilités lors des rotations</t>
  </si>
  <si>
    <t xml:space="preserve">Un processus de transfert des responsabilités est-il en place lors des rotations de personnel ?</t>
  </si>
  <si>
    <t xml:space="preserve">Procédure de passation de fonction</t>
  </si>
  <si>
    <t xml:space="preserve">Perturbations opérationnelles dues à des transferts de responsabilités mal gérés.</t>
  </si>
  <si>
    <t xml:space="preserve">Exemples de documents de transfert complétés</t>
  </si>
  <si>
    <t xml:space="preserve">Transferts inefficaces entraînant des interruptions de service.</t>
  </si>
  <si>
    <t xml:space="preserve">Documentation claire des tâches et responsabilités</t>
  </si>
  <si>
    <t xml:space="preserve">Une documentation claire des tâches et responsabilités existe-t-elle ?</t>
  </si>
  <si>
    <t xml:space="preserve">Fiches de poste détaillées</t>
  </si>
  <si>
    <t xml:space="preserve">Erreurs ou retards par manque de documentation claire des tâches.</t>
  </si>
  <si>
    <t xml:space="preserve">Guide des opérations quotidiennes par fonction</t>
  </si>
  <si>
    <t xml:space="preserve">Réalisation hasardeuse des tâches critiques.</t>
  </si>
  <si>
    <t xml:space="preserve">Formation continue pour maintenir les compétences</t>
  </si>
  <si>
    <t xml:space="preserve">Plan de formation annuel</t>
  </si>
  <si>
    <t xml:space="preserve">Obsolescence des compétences sans formation continue.</t>
  </si>
  <si>
    <t xml:space="preserve">Registre des formations suivies avec évaluations</t>
  </si>
  <si>
    <t xml:space="preserve">Perte de compétitivité à cause de profils dépassés.</t>
  </si>
  <si>
    <t xml:space="preserve">Suivi des performances pour ajuster les processus</t>
  </si>
  <si>
    <t xml:space="preserve">Un suivi des performances est-il effectué pour ajuster les processus ?</t>
  </si>
  <si>
    <t xml:space="preserve">Tableau de bord des indicateurs de performance des processus</t>
  </si>
  <si>
    <t xml:space="preserve">Inefficacité des processus par absence d’ajustements basés sur les performances.</t>
  </si>
  <si>
    <t xml:space="preserve">Comptes-rendus des revues de performance</t>
  </si>
  <si>
    <t xml:space="preserve">Baisse continue des performances opérationnelles.</t>
  </si>
  <si>
    <t xml:space="preserve">Communication transparente sur les changements organisationnels</t>
  </si>
  <si>
    <t xml:space="preserve">La communication sur les changements organisationnels est-elle transparente ?</t>
  </si>
  <si>
    <t xml:space="preserve">Plan de communication des changements organisationnels</t>
  </si>
  <si>
    <t xml:space="preserve">Résistance au changement par manque de communication transparente.</t>
  </si>
  <si>
    <t xml:space="preserve">Exemples de communications internes lors de restructurations</t>
  </si>
  <si>
    <t xml:space="preserve">Incompréhensions et opposition lors de projets de changement.</t>
  </si>
  <si>
    <t xml:space="preserve"> 
Évaluer le caractère « raisonnable » du turn-over de la DSI (5 à 
15% / an) ; </t>
  </si>
  <si>
    <t xml:space="preserve">Taux de turn-over dans la plage recommandée (5 à 15%)</t>
  </si>
  <si>
    <t xml:space="preserve">Le taux de turnover est-il dans la plage recommandée de 5 à 15 % ?</t>
  </si>
  <si>
    <t xml:space="preserve">Rapports statistiques de turnover sur les 3 dernières années</t>
  </si>
  <si>
    <t xml:space="preserve">Instabilité organisationnelle due à un turn-over excessif ou insuffisant.</t>
  </si>
  <si>
    <t xml:space="preserve">Benchmark sectoriel des taux de turnover</t>
  </si>
  <si>
    <t xml:space="preserve">Manque de continuité dans les projets et les activités.</t>
  </si>
  <si>
    <t xml:space="preserve">Analyse des causes de départ pour identifier les tendances</t>
  </si>
  <si>
    <t xml:space="preserve">Une analyse des causes de départ est-elle effectuée pour identifier les tendances ?</t>
  </si>
  <si>
    <t xml:space="preserve">Rapport d'analyse des entretiens de départ</t>
  </si>
  <si>
    <t xml:space="preserve">Répétition des départs évitables sans analyse des causes.</t>
  </si>
  <si>
    <t xml:space="preserve">Document de synthèse des causes de turnover</t>
  </si>
  <si>
    <t xml:space="preserve">Ignorance des raisons profondes des départs répétitifs.</t>
  </si>
  <si>
    <t xml:space="preserve">Stratégies de rétention du personnel en place</t>
  </si>
  <si>
    <t xml:space="preserve">Des stratégies de rétention du personnel sont-elles mises en place ?</t>
  </si>
  <si>
    <t xml:space="preserve">Plan de rétention des talents</t>
  </si>
  <si>
    <t xml:space="preserve">Perte de talents clés par absence de stratégies de rétention.</t>
  </si>
  <si>
    <t xml:space="preserve">Programme de reconnaissance et de fidélisation</t>
  </si>
  <si>
    <t xml:space="preserve">Fuite des compétences stratégiques vers la concurrence.</t>
  </si>
  <si>
    <t xml:space="preserve">Impact du turn-over sur la performance globale</t>
  </si>
  <si>
    <t xml:space="preserve">L'impact du turnover sur la performance globale est-il évalué ?</t>
  </si>
  <si>
    <t xml:space="preserve">Étude d'impact du turnover sur les KPIs de la DSI</t>
  </si>
  <si>
    <t xml:space="preserve">Baisse de productivité liée à un turn-over élevé.</t>
  </si>
  <si>
    <t xml:space="preserve">Analyse des coûts directs et indirects du turnover</t>
  </si>
  <si>
    <t xml:space="preserve">Désorganisation fréquente des équipes et baisse de rendement.</t>
  </si>
  <si>
    <t xml:space="preserve">Plan d'action pour maintenir un turn-over raisonnable</t>
  </si>
  <si>
    <t xml:space="preserve">Un plan d'action est-il en place pour maintenir un turnover raisonnable ?</t>
  </si>
  <si>
    <t xml:space="preserve">Plan d'action pour la gestion du turnover</t>
  </si>
  <si>
    <t xml:space="preserve">Déstabilisation des équipes sans plan pour limiter le turn-over.</t>
  </si>
  <si>
    <t xml:space="preserve">Suivi des mesures mises en place et de leur efficacité</t>
  </si>
  <si>
    <t xml:space="preserve">Désengagement des équipes face à l’instabilité du personnel.</t>
  </si>
  <si>
    <t xml:space="preserve">Évaluer la capacité de l’Organisation à gérer les carrières des 
informaticiens ; </t>
  </si>
  <si>
    <t xml:space="preserve">Existence d'un plan de développement professionnel</t>
  </si>
  <si>
    <t xml:space="preserve">Existe-t-il un plan de développement professionnel pour les employés ?</t>
  </si>
  <si>
    <t xml:space="preserve">Plans de développement de carrière individualisés</t>
  </si>
  <si>
    <t xml:space="preserve">Stagnation des employés sans plan de développement professionnel.</t>
  </si>
  <si>
    <t xml:space="preserve">Grille d'évolution des compétences et des responsabilités</t>
  </si>
  <si>
    <t xml:space="preserve">Employés stagnants et peu impliqués dans les objectifs de l’entreprise.</t>
  </si>
  <si>
    <t xml:space="preserve">Formation continue pour améliorer les compétences</t>
  </si>
  <si>
    <t xml:space="preserve">Une formation continue est-elle offerte pour améliorer les compétences ?</t>
  </si>
  <si>
    <t xml:space="preserve">Catalogue des formations disponibles</t>
  </si>
  <si>
    <t xml:space="preserve">Incompétence croissante par manque de formation continue.</t>
  </si>
  <si>
    <t xml:space="preserve">Budget formation et taux de consommation</t>
  </si>
  <si>
    <t xml:space="preserve">Risque accru d’erreurs et d’incompétence dans les tâches.</t>
  </si>
  <si>
    <t xml:space="preserve">Évaluation régulière des performances pour identifier les besoins</t>
  </si>
  <si>
    <t xml:space="preserve">Une évaluation régulière des performances est-elle effectuée pour identifier les besoins de développement ?</t>
  </si>
  <si>
    <t xml:space="preserve">Formulaires d'évaluation annuelle des performances avec section dédiée au développement</t>
  </si>
  <si>
    <t xml:space="preserve">Besoins de formation non détectés sans évaluation régulière.</t>
  </si>
  <si>
    <t xml:space="preserve">Procédure formalisée d'entretien d'évaluation et de développement</t>
  </si>
  <si>
    <t xml:space="preserve">Mauvais ciblage des actions de montée en compétence.</t>
  </si>
  <si>
    <t xml:space="preserve">Opportunités de progression de carrière clairement définies</t>
  </si>
  <si>
    <t xml:space="preserve">Des opportunités de progression de carrière sont-elles clairement définies ?</t>
  </si>
  <si>
    <t xml:space="preserve">Référentiel des parcours de carrière au sein de la DSI</t>
  </si>
  <si>
    <t xml:space="preserve">Démotivation due à un manque de perspectives de carrière.</t>
  </si>
  <si>
    <t xml:space="preserve">Cadre législatif et réglementaire Camerounais</t>
  </si>
  <si>
    <t xml:space="preserve">Document des filières d'évolution professionnelle et critères associés</t>
  </si>
  <si>
    <t xml:space="preserve">Manque d’implication du personnel dans leur évolution professionnelle.</t>
  </si>
  <si>
    <t xml:space="preserve">Communication transparente sur les perspectives de carrière</t>
  </si>
  <si>
    <t xml:space="preserve">La communication sur les perspectives de carrière est-elle transparente ?</t>
  </si>
  <si>
    <t xml:space="preserve">Support de communication interne sur les évolutions de carrière possibles</t>
  </si>
  <si>
    <t xml:space="preserve">Non-conformité aux lois camerounaises entraînant des sanctions.</t>
  </si>
  <si>
    <t xml:space="preserve">Comptes-rendus des réunions d'information sur les perspectives professionnelles</t>
  </si>
  <si>
    <t xml:space="preserve">Amendes ou poursuites en cas de non-respect de la législation locale.</t>
  </si>
  <si>
    <t xml:space="preserve">Vérifier l’adéquation du niveau de rémunération du personnel 
informatique et évaluer le « moral » des équipes ; </t>
  </si>
  <si>
    <t xml:space="preserve">Comparaison des salaires avec les standards du marché</t>
  </si>
  <si>
    <t xml:space="preserve">Les salaires sont-ils comparés régulièrement aux standards du marché pour assurer leur compétitivité ?</t>
  </si>
  <si>
    <t xml:space="preserve">Études comparatives des rémunérations du secteur IT</t>
  </si>
  <si>
    <t xml:space="preserve">Manque d’adhésion aux perspectives de carrière par communication floue.</t>
  </si>
  <si>
    <t xml:space="preserve">Rapport d'analyse des écarts avec le marché de référence</t>
  </si>
  <si>
    <t xml:space="preserve">Manque d’engagement des employés vis-à-vis de leur avenir dans l’entreprise.</t>
  </si>
  <si>
    <t xml:space="preserve">Perception du personnel concernant l'équité salariale</t>
  </si>
  <si>
    <t xml:space="preserve">Le personnel perçoit-il l'équité salariale comme étant juste et équitable ?</t>
  </si>
  <si>
    <t xml:space="preserve">Résultats d'enquête de satisfaction sur la politique de rémunération</t>
  </si>
  <si>
    <t xml:space="preserve">Démotivation due à des salaires non compétitifs.</t>
  </si>
  <si>
    <t xml:space="preserve">Analyse des réclamations ou demandes liées à l'équité salariale</t>
  </si>
  <si>
    <t xml:space="preserve">Difficulté à recruter ou à fidéliser les talents.</t>
  </si>
  <si>
    <t xml:space="preserve">Impact de la rémunération sur le moral et la motivation</t>
  </si>
  <si>
    <t xml:space="preserve">Quel est l'impact de la rémunération sur le moral et la motivation des employés ?</t>
  </si>
  <si>
    <t xml:space="preserve">Enquête de climat social avec focus sur l'impact des rémunérations</t>
  </si>
  <si>
    <t xml:space="preserve">Insatisfaction généralisée par une perception d’iniquité salariale.</t>
  </si>
  <si>
    <t xml:space="preserve">Analyse de corrélation entre niveau de rémunération et indicateurs de performance/engagement</t>
  </si>
  <si>
    <t xml:space="preserve">Climat social détérioré et tensions internes.</t>
  </si>
  <si>
    <t xml:space="preserve">Existence de primes ou avantages supplémentaires</t>
  </si>
  <si>
    <t xml:space="preserve">Des primes ou avantages supplémentaires sont-ils offerts pour récompenser les performances ?</t>
  </si>
  <si>
    <t xml:space="preserve">Politique de rémunération variable et avantages</t>
  </si>
  <si>
    <t xml:space="preserve">Turn-over élevé par manque de motivation lié à la rémunération.</t>
  </si>
  <si>
    <t xml:space="preserve">Historique des primes et récompenses attribuées sur les deux dernières années</t>
  </si>
  <si>
    <t xml:space="preserve">Fuite de compétences vers des entreprises plus attractives.</t>
  </si>
  <si>
    <t xml:space="preserve">Feedback régulier des employés sur leur satisfaction</t>
  </si>
  <si>
    <t xml:space="preserve">Un feedback régulier des employés est-il recueilli pour évaluer leur satisfaction concernant la rémunération ?</t>
  </si>
  <si>
    <t xml:space="preserve">Questionnaires de satisfaction sur la politique de rémunération</t>
  </si>
  <si>
    <t xml:space="preserve">Manque d’attractivité sans primes ou avantages supplémentaires.</t>
  </si>
  <si>
    <t xml:space="preserve">Synthèse des entretiens individuels abordant la question salariale</t>
  </si>
  <si>
    <t xml:space="preserve">Image employeur dégradée face à la concurrence.</t>
  </si>
  <si>
    <t xml:space="preserve">Évaluer la dépendance de l’Organisation vis-à-vis d’une ou 
plusieurs personnes ; </t>
  </si>
  <si>
    <t xml:space="preserve">Identification des postes clés pour lesquels il n'y a pas de remplaçant</t>
  </si>
  <si>
    <t xml:space="preserve">Les postes clés pour lesquels il n'y a pas de remplaçant ont-ils été identifiés ?</t>
  </si>
  <si>
    <t xml:space="preserve">Cartographie des postes clés et des compétences critiques</t>
  </si>
  <si>
    <t xml:space="preserve">Insatisfaction non détectée sans feedback régulier des employés.</t>
  </si>
  <si>
    <t xml:space="preserve">Évaluation des risques liés aux postes à personne unique (single point of failure)</t>
  </si>
  <si>
    <t xml:space="preserve">Frustration silencieuse menant à une démotivation généralisée.</t>
  </si>
  <si>
    <t xml:space="preserve">Existence de plans de succession pour ces postes</t>
  </si>
  <si>
    <t xml:space="preserve">Des plans de succession existent-ils pour ces postes clés ?</t>
  </si>
  <si>
    <t xml:space="preserve">Plans de succession formalisés pour les fonctions critiques</t>
  </si>
  <si>
    <t xml:space="preserve">Perturbations majeures en cas de départ de postes clés sans remplaçant.</t>
  </si>
  <si>
    <t xml:space="preserve">Matrice des talents identifiant les successeurs potentiels</t>
  </si>
  <si>
    <t xml:space="preserve">Risque de désorganisation lors du départ d’un employé clé.</t>
  </si>
  <si>
    <t xml:space="preserve">Formation continue pour réduire la dépendance</t>
  </si>
  <si>
    <t xml:space="preserve">Une formation continue est-elle offerte pour réduire la dépendance à ces postes ?</t>
  </si>
  <si>
    <t xml:space="preserve">Plan de formation croisée (cross-training)</t>
  </si>
  <si>
    <t xml:space="preserve">Vacance prolongée de postes critiques sans plans de succession.</t>
  </si>
  <si>
    <t xml:space="preserve">Suivi des compétences acquises sur les fonctions critiques</t>
  </si>
  <si>
    <t xml:space="preserve">Ralentissement des activités critiques en attente de recrutement.</t>
  </si>
  <si>
    <t xml:space="preserve">Documentation complète des processus pour faciliter la transition</t>
  </si>
  <si>
    <t xml:space="preserve">Une documentation complète des processus est-elle disponible pour faciliter la transition ?</t>
  </si>
  <si>
    <t xml:space="preserve">Manuel des procédures opérationnelles des postes clés</t>
  </si>
  <si>
    <t xml:space="preserve">Dépendance accrue par manque de formation des remplaçants.</t>
  </si>
  <si>
    <t xml:space="preserve">Base documentaire des connaissances critiques par poste</t>
  </si>
  <si>
    <t xml:space="preserve">Faiblesse de la relève en cas de besoin urgent de remplacement.</t>
  </si>
  <si>
    <t xml:space="preserve">Évaluation régulière de la dépendance organisationnelle</t>
  </si>
  <si>
    <t xml:space="preserve">Une évaluation régulière de la dépendance organisationnelle à ces postes est-elle effectuée ?</t>
  </si>
  <si>
    <t xml:space="preserve">Rapport d'analyse de la dépendance aux personnes clés</t>
  </si>
  <si>
    <t xml:space="preserve">Perte de savoir-faire sans documentation des processus.</t>
  </si>
  <si>
    <t xml:space="preserve">Plan de réduction des risques liés aux dépendances critiques</t>
  </si>
  <si>
    <t xml:space="preserve">Risque d’erreurs et de désalignement des pratiques internes.</t>
  </si>
  <si>
    <t xml:space="preserve">Vérifier que les contrats des informaticiens contiennent des 
clauses spécifiques de confidentialité et de non-concurrence ; </t>
  </si>
  <si>
    <t xml:space="preserve">Présence formelle des clauses dans les contrats</t>
  </si>
  <si>
    <t xml:space="preserve">Les clauses sont-elles présentes de manière formelle dans les contrats de travail ?</t>
  </si>
  <si>
    <t xml:space="preserve">Modèles de contrats de travail avec clauses spécifiques IT</t>
  </si>
  <si>
    <t xml:space="preserve">Dépendance excessive non identifiée sans évaluation régulière.</t>
  </si>
  <si>
    <t xml:space="preserve">Avis juridique sur la validité des clauses utilisées</t>
  </si>
  <si>
    <t xml:space="preserve">Risque accru en cas de défaillance ou d’absence d’une personne clé.</t>
  </si>
  <si>
    <t xml:space="preserve">Compréhension claire des obligations par les employés</t>
  </si>
  <si>
    <t xml:space="preserve">Les employés comprennent-ils clairement leurs obligations en vertu de ces clauses ?</t>
  </si>
  <si>
    <t xml:space="preserve">Document d'information sur les implications des clauses contractuelles</t>
  </si>
  <si>
    <t xml:space="preserve">Non-respect des obligations contractuelles par absence de clauses claires.</t>
  </si>
  <si>
    <t xml:space="preserve">Attestations signées de compréhension des clauses par les employés</t>
  </si>
  <si>
    <t xml:space="preserve">Manquements contractuels exposant à des poursuites.</t>
  </si>
  <si>
    <t xml:space="preserve">Application stricte des clauses en cas de départ</t>
  </si>
  <si>
    <t xml:space="preserve">Les clauses sont-elles appliquées de manière stricte en cas de départ d'un employé ?</t>
  </si>
  <si>
    <t xml:space="preserve">Procédure de départ incluant la vérification des clauses contractuelles</t>
  </si>
  <si>
    <t xml:space="preserve">Conflits juridiques par méconnaissance des clauses par les employés.</t>
  </si>
  <si>
    <t xml:space="preserve">Historique des cas d'application des clauses lors de départs</t>
  </si>
  <si>
    <t xml:space="preserve">Remise en cause des décisions RH ou juridiques par les salariés.</t>
  </si>
  <si>
    <t xml:space="preserve">Mise à jour régulière des clauses pour refléter les changements législatifs</t>
  </si>
  <si>
    <t xml:space="preserve">Les clauses sont-elles mises à jour régulièrement pour refléter les changements législatifs ?</t>
  </si>
  <si>
    <t xml:space="preserve">Procédure de révision juridique des clauses contractuelles</t>
  </si>
  <si>
    <t xml:space="preserve">Litiges en cas de départ par application incohérente des clauses.</t>
  </si>
  <si>
    <t xml:space="preserve">Historique des mises à jour des clauses avec justifications</t>
  </si>
  <si>
    <t xml:space="preserve">Conflits coûteux et atteinte à la réputation de l’entreprise.</t>
  </si>
  <si>
    <t xml:space="preserve">Formation des employés sur l'importance de ces clauses</t>
  </si>
  <si>
    <t xml:space="preserve">Les employés reçoivent-ils une formation sur l'importance et l'application de ces clauses ?</t>
  </si>
  <si>
    <t xml:space="preserve">Clauses obsolètes entraînant des risques juridiques.</t>
  </si>
  <si>
    <t xml:space="preserve">Inadéquation avec les évolutions juridiques et réglementaires.</t>
  </si>
  <si>
    <t xml:space="preserve">Vérifier si les informaticiens sont- dispensés de préavis en cas 
de rupture brutale du contrat de travail ; </t>
  </si>
  <si>
    <t xml:space="preserve">Existence d'une clause spécifique dans le contrat</t>
  </si>
  <si>
    <t xml:space="preserve">Une clause spécifique concernant le préavis est-elle incluse dans le contrat de travail ?</t>
  </si>
  <si>
    <t xml:space="preserve">Extrait des contrats montrant les clauses de préavis</t>
  </si>
  <si>
    <t xml:space="preserve">Non-respect des clauses par manque de sensibilisation des employés.</t>
  </si>
  <si>
    <t xml:space="preserve">Politique de gestion des préavis de départ</t>
  </si>
  <si>
    <t xml:space="preserve">Mauvaise compréhension des obligations légales.</t>
  </si>
  <si>
    <t xml:space="preserve">Conditions précises pour la dispense de préavis</t>
  </si>
  <si>
    <t xml:space="preserve">Des conditions précises pour la dispense de préavis sont-elles définies et communiquées ?</t>
  </si>
  <si>
    <t xml:space="preserve">Document de politique RH sur les conditions de dispense de préavis</t>
  </si>
  <si>
    <t xml:space="preserve">Engagements contractuels flous sans clause spécifique.</t>
  </si>
  <si>
    <t xml:space="preserve">Annexe au contrat de travail détaillant les conditions de dispense</t>
  </si>
  <si>
    <t xml:space="preserve">Zones d’ombre dans les accords contractuels.</t>
  </si>
  <si>
    <t xml:space="preserve">Communication claire aux employés sur ces conditions</t>
  </si>
  <si>
    <t xml:space="preserve">Les conditions de dispense de préavis sont-elles clairement communiquées aux employés ?</t>
  </si>
  <si>
    <t xml:space="preserve">Support de communication interne sur les règles de préavis</t>
  </si>
  <si>
    <t xml:space="preserve">Conflits lors de ruptures par des conditions de préavis ambiguës.</t>
  </si>
  <si>
    <t xml:space="preserve">Preuve de diffusion des conditions (emails, intranet, livret d'accueil)</t>
  </si>
  <si>
    <t xml:space="preserve">Tensions à la fin de contrat dues à une interprétation floue.</t>
  </si>
  <si>
    <t xml:space="preserve">Application équitable de la clause en cas de rupture</t>
  </si>
  <si>
    <t xml:space="preserve">La clause de préavis est-elle appliquée de manière équitable en cas de rupture du contrat ?</t>
  </si>
  <si>
    <t xml:space="preserve">Registre des cas de rupture de contrat avec application du préavis</t>
  </si>
  <si>
    <t xml:space="preserve">Manque de transparence sur les conditions de préavis.</t>
  </si>
  <si>
    <t xml:space="preserve">Rapport d'audit interne sur l'équité d'application des règles de préavis</t>
  </si>
  <si>
    <t xml:space="preserve">Manque de clarté sur les délais de départ.</t>
  </si>
  <si>
    <t xml:space="preserve">Suivi des réactions des employés face à cette politique</t>
  </si>
  <si>
    <t xml:space="preserve">Les réactions des employés face à cette politique de préavis sont-elles suivies et prises en compte ?</t>
  </si>
  <si>
    <t xml:space="preserve">Résultats d'enquête de satisfaction concernant les politiques RH</t>
  </si>
  <si>
    <t xml:space="preserve">Perceptions d’injustice par une application inéquitable de la clause.</t>
  </si>
  <si>
    <t xml:space="preserve">Comptes-rendus des entretiens de sortie mentionnant la politique de préavis</t>
  </si>
  <si>
    <t xml:space="preserve">Dégradation du climat de confiance dans l’entreprise.</t>
  </si>
  <si>
    <t xml:space="preserve"> 
Vérifier l’existence d’un plan de formation nominatif pour 
l’ensemble des informaticiens ; </t>
  </si>
  <si>
    <t xml:space="preserve">Existence formelle d'un plan de formation personnalisé</t>
  </si>
  <si>
    <t xml:space="preserve">Existe-t-il un plan de formation personnalisé de manière formelle ?</t>
  </si>
  <si>
    <t xml:space="preserve">Plans de formation individuels des membres de l'équipe IT</t>
  </si>
  <si>
    <t xml:space="preserve">Résistance des employés à la politique de préavis sans suivi.</t>
  </si>
  <si>
    <t xml:space="preserve">Procédure de création et suivi des plans de formation personnalisés</t>
  </si>
  <si>
    <t xml:space="preserve">Refus ou contestation des règles par les salariés.</t>
  </si>
  <si>
    <t xml:space="preserve">Alignement du plan avec les objectifs stratégiques de l'entreprise</t>
  </si>
  <si>
    <t xml:space="preserve">Le plan de formation est-il aligné avec les objectifs stratégiques de l'entreprise ?</t>
  </si>
  <si>
    <t xml:space="preserve">Document d'alignement entre le plan de formation IT et le plan stratégique</t>
  </si>
  <si>
    <t xml:space="preserve">Formation inadaptée sans plan personnalisé.</t>
  </si>
  <si>
    <t xml:space="preserve">Matrice de correspondance entre compétences à développer et objectifs stratégiques</t>
  </si>
  <si>
    <t xml:space="preserve">Programmes peu efficaces pour les compétences visées.</t>
  </si>
  <si>
    <t xml:space="preserve">Suivi régulier de la progression des employés dans leur formation</t>
  </si>
  <si>
    <t xml:space="preserve">Un suivi régulier de la progression des employés dans leur formation est-il effectué ?</t>
  </si>
  <si>
    <t xml:space="preserve">Tableaux de bord de suivi des formations par employé</t>
  </si>
  <si>
    <t xml:space="preserve">Déconnexion des formations avec les priorités de l’entreprise.</t>
  </si>
  <si>
    <t xml:space="preserve">Rapports d'évaluation des acquis post-formation</t>
  </si>
  <si>
    <t xml:space="preserve">Investissements en formation sans bénéfice tangible.</t>
  </si>
  <si>
    <t xml:space="preserve">Évaluation de l'impact de la formation sur la performance</t>
  </si>
  <si>
    <t xml:space="preserve">L'impact de la formation sur la performance est-il évalué ?</t>
  </si>
  <si>
    <t xml:space="preserve">Méthodologie d'évaluation du ROI des formations</t>
  </si>
  <si>
    <t xml:space="preserve">Efficacité limitée sans suivi de la progression des employés.</t>
  </si>
  <si>
    <t xml:space="preserve">Rapports d'analyse de l'impact des formations sur les indicateurs de performance</t>
  </si>
  <si>
    <t xml:space="preserve">Non-suivi des progrès entraînant des lacunes durables.</t>
  </si>
  <si>
    <t xml:space="preserve">Adaptation continue du plan pour répondre aux besoins émergents</t>
  </si>
  <si>
    <t xml:space="preserve">Le plan de formation est-il adapté de manière continue pour répondre aux besoins émergents ?</t>
  </si>
  <si>
    <t xml:space="preserve">Procédure de révision du plan de formation</t>
  </si>
  <si>
    <t xml:space="preserve">Formation sans impact mesurable sur la performance.</t>
  </si>
  <si>
    <t xml:space="preserve">Historique des ajustements du plan de formation avec justifications</t>
  </si>
  <si>
    <t xml:space="preserve">Formations perçues comme inutiles ou décoratives.</t>
  </si>
  <si>
    <t xml:space="preserve">Vérifier que l’effort de formation est adapté, suffisant et qu’il 
s’inscrit dans la durée.</t>
  </si>
  <si>
    <t xml:space="preserve">Le programme de formation est-il aligné avec les objectifs stratégiques de l'entreprise ?</t>
  </si>
  <si>
    <t xml:space="preserve">Document de planification stratégique de la formation IT</t>
  </si>
  <si>
    <t xml:space="preserve">Formation inadaptée aux besoins émergents sans adaptation.</t>
  </si>
  <si>
    <t xml:space="preserve">Validation par la direction de l'alignement du programme de formation</t>
  </si>
  <si>
    <t xml:space="preserve">Décalage avec les évolutions métiers et technologiques.</t>
  </si>
  <si>
    <t xml:space="preserve">Adéquation aux besoins identifiés</t>
  </si>
  <si>
    <t xml:space="preserve">Le programme est-il adapté aux besoins identifiés des employés et de l'organisation ?</t>
  </si>
  <si>
    <t xml:space="preserve">Analyse des besoins en formation (collectifs et individuels)</t>
  </si>
  <si>
    <t xml:space="preserve">Formation déconnectée des priorités stratégiques.</t>
  </si>
  <si>
    <t xml:space="preserve">Matrice de correspondance entre besoins identifiés et formations proposées</t>
  </si>
  <si>
    <t xml:space="preserve">Impact faible sur la transformation stratégique de l’entreprise.</t>
  </si>
  <si>
    <t xml:space="preserve">Suffisance du volume de formation</t>
  </si>
  <si>
    <t xml:space="preserve">Le volume de formation offert est-il suffisant pour répondre aux besoins ?</t>
  </si>
  <si>
    <t xml:space="preserve">Statistiques sur le nombre d'heures de formation par employé</t>
  </si>
  <si>
    <t xml:space="preserve">Formation inadéquate face aux besoins identifiés.</t>
  </si>
  <si>
    <t xml:space="preserve">Analyse comparative avec les benchmarks du secteur</t>
  </si>
  <si>
    <t xml:space="preserve">Efforts de formation mal orientés.</t>
  </si>
  <si>
    <t xml:space="preserve">Durabilité et continuité</t>
  </si>
  <si>
    <t xml:space="preserve">Le programme de formation est-il durable et continu dans le temps ?</t>
  </si>
  <si>
    <t xml:space="preserve">Plan pluriannuel de formation</t>
  </si>
  <si>
    <t xml:space="preserve">Volume de formation insuffisant pour couvrir les besoins.</t>
  </si>
  <si>
    <t xml:space="preserve">Historique des programmes de formation sur les 3 dernières années</t>
  </si>
  <si>
    <t xml:space="preserve">Difficulté à répondre à la diversité des besoins en compétences.</t>
  </si>
  <si>
    <t xml:space="preserve">Évaluation régulière des résultats</t>
  </si>
  <si>
    <t xml:space="preserve">Une évaluation régulière des résultats du programme de formation est-elle effectuée ?</t>
  </si>
  <si>
    <t xml:space="preserve">Méthodologie et outils d'évaluation du programme de formation</t>
  </si>
  <si>
    <t xml:space="preserve">Interruptions dans le développement des compétences sans continuité.</t>
  </si>
  <si>
    <t xml:space="preserve">Rapports annuels d'évaluation du programme de formation</t>
  </si>
  <si>
    <t xml:space="preserve">Blocage dans les parcours de montée en compétence.</t>
  </si>
  <si>
    <t xml:space="preserve">Vérifier que les prescriptions légales découlant des loi de 2010
sur le cybersécurité et la cyber criminalité ; ainsi que les transactions
électroniques sont connues et respectées</t>
  </si>
  <si>
    <t xml:space="preserve">Existence et diffusion de politiques internes référençant la loi.</t>
  </si>
  <si>
    <t xml:space="preserve">Les politiques internes référençant la loi 2010 existent-elles et sont-elles diffusées ?</t>
  </si>
  <si>
    <t xml:space="preserve">Politique de sécurité des systèmes d'information intégrant les exigences de la loi de 2010</t>
  </si>
  <si>
    <t xml:space="preserve">Formation inefficace sans évaluation régulière des résultats.</t>
  </si>
  <si>
    <t xml:space="preserve">Comment les risques spécifiques de fraude informatique sont-ils identifiés et communiqués ?</t>
  </si>
  <si>
    <t xml:space="preserve">Aucune amélioration observable malgré les formations.</t>
  </si>
  <si>
    <t xml:space="preserve">Preuves de sensibilisation/formation du personnel sur la loi.</t>
  </si>
  <si>
    <t xml:space="preserve">Quelles preuves de formation/sensibilisation du personnel à la loi 2010 existent ?</t>
  </si>
  <si>
    <t xml:space="preserve">Compris. Voici la liste complète des documents requis, dans l'ordre des critères et en conservant les éventuels doublons ou similarités :</t>
  </si>
  <si>
    <t xml:space="preserve">Non-conformité légale par absence de politiques référencées.</t>
  </si>
  <si>
    <t xml:space="preserve">Supports de formation/sensibilisation (loi 2010).</t>
  </si>
  <si>
    <t xml:space="preserve">Risque de sanctions pour manquement aux obligations légales.</t>
  </si>
  <si>
    <t xml:space="preserve">Adéquation des mesures de sécurité techniques/organisationnelles avec la loi.</t>
  </si>
  <si>
    <t xml:space="preserve">Les mesures de sécurité (techniques/organisationnelles) sont-elles adéquates vis-à-vis de la loi 2010 ?</t>
  </si>
  <si>
    <t xml:space="preserve">Listes de présence signées OU Registres de complétion (pour e-learning) OU Certificats de formation individuels prouvant la participation du personnel.</t>
  </si>
  <si>
    <t xml:space="preserve">Manque de conformité par insuffisance de sensibilisation à la loi.</t>
  </si>
  <si>
    <t xml:space="preserve">Rapport d'évaluation des risques ou d'analyse d'impact (ex: PIA si pertinent) spécifique aux activités couvertes par la loi 2010.</t>
  </si>
  <si>
    <t xml:space="preserve">Incapacité des employés à appliquer les bonnes pratiques légales.</t>
  </si>
  <si>
    <t xml:space="preserve">Existence et application d'une procédure de gestion des incidents conforme.</t>
  </si>
  <si>
    <t xml:space="preserve">La procédure de gestion des incidents est-elle formalisée, appliquée et conforme ?</t>
  </si>
  <si>
    <t xml:space="preserve">Documentation des mesures de sécurité techniques et organisationnelles clés implémentées (ex: extrait pertinent de la Politique de Sécurité, description des contrôles d'accès, procédures de gestion des données liées à la loi).</t>
  </si>
  <si>
    <t xml:space="preserve">Vulnérabilités par des mesures de sécurité non conformes.</t>
  </si>
  <si>
    <t xml:space="preserve">Procédure formelle de gestion des incidents de sécurité (incluant détection, analyse, confinement, éradication, récupération, post-mortem).</t>
  </si>
  <si>
    <t xml:space="preserve">Failles exploitables dans le système de sécurité.</t>
  </si>
  <si>
    <t xml:space="preserve">Conformité prouvée des processus de transactions électroniques (sécurité, fiabilité).</t>
  </si>
  <si>
    <t xml:space="preserve">Comment la conformité (sécurité, fiabilité) des transactions électroniques est-elle prouvée ?</t>
  </si>
  <si>
    <t xml:space="preserve">Registre des incidents de sécurité traités OU exemples de rapports d'incidents clôturés (démontrant l'application de la procédure).</t>
  </si>
  <si>
    <t xml:space="preserve">Sanctions réglementaires par une gestion des incidents non conforme.</t>
  </si>
  <si>
    <t xml:space="preserve">Sanctions réglementaires et perte de crédibilité.</t>
  </si>
  <si>
    <t xml:space="preserve">Politique de sécurité des transactions électroniques OU Documentation technique décrivant les mécanismes de sécurité mis en œuvre (ex: protocoles de communication sécurisés, authentification forte).</t>
  </si>
  <si>
    <t xml:space="preserve">Vérifier que les articles sur la fraude informatique sont connus
et que des mesures préventives ont été prises</t>
  </si>
  <si>
    <t xml:space="preserve">Identification et communication des risques de fraude informatique spécifiques.</t>
  </si>
  <si>
    <t xml:space="preserve">Rapports d'audits (internes ou externes) OU Résultats de tests de pénétration OU Certifications de conformité (si applicable) validant la sécurité et la fiabilité des systèmes de transaction.</t>
  </si>
  <si>
    <t xml:space="preserve">Fraudes non détectées par manque d’identification et de communication des risques.</t>
  </si>
  <si>
    <t xml:space="preserve">Fraudes non détectées, augmentant les risques financiers.</t>
  </si>
  <si>
    <t xml:space="preserve">Politique formelle de chiffrement (définissant quand, où et comment le chiffrement doit être utilisé : données au repos, en transit, etc.).</t>
  </si>
  <si>
    <t xml:space="preserve">Existence et effectivité des contrôles d'accès logiques (moindre privilège, authentification).</t>
  </si>
  <si>
    <t xml:space="preserve">Preuves techniques de l'application du chiffrement (ex: captures d'écran de configuration de bases de données chiffrées, configuration de VPN/TLS, exemples de fichiers/emails chiffrés) OU Rapport d'audit vérifiant l'application de la politique.</t>
  </si>
  <si>
    <t xml:space="preserve">Accès non autorisés par des contrôles d’accès logiques inefficaces.</t>
  </si>
  <si>
    <t xml:space="preserve">Accès non autorisés, augmentant les risques de fuites de données.</t>
  </si>
  <si>
    <t xml:space="preserve">Politique formelle d'utilisation de la signature électronique (définissant les cas d'usage, les types de signature autorisés, les responsabilités).</t>
  </si>
  <si>
    <t xml:space="preserve">Mise en œuvre effective de la séparation des tâches sur les processus sensibles.</t>
  </si>
  <si>
    <t xml:space="preserve">Exemples de documents/transactions signés électroniquement conformément à la politique OU Procédures décrivant comment générer/vérifier une signature électronique dans les outils de l'entreprise.</t>
  </si>
  <si>
    <t xml:space="preserve">Fraudes internes facilitées par l’absence de séparation des tâches.</t>
  </si>
  <si>
    <t xml:space="preserve">Risque accru de fraudes internes et de manipulation des systèmes.</t>
  </si>
  <si>
    <t xml:space="preserve">Documentation technique des outils utilisés (mentionnant les algorithmes, longueurs de clés, conformité à des standards reconnus type FIPS, ANSSI, eIDAS si applicable).</t>
  </si>
  <si>
    <t xml:space="preserve">Existence, sécurisation et revue des journaux d'événements (logs).</t>
  </si>
  <si>
    <t xml:space="preserve">Certificats de conformité des outils/prestataires OU Avis juridiques/techniques confirmant la conformité légale des outils au regard des exigences applicables (ex: niveau de signature requis).</t>
  </si>
  <si>
    <t xml:space="preserve">Activités frauduleuses non traçables sans journaux d’événements sécurisés.</t>
  </si>
  <si>
    <t xml:space="preserve">Perte de traçabilité, rendant les fraudes difficiles à détecter.</t>
  </si>
  <si>
    <t xml:space="preserve">Supports de formation spécifiques sur l'utilisation des outils de chiffrement/signature et les aspects légaux associés.</t>
  </si>
  <si>
    <t xml:space="preserve">Existence de procédures de signalement et d'investigation de la fraude.</t>
  </si>
  <si>
    <t xml:space="preserve">Listes de présence/Registres de complétion OU Évaluations/Quiz post-formation attestant de la compréhension du personnel concerné.</t>
  </si>
  <si>
    <t xml:space="preserve">Fraudes non signalées ou non investiguées faute de procédures.</t>
  </si>
  <si>
    <t xml:space="preserve">Fraudes persistantes sans mesures correctives appropriées.</t>
  </si>
  <si>
    <t xml:space="preserve">Rapport de revue périodique de conformité (interne ou externe) couvrant spécifiquement les politiques de chiffrement et de signature.</t>
  </si>
  <si>
    <t xml:space="preserve">Vérifier que les articles sur l’usage de moyens de chiffrement et
de la signature électronique sont connues respectées.</t>
  </si>
  <si>
    <t xml:space="preserve">Existence et application d'une politique d'utilisation du chiffrement (cas d'usage, standards).</t>
  </si>
  <si>
    <t xml:space="preserve">La politique d'utilisation du chiffrement existe-t-elle et est-elle appliquée ?</t>
  </si>
  <si>
    <t xml:space="preserve">Tableau de bord ou Registre de suivi des contrôles clés liés au chiffrement et à la signature (montrant les vérifications effectuées et les résultats).</t>
  </si>
  <si>
    <t xml:space="preserve">Interception de données sensibles par non-utilisation du chiffrement.</t>
  </si>
  <si>
    <t xml:space="preserve">Exposition des données sensibles à des attaques ou fuites.</t>
  </si>
  <si>
    <t xml:space="preserve">Politique formelle d'archivage électronique (définissant les types de documents à archiver, les durées de conservation, les formats, les responsabilités).</t>
  </si>
  <si>
    <t xml:space="preserve">Existence et application d'une politique d'utilisation de la signature électronique (cas d'usage, types, outils).</t>
  </si>
  <si>
    <t xml:space="preserve">La politique d'utilisation de la signature électronique existe-t-elle et est-elle appliquée ?</t>
  </si>
  <si>
    <t xml:space="preserve">Procédures opérationnelles détaillées d'archivage OU Preuves de l'application (ex: logs du système d'archivage, exemples de documents archivés selon les règles).</t>
  </si>
  <si>
    <t xml:space="preserve">Repudiation des transactions sans politique de signature électronique.</t>
  </si>
  <si>
    <t xml:space="preserve">Doute sur l’intégrité des transactions, altérant la confiance.</t>
  </si>
  <si>
    <t xml:space="preserve">Documentation technique du système d'archivage électronique (SAE) démontrant les mécanismes assurant l'intégrité, la pérennité, la traçabilité, l'horodatage (conformité NF Z42-013 ou équivalent si applicable).</t>
  </si>
  <si>
    <t xml:space="preserve">Conformité légale et technique des outils de chiffrement/signature utilisés.</t>
  </si>
  <si>
    <t xml:space="preserve">Les outils de chiffrement/signature utilisés sont-ils conformes légalement et techniquement ?</t>
  </si>
  <si>
    <t xml:space="preserve">Rapport d'audit de conformité du SAE (interne/externe) OU Attestation de conformité du fournisseur du SAE (si externalisé ou logiciel spécifique).</t>
  </si>
  <si>
    <t xml:space="preserve">Non-conformité légale des outils de chiffrement/signature utilisés.</t>
  </si>
  <si>
    <t xml:space="preserve">Risque juridique en cas de non-conformité des outils utilisés.</t>
  </si>
  <si>
    <t xml:space="preserve">Description des contrôles d'accès spécifiques au système d'archivage (matrice des droits, logs d'accès).</t>
  </si>
  <si>
    <t xml:space="preserve">Preuves de formation du personnel sur l'usage correct et les implications légales.</t>
  </si>
  <si>
    <t xml:space="preserve">Existe-t-il des preuves de formation du personnel sur l'usage correct et les implications légales ?</t>
  </si>
  <si>
    <t xml:space="preserve">Documentation de la stratégie de sauvegarde et de reprise d'activité (PRA/PCA) spécifique aux archives électroniques.</t>
  </si>
  <si>
    <t xml:space="preserve">Mauvais usage des outils par manque de formation du personnel.</t>
  </si>
  <si>
    <t xml:space="preserve">Problèmes d’efficacité ou d’erreur liés à une mauvaise utilisation des outils.</t>
  </si>
  <si>
    <t xml:space="preserve">Résultats de tests de restitution d'archives (démontrant la capacité à retrouver et exporter des documents spécifiques dans les formats et délais attendus).</t>
  </si>
  <si>
    <t xml:space="preserve">Documentation prouvant le respect des politiques et du cadre légal.</t>
  </si>
  <si>
    <t xml:space="preserve">La documentation prouve-t-elle le respect des politiques et du cadre légal ?</t>
  </si>
  <si>
    <t xml:space="preserve">Procédure formelle de demande et de restitution d'archives (incluant les SLA le cas échéant).</t>
  </si>
  <si>
    <t xml:space="preserve">Sanctions réglementaires par absence de documentation de conformité.</t>
  </si>
  <si>
    <t xml:space="preserve">Sanctions liées à la non-conformité documentaire.</t>
  </si>
  <si>
    <t xml:space="preserve">Supports de formation/sensibilisation sur la politique et les procédures d'archivage électronique.</t>
  </si>
  <si>
    <t xml:space="preserve">Vérifier que la loi sur l’archivage électronique est connue et
Respectée ;</t>
  </si>
  <si>
    <t xml:space="preserve">Existence et application d'une politique d'archivage électronique (durées, formats, supports).</t>
  </si>
  <si>
    <t xml:space="preserve">La politique d'archivage électronique existe-t-elle et est-elle appliquée ?</t>
  </si>
  <si>
    <t xml:space="preserve">Listes de présence/Registres de complétion pour les formations sur l'archivage OU Communications régulières rappelant les bonnes pratiques.</t>
  </si>
  <si>
    <t xml:space="preserve">Perte de données archivées sans politique d’archivage électronique.</t>
  </si>
  <si>
    <t xml:space="preserve">Perte de données essentielles à des fins légales ou historiques.</t>
  </si>
  <si>
    <t xml:space="preserve">Politique formelle de gestion des licences logicielles (achat, déploiement, suivi, retrait).</t>
  </si>
  <si>
    <t xml:space="preserve">Conformité des processus d'archivage avec les exigences légales (intégrité, pérennité, lisibilité).</t>
  </si>
  <si>
    <t xml:space="preserve">Les processus d'archivage sont-ils conformes aux exigences légales (intégrité, etc.) ?</t>
  </si>
  <si>
    <t xml:space="preserve">Procédures opérationnelles pour la demande, l'installation et le suivi des logiciels et de leurs licences.</t>
  </si>
  <si>
    <t xml:space="preserve">Non-conformité légale des archives par manque d’intégrité ou de lisibilité.</t>
  </si>
  <si>
    <t xml:space="preserve">Risque de contentieux ou de sanctions en cas d’archivage non conforme.</t>
  </si>
  <si>
    <t xml:space="preserve">Inventaire actualisé des logiciels installés sur les postes de travail et serveurs (généré par un outil de découverte ou manuellement).</t>
  </si>
  <si>
    <t xml:space="preserve">Existence de mesures de sécurité pour protéger les archives électroniques.</t>
  </si>
  <si>
    <t xml:space="preserve">Des mesures de sécurité existent-elles pour protéger les archives électroniques ?</t>
  </si>
  <si>
    <t xml:space="preserve">Inventaire actualisé des licences logicielles détenues par l'entreprise (base de données, fichier Excel, outil de gestion des actifs logiciels - SAM).</t>
  </si>
  <si>
    <t xml:space="preserve">Compromission des archives par des mesures de sécurité insuffisantes.</t>
  </si>
  <si>
    <t xml:space="preserve">Exposition des archives à des risques de corruption ou d’altération.</t>
  </si>
  <si>
    <t xml:space="preserve">Exemples de preuves d'achat des licences (factures, certificats de licence, contrats de maintenance/souscription).</t>
  </si>
  <si>
    <t xml:space="preserve">Capacité à restituer les archives dans les délais et formats requis.</t>
  </si>
  <si>
    <t xml:space="preserve">La capacité à restituer les archives dans les délais/formats requis est-elle assurée ?</t>
  </si>
  <si>
    <t xml:space="preserve">Rapport de rapprochement entre l'inventaire des logiciels installés et l'inventaire des licences détenues (démontrant la conformité ou identifiant les écarts).</t>
  </si>
  <si>
    <t xml:space="preserve">Retards ou incapacité à restituer les archives demandées.</t>
  </si>
  <si>
    <t xml:space="preserve">Difficulté ou impossibilité de répondre aux demandes de restitution.</t>
  </si>
  <si>
    <t xml:space="preserve">Documentation technique des mesures empêchant l'installation (ex: configuration GPO interdisant l'exécution d'installateurs, droits utilisateurs restreints, whitelisting/blacklisting d'applications).</t>
  </si>
  <si>
    <t xml:space="preserve">Preuves de sensibilisation/formation du personnel sur les procédures d'archivage.</t>
  </si>
  <si>
    <t xml:space="preserve">Existe-t-il des preuves de formation/sensibilisation du personnel aux procédures d'archivage ?</t>
  </si>
  <si>
    <t xml:space="preserve">Rapports générés par les outils de sécurité/inventaire détectant les logiciels non autorisés OU Procédure de revue périodique des logiciels installés.</t>
  </si>
  <si>
    <t xml:space="preserve">Non-respect des procédures d’archivage par manque de sensibilisation.</t>
  </si>
  <si>
    <t xml:space="preserve">Non-respect des bonnes pratiques d’archivage entraînant des risques légaux.</t>
  </si>
  <si>
    <t xml:space="preserve">Supports de formation/sensibilisation ou communications (e-mails, intranet) informant le personnel sur la politique de gestion des logiciels et les risques (légaux, sécurité) liés aux logiciels non conformes.</t>
  </si>
  <si>
    <t xml:space="preserve">Vérifier que les articles sur la propriété intellectuelle / logiciel «
pirate » sont connus respectés.</t>
  </si>
  <si>
    <t xml:space="preserve">Existence et application d'une politique de gestion des licences logicielles.</t>
  </si>
  <si>
    <t xml:space="preserve">La politique de gestion des licences logicielles existe-t-elle et est-elle appliquée ?</t>
  </si>
  <si>
    <t xml:space="preserve">Utilisation illégale de logiciels par absence de politique de gestion des licences.</t>
  </si>
  <si>
    <t xml:space="preserve">Sanctions légales et augmentation des coûts liés à l’utilisation non conforme de logiciels.</t>
  </si>
  <si>
    <t xml:space="preserve">Inventaire à jour des logiciels installés et des licences détenues.</t>
  </si>
  <si>
    <t xml:space="preserve">L'inventaire des logiciels installés et des licences détenues est-il à jour ?</t>
  </si>
  <si>
    <t xml:space="preserve">Surcoûts ou sanctions par un inventaire des licences non actualisé.</t>
  </si>
  <si>
    <t xml:space="preserve">Perte de ressources et potentiel de sanction pour une gestion des licences inadéquate.</t>
  </si>
  <si>
    <t xml:space="preserve">Preuves d'achat et conformité des licences utilisées.</t>
  </si>
  <si>
    <t xml:space="preserve">Les preuves d'achat et la conformité des licences utilisées sont-elles disponibles ?</t>
  </si>
  <si>
    <t xml:space="preserve">Non-conformité légale par manque de preuves d’achat des licences.</t>
  </si>
  <si>
    <t xml:space="preserve">Risque juridique en cas de non-présentation de documents légaux.</t>
  </si>
  <si>
    <t xml:space="preserve">Mise en place de contrôles empêchant/détectant l'installation de logiciels non autorisés/piratés.</t>
  </si>
  <si>
    <t xml:space="preserve">Des contrôles empêchent-ils ou détectent-ils l'installation de logiciels non autorisés ?</t>
  </si>
  <si>
    <t xml:space="preserve">Installation de logiciels piratés par absence de contrôles efficaces.</t>
  </si>
  <si>
    <t xml:space="preserve">Exposition aux attaques et aux risques légaux liés à l’utilisation de logiciels piratés.</t>
  </si>
  <si>
    <t xml:space="preserve">Sensibilisation du personnel aux risques liés à l'utilisation de logiciels non licenciés.</t>
  </si>
  <si>
    <t xml:space="preserve">Le personnel est-il sensibilisé aux risques liés à l'utilisation de logiciels non licenciés ?</t>
  </si>
  <si>
    <t xml:space="preserve">Violations de licences par manque de sensibilisation du personnel.</t>
  </si>
  <si>
    <t xml:space="preserve">Pertes financières et réputationnelles dues à des violations de licences.</t>
  </si>
  <si>
    <t xml:space="preserve">Charte informatique signée par les employés mentionnant les règles d'installation et d'utilisation des logiciels.</t>
  </si>
  <si>
    <t xml:space="preserve">Domaine</t>
  </si>
  <si>
    <t xml:space="preserve">Audit et Contrôle des Projets Informatiques</t>
  </si>
  <si>
    <t xml:space="preserve">Objectifs et enjeux du projet</t>
  </si>
  <si>
    <t xml:space="preserve">S’assurer qu’une étude de la valeur et des études d'opportunité
et d'impacts ont été réalisées ;</t>
  </si>
  <si>
    <t xml:space="preserve">Existence d'un document formel d'étude de la valeur avec analyse coûts/bénéfices quantifiée</t>
  </si>
  <si>
    <t xml:space="preserve">Un document formel d'étude de la valeur avec une analyse coûts/bénéfices quantifiée a-t-il été établi ?</t>
  </si>
  <si>
    <t xml:space="preserve">Non</t>
  </si>
  <si>
    <t xml:space="preserve">Registre des risques du projet</t>
  </si>
  <si>
    <t xml:space="preserve">Absence d'une étude complète d'analyse de la valeur ajoutée compromettant la justification économique du projet.</t>
  </si>
  <si>
    <t xml:space="preserve">Absence de justification économique du projet, pouvant entraîner un rejet par la direction.</t>
  </si>
  <si>
    <t xml:space="preserve">Élaborez un modèle standardisé pour l’étude de la valeur, incluant une analyse coûts/bénéfices claire et quantifiée.</t>
  </si>
  <si>
    <t xml:space="preserve">Plan de gestion des risques</t>
  </si>
  <si>
    <t xml:space="preserve">Présence d'une analyse des impacts organisationnels, techniques et humains documentée</t>
  </si>
  <si>
    <t xml:space="preserve">Existe-t-il une analyse documentée des impacts organisationnels, techniques et humains du projet ?</t>
  </si>
  <si>
    <t xml:space="preserve">Oui</t>
  </si>
  <si>
    <t xml:space="preserve">Diagramme des processus (ex. BPMN ou flowchart)</t>
  </si>
  <si>
    <t xml:space="preserve">Sous-estimation des perturbations organisationnelles et résistances au changement faute d'analyse d'impact approfondie.</t>
  </si>
  <si>
    <t xml:space="preserve">Manque de préparation aux changements, risquant des résistances organisationnelles ou des échecs techniques.</t>
  </si>
  <si>
    <t xml:space="preserve">Impliquez des experts financiers pour valider les hypothèses et les projections de l’étude de la valeur.</t>
  </si>
  <si>
    <t xml:space="preserve">Rapport de validation de la cartographie par les parties prenantes</t>
  </si>
  <si>
    <t xml:space="preserve">Validation de l'étude d'opportunité par les parties prenantes concernées (signatures, PV de réunion)</t>
  </si>
  <si>
    <t xml:space="preserve">L'étude d'opportunité a-t-elle été formellement validée par les parties prenantes concernées (signatures, PV de réunion) ?</t>
  </si>
  <si>
    <t xml:space="preserve">Rapport d’analyse des inefficacités</t>
  </si>
  <si>
    <t xml:space="preserve">Contestation ultérieure des choix initiaux par absence de validation formelle des parties prenantes.</t>
  </si>
  <si>
    <t xml:space="preserve">Décision non validée, pouvant conduire à un manque de soutien des parties prenantes.</t>
  </si>
  <si>
    <t xml:space="preserve">Réalisez une analyse des impacts à l’aide d’un cadre structuré (ex. : matrice SWOT) couvrant les dimensions organisationnelles, techniques et humaines.</t>
  </si>
  <si>
    <t xml:space="preserve">Compte-rendu des ateliers avec les utilisateurs</t>
  </si>
  <si>
    <t xml:space="preserve">Cohérence entre les bénéfices attendus et les objectifs stratégiques de l'entreprise</t>
  </si>
  <si>
    <t xml:space="preserve">Les bénéfices attendus du projet sont-ils clairement alignés avec les objectifs stratégiques de l'entreprise ?</t>
  </si>
  <si>
    <t xml:space="preserve">Tableau de bord des KPI actuels</t>
  </si>
  <si>
    <t xml:space="preserve">Désalignement entre les investissements informatiques et les priorités stratégiques de l'entreprise.</t>
  </si>
  <si>
    <t xml:space="preserve">Déviation des objectifs stratégiques, réduisant l’impact positif du projet.</t>
  </si>
  <si>
    <t xml:space="preserve">Organisez des ateliers avec les parties prenantes pour identifier et documenter les impacts potentiels.</t>
  </si>
  <si>
    <t xml:space="preserve">Méthodologie de collecte et de calcul des KPI</t>
  </si>
  <si>
    <t xml:space="preserve">Évaluation des risques potentiels liés au projet et mesures d'atténuation identifiées</t>
  </si>
  <si>
    <t xml:space="preserve">Les risques potentiels liés au projet ont-ils été évalués et des mesures d'atténuation ont-elles été identifiées ?</t>
  </si>
  <si>
    <t xml:space="preserve">Procès-verbal des réunions de consultation</t>
  </si>
  <si>
    <t xml:space="preserve">Exposition à des menaces non anticipées pouvant compromettre le succès du projet.</t>
  </si>
  <si>
    <t xml:space="preserve">Exposition à des échecs imprévus due à l’absence de gestion proactive des risques.</t>
  </si>
  <si>
    <t xml:space="preserve">Mettez en place un processus formel de validation impliquant toutes les parties prenantes, avec signatures et PV de réunion.</t>
  </si>
  <si>
    <t xml:space="preserve">Questionnaire ou grille de collecte des retours</t>
  </si>
  <si>
    <t xml:space="preserve">S’assurer qu’un bilan critique des processus existants a été
Effectué ;</t>
  </si>
  <si>
    <t xml:space="preserve">Existence d'une cartographie complète des processus actuels</t>
  </si>
  <si>
    <t xml:space="preserve">Une cartographie complète des processus actuels a-t-elle été réalisée ?</t>
  </si>
  <si>
    <t xml:space="preserve">Rapport d’analyse comparative (benchmarking)</t>
  </si>
  <si>
    <t xml:space="preserve">Développement de solutions inadaptées par méconnaissance des flux de travail actuels.</t>
  </si>
  <si>
    <t xml:space="preserve">Vision incomplète des opérations, entraînant des solutions inadaptées.</t>
  </si>
  <si>
    <t xml:space="preserve">Utilisez un outil de gestion de projet pour consigner les validations et assurer leur traçabilité.</t>
  </si>
  <si>
    <t xml:space="preserve">Liste des écarts identifiés avec priorisation</t>
  </si>
  <si>
    <t xml:space="preserve">Plan d’optimisation des processus</t>
  </si>
  <si>
    <t xml:space="preserve">Persistance de problèmes opérationnels non identifiés dans le nouveau système.</t>
  </si>
  <si>
    <t xml:space="preserve">Maintien de processus inefficaces, nuisant à la performance globale.</t>
  </si>
  <si>
    <t xml:space="preserve">Alignez les bénéfices attendus sur les objectifs stratégiques via une matrice de correspondance validée par la direction.</t>
  </si>
  <si>
    <t xml:space="preserve">Documentation des inefficacités, goulots d'étranglement et points de douleur identifiés</t>
  </si>
  <si>
    <t xml:space="preserve">Les inefficacités, goulots d'étranglement et points de douleur ont-ils été documentés ?</t>
  </si>
  <si>
    <t xml:space="preserve">Rapport d’évaluation des résultats des optimisations</t>
  </si>
  <si>
    <t xml:space="preserve">Comparatif des KPI avant/après optimisation</t>
  </si>
  <si>
    <t xml:space="preserve">Impossibilité d'évaluer objectivement les améliorations apportées par le projet.</t>
  </si>
  <si>
    <t xml:space="preserve">Incapacité à évaluer les progrès ou à identifier les priorités d’amélioration.</t>
  </si>
  <si>
    <t xml:space="preserve">Organisez des revues régulières avec les parties prenantes pour vérifier la cohérence des bénéfices avec les priorités stratégiques.</t>
  </si>
  <si>
    <t xml:space="preserve">Mesure des performances actuelles avec indicateurs quantifiables (KPI)</t>
  </si>
  <si>
    <t xml:space="preserve">Des indicateurs quantifiables (KPI) mesurant les performances actuelles sont-ils en place ?</t>
  </si>
  <si>
    <t xml:space="preserve">Rapport d’audit des gains réalisés</t>
  </si>
  <si>
    <t xml:space="preserve">Étude d’impact comparatif</t>
  </si>
  <si>
    <t xml:space="preserve">Conception de solutions déconnectées des besoins réels des utilisateurs.</t>
  </si>
  <si>
    <t xml:space="preserve">Solutions déconnectées des besoins réels, risquant un rejet par les utilisateurs.</t>
  </si>
  <si>
    <t xml:space="preserve">Établissez un registre des risques avec une méthode standard (ex. : AMDEC) pour identifier et évaluer les risques.</t>
  </si>
  <si>
    <t xml:space="preserve">Consultation formelle des utilisateurs et parties prenantes sur les problèmes rencontrés</t>
  </si>
  <si>
    <t xml:space="preserve">Une consultation formelle des utilisateurs et parties prenantes sur les problèmes rencontrés a-t-elle été menée ?</t>
  </si>
  <si>
    <t xml:space="preserve">Matrice de décision</t>
  </si>
  <si>
    <t xml:space="preserve">Analyse financière du ROI</t>
  </si>
  <si>
    <t xml:space="preserve">Perpétuation des pratiques sous-optimales par méconnaissance des standards du secteur.</t>
  </si>
  <si>
    <t xml:space="preserve">Maintien de pratiques obsolètes, réduisant la compétitivité de l’entreprise.</t>
  </si>
  <si>
    <t xml:space="preserve">Définissez des plans d’atténuation clairs pour chaque risque, avec des responsables désignés et des échéances.</t>
  </si>
  <si>
    <t xml:space="preserve">Identification des écarts entre l'état actuel et les meilleures pratiques du secteur</t>
  </si>
  <si>
    <t xml:space="preserve">Les écarts entre l'état actuel et les meilleures pratiques du secteur ont-ils été identifiés ?</t>
  </si>
  <si>
    <t xml:space="preserve">Hypothèses et méthodologie du calcul du ROI</t>
  </si>
  <si>
    <t xml:space="preserve">S’assurer que le choix de recourir à un nouveau système est
obtenu après optimisation des processus concernés et vérification
que cette optimisation ne suffit pas à apporter par elle-même les gains
de performance attendus ;</t>
  </si>
  <si>
    <t xml:space="preserve">Preuve d'actions d'optimisation des processus existants avant décision de changement de système</t>
  </si>
  <si>
    <t xml:space="preserve">Des actions d'optimisation des processus existants ont-elles été entreprises avant la décision de changer de système ?</t>
  </si>
  <si>
    <t xml:space="preserve">Procès-verbal de la réunion de validation par la direction</t>
  </si>
  <si>
    <t xml:space="preserve">Surinvestissement dans de nouvelles solutions alors que l'optimisation des processus existants aurait pu suffire.</t>
  </si>
  <si>
    <t xml:space="preserve">Décision hâtive de changement de système, gaspillant des ressources sur des solutions non nécessaires.</t>
  </si>
  <si>
    <t xml:space="preserve">Utilisez un outil de cartographie des processus (ex. : BPMN) pour documenter les processus actuels de manière complète.</t>
  </si>
  <si>
    <t xml:space="preserve">Note de synthèse pour la direction</t>
  </si>
  <si>
    <t xml:space="preserve">Mesure des gains de performance obtenus après optimisation des processus existants</t>
  </si>
  <si>
    <t xml:space="preserve">Les gains de performance obtenus après optimisation des processus existants ont-ils été mesurés ?</t>
  </si>
  <si>
    <t xml:space="preserve">Document de cadrage du projet (Project Charter)</t>
  </si>
  <si>
    <t xml:space="preserve">Incapacité à quantifier les bénéfices réels des améliorations de processus déjà réalisées.</t>
  </si>
  <si>
    <t xml:space="preserve">Incapacité à prouver l’efficacité des optimisations, affaiblissant la justification du projet.</t>
  </si>
  <si>
    <t xml:space="preserve">Impliquez les équipes opérationnelles pour valider l’exactitude de la cartographie des processus.</t>
  </si>
  <si>
    <t xml:space="preserve">Fiche de validation signée par les parties prenantes</t>
  </si>
  <si>
    <t xml:space="preserve">Analyse comparative documentée entre l'amélioration des processus existants et l'adoption d'un nouveau système</t>
  </si>
  <si>
    <t xml:space="preserve">Une analyse comparative entre l'amélioration des processus existants et l'adoption d'un nouveau système a-t-elle été documentée ?</t>
  </si>
  <si>
    <t xml:space="preserve">Liste des indicateurs SMART</t>
  </si>
  <si>
    <t xml:space="preserve">Décision d'investissement biaisée par absence de comparaison méthodique entre options stratégiques.</t>
  </si>
  <si>
    <t xml:space="preserve">Choix non éclairé entre optimisation et nouveau système, risquant des investissements inadéquats.</t>
  </si>
  <si>
    <t xml:space="preserve">Documentez les inefficacités dans un rapport structuré, en utilisant des diagrammes pour illustrer les goulots d’étranglement.</t>
  </si>
  <si>
    <t xml:space="preserve">Plan de suivi des indicateurs</t>
  </si>
  <si>
    <t xml:space="preserve">Évaluation du retour sur investissement (ROI) des différentes options envisagées</t>
  </si>
  <si>
    <t xml:space="preserve">Le retour sur investissement (ROI) des différentes options envisagées a-t-il été évalué ?</t>
  </si>
  <si>
    <t xml:space="preserve">Compte-rendu des ateliers de communication</t>
  </si>
  <si>
    <t xml:space="preserve">Sélection de solutions non optimales économiquement par manque d'analyse comparative rigoureuse.</t>
  </si>
  <si>
    <t xml:space="preserve">Sous-estimation des coûts ou surestimation des bénéfices, faussant la décision d’investissement.</t>
  </si>
  <si>
    <t xml:space="preserve">Priorisez les points de douleur identifiés en fonction de leur impact sur les performances opérationnelles.</t>
  </si>
  <si>
    <t xml:space="preserve">Retours formalisés des parties prenantes (ex. formulaires d’adhésion)</t>
  </si>
  <si>
    <t xml:space="preserve">Validation formelle par la direction que l'optimisation seule est insuffisante pour atteindre les objectifs visés</t>
  </si>
  <si>
    <t xml:space="preserve">La direction a-t-elle formellement validé que l'optimisation seule est insuffisante pour atteindre les objectifs visés ?</t>
  </si>
  <si>
    <t xml:space="preserve">Investissement dans un nouveau système sans preuve de la nécessité absolue de remplacement.</t>
  </si>
  <si>
    <t xml:space="preserve">Manque de soutien stratégique, compromettant la priorité accordée au projet.</t>
  </si>
  <si>
    <t xml:space="preserve">Définissez des KPI clairs et mesurables, alignés sur les objectifs opérationnels, pour évaluer les performances actuelles.</t>
  </si>
  <si>
    <t xml:space="preserve">Registre des demandes de changement</t>
  </si>
  <si>
    <t xml:space="preserve">S’assure que les objectifs et périmètres du projet sont définis,
partagés et stabilisés ;</t>
  </si>
  <si>
    <t xml:space="preserve">Existence d'un document de cadrage validé définissant clairement les objectifs et le périmètre</t>
  </si>
  <si>
    <t xml:space="preserve">Existe-t-il un document de cadrage validé définissant clairement les objectifs et le périmètre du projet ?</t>
  </si>
  <si>
    <t xml:space="preserve">Matrice d’alignement stratégique</t>
  </si>
  <si>
    <t xml:space="preserve">Dérive progressive du projet par absence de référentiel clair définissant les objectifs et limites.</t>
  </si>
  <si>
    <t xml:space="preserve">Objectifs flous ou mal définis, entraînant des dérives de périmètre.</t>
  </si>
  <si>
    <t xml:space="preserve">Mettez en place un tableau de bord pour suivre les KPI en temps réel et faciliter l’analyse.</t>
  </si>
  <si>
    <t xml:space="preserve">Plan stratégique de l’organisation</t>
  </si>
  <si>
    <t xml:space="preserve">Définition d'indicateurs de succès mesurables (SMART) pour chaque objectif</t>
  </si>
  <si>
    <t xml:space="preserve">Des indicateurs de succès mesurables (SMART) ont-ils été définis pour chaque objectif du projet ?</t>
  </si>
  <si>
    <t xml:space="preserve">Cahier des exigences (SRS - Software Requirements Specification)</t>
  </si>
  <si>
    <t xml:space="preserve">Impossibilité d'évaluer objectivement le succès du projet faute d'indicateurs mesurables.</t>
  </si>
  <si>
    <t xml:space="preserve">Incapacité à mesurer le succès, rendant l’évaluation du projet subjective.</t>
  </si>
  <si>
    <t xml:space="preserve">Organisez des sessions de consultation formelles avec les utilisateurs, en utilisant des questionnaires structurés pour recueillir leurs retours.</t>
  </si>
  <si>
    <t xml:space="preserve">Matrice de traçabilité des exigences</t>
  </si>
  <si>
    <t xml:space="preserve">Preuve de communication et d'adhésion des parties prenantes aux objectifs et périmètres (réunions, ateliers)</t>
  </si>
  <si>
    <t xml:space="preserve">Existe-t-il des preuves de communication et d'adhésion des parties prenantes aux objectifs et périmètres du projet ?</t>
  </si>
  <si>
    <t xml:space="preserve">Schéma d’architecture technique</t>
  </si>
  <si>
    <t xml:space="preserve">Désengagement progressif des parties prenantes par manque d'implication initiale dans la définition des objectifs.</t>
  </si>
  <si>
    <t xml:space="preserve">Résistance au changement due à un manque d’adhésion, freinant l’implémentation.</t>
  </si>
  <si>
    <t xml:space="preserve">Documentez les résultats des consultations dans un rapport consolidé, partagé avec les parties prenantes.</t>
  </si>
  <si>
    <t xml:space="preserve">Document de description de l’architecture</t>
  </si>
  <si>
    <t xml:space="preserve">Procédure formelle de gestion des modifications de périmètre (change management)</t>
  </si>
  <si>
    <t xml:space="preserve">Une procédure formelle de gestion des modifications de périmètre (change management) a-t-elle été mise en place ?</t>
  </si>
  <si>
    <t xml:space="preserve">Inventaire des interfaces</t>
  </si>
  <si>
    <t xml:space="preserve">Expansion incontrôlée du périmètre ("scope creep") compromettant les délais et budgets.</t>
  </si>
  <si>
    <t xml:space="preserve">Modifications non contrôlées, provoquant des retards ou des surcoûts.</t>
  </si>
  <si>
    <t xml:space="preserve">Comparez l’état actuel aux meilleures pratiques du secteur à l’aide de benchmarks externes ou de normes reconnues.</t>
  </si>
  <si>
    <t xml:space="preserve">Diagramme des flux de données</t>
  </si>
  <si>
    <t xml:space="preserve">Alignement documenté entre les objectifs du projet et les objectifs stratégiques de l'organisation</t>
  </si>
  <si>
    <t xml:space="preserve">L'alignement entre les objectifs du projet et les objectifs stratégiques de l'organisation est-il documenté ?</t>
  </si>
  <si>
    <t xml:space="preserve">Plan de migration</t>
  </si>
  <si>
    <t xml:space="preserve">Développement de solutions informatiques sans valeur métier directe pour l'organisation.</t>
  </si>
  <si>
    <t xml:space="preserve">Déconnexion avec la stratégie globale, réduisant la valeur du projet.</t>
  </si>
  <si>
    <t xml:space="preserve">Impliquez des consultants externes pour identifier les écarts critiques et proposer des améliorations.</t>
  </si>
  <si>
    <t xml:space="preserve">Analyse des risques de migration</t>
  </si>
  <si>
    <t xml:space="preserve">S’assurer que les principales orientations du système cible ont
été explicitées ;</t>
  </si>
  <si>
    <t xml:space="preserve">Documentation des exigences fonctionnelles et non-fonctionnelles principales du système cible</t>
  </si>
  <si>
    <t xml:space="preserve">Les exigences fonctionnelles et non-fonctionnelles principales du système cible sont-elles documentées ?</t>
  </si>
  <si>
    <t xml:space="preserve">Procès-verbal des réunions de validation technique</t>
  </si>
  <si>
    <t xml:space="preserve">Création de fonctionnalités inadaptées aux besoins réels par manque de documentation précise des exigences.</t>
  </si>
  <si>
    <t xml:space="preserve">Solutions inadéquates ou incomplètes, ne répondant pas aux besoins réels.</t>
  </si>
  <si>
    <t xml:space="preserve">Mettez en œuvre des actions d’optimisation mesurables avant toute décision de changement, en documentant chaque initiative.</t>
  </si>
  <si>
    <t xml:space="preserve">Rapport technique des experts</t>
  </si>
  <si>
    <t xml:space="preserve">Définition de l'architecture technique globale envisagée</t>
  </si>
  <si>
    <t xml:space="preserve">L'architecture technique globale envisagée a-t-elle été définie ?</t>
  </si>
  <si>
    <t xml:space="preserve">Matrice RACI</t>
  </si>
  <si>
    <t xml:space="preserve">Incompatibilité avec l'infrastructure existante par absence de vision architecturale globale.</t>
  </si>
  <si>
    <t xml:space="preserve">Conception technique inadaptée, entraînant des problèmes de performance ou d’évolutivité.</t>
  </si>
  <si>
    <t xml:space="preserve">Utilisez des pilotes ou des tests pour valider l’efficacité des optimisations avant leur déploiement à grande échelle.</t>
  </si>
  <si>
    <t xml:space="preserve">Document de validation de la matrice RACI</t>
  </si>
  <si>
    <t xml:space="preserve">Identification des interfaces critiques avec les autres systèmes</t>
  </si>
  <si>
    <t xml:space="preserve">Les interfaces critiques avec les autres systèmes ont-elles été identifiées ?</t>
  </si>
  <si>
    <t xml:space="preserve">Lettre de nomination du sponsor</t>
  </si>
  <si>
    <t xml:space="preserve">Ruptures fonctionnelles avec les systèmes connexes par manque d'identification des interfaces critiques.</t>
  </si>
  <si>
    <t xml:space="preserve">Dysfonctionnements dus à des interfaces mal gérées, affectant l’intégration.</t>
  </si>
  <si>
    <t xml:space="preserve">Mesurez les gains de performance post-optimisation à l’aide de KPI comparables à l’état initial.</t>
  </si>
  <si>
    <t xml:space="preserve">Charte des responsabilités du sponsor</t>
  </si>
  <si>
    <t xml:space="preserve">Élaboration d'une stratégie de migration/transition depuis les systèmes existants</t>
  </si>
  <si>
    <t xml:space="preserve">Une stratégie de migration/transition depuis les systèmes existants a-t-elle été élaborée ?</t>
  </si>
  <si>
    <t xml:space="preserve">Acte de nomination du chef de projet</t>
  </si>
  <si>
    <t xml:space="preserve">Perturbations opérationnelles majeures lors du déploiement faute de stratégie de transition clairement définie.</t>
  </si>
  <si>
    <t xml:space="preserve">Transition chaotique, risquant des interruptions de service ou des pertes de données.</t>
  </si>
  <si>
    <t xml:space="preserve">Documentez les résultats dans un rapport clair, en mettant en évidence les améliorations quantifiées.</t>
  </si>
  <si>
    <t xml:space="preserve">Fiche de poste ou termes de référence</t>
  </si>
  <si>
    <t xml:space="preserve">Validation des orientations techniques par les experts métiers et IT concernés</t>
  </si>
  <si>
    <t xml:space="preserve">Les orientations techniques ont-elles été validées par les experts métiers et IT concernés ?</t>
  </si>
  <si>
    <t xml:space="preserve">Liste des utilisateurs clés avec leur rôle</t>
  </si>
  <si>
    <t xml:space="preserve">Rejet des solutions techniques par inadéquation avec les contraintes opérationnelles réelles.</t>
  </si>
  <si>
    <t xml:space="preserve">Solutions non viables, rejetées par les experts, entraînant des retards.</t>
  </si>
  <si>
    <t xml:space="preserve">Réalisez une analyse comparative structurée (ex. : matrice décisionnelle) pour évaluer les options d’optimisation versus nouveau système.</t>
  </si>
  <si>
    <t xml:space="preserve">Plan d’implication des utilisateurs</t>
  </si>
  <si>
    <t xml:space="preserve">S’assurer que les principaux acteurs sont identifiés ;</t>
  </si>
  <si>
    <t xml:space="preserve">Existence d'une matrice RACI (Responsable, Approbateur, Consulté, Informé) complète</t>
  </si>
  <si>
    <t xml:space="preserve">Une matrice RACI (Responsable, Approbateur, Consulté, Informé) complète a-t-elle été établie ?</t>
  </si>
  <si>
    <t xml:space="preserve">Contrat ou accord avec les prestataires</t>
  </si>
  <si>
    <t xml:space="preserve">Confusion dans l'exécution des tâches et prises de décision par absence de clarification des responsabilités.</t>
  </si>
  <si>
    <t xml:space="preserve">Confusion des rôles, provoquant des retards ou des conflits internes.</t>
  </si>
  <si>
    <t xml:space="preserve">Impliquez les parties prenantes clés dans la validation de l’analyse comparative pour garantir son objectivité.</t>
  </si>
  <si>
    <t xml:space="preserve">Annexe des responsabilités des partenaires</t>
  </si>
  <si>
    <t xml:space="preserve">Désignation formelle d'un sponsor de projet avec autorité suffisante</t>
  </si>
  <si>
    <t xml:space="preserve">Un sponsor de projet disposant d'une autorité suffisante a-t-il été formellement désigné ?</t>
  </si>
  <si>
    <t xml:space="preserve">Cahier des charges signé</t>
  </si>
  <si>
    <t xml:space="preserve">Manque de soutien exécutif lors des arbitrages critiques par défaut de sponsor officiel engagé.</t>
  </si>
  <si>
    <t xml:space="preserve">Manque de leadership, affaiblissant la prise de décision et la coordination.</t>
  </si>
  <si>
    <t xml:space="preserve">Calculez le ROI de chaque option à l’aide d’un modèle financier standardisé, incluant les coûts directs et indirects.</t>
  </si>
  <si>
    <t xml:space="preserve">Procès-verbal de validation du cahier des charges</t>
  </si>
  <si>
    <t xml:space="preserve">Nomination documentée d'un chef de projet et définition de ses responsabilités</t>
  </si>
  <si>
    <t xml:space="preserve">Un chef de projet a-t-il été nommé officiellement et ses responsabilités ont-elles été clairement définies ?</t>
  </si>
  <si>
    <t xml:space="preserve">Document des spécifications fonctionnelles</t>
  </si>
  <si>
    <t xml:space="preserve">Pilotage inefficace par absence de chef de projet formellement mandaté et légitimé.</t>
  </si>
  <si>
    <t xml:space="preserve">Pilotage inefficace, entraînant des erreurs ou des retards dans l’exécution.</t>
  </si>
  <si>
    <t xml:space="preserve">Faites valider les hypothèses du ROI par un comité financier pour garantir leur fiabilité.</t>
  </si>
  <si>
    <t xml:space="preserve">Matrice de conformité des spécifications</t>
  </si>
  <si>
    <t xml:space="preserve">Identification des utilisateurs clés et de leur niveau d'implication dans le projet</t>
  </si>
  <si>
    <t xml:space="preserve">Les utilisateurs clés et leur niveau d'implication dans le projet ont-ils été clairement identifiés ?</t>
  </si>
  <si>
    <t xml:space="preserve">Étude de la valeur avec analyse coûts/bénéfices</t>
  </si>
  <si>
    <t xml:space="preserve">Développement de fonctionnalités peu pertinentes par manque d'implication des utilisateurs experts.</t>
  </si>
  <si>
    <t xml:space="preserve">Manque d’implication des utilisateurs, réduisant l’adoption de la solution.</t>
  </si>
  <si>
    <t xml:space="preserve">Obtenez une validation écrite de la direction, justifiant pourquoi l’optimisation seule est insuffisante, avec des arguments chiffrés.</t>
  </si>
  <si>
    <t xml:space="preserve">Modèle de calcul des coûts et bénéfices</t>
  </si>
  <si>
    <t xml:space="preserve">Définition claire des rôles des prestataires externes et partenaires impliqués dans le projet</t>
  </si>
  <si>
    <t xml:space="preserve">Les rôles des prestataires externes et partenaires impliqués dans le projet sont-ils clairement définis ?</t>
  </si>
  <si>
    <t xml:space="preserve">Rapport d’analyse des impacts organisationnels, techniques et humains</t>
  </si>
  <si>
    <t xml:space="preserve">Coordination défaillante avec les prestataires externes par manque de clarté dans la définition des responsabilités.</t>
  </si>
  <si>
    <t xml:space="preserve">Mauvaise coordination avec les prestataires, causant des écarts de livraison.</t>
  </si>
  <si>
    <t xml:space="preserve">Organisez une réunion formelle avec la direction pour présenter les conclusions et recueillir leur approbation.</t>
  </si>
  <si>
    <t xml:space="preserve">Plan de gestion des impacts</t>
  </si>
  <si>
    <t xml:space="preserve">Étude d'opportunité et expression des besoins</t>
  </si>
  <si>
    <t xml:space="preserve">S’assurer que l'expression détaillée des besoins est formalisée
dans un cahier des charges fait par la MOA ;</t>
  </si>
  <si>
    <t xml:space="preserve">Existence d'un cahier des charges validé et signé par la MOA</t>
  </si>
  <si>
    <t xml:space="preserve">Existe-t-il un cahier des charges validé et signé par la MOA ?</t>
  </si>
  <si>
    <t xml:space="preserve">Procès-verbal de validation de l’étude d’opportunité</t>
  </si>
  <si>
    <t xml:space="preserve">Livraison d'un système non conforme aux attentes par absence de référentiel contractuel validé.</t>
  </si>
  <si>
    <t xml:space="preserve">Solutions non alignées avec les besoins, risquant un rejet par les utilisateurs.</t>
  </si>
  <si>
    <t xml:space="preserve">Rédigez un document de cadrage clair, avec des objectifs et un périmètre validés par toutes les parties prenantes.</t>
  </si>
  <si>
    <t xml:space="preserve">Fiche de signatures des parties prenantes</t>
  </si>
  <si>
    <t xml:space="preserve">Détail et précision des spécifications fonctionnelles dans le document</t>
  </si>
  <si>
    <t xml:space="preserve">Les spécifications fonctionnelles sont-elles détaillées et précises dans le document ?</t>
  </si>
  <si>
    <t xml:space="preserve">Analyse de cohérence des bénéfices attendus</t>
  </si>
  <si>
    <t xml:space="preserve">Développement de fonctionnalités imprécises ou incomplètes par manque de détail dans les spécifications.</t>
  </si>
  <si>
    <t xml:space="preserve">Solutions vagues ou incomplètes, entraînant des développements coûteux pour corriger.</t>
  </si>
  <si>
    <t xml:space="preserve">Utilisez un modèle standard pour le document de cadrage afin d’assurer sa complétude et sa clarté.</t>
  </si>
  <si>
    <t xml:space="preserve">Matrice de correspondance bénéfices-objectifs stratégiques</t>
  </si>
  <si>
    <t xml:space="preserve">Clarté et exhaustivité des besoins exprimés (sans ambiguïté)</t>
  </si>
  <si>
    <t xml:space="preserve">Les besoins exprimés sont-ils clairs et exhaustifs, sans ambiguïté ?</t>
  </si>
  <si>
    <t xml:space="preserve">Interprétations divergentes des besoins entre équipes techniques et métiers par ambiguïté des exigences.</t>
  </si>
  <si>
    <t xml:space="preserve">Besoins mal compris, conduisant à une solution inadaptée.</t>
  </si>
  <si>
    <t xml:space="preserve">Définissez des indicateurs SMART pour chaque objectif, en les alignant sur les priorités stratégiques.</t>
  </si>
  <si>
    <t xml:space="preserve">Processus documenté de collecte des besoins auprès des utilisateurs finaux</t>
  </si>
  <si>
    <t xml:space="preserve">Le processus de collecte des besoins auprès des utilisateurs finaux est-il documenté ?</t>
  </si>
  <si>
    <t xml:space="preserve">Omission de besoins critiques par déficience du processus de recueil des exigences.</t>
  </si>
  <si>
    <t xml:space="preserve">Besoins mal recueillis, ignorant des attentes critiques des utilisateurs.</t>
  </si>
  <si>
    <t xml:space="preserve">Validez les indicateurs avec les parties prenantes pour garantir leur pertinence et leur mesurabilité.</t>
  </si>
  <si>
    <t xml:space="preserve">Traçabilité entre les besoins exprimés et les objectifs stratégiques du projet</t>
  </si>
  <si>
    <t xml:space="preserve">Existe-t-il une traçabilité entre les besoins exprimés et les objectifs stratégiques du projet ?</t>
  </si>
  <si>
    <t xml:space="preserve">Développement de fonctionnalités sans valeur ajoutée réelle pour l'entreprise.</t>
  </si>
  <si>
    <t xml:space="preserve">Solutions déconnectées des objectifs stratégiques, réduisant leur pertinence.</t>
  </si>
  <si>
    <t xml:space="preserve">Organisez des ateliers et des réunions pour communiquer les objectifs et le périmètre, en consignant l’adhésion des parties prenantes.</t>
  </si>
  <si>
    <t xml:space="preserve">S’assurer que le cahier des charges préconise une solution
fonctionnellement et techniquement pertinente au regard des besoins
Exprimés</t>
  </si>
  <si>
    <t xml:space="preserve">Adéquation démontrée entre les fonctionnalités préconisées et les besoins exprimés</t>
  </si>
  <si>
    <t xml:space="preserve">L'adéquation entre les fonctionnalités préconisées et les besoins exprimés a-t-elle été démontrée ?</t>
  </si>
  <si>
    <t xml:space="preserve">Inadéquation entre les solutions développées et les problématiques métiers à résoudre.</t>
  </si>
  <si>
    <t xml:space="preserve">Fonctionnalités superflues ou absentes, compromettant la satisfaction des utilisateurs.</t>
  </si>
  <si>
    <t xml:space="preserve">Utilisez des outils collaboratifs pour documenter les échanges et assurer la transparence des communications.</t>
  </si>
  <si>
    <t xml:space="preserve">Justification technique des solutions proposées (faisabilité, évolutivité)</t>
  </si>
  <si>
    <t xml:space="preserve">Les solutions proposées sont-elles justifiées techniquement en termes de faisabilité et d'évolutivité ?</t>
  </si>
  <si>
    <t xml:space="preserve">Adoption de technologies inadaptées au contexte de l'entreprise par manque de justification technique rigoureuse.</t>
  </si>
  <si>
    <t xml:space="preserve">Solutions irréalisables ou non évolutives, entraînant des échecs techniques.</t>
  </si>
  <si>
    <t xml:space="preserve">Établissez une procédure formelle de gestion des modifications, avec un comité dédié pour évaluer les demandes.</t>
  </si>
  <si>
    <t xml:space="preserve">Prise en compte des contraintes spécifiques de l'entreprise (techniques, organisationnelles)</t>
  </si>
  <si>
    <t xml:space="preserve">Les contraintes spécifiques de l'entreprise (techniques, organisationnelles) ont-elles été prises en compte ?</t>
  </si>
  <si>
    <t xml:space="preserve">Mise en production de solutions incompatibles avec l'environnement existant.</t>
  </si>
  <si>
    <t xml:space="preserve">Ignorance des contraintes, provoquant des incompatibilités ou des échecs.</t>
  </si>
  <si>
    <t xml:space="preserve">Utilisez un outil de gestion des changements pour suivre les demandes et leurs impacts sur le projet.</t>
  </si>
  <si>
    <t xml:space="preserve">Évaluation des alternatives possibles et justification du choix retenu</t>
  </si>
  <si>
    <t xml:space="preserve">Les alternatives possibles ont-elles été évaluées et le choix retenu est-il justifié ?</t>
  </si>
  <si>
    <t xml:space="preserve">Sélection d'options sous-optimales par défaut d'exploration des alternatives possibles.</t>
  </si>
  <si>
    <t xml:space="preserve">Choix non optimal, gaspillant des ressources sur une solution moins efficace.</t>
  </si>
  <si>
    <t xml:space="preserve">Documentez l’alignement des objectifs du projet avec les objectifs stratégiques dans une matrice de correspondance.</t>
  </si>
  <si>
    <t xml:space="preserve">Validation par des experts techniques et métiers de la pertinence des solutions préconisées</t>
  </si>
  <si>
    <t xml:space="preserve">La pertinence des solutions préconisées a-t-elle été validée par des experts techniques et métiers ?</t>
  </si>
  <si>
    <t xml:space="preserve">Rejet des solutions par les équipes techniques ou métiers faute de validation préalable.</t>
  </si>
  <si>
    <t xml:space="preserve">Solutions inadéquates, rejetées par les experts, causant des retards.</t>
  </si>
  <si>
    <t xml:space="preserve">Organisez des revues régulières avec la direction pour vérifier cet alignement tout au long du projet.</t>
  </si>
  <si>
    <t xml:space="preserve">S’assurer que les exigences utilisateurs, les populations ciblées,
les options et principes de gestion retenus sont précisés et priorisés ;</t>
  </si>
  <si>
    <t xml:space="preserve">Segmentation claire des différentes populations d'utilisateurs concernées</t>
  </si>
  <si>
    <t xml:space="preserve">Les différentes populations d'utilisateurs concernées sont-elles clairement segmentées ?</t>
  </si>
  <si>
    <t xml:space="preserve">Développement de fonctionnalités inadaptées à certains profils d'utilisateurs.</t>
  </si>
  <si>
    <t xml:space="preserve">Solutions inadaptées à certains utilisateurs, réduisant l’efficacité globale.</t>
  </si>
  <si>
    <t xml:space="preserve">Rédigez un document détaillant les exigences fonctionnelles et non-fonctionnelles, validé par les utilisateurs et la MOA.</t>
  </si>
  <si>
    <t xml:space="preserve">Classification des exigences par niveau de priorité (must have, should have, could have, won't have)</t>
  </si>
  <si>
    <t xml:space="preserve">Les exigences ont-elles été classifiées par niveau de priorité (must have, should have, could have, won't have) ?</t>
  </si>
  <si>
    <t xml:space="preserve">Allocation inefficiente des ressources par absence de hiérarchisation claire des exigences.</t>
  </si>
  <si>
    <t xml:space="preserve">Mauvaise priorisation, négligeant des besoins critiques.</t>
  </si>
  <si>
    <t xml:space="preserve">Utilisez des ateliers de recueil des besoins pour garantir l’exhaustivité des exigences documentées.</t>
  </si>
  <si>
    <t xml:space="preserve">Documentation des principes de gestion validés par les responsables métiers</t>
  </si>
  <si>
    <t xml:space="preserve">Les principes de gestion ont-ils été documentés et validés par les responsables métiers ?</t>
  </si>
  <si>
    <t xml:space="preserve">Création de processus applicatifs en contradiction avec les règles métiers établies.</t>
  </si>
  <si>
    <t xml:space="preserve">Gestion inefficace, entraînant des retards ou des conflits opérationnels.</t>
  </si>
  <si>
    <t xml:space="preserve">Définissez l’architecture technique dans un document clair, incluant des diagrammes pour illustrer les composants.</t>
  </si>
  <si>
    <t xml:space="preserve">Matrice de traçabilité entre exigences et populations d'utilisateurs</t>
  </si>
  <si>
    <t xml:space="preserve">Existe-t-il une matrice de traçabilité entre les exigences et les populations d'utilisateurs ?</t>
  </si>
  <si>
    <t xml:space="preserve">Dispersion des efforts de développement sur des fonctionnalités à faible valeur pour les utilisateurs réels.</t>
  </si>
  <si>
    <t xml:space="preserve">Solutions inadaptées à certains utilisateurs, réduisant leur adoption.</t>
  </si>
  <si>
    <t xml:space="preserve">Impliquez des architectes IT pour valider la faisabilité et l’évolutivité de l’architecture proposée.</t>
  </si>
  <si>
    <t xml:space="preserve">Processus formalisé d'arbitrage en cas de conflit entre exigences</t>
  </si>
  <si>
    <t xml:space="preserve">Un processus formalisé d'arbitrage en cas de conflit entre exigences a-t-il été mis en place ?</t>
  </si>
  <si>
    <t xml:space="preserve">Blocages décisionnels sur des exigences contradictoires faute de processus d'arbitrage défini.</t>
  </si>
  <si>
    <t xml:space="preserve">Conflits non résolus, bloquant l’avancement du projet.</t>
  </si>
  <si>
    <t xml:space="preserve">Cartographiez les interfaces critiques dans un document dédié, en précisant les flux de données et les protocoles.</t>
  </si>
  <si>
    <t xml:space="preserve">S’assurer que le projet est cohérent avec le plan directeur
Informatique</t>
  </si>
  <si>
    <t xml:space="preserve">Référence explicite au plan directeur informatique dans les documents du projet</t>
  </si>
  <si>
    <t xml:space="preserve">Les documents clés du projet font-ils explicitement référence au plan directeur informatique en vigueur ?</t>
  </si>
  <si>
    <t xml:space="preserve">Développement de solutions en contradiction avec la stratégie SI de l'entreprise.</t>
  </si>
  <si>
    <t xml:space="preserve">Projet déconnecté du SI, risquant des incompatibilités techniques.</t>
  </si>
  <si>
    <t xml:space="preserve">Validez la cartographie des interfaces avec les équipes IT responsables des systèmes connectés.</t>
  </si>
  <si>
    <t xml:space="preserve">Alignement du projet avec les orientations technologiques définies dans le plan directeur</t>
  </si>
  <si>
    <t xml:space="preserve">Les choix technologiques du projet s'alignent-ils sur les orientations définies dans le plan directeur informatique ?</t>
  </si>
  <si>
    <t xml:space="preserve">Non-conformité aux choix technologiques stratégiques définis par la DSI.</t>
  </si>
  <si>
    <t xml:space="preserve">Solutions non alignées avec la stratégie IT, compromettant l’évolutivité.</t>
  </si>
  <si>
    <t xml:space="preserve">Élaborez une stratégie de migration détaillée, incluant des scénarios de transition et des plans de secours.</t>
  </si>
  <si>
    <t xml:space="preserve">Conformité avec la roadmap d'évolution des systèmes d'information</t>
  </si>
  <si>
    <t xml:space="preserve">Le positionnement du projet est-il cohérent avec la roadmap d'évolution des systèmes d'information validée ?</t>
  </si>
  <si>
    <t xml:space="preserve">Création de dette technique par non-respect de la trajectoire d'évolution du SI.</t>
  </si>
  <si>
    <t xml:space="preserve">Incohérence avec la roadmap, provoquant des conflits de priorités.</t>
  </si>
  <si>
    <t xml:space="preserve">Testez la stratégie de migration dans un environnement pilote pour identifier les problèmes potentiels.</t>
  </si>
  <si>
    <t xml:space="preserve">Respect des standards et référentiels définis dans le plan directeur</t>
  </si>
  <si>
    <t xml:space="preserve">Le projet assure-t-il le respect des standards et référentiels définis dans le plan directeur ?</t>
  </si>
  <si>
    <t xml:space="preserve">Violation des standards techniques compromettant la maintenance future des solutions.</t>
  </si>
  <si>
    <t xml:space="preserve">Non-conformité aux standards, entraînant des problèmes d’intégration.</t>
  </si>
  <si>
    <t xml:space="preserve">Organisez des revues techniques avec des experts métiers et IT pour valider les orientations techniques.</t>
  </si>
  <si>
    <t xml:space="preserve">Validation formelle par le responsable du plan directeur informatique</t>
  </si>
  <si>
    <t xml:space="preserve">Existe-t-il une preuve de validation formelle du projet par le responsable du plan directeur informatique ?</t>
  </si>
  <si>
    <t xml:space="preserve">Développement de solutions non validées par les instances de gouvernance du SI.</t>
  </si>
  <si>
    <t xml:space="preserve">Solutions non validées, risquant des incompatibilités avec le SI cible.</t>
  </si>
  <si>
    <t xml:space="preserve">Documentez les retours des experts dans un rapport consolidé pour garantir leur prise en compte.</t>
  </si>
  <si>
    <t xml:space="preserve">S’assurer que le projet est cohérent avec le SI actuel ou futur</t>
  </si>
  <si>
    <t xml:space="preserve">Cartographie des interfaces avec les systèmes existants et futurs</t>
  </si>
  <si>
    <t xml:space="preserve">Une cartographie documentée des interfaces du projet avec les systèmes existants et futurs a-t-elle été réalisée ?</t>
  </si>
  <si>
    <t xml:space="preserve">Création de silos applicatifs par méconnaissance des interfaces nécessaires.</t>
  </si>
  <si>
    <t xml:space="preserve">Intégrations mal gérées, causant des dysfonctionnements du SI.</t>
  </si>
  <si>
    <t xml:space="preserve">Établissez une matrice RACI complète, précisant les rôles pour chaque tâche et livrable du projet.</t>
  </si>
  <si>
    <t xml:space="preserve">Analyse d'impact sur les autres composants du SI</t>
  </si>
  <si>
    <t xml:space="preserve">Une analyse d'impact formelle du projet sur les autres composants du SI a-t-elle été menée et documentée ?</t>
  </si>
  <si>
    <t xml:space="preserve">Perturbations fonctionnelles sur d'autres applications par sous-estimation des impacts transverses.</t>
  </si>
  <si>
    <t xml:space="preserve">Perturbations imprévues sur le SI, entraînant des interruptions de service.</t>
  </si>
  <si>
    <t xml:space="preserve">Validez la matrice RACI avec toutes les parties prenantes pour éviter les ambiguïtés.</t>
  </si>
  <si>
    <t xml:space="preserve">Respect des normes d'interopérabilité établies dans l'entreprise</t>
  </si>
  <si>
    <t xml:space="preserve">Le projet garantit-il le respect des normes d'interopérabilité établies dans l'entreprise ?</t>
  </si>
  <si>
    <t xml:space="preserve">Difficultés d'échange de données par non-respect des standards d'interopérabilité.</t>
  </si>
  <si>
    <t xml:space="preserve">Incompatibilités techniques, réduisant l’efficacité des systèmes.</t>
  </si>
  <si>
    <t xml:space="preserve">Désignez un sponsor de projet avec une autorité suffisante, formalisée dans une lettre de mission.</t>
  </si>
  <si>
    <t xml:space="preserve">Prise en compte des projets connexes en cours ou planifiés</t>
  </si>
  <si>
    <t xml:space="preserve">Le projet a-t-il identifié et pris en compte les dépendances avec les projets connexes ?</t>
  </si>
  <si>
    <t xml:space="preserve">Redondance d'efforts ou incompatibilités avec d'autres initiatives en cours.</t>
  </si>
  <si>
    <t xml:space="preserve">Conflits avec d’autres projets, provoquant des retards ou des redondances.</t>
  </si>
  <si>
    <t xml:space="preserve">Organisez des réunions régulières entre le sponsor et le chef de projet pour maintenir son engagement.</t>
  </si>
  <si>
    <t xml:space="preserve">Conformité avec l'architecture cible du SI définie par l'entreprise</t>
  </si>
  <si>
    <t xml:space="preserve">L'architecture proposée par le projet est-elle conforme à l'architecture cible du SI définie ?</t>
  </si>
  <si>
    <t xml:space="preserve">Développement de solutions en contradiction avec la vision cible du système d'information.</t>
  </si>
  <si>
    <t xml:space="preserve">Solutions non conformes à l’architecture cible, compromettant la cohérence du SI.</t>
  </si>
  <si>
    <t xml:space="preserve">Documentez la nomination du chef de projet dans un acte formel, précisant ses responsabilités et son autorité.</t>
  </si>
  <si>
    <t xml:space="preserve">Planification</t>
  </si>
  <si>
    <t xml:space="preserve">S’assurer qu’il existe un planning directeur commun à tout le
Projet</t>
  </si>
  <si>
    <t xml:space="preserve">Existence d'un planning global couvrant toutes les phases du projet</t>
  </si>
  <si>
    <t xml:space="preserve">Un planning global couvrant toutes les phases du projet existe-t-il ?</t>
  </si>
  <si>
    <t xml:space="preserve">Sous-estimation des délais par absence de vision complète des étapes du projet.</t>
  </si>
  <si>
    <t xml:space="preserve">Retards ou dérives dus à un planning irréaliste ou mal défini.</t>
  </si>
  <si>
    <t xml:space="preserve">Fournissez une formation en gestion de projet au chef de projet pour renforcer ses compétences.</t>
  </si>
  <si>
    <t xml:space="preserve">Identification des jalons clés et des livrables associés</t>
  </si>
  <si>
    <t xml:space="preserve">Le planning identifie-t-il clairement les jalons clés et les livrables associés ?</t>
  </si>
  <si>
    <t xml:space="preserve">Confusion sur les livrables attendus à chaque étape du projet.</t>
  </si>
  <si>
    <t xml:space="preserve">Manque de visibilité sur les étapes clés, compliquant le suivi du projet.</t>
  </si>
  <si>
    <t xml:space="preserve">Identifiez les utilisateurs clés dans une matrice, avec leur niveau d’implication et leurs responsabilités.</t>
  </si>
  <si>
    <t xml:space="preserve">Définition des chemins critiques et des interdépendances entre tâches</t>
  </si>
  <si>
    <t xml:space="preserve">Les chemins critiques et les interdépendances sont-ils définis dans le planning ?</t>
  </si>
  <si>
    <t xml:space="preserve">Dépassements de délais par méconnaissance des enchaînements critiques entre activités.</t>
  </si>
  <si>
    <t xml:space="preserve">Retards dus à des dépendances mal gérées, affectant les délais globaux.</t>
  </si>
  <si>
    <t xml:space="preserve">Organisez des sessions d’intégration pour les utilisateurs clés afin de garantir leur adhésion au projet.</t>
  </si>
  <si>
    <t xml:space="preserve">Processus documenté de mise à jour et de diffusion du planning</t>
  </si>
  <si>
    <t xml:space="preserve">Existe-t-il un processus documenté pour la mise à jour et la diffusion du planning ?</t>
  </si>
  <si>
    <t xml:space="preserve">Désynchronisation des équipes par défaillance dans la communication des évolutions du planning.</t>
  </si>
  <si>
    <t xml:space="preserve">Planning obsolète, entraînant des erreurs de coordination.</t>
  </si>
  <si>
    <t xml:space="preserve">Définissez les rôles des prestataires externes dans un contrat clair, précisant leurs livrables et responsabilités.</t>
  </si>
  <si>
    <t xml:space="preserve">Validation du planning par l'ensemble des parties prenantes (MOA, MOE, prestataires)</t>
  </si>
  <si>
    <t xml:space="preserve">Le planning a-t-il été formellement validé par l'ensemble des parties prenantes clés ?</t>
  </si>
  <si>
    <t xml:space="preserve">Engagement sur un calendrier irréaliste faute de validation par l'ensemble des contributeurs.</t>
  </si>
  <si>
    <t xml:space="preserve">Planning non approuvé, réduisant l’engagement des parties prenantes.</t>
  </si>
  <si>
    <t xml:space="preserve">Mettez en place un suivi régulier des prestations externes pour garantir leur conformité aux attentes.</t>
  </si>
  <si>
    <t xml:space="preserve">S’assurer qu’il existe un plan de projet initial</t>
  </si>
  <si>
    <t xml:space="preserve">Existence d'un document de plan de projet formalisé et daté</t>
  </si>
  <si>
    <t xml:space="preserve">Un document de plan de projet formalisé et daté existe-t-il ?</t>
  </si>
  <si>
    <t xml:space="preserve">Pilotage à vue par absence de feuille de route formalisée pour le projet.</t>
  </si>
  <si>
    <t xml:space="preserve">Projet mal structuré, entraînant des retards ou des surcoûts.</t>
  </si>
  <si>
    <t xml:space="preserve">Rédigez un cahier des charges détaillé, validé et signé par la MOA, avec des spécifications claires.</t>
  </si>
  <si>
    <t xml:space="preserve">Présence des éléments fondamentaux (objectifs, périmètre, livrables, planning, budget, organisation)</t>
  </si>
  <si>
    <t xml:space="preserve">Le plan de projet contient-il les éléments fondamentaux requis (objectifs, périmètre, livrables, planning, budget, organisation) ?</t>
  </si>
  <si>
    <t xml:space="preserve">Omission d'éléments structurants conduisant à une vision incomplète du projet.</t>
  </si>
  <si>
    <t xml:space="preserve">Plan incomplet, compromettant la gestion efficace du projet.</t>
  </si>
  <si>
    <t xml:space="preserve">Organisez des revues itératives avec la MOA pour garantir l’exactitude du cahier des charges.</t>
  </si>
  <si>
    <t xml:space="preserve">Validation formelle du plan initial par les instances de gouvernance du projet</t>
  </si>
  <si>
    <t xml:space="preserve">Le plan de projet initial a-t-il été formellement validé par les instances de gouvernance ?</t>
  </si>
  <si>
    <t xml:space="preserve">Démarrage du projet sans validation officielle par les instances de gouvernance.</t>
  </si>
  <si>
    <t xml:space="preserve">Manque de légitimité, affaiblissant l’adhésion des parties prenantes.</t>
  </si>
  <si>
    <t xml:space="preserve">Utilisez des modèles standardisés pour les spécifications fonctionnelles afin d’assurer leur précision.</t>
  </si>
  <si>
    <t xml:space="preserve">Diffusion documentée du plan initial aux parties prenantes concernées</t>
  </si>
  <si>
    <t xml:space="preserve">La diffusion du plan initial aux parties prenantes est-elle documentée ?</t>
  </si>
  <si>
    <t xml:space="preserve">Information parcellaire des équipes compromettant leur engagement effectif.</t>
  </si>
  <si>
    <t xml:space="preserve">Manque de transparence, réduisant la confiance des parties prenantes.</t>
  </si>
  <si>
    <t xml:space="preserve">Validez les spécifications avec les utilisateurs finaux pour garantir leur adéquation aux besoins.</t>
  </si>
  <si>
    <t xml:space="preserve">Cohérence du plan initial avec les objectifs stratégiques et le cahier des charges</t>
  </si>
  <si>
    <t xml:space="preserve">La cohérence du plan initial avec les objectifs stratégiques et le cahier des charges a-t-elle été vérifiée ?</t>
  </si>
  <si>
    <t xml:space="preserve">Document des besoins exprimés</t>
  </si>
  <si>
    <t xml:space="preserve">Désalignement entre l'exécution opérationnelle et les attentes stratégiques.</t>
  </si>
  <si>
    <t xml:space="preserve">Déviation des objectifs initiaux, compromettant la valeur du projet.</t>
  </si>
  <si>
    <t xml:space="preserve">Recueillez les besoins via des ateliers structurés avec les utilisateurs, en utilisant des techniques comme les personas.</t>
  </si>
  <si>
    <t xml:space="preserve">Rapport de revue de clarté des besoins</t>
  </si>
  <si>
    <t xml:space="preserve">S’assurer que ce plan de projet a été révisé</t>
  </si>
  <si>
    <t xml:space="preserve">Existence de versions successives datées et numérotées du plan de projet</t>
  </si>
  <si>
    <t xml:space="preserve">Les différentes versions du plan de projet sont-elles datées, numérotées et archivées ?</t>
  </si>
  <si>
    <t xml:space="preserve">Procédure de collecte des besoins</t>
  </si>
  <si>
    <t xml:space="preserve">Confusion sur la version applicable du plan de projet compromettant la coordination.</t>
  </si>
  <si>
    <t xml:space="preserve">Perte de contrôle, entraînant des dérives non justifiées.</t>
  </si>
  <si>
    <t xml:space="preserve">Documentez le processus de collecte dans un rapport, incluant les participants et les méthodes utilisées.</t>
  </si>
  <si>
    <t xml:space="preserve">Compte-rendu des sessions de collecte avec utilisateurs</t>
  </si>
  <si>
    <t xml:space="preserve">Processus formalisé de revue et de validation des modifications</t>
  </si>
  <si>
    <t xml:space="preserve">Un processus formalisé de revue et de validation des modifications du plan de projet est-il en place ?</t>
  </si>
  <si>
    <t xml:space="preserve">Matrice de traçabilité besoins-objectifs</t>
  </si>
  <si>
    <t xml:space="preserve">Modifications non maîtrisées du projet par défaut de processus formel de gestion des changements.</t>
  </si>
  <si>
    <t xml:space="preserve">Modifications non validées, provoquant des conflits ou des retards.</t>
  </si>
  <si>
    <t xml:space="preserve">Établissez une matrice de traçabilité pour lier les besoins aux objectifs stratégiques du projet.</t>
  </si>
  <si>
    <t xml:space="preserve">Rapport de validation de la traçabilité</t>
  </si>
  <si>
    <t xml:space="preserve">Traçabilité des modifications apportées entre les versions</t>
  </si>
  <si>
    <t xml:space="preserve">La traçabilité des modifications entre les versions du plan de projet est-elle assurée ?</t>
  </si>
  <si>
    <t xml:space="preserve">Analyse d’adéquation fonctionnalités-besoins</t>
  </si>
  <si>
    <t xml:space="preserve">Impossibilité de reconstituer l'historique des décisions prises au fil du projet.</t>
  </si>
  <si>
    <t xml:space="preserve">Manque de transparence sur les changements, affaiblissant la confiance.</t>
  </si>
  <si>
    <t xml:space="preserve">Validez la matrice avec les parties prenantes pour garantir son exactitude et sa complétude.</t>
  </si>
  <si>
    <t xml:space="preserve">Matrice de correspondance fonctionnalités-besoins</t>
  </si>
  <si>
    <t xml:space="preserve">Justification documentée des changements significatifs</t>
  </si>
  <si>
    <t xml:space="preserve">Les changements significatifs apportés au plan de projet sont-ils documentés et justifiés ?</t>
  </si>
  <si>
    <t xml:space="preserve">Dossier de justification technique</t>
  </si>
  <si>
    <t xml:space="preserve">Dérives non justifiées par rapport aux engagements initiaux.</t>
  </si>
  <si>
    <t xml:space="preserve">Justifications insuffisantes, réduisant la crédibilité des modifications.</t>
  </si>
  <si>
    <t xml:space="preserve">Vérifiez l’adéquation des fonctionnalités via des prototypes ou des maquettes validés par les utilisateurs.</t>
  </si>
  <si>
    <t xml:space="preserve">Étude de faisabilité et évolutivité</t>
  </si>
  <si>
    <t xml:space="preserve">Communication formelle des révisions aux parties prenantes concernées</t>
  </si>
  <si>
    <t xml:space="preserve">Les révisions du plan de projet sont-elles formellement communiquées aux parties prenantes concernées ?</t>
  </si>
  <si>
    <t xml:space="preserve">Rapport des contraintes spécifiques</t>
  </si>
  <si>
    <t xml:space="preserve">Désynchronisation des équipes travaillant sur des versions différentes du plan projet.</t>
  </si>
  <si>
    <t xml:space="preserve">Manque d’information, entraînant des erreurs de coordination.</t>
  </si>
  <si>
    <t xml:space="preserve">Organisez des tests utilisateurs précoces pour confirmer l’alignement des fonctionnalités avec les besoins.</t>
  </si>
  <si>
    <t xml:space="preserve">Plan de prise en compte des contraintes</t>
  </si>
  <si>
    <t xml:space="preserve">S’assurer qu’il existe des plans détaillés</t>
  </si>
  <si>
    <t xml:space="preserve">Décomposition du plan global en sous-plans opérationnels (WBS - Work Breakdown Structure)</t>
  </si>
  <si>
    <t xml:space="preserve">Le plan global du projet a-t-il été décomposé en une structure de tâches opérationnelles (WBS) ?</t>
  </si>
  <si>
    <t xml:space="preserve">Étude des alternatives</t>
  </si>
  <si>
    <t xml:space="preserve">Sous-estimation de la complexité réelle par manque de décomposition fine des activités.</t>
  </si>
  <si>
    <t xml:space="preserve">Gestion inefficace, entraînant des retards ou des surcoûts.</t>
  </si>
  <si>
    <t xml:space="preserve">Justifiez les solutions techniques dans un document détaillant leur faisabilité et leur évolutivité.</t>
  </si>
  <si>
    <t xml:space="preserve">Niveau de détail adapté à la complexité des tâches (granularité suffisante)</t>
  </si>
  <si>
    <t xml:space="preserve">Le niveau de détail des tâches dans la WBS est-il suffisant pour permettre une gestion et un suivi efficaces ?</t>
  </si>
  <si>
    <t xml:space="preserve">Procès-verbal de validation des solutions</t>
  </si>
  <si>
    <t xml:space="preserve">Imprécision dans l'exécution par manque de détail dans la description des tâches.</t>
  </si>
  <si>
    <t xml:space="preserve">Tâches mal définies, provoquant des erreurs ou des retards.</t>
  </si>
  <si>
    <t xml:space="preserve">Impliquez des experts techniques pour valider les justifications et identifier les risques potentiels.</t>
  </si>
  <si>
    <t xml:space="preserve">Rapport d’évaluation des experts</t>
  </si>
  <si>
    <t xml:space="preserve">Affectation précise des responsabilités pour chaque tâche détaillée</t>
  </si>
  <si>
    <t xml:space="preserve">Une responsabilité claire est-elle affectée à chaque tâche détaillée de la WBS ?</t>
  </si>
  <si>
    <t xml:space="preserve">Liste des populations d’utilisateurs</t>
  </si>
  <si>
    <t xml:space="preserve">Dilution des responsabilités par défaut d'attribution claire des tâches à réaliser.</t>
  </si>
  <si>
    <t xml:space="preserve">Responsabilités floues, causant des retards ou des conflits.</t>
  </si>
  <si>
    <t xml:space="preserve">Documentez les contraintes spécifiques dans un registre, avec des plans d’action pour les adresser.</t>
  </si>
  <si>
    <t xml:space="preserve">Diagramme de segmentation des utilisateurs</t>
  </si>
  <si>
    <t xml:space="preserve">Définition des dépendances entre les tâches détaillées</t>
  </si>
  <si>
    <t xml:space="preserve">Les dépendances entre les tâches détaillées sont-elles clairement définies et documentées ?</t>
  </si>
  <si>
    <t xml:space="preserve">Liste des exigences classées par priorité</t>
  </si>
  <si>
    <t xml:space="preserve">Perturbations dans l'exécution par méconnaissance des liens entre activités.</t>
  </si>
  <si>
    <t xml:space="preserve">Dépendances mal gérées, entraînant des retards en cascade.</t>
  </si>
  <si>
    <t xml:space="preserve">Organisez des ateliers avec les parties prenantes pour identifier et prioriser les contraintes.</t>
  </si>
  <si>
    <t xml:space="preserve">Rapport de priorisation validé</t>
  </si>
  <si>
    <t xml:space="preserve">Estimation documentée des charges et durées au niveau des tâches élémentaires</t>
  </si>
  <si>
    <t xml:space="preserve">L'estimation des charges et des durées pour chaque tâche élémentaire est-elle documentée ?</t>
  </si>
  <si>
    <t xml:space="preserve">Document des principes de gestion</t>
  </si>
  <si>
    <t xml:space="preserve">Dépassements budgétaires par sous-estimation des charges de travail réelles.</t>
  </si>
  <si>
    <t xml:space="preserve">Estimations erronées, provoquant des dépassements de budget ou de délais.</t>
  </si>
  <si>
    <t xml:space="preserve">Évaluez les alternatives à l’aide d’une matrice décisionnelle, en documentant les critères de choix.</t>
  </si>
  <si>
    <t xml:space="preserve">Procès-verbal de validation des principes</t>
  </si>
  <si>
    <t xml:space="preserve">S’assurer que ces plans ont été révisés</t>
  </si>
  <si>
    <t xml:space="preserve">Historique des modifications des plans détaillés avec dates et motifs</t>
  </si>
  <si>
    <t xml:space="preserve">Existe-t-il un historique documenté des modifications apportées aux plans détaillés, incluant les dates et les motifs ?</t>
  </si>
  <si>
    <t xml:space="preserve">Matrice de traçabilité exigences-utilisateurs</t>
  </si>
  <si>
    <t xml:space="preserve">Perte de visibilité sur l'évolution du plan détaillé au fil du projet.</t>
  </si>
  <si>
    <t xml:space="preserve">Perte de traçabilité des évolutions, compliquant la justification des décisions.</t>
  </si>
  <si>
    <t xml:space="preserve">Impliquez des experts indépendants pour valider l’objectivité de l’évaluation des alternatives.</t>
  </si>
  <si>
    <t xml:space="preserve">Rapport de validation de la matrice utilisateurs</t>
  </si>
  <si>
    <t xml:space="preserve">Processus d'approbation des révisions des plans détaillés</t>
  </si>
  <si>
    <t xml:space="preserve">Un processus formalisé est-il en place pour l'approbation des révisions apportées aux plans détaillés ?</t>
  </si>
  <si>
    <t xml:space="preserve">Procédure d’arbitrage des conflits</t>
  </si>
  <si>
    <t xml:space="preserve">Modifications non contrôlées des plans opérationnels créant des incohérences.</t>
  </si>
  <si>
    <t xml:space="preserve">Modifications non validées, risquant des conflits ou des dérives.</t>
  </si>
  <si>
    <t xml:space="preserve">Organisez des revues formelles avec des experts techniques et métiers pour valider les solutions proposées.</t>
  </si>
  <si>
    <t xml:space="preserve">Registre des décisions d’arbitrage</t>
  </si>
  <si>
    <t xml:space="preserve">Analyse des écarts entre planification initiale et réalisé</t>
  </si>
  <si>
    <t xml:space="preserve">Une analyse des écarts entre la planification détaillée initiale et l'avancement réel est-elle régulièrement effectuée ?</t>
  </si>
  <si>
    <t xml:space="preserve">Extrait du plan directeur informatique</t>
  </si>
  <si>
    <t xml:space="preserve">Impossibilité d'identifier les causes de dérives par manque de suivi comparatif.</t>
  </si>
  <si>
    <t xml:space="preserve">Incapacité à identifier les causes des retards, nuisant à l’amélioration.</t>
  </si>
  <si>
    <t xml:space="preserve">Documentez les conclusions des revues dans un rapport consolidé pour garantir leur traçabilité.</t>
  </si>
  <si>
    <t xml:space="preserve">Rapport d’alignement avec le plan directeur</t>
  </si>
  <si>
    <t xml:space="preserve">Ajustement documenté des plans détaillés suite au suivi d'avancement</t>
  </si>
  <si>
    <t xml:space="preserve">Les ajustements apportés aux plans détaillés suite au suivi d'avancement sont-ils documentés ?</t>
  </si>
  <si>
    <t xml:space="preserve">Document des orientations technologiques</t>
  </si>
  <si>
    <t xml:space="preserve">Perpétuation des erreurs de planification par absence d'ajustements basés sur l'expérience.</t>
  </si>
  <si>
    <t xml:space="preserve">Plans inadaptés à l’avancement réel, entraînant des retards ou des surcoûts.</t>
  </si>
  <si>
    <t xml:space="preserve">Segmentez les populations d’utilisateurs dans une matrice, en précisant leurs besoins spécifiques.</t>
  </si>
  <si>
    <t xml:space="preserve">Analyse de conformité aux orientations</t>
  </si>
  <si>
    <t xml:space="preserve">Cohérence maintenue entre les plans détaillés révisés et le plan global</t>
  </si>
  <si>
    <t xml:space="preserve">La cohérence est-elle maintenue entre les plans détaillés révisés et le plan global du projet ?</t>
  </si>
  <si>
    <t xml:space="preserve">Roadmap des systèmes d’information</t>
  </si>
  <si>
    <t xml:space="preserve">Divergence progressive entre planification tactique et vision stratégique du projet.</t>
  </si>
  <si>
    <t xml:space="preserve">Incohérence entre plans, provoquant des erreurs de coordination.</t>
  </si>
  <si>
    <t xml:space="preserve">Validez la segmentation avec les utilisateurs pour garantir sa représentativité.</t>
  </si>
  <si>
    <t xml:space="preserve">Rapport de conformité à la roadmap</t>
  </si>
  <si>
    <t xml:space="preserve">S’assurer que les plans intègrent une gestion optimale des
Ressources</t>
  </si>
  <si>
    <t xml:space="preserve">Identification précise des ressources nécessaires (humaines, matérielles, financières)</t>
  </si>
  <si>
    <t xml:space="preserve">Les ressources nécessaires (humaines, matérielles, financières) pour le projet sont-elles précisément identifiées et quantifiées ?</t>
  </si>
  <si>
    <t xml:space="preserve">Liste des standards et référentiels</t>
  </si>
  <si>
    <t xml:space="preserve">Démarrage du projet avec des moyens insuffisants compromettant sa réalisation.</t>
  </si>
  <si>
    <t xml:space="preserve">Sous-allocation ou sur-allocation, entraînant des retards ou des gaspillages.</t>
  </si>
  <si>
    <t xml:space="preserve">Classez les exigences par priorité à l’aide d’une méthode comme MoSCoW, validée par les parties prenantes.</t>
  </si>
  <si>
    <t xml:space="preserve">Plan de charge détaillé des ressources sur toute la durée du projet</t>
  </si>
  <si>
    <t xml:space="preserve">Existe-t-il un plan de charge détaillé montrant l'affectation des ressources sur la durée du projet ?</t>
  </si>
  <si>
    <t xml:space="preserve">Procès-verbal de validation par le responsable du plan directeur</t>
  </si>
  <si>
    <t xml:space="preserve">Surcharge ou sous-utilisation des ressources par absence de planification détaillée.</t>
  </si>
  <si>
    <t xml:space="preserve">Surcharge des ressources, causant des retards ou une baisse de qualité.</t>
  </si>
  <si>
    <t xml:space="preserve">Organisez des ateliers pour arbitrer les priorités en cas de conflits entre parties prenantes.</t>
  </si>
  <si>
    <t xml:space="preserve">Fiche d’approbation du plan directeur</t>
  </si>
  <si>
    <t xml:space="preserve">Analyse des disponibilités et des contraintes des ressources</t>
  </si>
  <si>
    <t xml:space="preserve">Une analyse des disponibilités et des contraintes (compétences, conflits potentiels) des ressources clés a-t-elle été réalisée ?</t>
  </si>
  <si>
    <t xml:space="preserve">Mobilisation tardive des ressources critiques compromettant le calendrier.</t>
  </si>
  <si>
    <t xml:space="preserve">Mauvaise allocation due à des contraintes ignorées, compromettant les délais.</t>
  </si>
  <si>
    <t xml:space="preserve">Documentez les principes de gestion dans un référentiel validé par les responsables métiers.</t>
  </si>
  <si>
    <t xml:space="preserve">Schéma des systèmes interconnectés</t>
  </si>
  <si>
    <t xml:space="preserve">Mécanismes d'optimisation de l'allocation des ressources (lissage, nivellement)</t>
  </si>
  <si>
    <t xml:space="preserve">Des mécanismes d'optimisation de l'allocation des ressources (ex: lissage, nivellement) sont-ils utilisés et documentés ?</t>
  </si>
  <si>
    <t xml:space="preserve">Rapport d’analyse d’impact sur le SI</t>
  </si>
  <si>
    <t xml:space="preserve">Goulots d'étranglement par mauvaise répartition de la charge de travail.</t>
  </si>
  <si>
    <t xml:space="preserve">Utilisation inefficace des ressources, augmentant les coûts ou les retards.</t>
  </si>
  <si>
    <t xml:space="preserve">Organisez des revues régulières pour vérifier l’application des principes de gestion.</t>
  </si>
  <si>
    <t xml:space="preserve">Plan de mitigation des impacts</t>
  </si>
  <si>
    <t xml:space="preserve">Procédure de gestion des conflits de ressources entre projets</t>
  </si>
  <si>
    <t xml:space="preserve">Existe-t-il une procédure formalisée pour gérer les conflits d'allocation de ressources entre ce projet et d'autres projets ?</t>
  </si>
  <si>
    <t xml:space="preserve">Liste des normes d’interopérabilité</t>
  </si>
  <si>
    <t xml:space="preserve">Blocages entre projets concurrents par absence de mécanisme de résolution des conflits de ressources.</t>
  </si>
  <si>
    <t xml:space="preserve">Conflits non résolus, bloquant l’avancement de plusieurs projets.</t>
  </si>
  <si>
    <t xml:space="preserve">Établissez une matrice de traçabilité liant les exigences aux populations d’utilisateurs.</t>
  </si>
  <si>
    <t xml:space="preserve">Rapport de conformité interopérabilité</t>
  </si>
  <si>
    <t xml:space="preserve">S’assurer qu’il existe une évaluation des risques liés à la nature
du projet</t>
  </si>
  <si>
    <t xml:space="preserve">Existence d'un registre des risques spécifiques à la nature du projet</t>
  </si>
  <si>
    <t xml:space="preserve">Un registre identifiant les risques spécifiques à la nature de ce projet (métier, organisationnel, technique, etc.) a-t-il été établi ?</t>
  </si>
  <si>
    <t xml:space="preserve">Inventaire des projets connexes</t>
  </si>
  <si>
    <t xml:space="preserve">Sous-estimation de menaces spécifiques au contexte du projet compromettant sa réussite.</t>
  </si>
  <si>
    <t xml:space="preserve">Risques non anticipés, entraînant des échecs imprévus du projet.</t>
  </si>
  <si>
    <t xml:space="preserve">Validez la matrice avec les utilisateurs pour garantir sa pertinence et sa complétude.</t>
  </si>
  <si>
    <t xml:space="preserve">Analyse des interactions projets</t>
  </si>
  <si>
    <t xml:space="preserve">Évaluation de l'impact et de la probabilité de chaque risque identifié</t>
  </si>
  <si>
    <t xml:space="preserve">Chaque risque identifié dans le registre a-t-il été évalué en termes d'impact potentiel et de probabilité d'occurrence ?</t>
  </si>
  <si>
    <t xml:space="preserve">Document d’architecture cible</t>
  </si>
  <si>
    <t xml:space="preserve">Focalisation sur des risques mineurs au détriment de menaces à fort impact.</t>
  </si>
  <si>
    <t xml:space="preserve">Sous-estimation des impacts, augmentant la gravité des problèmes.</t>
  </si>
  <si>
    <t xml:space="preserve">Définissez une procédure d’arbitrage formelle, avec un comité dédié pour résoudre les conflits d’exigences.</t>
  </si>
  <si>
    <t xml:space="preserve">Rapport d’alignement architecture cible</t>
  </si>
  <si>
    <t xml:space="preserve">Définition de stratégies de réponse pour chaque risque majeur</t>
  </si>
  <si>
    <t xml:space="preserve">Des stratégies de réponse (atténuation, acceptation, transfert, évitement) ont-elles été définies pour les risques majeurs identifiés ?</t>
  </si>
  <si>
    <t xml:space="preserve">Planning global du projet</t>
  </si>
  <si>
    <t xml:space="preserve">Exposition à des risques majeurs faute de stratégies d'atténuation définies.</t>
  </si>
  <si>
    <t xml:space="preserve">Réponses inadéquates, laissant le projet vulnérable aux incidents.</t>
  </si>
  <si>
    <t xml:space="preserve">Utilisez un outil de gestion des conflits pour documenter les décisions et leurs justifications.</t>
  </si>
  <si>
    <t xml:space="preserve">Document de validation du planning</t>
  </si>
  <si>
    <t xml:space="preserve">Processus de revue périodique des risques et mise à jour du registre</t>
  </si>
  <si>
    <t xml:space="preserve">Un processus de revue périodique des risques et de mise à jour du registre est-il défini et appliqué ?</t>
  </si>
  <si>
    <t xml:space="preserve">Liste des jalons et livrables</t>
  </si>
  <si>
    <t xml:space="preserve">Émergence de nouveaux risques non détectés par défaut de surveillance continue.</t>
  </si>
  <si>
    <t xml:space="preserve">Risques obsolètes ou non suivis, exposant le projet à des échecs.</t>
  </si>
  <si>
    <t xml:space="preserve">Intégrez des références explicites au plan directeur informatique dans tous les documents du projet.</t>
  </si>
  <si>
    <t xml:space="preserve">Diagramme des chemins critiques</t>
  </si>
  <si>
    <t xml:space="preserve">Désignation de responsables de suivi pour chaque risque significatif</t>
  </si>
  <si>
    <t xml:space="preserve">Un responsable du suivi et de la mise en œuvre des actions de réponse a-t-il été désigné pour chaque risque significatif ?</t>
  </si>
  <si>
    <t xml:space="preserve">Procédure de mise à jour du planning</t>
  </si>
  <si>
    <t xml:space="preserve">Matérialisation de risques prévisibles par absence de suivi et de responsabilité claire.</t>
  </si>
  <si>
    <t xml:space="preserve">Manque de suivi, permettant l’émergence de problèmes critiques.</t>
  </si>
  <si>
    <t xml:space="preserve">Validez l’alignement avec le plan directeur lors des revues de gouvernance du projet.</t>
  </si>
  <si>
    <t xml:space="preserve">Registre des mises à jour du planning</t>
  </si>
  <si>
    <t xml:space="preserve">S’assurer qu’il existe une évaluation des risques liés à la
technologie utilisée</t>
  </si>
  <si>
    <t xml:space="preserve">Identification des risques spécifiques aux technologies employées</t>
  </si>
  <si>
    <t xml:space="preserve">Les risques spécifiques liés aux technologies utilisées dans le projet (nouveauté, complexité, interopérabilité, etc.) ont-ils été identifiés ?</t>
  </si>
  <si>
    <t xml:space="preserve">Plan de projet formalisé</t>
  </si>
  <si>
    <t xml:space="preserve">Adoption de technologies immatures ou inadaptées sans évaluation des risques spécifiques.</t>
  </si>
  <si>
    <t xml:space="preserve">Échecs techniques dus à des technologies mal maîtrisées.</t>
  </si>
  <si>
    <t xml:space="preserve">Alignez les choix technologiques avec les orientations du plan directeur via une matrice de conformité.</t>
  </si>
  <si>
    <t xml:space="preserve">Procès-verbal de validation du plan</t>
  </si>
  <si>
    <t xml:space="preserve">Évaluation du niveau de maturité des technologies utilisées</t>
  </si>
  <si>
    <t xml:space="preserve">Le niveau de maturité (stabilité, support, documentation) des technologies clés utilisées a-t-il été évalué ?</t>
  </si>
  <si>
    <t xml:space="preserve">Document des éléments fondamentaux</t>
  </si>
  <si>
    <t xml:space="preserve">Défaillances techniques liées à l'utilisation de technologies non maîtrisées par les équipes.</t>
  </si>
  <si>
    <t xml:space="preserve">Adoption de solutions immatures, entraînant des dysfonctionnements.</t>
  </si>
  <si>
    <t xml:space="preserve">Impliquez le responsable du plan directeur pour valider les choix technologiques.</t>
  </si>
  <si>
    <t xml:space="preserve">Fiche de validation par la gouvernance</t>
  </si>
  <si>
    <t xml:space="preserve">Analyse des compétences disponibles par rapport aux exigences technologiques</t>
  </si>
  <si>
    <t xml:space="preserve">Une analyse des compétences disponibles au sein de l'équipe projet par rapport aux exigences technologiques a-t-elle été effectuée ?</t>
  </si>
  <si>
    <t xml:space="preserve">Registre de diffusion du plan</t>
  </si>
  <si>
    <t xml:space="preserve">Blocages opérationnels par inadéquation entre compétences disponibles et exigences technologiques.</t>
  </si>
  <si>
    <t xml:space="preserve">Manque de compétences, causant des retards ou des erreurs techniques.</t>
  </si>
  <si>
    <t xml:space="preserve">Vérifiez la conformité avec la roadmap du SI lors des revues de planification du projet.</t>
  </si>
  <si>
    <t xml:space="preserve">Rapport de cohérence plan-objectifs</t>
  </si>
  <si>
    <t xml:space="preserve">Stratégies d'atténuation pour les risques technologiques majeurs</t>
  </si>
  <si>
    <t xml:space="preserve">Des stratégies d'atténuation spécifiques (formation, prototypage, plan B) ont-elles été définies pour les risques technologiques majeurs ?</t>
  </si>
  <si>
    <t xml:space="preserve">Historique des versions du plan</t>
  </si>
  <si>
    <t xml:space="preserve">Exposition à des vulnérabilités techniques faute de mesures préventives identifiées.</t>
  </si>
  <si>
    <t xml:space="preserve">Pertes dues à des technologies inadaptées, nécessitant des ajustements coûteux.</t>
  </si>
  <si>
    <t xml:space="preserve">Documentez les écarts avec la roadmap et leurs justifications dans un rapport dédié.</t>
  </si>
  <si>
    <t xml:space="preserve">Procédure de revue des modifications</t>
  </si>
  <si>
    <t xml:space="preserve">Veille sur l'évolution des technologies utilisées et anticipation des impacts</t>
  </si>
  <si>
    <t xml:space="preserve">Une veille est-elle organisée pour suivre l'évolution des technologies utilisées et anticiper les impacts potentiels sur le projet ?</t>
  </si>
  <si>
    <t xml:space="preserve">Registre des modifications du plan</t>
  </si>
  <si>
    <t xml:space="preserve">Obsolescence prématurée des solutions par manque d'anticipation des évolutions technologiques.</t>
  </si>
  <si>
    <t xml:space="preserve">Obsolescence des solutions, réduisant la pérennité du projet.</t>
  </si>
  <si>
    <t xml:space="preserve">Respectez les standards du plan directeur en utilisant des checklists de conformité.</t>
  </si>
  <si>
    <t xml:space="preserve">Rapport de justification des changements</t>
  </si>
  <si>
    <t xml:space="preserve">S’assurer qu’il existe une évaluation des risques liés aux projets
en cours</t>
  </si>
  <si>
    <t xml:space="preserve">Existence d'un registre consolidé des risques inter-projets</t>
  </si>
  <si>
    <t xml:space="preserve">Existe-t-il un registre ou un mécanisme pour consolider et suivre les risques liés aux interactions entre ce projet et d'autres projets ?</t>
  </si>
  <si>
    <t xml:space="preserve">Compte-rendu de communication des révisions</t>
  </si>
  <si>
    <t xml:space="preserve">Vision fragmentée des risques masquant les effets domino potentiels entre projets.</t>
  </si>
  <si>
    <t xml:space="preserve">Risques inter-projets ignorés, provoquant des conflits ou des échecs.</t>
  </si>
  <si>
    <t xml:space="preserve">Organisez des audits réguliers pour vérifier l’adhérence aux standards définis.</t>
  </si>
  <si>
    <t xml:space="preserve">Structure WBS du projet</t>
  </si>
  <si>
    <t xml:space="preserve">Identification des dépendances et impacts croisés entre projets</t>
  </si>
  <si>
    <t xml:space="preserve">Les dépendances et les impacts croisés potentiels (techniques, calendaires, fonctionnels) avec d'autres projets ont-ils été formellement identifiés ?</t>
  </si>
  <si>
    <t xml:space="preserve">Rapport de validation de la granularité</t>
  </si>
  <si>
    <t xml:space="preserve">Répercussions en cascade non anticipées entre projets interdépendants.</t>
  </si>
  <si>
    <t xml:space="preserve">Obtenez une validation formelle du responsable du plan directeur pour tous les livrables clés.</t>
  </si>
  <si>
    <t xml:space="preserve">Matrice des responsabilités par tâche</t>
  </si>
  <si>
    <t xml:space="preserve">Évaluation des risques de concurrence sur les ressources partagées</t>
  </si>
  <si>
    <t xml:space="preserve">Le risque de concurrence sur les ressources clés partagées avec d'autres projets a-t-il été évalué ?</t>
  </si>
  <si>
    <t xml:space="preserve">Diagramme des dépendances des tâches</t>
  </si>
  <si>
    <t xml:space="preserve">Paralysie opérationnelle par compétition non régulée sur les ressources communes.</t>
  </si>
  <si>
    <t xml:space="preserve">Conflits de ressources, compromettant l’avancement des projets.</t>
  </si>
  <si>
    <t xml:space="preserve">Documentez les validations dans un registre pour assurer leur traçabilité.</t>
  </si>
  <si>
    <t xml:space="preserve">Tableau des estimations charges-durées</t>
  </si>
  <si>
    <t xml:space="preserve">Processus formalisé d'escalade des risques entre projets</t>
  </si>
  <si>
    <t xml:space="preserve">Un processus formalisé est-il en place pour l'escalade et la résolution des risques ou conflits inter-projets ?</t>
  </si>
  <si>
    <t xml:space="preserve">Historique des modifications des sous-plans</t>
  </si>
  <si>
    <t xml:space="preserve">Blocages décisionnels par absence de mécanismes de remontée des problèmes inter-projets.</t>
  </si>
  <si>
    <t xml:space="preserve">Escalades inefficaces, retardant la résolution des problèmes critiques.</t>
  </si>
  <si>
    <t xml:space="preserve">Cartographiez les interfaces dans un diagramme détaillé, validé par les équipes IT.</t>
  </si>
  <si>
    <t xml:space="preserve">Procès-verbal d’approbation des révisions</t>
  </si>
  <si>
    <t xml:space="preserve">Revue périodique documentée des risques liés aux interactions entre projets</t>
  </si>
  <si>
    <t xml:space="preserve">Une revue périodique des risques liés aux interactions entre projets est-elle réalisée et documentée (ex: lors de comités de portefeuille projets) ?</t>
  </si>
  <si>
    <t xml:space="preserve">Rapport d’analyse des écarts plan-réalisé</t>
  </si>
  <si>
    <t xml:space="preserve">Amplification des risques par défaut de coordination entre projets connexes.</t>
  </si>
  <si>
    <t xml:space="preserve">Risques inter-projets non suivis, augmentant les impacts négatifs.</t>
  </si>
  <si>
    <t xml:space="preserve">Testez les interfaces dans un environnement d’intégration pour identifier les problèmes précocement.</t>
  </si>
  <si>
    <t xml:space="preserve">Registre des ajustements des plans</t>
  </si>
  <si>
    <t xml:space="preserve">Instances de pilotage</t>
  </si>
  <si>
    <t xml:space="preserve">S’assurer que la structure de pilotage est formalisée et connue
de tous les acteurs</t>
  </si>
  <si>
    <t xml:space="preserve">Existence d'un organigramme de projet validé et diffusé</t>
  </si>
  <si>
    <t xml:space="preserve">Un organigramme de projet définissant clairement les rôles, responsabilités et lignes de reporting a-t-il été formalisé, validé et diffusé ?</t>
  </si>
  <si>
    <t xml:space="preserve">Rapport de cohérence sous-plans-plan global</t>
  </si>
  <si>
    <t xml:space="preserve">Absence d'organigramme validé entraînant une confusion des rôles et responsabilités</t>
  </si>
  <si>
    <t xml:space="preserve">Confusion des responsabilités, entraînant des retards ou des conflits.</t>
  </si>
  <si>
    <t xml:space="preserve">Réalisez une analyse d’impact sur le SI, en documentant les dépendances et les risques.</t>
  </si>
  <si>
    <t xml:space="preserve">Inventaire des ressources nécessaires</t>
  </si>
  <si>
    <t xml:space="preserve">. Circuits de décision mal définis causant des retards dans les validations</t>
  </si>
  <si>
    <t xml:space="preserve">Documentation claire des circuits de décision et de validation</t>
  </si>
  <si>
    <t xml:space="preserve">Les circuits de décision et de validation du projet sont-ils clairement documentés ?</t>
  </si>
  <si>
    <t xml:space="preserve">Plan de charge des ressources</t>
  </si>
  <si>
    <t xml:space="preserve">. Non-communication de la structure de pilotage générant un manque de coordination</t>
  </si>
  <si>
    <t xml:space="preserve">Décisions ambiguës, provoquant des erreurs ou des retards.</t>
  </si>
  <si>
    <t xml:space="preserve">Validez l’analyse d’impact avec les responsables des autres composants du SI.</t>
  </si>
  <si>
    <t xml:space="preserve">Analyse des disponibilités ressources</t>
  </si>
  <si>
    <t xml:space="preserve">. Informations de gouvernance inaccessibles limitant la transparence du projet</t>
  </si>
  <si>
    <t xml:space="preserve">Communication formelle de la structure de pilotage à tous les acteurs</t>
  </si>
  <si>
    <t xml:space="preserve">La structure de pilotage du projet (instances, rôles) a-t-elle été formellement communiquée à tous les acteurs concernés ?</t>
  </si>
  <si>
    <t xml:space="preserve">Rapport d’optimisation des ressources</t>
  </si>
  <si>
    <t xml:space="preserve">. Structure non mise à jour provoquant des incohérences organisationnelles</t>
  </si>
  <si>
    <t xml:space="preserve">Manque de transparence, réduisant l’adhésion des parties prenantes.</t>
  </si>
  <si>
    <t xml:space="preserve">Adoptez des normes d’interopérabilité reconnues (ex. : SOAP, REST) pour garantir la compatibilité.</t>
  </si>
  <si>
    <t xml:space="preserve">Procédure de gestion des conflits ressources</t>
  </si>
  <si>
    <t xml:space="preserve">. Niveaux de délégation non définis entraînant des décisions non autorisées</t>
  </si>
  <si>
    <t xml:space="preserve">Accessibilité des informations sur la gouvernance du projet</t>
  </si>
  <si>
    <t xml:space="preserve">Les informations relatives à la gouvernance du projet (organigramme, instances, processus) sont-elles facilement accessibles aux parties prenantes ?</t>
  </si>
  <si>
    <t xml:space="preserve">Registre des risques inter-projets</t>
  </si>
  <si>
    <t xml:space="preserve">. Seuils financiers mal documentés causant des dépassements budgétaires</t>
  </si>
  <si>
    <t xml:space="preserve">Informations inaccessibles, compliquant la coordination du projet.</t>
  </si>
  <si>
    <t xml:space="preserve">Testez l’interopérabilité dans un environnement simulé avant le déploiement.</t>
  </si>
  <si>
    <t xml:space="preserve">Rapport de revue des risques inter-projets</t>
  </si>
  <si>
    <t xml:space="preserve">. Escalade des décisions mal encadrée retardant la résolution des problèmes</t>
  </si>
  <si>
    <t xml:space="preserve">Mise à jour documentée de la structure en cas de changement organisationnel</t>
  </si>
  <si>
    <t xml:space="preserve">Un processus existe-t-il pour documenter et communiquer les mises à jour de la structure de gouvernance en cas de changement organisationnel ?</t>
  </si>
  <si>
    <t xml:space="preserve">Registre des changements organisationnels</t>
  </si>
  <si>
    <t xml:space="preserve">. Délégations non communiquées créant des conflits d'autorité</t>
  </si>
  <si>
    <t xml:space="preserve">Structure obsolète, entraînant des inefficacités organisationnelles.</t>
  </si>
  <si>
    <t xml:space="preserve">Cartographiez les projets connexes dans une matrice pour identifier les dépendances et les impacts.</t>
  </si>
  <si>
    <t xml:space="preserve">Document de mise à jour de la structure</t>
  </si>
  <si>
    <t xml:space="preserve">. Non-révision des délégations réduisant leur pertinence face aux évolutions</t>
  </si>
  <si>
    <t xml:space="preserve">S’assurer que les différentes instances de pilotage connaissent
leurs niveaux de délégation</t>
  </si>
  <si>
    <t xml:space="preserve">Définition formelle des niveaux de délégation pour chaque instance</t>
  </si>
  <si>
    <t xml:space="preserve">Les niveaux de délégation (pouvoir de décision) pour chaque instance de gouvernance (Comité de Pilotage, Chef de projet, etc.) sont-ils formellement définis ?</t>
  </si>
  <si>
    <t xml:space="preserve">Document des niveaux de délégation</t>
  </si>
  <si>
    <t xml:space="preserve">. Décisions non tracées compromettant la responsabilité des acteurs</t>
  </si>
  <si>
    <t xml:space="preserve">Décisions inappropriées, compromettant l’avancement du projet.</t>
  </si>
  <si>
    <t xml:space="preserve">Organisez des réunions inter-projets pour coordonner les efforts et éviter les conflits.</t>
  </si>
  <si>
    <t xml:space="preserve">Fiche de validation des délégations</t>
  </si>
  <si>
    <t xml:space="preserve">. Non-évaluation de l'efficacité des délégations entraînant des processus inefficaces</t>
  </si>
  <si>
    <t xml:space="preserve">Documentation des seuils financiers et décisionnels par niveau</t>
  </si>
  <si>
    <t xml:space="preserve">Les seuils financiers et décisionnels associés à chaque niveau de délégation sont-ils clairement documentés ?</t>
  </si>
  <si>
    <t xml:space="preserve">Document des seuils financiers et décisionnels</t>
  </si>
  <si>
    <t xml:space="preserve">. Délais de décision non mesurés masquant les goulots d'étranglement</t>
  </si>
  <si>
    <t xml:space="preserve">Seuils mal définis, entraînant des abus ou des blocages décisionnels.</t>
  </si>
  <si>
    <t xml:space="preserve">Vérifiez la conformité avec l’architecture cible via une revue formelle avec les architectes IT.</t>
  </si>
  <si>
    <t xml:space="preserve">Matrice des seuils par niveau</t>
  </si>
  <si>
    <t xml:space="preserve">. Cas d'escalade non analysés limitant l'amélioration des processus</t>
  </si>
  <si>
    <t xml:space="preserve">Procédure claire d'escalade des décisions hors délégation</t>
  </si>
  <si>
    <t xml:space="preserve">Existe-t-il une procédure claire et documentée pour l'escalade des décisions qui dépassent les niveaux de délégation définis ?</t>
  </si>
  <si>
    <t xml:space="preserve">Procédure d’escalade des décisions</t>
  </si>
  <si>
    <t xml:space="preserve">. Absence de retour d'expérience réduisant l'optimisation des délégations</t>
  </si>
  <si>
    <t xml:space="preserve">Escalades inefficaces, retardant la prise de décision.</t>
  </si>
  <si>
    <t xml:space="preserve">Documentez les écarts avec l’architecture cible et leurs justifications dans un rapport.</t>
  </si>
  <si>
    <t xml:space="preserve">Registre des escalades</t>
  </si>
  <si>
    <t xml:space="preserve">. Charte du comité de pilotage inexistante entraînant un manque de gouvernance</t>
  </si>
  <si>
    <t xml:space="preserve">Communication formelle des niveaux de délégation à chaque instance</t>
  </si>
  <si>
    <t xml:space="preserve">Les niveaux de délégation applicables ont-ils été formellement communiqués à chaque instance ou responsable concerné ?</t>
  </si>
  <si>
    <t xml:space="preserve">Compte-rendu de communication des délégations</t>
  </si>
  <si>
    <t xml:space="preserve">. Réunions du comité non planifiées causant des retards dans les décisions stratégiques</t>
  </si>
  <si>
    <t xml:space="preserve">Manque de clarté, provoquant des confusions dans les responsabilités.</t>
  </si>
  <si>
    <t xml:space="preserve">Élaborez un planning global dans un outil de gestion de projet (ex. : MS Project), couvrant toutes les phases.</t>
  </si>
  <si>
    <t xml:space="preserve">Rapport de diffusion des délégations</t>
  </si>
  <si>
    <t xml:space="preserve">. Non-participation des décideurs clés affaiblissant la légitimité des décisions</t>
  </si>
  <si>
    <t xml:space="preserve">Revue périodique de l'adéquation des niveaux de délégation</t>
  </si>
  <si>
    <t xml:space="preserve">L'adéquation des niveaux de délégation par rapport aux enjeux et à la dynamique du projet fait-elle l'objet d'une revue périodique ?</t>
  </si>
  <si>
    <t xml:space="preserve">Rapport de revue périodique des délégations</t>
  </si>
  <si>
    <t xml:space="preserve">. Comptes rendus absents compromettant le suivi des décisions prises</t>
  </si>
  <si>
    <t xml:space="preserve">Délégations inadaptées, compromettant l’efficacité décisionnelle.</t>
  </si>
  <si>
    <t xml:space="preserve">Validez le planning avec les parties prenantes pour garantir son réalisme.</t>
  </si>
  <si>
    <t xml:space="preserve">Plan de révision des délégations</t>
  </si>
  <si>
    <t xml:space="preserve">. Actions non suivies réduisant l'efficacité du comité de pilotage</t>
  </si>
  <si>
    <t xml:space="preserve">S’assurer que les objectifs des délégations sont atteints</t>
  </si>
  <si>
    <t xml:space="preserve">Suivi documenté des décisions prises dans le cadre des délégations</t>
  </si>
  <si>
    <t xml:space="preserve">Les décisions prises dans le cadre des délégations accordées font-elles l'objet d'un suivi documenté (registre, compte-rendu) ?</t>
  </si>
  <si>
    <t xml:space="preserve">Registre des décisions déléguées</t>
  </si>
  <si>
    <t xml:space="preserve">. Rôle du comité de projet mal défini entraînant une mauvaise coordination opérationnelle</t>
  </si>
  <si>
    <t xml:space="preserve">Décisions non suivies, réduisant leur impact sur le projet.</t>
  </si>
  <si>
    <t xml:space="preserve">Identifiez les jalons et livrables dans une matrice, avec des dates et des responsables clairs.</t>
  </si>
  <si>
    <t xml:space="preserve">Rapport de suivi des décisions</t>
  </si>
  <si>
    <t xml:space="preserve">. Réunions du comité de projet irrégulières perturbant le suivi opérationnel</t>
  </si>
  <si>
    <t xml:space="preserve">Évaluation périodique de l'efficacité du processus de délégation</t>
  </si>
  <si>
    <t xml:space="preserve">L'efficacité du processus de délégation (rapidité, pertinence des décisions) est-elle évaluée périodiquement ?</t>
  </si>
  <si>
    <t xml:space="preserve">Rapport d’évaluation de l’efficacité délégation</t>
  </si>
  <si>
    <t xml:space="preserve">. Non-participation des représentants métiers limitant l'alignement avec les besoins</t>
  </si>
  <si>
    <t xml:space="preserve">Processus inefficace, entraînant des retards ou des blocages.</t>
  </si>
  <si>
    <t xml:space="preserve">Utilisez des diagrammes de Gantt pour visualiser les jalons et leurs interdépendances.</t>
  </si>
  <si>
    <t xml:space="preserve">Plan d’amélioration du processus délégation</t>
  </si>
  <si>
    <t xml:space="preserve">. Comptes rendus non produits entraînant une perte d'information opérationnelle</t>
  </si>
  <si>
    <t xml:space="preserve">Mesure des délais de prise de décision par niveau de délégation</t>
  </si>
  <si>
    <t xml:space="preserve">Des indicateurs sont-ils mis en place pour mesurer les délais moyens de prise de décision par niveau de délégation ?</t>
  </si>
  <si>
    <t xml:space="preserve">Tableau des délais de décision</t>
  </si>
  <si>
    <t xml:space="preserve">. Décisions opérationnelles non tracées compromettant leur mise en œuvre</t>
  </si>
  <si>
    <t xml:space="preserve">Décisions lentes, compromettant les délais du projet.</t>
  </si>
  <si>
    <t xml:space="preserve">Définissez les chemins critiques à l’aide d’un logiciel de planification pour prioriser les tâches.</t>
  </si>
  <si>
    <t xml:space="preserve">Rapport d’analyse des délais</t>
  </si>
  <si>
    <t xml:space="preserve">. Structure des utilisateurs inexistante empêchant la prise en compte de leurs besoins</t>
  </si>
  <si>
    <t xml:space="preserve">Analyse des cas d'escalade et de leurs impacts sur le projet</t>
  </si>
  <si>
    <t xml:space="preserve">Les cas d'escalade de décisions sont-ils analysés pour comprendre leurs causes et leurs impacts sur le déroulement du projet ?</t>
  </si>
  <si>
    <t xml:space="preserve">Rapport d’analyse des cas d’escalade</t>
  </si>
  <si>
    <t xml:space="preserve">. Représentativité insuffisante des utilisateurs biaisant les retours collectés</t>
  </si>
  <si>
    <t xml:space="preserve">Escalades fréquentes, révélant des faiblesses organisationnelles.</t>
  </si>
  <si>
    <t xml:space="preserve">Surveillez les chemins critiques via des revues régulières pour éviter les retards.</t>
  </si>
  <si>
    <t xml:space="preserve">Plan de mitigation des impacts escalade</t>
  </si>
  <si>
    <t xml:space="preserve">. Retours utilisateurs mal intégrés réduisant l'adoption du produit final</t>
  </si>
  <si>
    <t xml:space="preserve">Retour d'expérience formalisé sur l'efficacité des délégations</t>
  </si>
  <si>
    <t xml:space="preserve">Un retour d'expérience formalisé sur l'efficacité globale du système de délégation est-il réalisé (par exemple, en fin de phase ou de projet) ?</t>
  </si>
  <si>
    <t xml:space="preserve">Document de retour d’expérience délégations</t>
  </si>
  <si>
    <t xml:space="preserve">. Consultations utilisateurs irrégulières entraînant des écarts avec les attentes</t>
  </si>
  <si>
    <t xml:space="preserve">Absence d’amélioration, perpetuant les inefficacités décisionnelles.</t>
  </si>
  <si>
    <t xml:space="preserve">Établissez une procédure de mise à jour du planning, avec des revues périodiques planifiées.</t>
  </si>
  <si>
    <t xml:space="preserve">Rapport de synthèse des retours</t>
  </si>
  <si>
    <t xml:space="preserve">. Contributions utilisateurs non tracées limitant leur prise en compte effective</t>
  </si>
  <si>
    <t xml:space="preserve">S’assurer qu’il existe un comité de pilotage</t>
  </si>
  <si>
    <t xml:space="preserve">Existence d'une charte définissant le rôle et la composition du comité de pilotage</t>
  </si>
  <si>
    <t xml:space="preserve">Existe-t-il une charte ou un document équivalent définissant formellement le rôle, les responsabilités, la fréquence et la composition du comité de pilotage ?</t>
  </si>
  <si>
    <t xml:space="preserve">Charte du comité de pilotage</t>
  </si>
  <si>
    <t xml:space="preserve">. Participants inadaptés au niveau de décision causant des choix inappropriés</t>
  </si>
  <si>
    <t xml:space="preserve">Pilotage flou, entraînant des dérives dans la gouvernance.</t>
  </si>
  <si>
    <t xml:space="preserve">Diffusez les mises à jour du planning via un canal centralisé pour garantir l’accès des parties prenantes.</t>
  </si>
  <si>
    <t xml:space="preserve">Fiche de validation de la charte</t>
  </si>
  <si>
    <t xml:space="preserve">. Domaines impactés non représentés entraînant des décisions incomplètes</t>
  </si>
  <si>
    <t xml:space="preserve">Calendrier formalisé des réunions du comité de pilotage</t>
  </si>
  <si>
    <t xml:space="preserve">Un calendrier prévisionnel des réunions du comité de pilotage a-t-il été établi et communiqué ?</t>
  </si>
  <si>
    <t xml:space="preserve">Calendrier des réunions du comité</t>
  </si>
  <si>
    <t xml:space="preserve">. Délégations de pouvoir non vérifiées compromettant la validité des décisions</t>
  </si>
  <si>
    <t xml:space="preserve">Réunions irrégulières, compromettant le suivi du projet.</t>
  </si>
  <si>
    <t xml:space="preserve">Obtenez la validation du planning par la MOA, la MOE et les prestataires lors des revues de gouvernance.</t>
  </si>
  <si>
    <t xml:space="preserve">Registre des réunions planifiées</t>
  </si>
  <si>
    <t xml:space="preserve">. Composition des comités non réévaluée réduisant leur pertinence</t>
  </si>
  <si>
    <t xml:space="preserve">Participation effective des décideurs clés aux réunions du comité</t>
  </si>
  <si>
    <t xml:space="preserve">Peut-on démontrer (via les listes de présence) la participation effective des décideurs clés désignés aux réunions du comité de pilotage ?</t>
  </si>
  <si>
    <t xml:space="preserve">Liste des participants clés</t>
  </si>
  <si>
    <t xml:space="preserve">. Critères de sélection des participants non documentés entraînant des choix arbitraires</t>
  </si>
  <si>
    <t xml:space="preserve">Manque d’engagement, affaiblissant les décisions stratégiques.</t>
  </si>
  <si>
    <t xml:space="preserve">Rapport de présence aux réunions</t>
  </si>
  <si>
    <t xml:space="preserve">. Non-conformité avec la réglementation camerounaise exposant à des sanctions</t>
  </si>
  <si>
    <t xml:space="preserve">Existence de comptes rendus formels des décisions prises</t>
  </si>
  <si>
    <t xml:space="preserve">Des comptes rendus formels, incluant les décisions prises et les points clés discutés, sont-ils systématiquement produits après chaque comité de pilotage ?</t>
  </si>
  <si>
    <t xml:space="preserve">Compte-rendu des décisions comité pilotage</t>
  </si>
  <si>
    <t xml:space="preserve">. Composition des comités non validée compromettant leur légitimité</t>
  </si>
  <si>
    <t xml:space="preserve">Décisions non documentées, compliquant leur suivi et exécution.</t>
  </si>
  <si>
    <t xml:space="preserve">Rédigez un plan de projet formel, incluant tous les éléments fondamentaux dans un modèle standardisé.</t>
  </si>
  <si>
    <t xml:space="preserve">Registre des décisions comité</t>
  </si>
  <si>
    <t xml:space="preserve">. Dérogations non justifiées entraînant des risques juridiques</t>
  </si>
  <si>
    <t xml:space="preserve">Suivi documenté des actions décidées en comité de pilotage</t>
  </si>
  <si>
    <t xml:space="preserve">Un suivi documenté (plan d'action, tableau de suivi) est-il mis en place pour tracer l'avancement des actions décidées en comité de pilotage ?</t>
  </si>
  <si>
    <t xml:space="preserve">Liste des actions décidées</t>
  </si>
  <si>
    <t xml:space="preserve">. Taille des comités non révisée réduisant l'efficacité décisionnelle</t>
  </si>
  <si>
    <t xml:space="preserve">Actions non réalisées, compromettant les objectifs du projet.</t>
  </si>
  <si>
    <t xml:space="preserve">Validez le plan avec les instances de gouvernance pour garantir son alignement avec les objectifs.</t>
  </si>
  <si>
    <t xml:space="preserve">Plan de suivi des actions</t>
  </si>
  <si>
    <t xml:space="preserve">. Efficacité décisionnelle non vérifiée entraînant des réunions inefficaces</t>
  </si>
  <si>
    <t xml:space="preserve">S’assurer qu’il existe un comité de projet</t>
  </si>
  <si>
    <t xml:space="preserve">Documentation formelle du rôle et de la composition du comité de projet</t>
  </si>
  <si>
    <t xml:space="preserve">Le rôle, les responsabilités et la composition du comité de projet (ou instance équivalente de suivi opérationnel) sont-ils formellement documentés ?</t>
  </si>
  <si>
    <t xml:space="preserve">Charte du comité de projet</t>
  </si>
  <si>
    <t xml:space="preserve">. Absence des responsables de production dans les instances biaisant les décisions techniques</t>
  </si>
  <si>
    <t xml:space="preserve">Pilotage opérationnel flou, entraînant des retards ou des erreurs.</t>
  </si>
  <si>
    <t xml:space="preserve">Obtenez une validation formelle du plan initial par un comité de pilotage dédié.</t>
  </si>
  <si>
    <t xml:space="preserve">Document de validation du comité projet</t>
  </si>
  <si>
    <t xml:space="preserve">. Non-consultation des équipes de production causant des choix techniques inadaptés</t>
  </si>
  <si>
    <t xml:space="preserve">Fréquence adaptée des réunions du comité de projet</t>
  </si>
  <si>
    <t xml:space="preserve">La fréquence des réunions du comité de projet est-elle adaptée au rythme et aux besoins opérationnels du projet ?</t>
  </si>
  <si>
    <t xml:space="preserve">Calendrier des réunions comité projet</t>
  </si>
  <si>
    <t xml:space="preserve">. Non-participation des gestionnaires à la validation des livrables compromettant leur qualité</t>
  </si>
  <si>
    <t xml:space="preserve">Réunions inefficaces, gaspillant du temps et des ressources.</t>
  </si>
  <si>
    <t xml:space="preserve">Documentez la validation dans un PV de réunion signé par les parties prenantes.</t>
  </si>
  <si>
    <t xml:space="preserve">Rapport de fréquence des réunions</t>
  </si>
  <si>
    <t xml:space="preserve">. Non-implication des équipes de production dans la planification entraînant des retards</t>
  </si>
  <si>
    <t xml:space="preserve">Participation effective de l'équipe projet et des représentants métiers</t>
  </si>
  <si>
    <t xml:space="preserve">Les membres de l'équipe projet et les représentants métiers concernés participent-ils effectivement aux réunions du comité de projet ?</t>
  </si>
  <si>
    <t xml:space="preserve">Liste des participants comité projet</t>
  </si>
  <si>
    <t xml:space="preserve">. Contraintes de production ignorées générant des conflits lors des mises en production</t>
  </si>
  <si>
    <t xml:space="preserve">Manque de coordination, réduisant l’efficacité opérationnelle.</t>
  </si>
  <si>
    <t xml:space="preserve">Diffusez le plan initial via un canal centralisé (ex. : intranet projet) pour garantir son accessibilité.</t>
  </si>
  <si>
    <t xml:space="preserve">Rapport de participation effective</t>
  </si>
  <si>
    <t xml:space="preserve">. Méthodologie non documentée entraînant une gestion de projet incohérente</t>
  </si>
  <si>
    <t xml:space="preserve">Production systématique de comptes rendus de réunion</t>
  </si>
  <si>
    <t xml:space="preserve">Des comptes rendus sont-ils systématiquement produits et diffusés après chaque réunion du comité de projet ?</t>
  </si>
  <si>
    <t xml:space="preserve">Compte-rendu des réunions comité projet</t>
  </si>
  <si>
    <t xml:space="preserve">. Équipes non formées à la méthodologie réduisant son application effective</t>
  </si>
  <si>
    <t xml:space="preserve">Décisions mal documentées, entraînant des erreurs d’exécution.</t>
  </si>
  <si>
    <t xml:space="preserve">Organisez une session d’information pour présenter le plan aux parties prenantes.</t>
  </si>
  <si>
    <t xml:space="preserve">Registre des décisions opérationnelles</t>
  </si>
  <si>
    <t xml:space="preserve">. Outils de méthodologie non utilisés compromettant la cohérence du projet</t>
  </si>
  <si>
    <t xml:space="preserve">Suivi documenté des décisions opérationnelles prises en comité de projet</t>
  </si>
  <si>
    <t xml:space="preserve">Un suivi documenté est-il assuré pour les décisions et actions opérationnelles définies lors des comités de projet ?</t>
  </si>
  <si>
    <t xml:space="preserve">Document de structure des utilisateurs</t>
  </si>
  <si>
    <t xml:space="preserve">. Non-respect des jalons méthodologiques entraînant des écarts de planification</t>
  </si>
  <si>
    <t xml:space="preserve">Décisions non suivies, compromettant l’avancement opérationnel.</t>
  </si>
  <si>
    <t xml:space="preserve">Vérifiez la cohérence du plan avec les objectifs stratégiques et le cahier des charges via une revue formelle.</t>
  </si>
  <si>
    <t xml:space="preserve">Fiche de validation de la structure</t>
  </si>
  <si>
    <t xml:space="preserve">. Non-évaluation de la méthodologie limitant son amélioration continue</t>
  </si>
  <si>
    <t xml:space="preserve">S’assurer qu’il existe un comité des utilisateurs ou, a minima,
une participation des utilisateurs</t>
  </si>
  <si>
    <t xml:space="preserve">Existence d'une structure formelle de représentation des utilisateurs</t>
  </si>
  <si>
    <t xml:space="preserve">Existe-t-il une structure ou un processus formel pour assurer la représentation des utilisateurs finaux dans le projet (groupe utilisateurs, référents métiers) ?</t>
  </si>
  <si>
    <t xml:space="preserve">Liste des catégories d’utilisateurs</t>
  </si>
  <si>
    <t xml:space="preserve">. WBS incomplet entraînant une mauvaise planification des tâches</t>
  </si>
  <si>
    <t xml:space="preserve">Manque de représentativité, ignorant des besoins critiques.</t>
  </si>
  <si>
    <t xml:space="preserve">Documentez les écarts de cohérence dans un rapport avec des actions correctives.</t>
  </si>
  <si>
    <t xml:space="preserve">Rapport de représentativité utilisateurs</t>
  </si>
  <si>
    <t xml:space="preserve">. Granularité inadaptée du WBS compromettant le suivi précis du projet</t>
  </si>
  <si>
    <t xml:space="preserve">Représentativité des différentes catégories d'utilisateurs</t>
  </si>
  <si>
    <t xml:space="preserve">La structure de représentation des utilisateurs garantit-elle la prise en compte des besoins des différentes catégories d'utilisateurs concernées par le projet ?</t>
  </si>
  <si>
    <t xml:space="preserve">Procédure de collecte des retours utilisateurs</t>
  </si>
  <si>
    <t xml:space="preserve">. Périmètre des tâches mal défini entraînant des chevauchements ou omissions</t>
  </si>
  <si>
    <t xml:space="preserve">Besoins mal compris, réduisant l’adoption de la solution.</t>
  </si>
  <si>
    <t xml:space="preserve">Numérotez et datez chaque version du plan de projet pour assurer une traçabilité claire.</t>
  </si>
  <si>
    <t xml:space="preserve">Registre des retours collectés</t>
  </si>
  <si>
    <t xml:space="preserve">. Livrables non identifiés causant des écarts dans les attentes du projet</t>
  </si>
  <si>
    <t xml:space="preserve">Processus documenté de collecte et de prise en compte des retours utilisateurs</t>
  </si>
  <si>
    <t xml:space="preserve">Un processus documenté décrit-il comment les retours, avis et besoins des utilisateurs sont collectés, analysés et pris en compte ?</t>
  </si>
  <si>
    <t xml:space="preserve">Calendrier des consultations utilisateurs</t>
  </si>
  <si>
    <t xml:space="preserve">. WBS non mis à jour générant des incohérences dans le suivi du projet</t>
  </si>
  <si>
    <t xml:space="preserve">Retours ignorés, entraînant des solutions inadaptées.</t>
  </si>
  <si>
    <t xml:space="preserve">Utilisez un outil de gestion de versions pour gérer les itérations du plan.</t>
  </si>
  <si>
    <t xml:space="preserve">Rapport de fréquence des consultations</t>
  </si>
  <si>
    <t xml:space="preserve">. Matrice RACI absente entraînant une confusion des responsabilités</t>
  </si>
  <si>
    <t xml:space="preserve">Fréquence adaptée des consultations des utilisateurs</t>
  </si>
  <si>
    <t xml:space="preserve">Les utilisateurs ou leurs représentants sont-ils consultés à une fréquence adaptée aux différentes phases du projet (conception, recette, déploiement) ?</t>
  </si>
  <si>
    <t xml:space="preserve">Matrice de traçabilité contributions utilisateurs</t>
  </si>
  <si>
    <t xml:space="preserve">Risque d’inadéquation entre la fréquence des consultations et les besoins réels des utilisateurs, entraînant un manque d’alignement du projet avec les attentes.</t>
  </si>
  <si>
    <t xml:space="preserve">Consultations rares, réduisant l’adhésion des utilisateurs.</t>
  </si>
  <si>
    <t xml:space="preserve">Établissez une procédure de revue des modifications, avec un comité dédié pour les valider.</t>
  </si>
  <si>
    <t xml:space="preserve">Rapport d’intégration des contributions</t>
  </si>
  <si>
    <t xml:space="preserve">Traçabilité de l'intégration des contributions utilisateurs dans le projet</t>
  </si>
  <si>
    <t xml:space="preserve">Est-il possible de tracer comment les contributions et retours des utilisateurs ont été intégrés (ou pourquoi ils ne l'ont pas été) dans les livrables du projet ?</t>
  </si>
  <si>
    <t xml:space="preserve">Liste des participants par niveau hiérarchique</t>
  </si>
  <si>
    <t xml:space="preserve">Risque de perte d’informations ou d’exclusion des contributions utilisateurs, compromettant la qualité et la pertinence des livrables.</t>
  </si>
  <si>
    <t xml:space="preserve">Contributions non intégrées, compromettant la pertinence des solutions.</t>
  </si>
  <si>
    <t xml:space="preserve">Documentez les décisions de validation dans un registre pour garantir leur traçabilité.</t>
  </si>
  <si>
    <t xml:space="preserve">Rapport de conformité hiérarchique</t>
  </si>
  <si>
    <t xml:space="preserve">S’assurer que les participants aux différents comités sont
représentatifs et ont le bon niveau de décision</t>
  </si>
  <si>
    <t xml:space="preserve">Adéquation entre le niveau hiérarchique des participants et le niveau de décision requis</t>
  </si>
  <si>
    <t xml:space="preserve">Le niveau hiérarchique et/ou d'expertise des participants aux différentes instances de gouvernance est-il en adéquation avec le niveau de décision requis pour chaque instance ?</t>
  </si>
  <si>
    <t xml:space="preserve">Liste des domaines fonctionnels impactés</t>
  </si>
  <si>
    <t xml:space="preserve">Risque d’implication de participants non habilités à prendre les décisions nécessaires, ralentissant la prise de décision ou entraînant des décisions inappropriées.</t>
  </si>
  <si>
    <t xml:space="preserve">Décisions inappropriées, ne reflétant pas les besoins réels.</t>
  </si>
  <si>
    <t xml:space="preserve">Documentez toutes les modifications dans un journal de changements, avec dates et justifications.</t>
  </si>
  <si>
    <t xml:space="preserve">Rapport de couverture des domaines</t>
  </si>
  <si>
    <t xml:space="preserve">Représentation de tous les domaines fonctionnels et techniques impactés par le projet</t>
  </si>
  <si>
    <t xml:space="preserve">Peut-on vérifier que tous les domaines fonctionnels et techniques significativement impactés par le projet sont représentés dans les instances de gouvernance appropriées ?</t>
  </si>
  <si>
    <t xml:space="preserve">Document des délégations de pouvoir</t>
  </si>
  <si>
    <t xml:space="preserve">Risque d’absence de prise en compte de certains domaines fonctionnels ou techniques, générant des lacunes dans le périmètre du projet et des dysfonctionnements post-déploiement.</t>
  </si>
  <si>
    <t xml:space="preserve">Domaines négligés, entraînant des solutions incomplètes.</t>
  </si>
  <si>
    <t xml:space="preserve">Utilisez un outil de suivi des modifications pour assurer leur traçabilité.</t>
  </si>
  <si>
    <t xml:space="preserve">Fiche de vérification des délégations</t>
  </si>
  <si>
    <t xml:space="preserve">Vérification des délégations de pouvoir formelles en cas de représentation</t>
  </si>
  <si>
    <t xml:space="preserve">Les délégations de pouvoir formelles sont-elles vérifiées lorsqu'un membre d'une instance est représenté ?</t>
  </si>
  <si>
    <t xml:space="preserve">Rapport d’évaluation de la composition</t>
  </si>
  <si>
    <t xml:space="preserve">Risque de décisions invalides ou contestées en raison de délégations de pouvoir non formalisées ou mal vérifiées.</t>
  </si>
  <si>
    <t xml:space="preserve">Représentations non autorisées, compromettant la légitimité des décisions.</t>
  </si>
  <si>
    <t xml:space="preserve">Justifiez les changements significatifs dans un rapport détaillé, validé par les parties prenantes.</t>
  </si>
  <si>
    <t xml:space="preserve">Plan de révision de la composition</t>
  </si>
  <si>
    <t xml:space="preserve">Évaluation périodique de la pertinence de la composition des comités</t>
  </si>
  <si>
    <t xml:space="preserve">La pertinence de la composition des comités fait-elle l'objet d'une évaluation périodique ?</t>
  </si>
  <si>
    <t xml:space="preserve">Document des critères de sélection</t>
  </si>
  <si>
    <t xml:space="preserve">Risque d’inadéquation de la composition des comités avec les besoins évolutifs du projet, affectant la gouvernance et la qualité des décisions.</t>
  </si>
  <si>
    <t xml:space="preserve">Comités inadaptés, réduisant l’efficacité décisionnelle.</t>
  </si>
  <si>
    <t xml:space="preserve">Communiquez les justifications via des réunions ou des rapports pour maintenir la transparence.</t>
  </si>
  <si>
    <t xml:space="preserve">Fiche de validation des critères</t>
  </si>
  <si>
    <t xml:space="preserve">Documentation des critères de sélection des participants aux différents comités</t>
  </si>
  <si>
    <t xml:space="preserve">Les critères de sélection des participants aux différents comités sont-ils documentés ?</t>
  </si>
  <si>
    <t xml:space="preserve">Rapport de conformité réglementaire camerounaise</t>
  </si>
  <si>
    <t xml:space="preserve">Risque de sélection arbitraire ou non transparente des participants, pouvant engendrer des conflits ou un manque de compétence dans les comités.</t>
  </si>
  <si>
    <t xml:space="preserve">Participants mal sélectionnés, affaiblissant la pertinence des décisions.</t>
  </si>
  <si>
    <t xml:space="preserve">Communiquez les révisions du plan via un canal centralisé, avec un accusé de réception des parties prenantes.</t>
  </si>
  <si>
    <t xml:space="preserve">Attestation de conformité participants</t>
  </si>
  <si>
    <t xml:space="preserve">S’assurer que les participants ne sont pas trop nombreux, au
Cameroun un texte du Premier Ministre encadre le nombre de
participants aux comités, commissions et groupe de travail</t>
  </si>
  <si>
    <t xml:space="preserve">Conformité du nombre de participants avec la réglementation camerounaise en vigueur</t>
  </si>
  <si>
    <t xml:space="preserve">Le nombre de participants aux comités est-il conforme à la réglementation camerounaise en vigueur (si applicable) ?</t>
  </si>
  <si>
    <t xml:space="preserve">Procédure de validation de la composition</t>
  </si>
  <si>
    <t xml:space="preserve">Risque de non-conformité avec la réglementation locale, exposant le projet à des sanctions ou à des contestations légales.</t>
  </si>
  <si>
    <t xml:space="preserve">Non-conformité légale, risquant des sanctions ou des contestations.</t>
  </si>
  <si>
    <t xml:space="preserve">Organisez des sessions d’information pour expliquer les révisions aux parties prenantes.</t>
  </si>
  <si>
    <t xml:space="preserve">Fiche d’approbation de la composition</t>
  </si>
  <si>
    <t xml:space="preserve">Existence d'une procédure de validation de la composition des comités</t>
  </si>
  <si>
    <t xml:space="preserve">Existe-t-il une procédure formalisée pour la validation de la composition des comités ?</t>
  </si>
  <si>
    <t xml:space="preserve">Rapport de justification des dérogations</t>
  </si>
  <si>
    <t xml:space="preserve">Risque d’absence de contrôle sur la composition des comités, menant à une gouvernance inefficace ou désorganisée.</t>
  </si>
  <si>
    <t xml:space="preserve">Comités non validés, compromettant leur légitimité.</t>
  </si>
  <si>
    <t xml:space="preserve">Décomposez le plan global en WBS à l’aide d’un outil de gestion de projet pour structurer les tâches.</t>
  </si>
  <si>
    <t xml:space="preserve">Document des dérogations autorisées</t>
  </si>
  <si>
    <t xml:space="preserve">Justification documentée en cas de dérogation au nombre maximal autorisé</t>
  </si>
  <si>
    <t xml:space="preserve">Les dérogations éventuelles au nombre maximal de participants autorisé sont-elles documentées et justifiées ?</t>
  </si>
  <si>
    <t xml:space="preserve">Rapport de révision de la taille des comités</t>
  </si>
  <si>
    <t xml:space="preserve">Risque de non-justification des dérogations, compromettant la transparence et la légitimité des comités.</t>
  </si>
  <si>
    <t xml:space="preserve">Dérogations injustifiées, entraînant des contestations ou des inefficacités.</t>
  </si>
  <si>
    <t xml:space="preserve">Validez la WBS avec les responsables opérationnels pour garantir sa pertinence.</t>
  </si>
  <si>
    <t xml:space="preserve">Plan de révision périodique</t>
  </si>
  <si>
    <t xml:space="preserve">Mécanisme de révision périodique de la taille des comités</t>
  </si>
  <si>
    <t xml:space="preserve">Existe-t-il un mécanisme pour la révision périodique de la taille des comités ?</t>
  </si>
  <si>
    <t xml:space="preserve">Rapport d’efficacité décisionnelle</t>
  </si>
  <si>
    <t xml:space="preserve">Risque d’inadaptation de la taille des comités aux besoins réels, ce qui peut entraîner inefficacité ou surcharge décisionnelle.</t>
  </si>
  <si>
    <t xml:space="preserve">Comités inefficaces, compromettant la prise de décision.</t>
  </si>
  <si>
    <t xml:space="preserve">Adaptez la granularité des tâches à la complexité du projet, en utilisant des checklists de décomposition.</t>
  </si>
  <si>
    <t xml:space="preserve">Analyse de l’impact taille comité</t>
  </si>
  <si>
    <t xml:space="preserve">Vérification de l'efficacité décisionnelle en fonction du nombre de participants</t>
  </si>
  <si>
    <t xml:space="preserve">L'efficacité décisionnelle des comités est-elle évaluée en lien avec le nombre de participants ?</t>
  </si>
  <si>
    <t xml:space="preserve">Liste des responsables de production</t>
  </si>
  <si>
    <t xml:space="preserve">Risque de baisse de l’efficacité décisionnelle liée à un nombre inapproprié de participants, impactant la réactivité du projet.</t>
  </si>
  <si>
    <t xml:space="preserve">Décisions lentes, retardant l’avancement du projet.</t>
  </si>
  <si>
    <t xml:space="preserve">Revoyez la granularité lors des revues de planification pour éviter les surcharges ou les omissions.</t>
  </si>
  <si>
    <t xml:space="preserve">Rapport de présence en gouvernance</t>
  </si>
  <si>
    <t xml:space="preserve">S’assurer que les gestionnaires de la production sont intégrés
dans les structures de pilotage</t>
  </si>
  <si>
    <t xml:space="preserve">Présence formelle des responsables de production dans les instances de gouvernance appropriées</t>
  </si>
  <si>
    <t xml:space="preserve">Les responsables de production (ou leurs représentants) sont-ils formellement présents dans les instances de gouvernance appropriées ?</t>
  </si>
  <si>
    <t xml:space="preserve">Compte-rendu des consultations production</t>
  </si>
  <si>
    <t xml:space="preserve">Risque d’absence des responsables de production dans les instances de gouvernance, conduisant à un décalage entre décisions et contraintes opérationnelles.</t>
  </si>
  <si>
    <t xml:space="preserve">Décisions déconnectées, entraînant des solutions inadaptées.</t>
  </si>
  <si>
    <t xml:space="preserve">Assignez les responsabilités dans une matrice RACI intégrée à la WBS pour clarifier les rôles.</t>
  </si>
  <si>
    <t xml:space="preserve">Registre des retours production</t>
  </si>
  <si>
    <t xml:space="preserve">Consultation documentée des équipes de production pour les décisions techniques</t>
  </si>
  <si>
    <t xml:space="preserve">Les équipes de production sont-elles consultées de manière documentée pour les décisions techniques impactant l'exploitabilité ?</t>
  </si>
  <si>
    <t xml:space="preserve">Fiche de validation des livrables production</t>
  </si>
  <si>
    <t xml:space="preserve">Risque d’absence de consultation formelle des équipes de production, générant des résistances ou des erreurs techniques lors de la mise en œuvre.</t>
  </si>
  <si>
    <t xml:space="preserve">Retours ignorés, compromettant la qualité des livrables.</t>
  </si>
  <si>
    <t xml:space="preserve">Validez les affectations avec les responsables hiérarchiques pour garantir leur engagement.</t>
  </si>
  <si>
    <t xml:space="preserve">Rapport de validation par gestionnaires</t>
  </si>
  <si>
    <t xml:space="preserve">Participation des gestionnaires de production à la validation des livrables</t>
  </si>
  <si>
    <t xml:space="preserve">Les gestionnaires de production participent-ils à la validation des livrables clés impactant la production ?</t>
  </si>
  <si>
    <t xml:space="preserve">Planning des mises en production</t>
  </si>
  <si>
    <t xml:space="preserve">Risque de non-validation des livrables par les gestionnaires de production, entraînant des rejets ou retards dans la mise en production.</t>
  </si>
  <si>
    <t xml:space="preserve">Validations inadéquates, entraînant des erreurs en production.</t>
  </si>
  <si>
    <t xml:space="preserve">Documentez les dépendances dans un diagramme (ex. : PERT) pour visualiser les interdépendances.</t>
  </si>
  <si>
    <t xml:space="preserve">Rapport d’intégration contraintes production</t>
  </si>
  <si>
    <t xml:space="preserve">Implication des équipes de production dans la planification des mises en production</t>
  </si>
  <si>
    <t xml:space="preserve">Les équipes de production sont-elles impliquées dans la planification des mises en production ?</t>
  </si>
  <si>
    <t xml:space="preserve">Document de méthodologie de gestion</t>
  </si>
  <si>
    <t xml:space="preserve">Risque d’exclusion des équipes de production de la planification, provoquant des incompatibilités avec les contraintes opérationnelles.</t>
  </si>
  <si>
    <t xml:space="preserve">Planification irréaliste, provoquant des retards ou des échecs.</t>
  </si>
  <si>
    <t xml:space="preserve">Surveillez les dépendances via des revues régulières pour éviter les retards en cascade.</t>
  </si>
  <si>
    <t xml:space="preserve">Fiche de validation de la méthodologie</t>
  </si>
  <si>
    <t xml:space="preserve">Prise en compte formalisée des contraintes de production dans les décisions du projet</t>
  </si>
  <si>
    <t xml:space="preserve">Les contraintes de production (exploitation, maintenance) sont-elles formellement prises en compte dans les décisions du projet ?</t>
  </si>
  <si>
    <t xml:space="preserve">Plan de formation à la méthodologie</t>
  </si>
  <si>
    <t xml:space="preserve">Risque de non-prise en compte des contraintes de production dans les décisions, causant des dysfonctionnements ou interruptions.</t>
  </si>
  <si>
    <t xml:space="preserve">Contraintes ignorées, compromettant la faisabilité des décisions.</t>
  </si>
  <si>
    <t xml:space="preserve">Estimez les charges et durées à l’aide de techniques comme PERT ou l’historique de projets similaires.</t>
  </si>
  <si>
    <t xml:space="preserve">Rapport de suivi des formations</t>
  </si>
  <si>
    <t xml:space="preserve">Méthodes et outils</t>
  </si>
  <si>
    <t xml:space="preserve">S’assurer qu’il existe une méthode de conduite de projet et
celle-ci est appliquée</t>
  </si>
  <si>
    <t xml:space="preserve">Documentation formelle de la méthodologie de gestion de projet adoptée</t>
  </si>
  <si>
    <t xml:space="preserve">La méthodologie de gestion de projet adoptée est-elle formellement documentée ?</t>
  </si>
  <si>
    <t xml:space="preserve">Liste des outils et templates utilisés</t>
  </si>
  <si>
    <t xml:space="preserve">Risque d’absence de documentation claire de la méthodologie de gestion de projet, entraînant des pratiques incohérentes et un manque de contrôle.</t>
  </si>
  <si>
    <t xml:space="preserve">Gestion incohérente, entraînant des retards ou des erreurs.</t>
  </si>
  <si>
    <t xml:space="preserve">Validez les estimations avec les équipes opérationnelles pour garantir leur réalisme.</t>
  </si>
  <si>
    <t xml:space="preserve">Rapport d’utilisation des outils</t>
  </si>
  <si>
    <t xml:space="preserve">Formation des équipes à la méthodologie utilisée</t>
  </si>
  <si>
    <t xml:space="preserve">Les équipes projet ont-elles été formées à la méthodologie de gestion de projet utilisée ?</t>
  </si>
  <si>
    <t xml:space="preserve">Rapport de conformité aux étapes</t>
  </si>
  <si>
    <t xml:space="preserve">Risque de manque de formation des équipes à la méthodologie, réduisant l’efficacité et la cohérence des actions.</t>
  </si>
  <si>
    <t xml:space="preserve">Équipes non préparées, réduisant l’efficacité du projet.</t>
  </si>
  <si>
    <t xml:space="preserve">Documentez l’historique des modifications des plans détaillés dans un journal de changements clair.</t>
  </si>
  <si>
    <t xml:space="preserve">Registre des jalons atteints</t>
  </si>
  <si>
    <t xml:space="preserve">Utilisation effective des outils et templates associés à la méthodologie</t>
  </si>
  <si>
    <t xml:space="preserve">Les outils et templates associés à la méthodologie sont-ils effectivement utilisés par l'équipe projet ?</t>
  </si>
  <si>
    <t xml:space="preserve">Rapport d’évaluation de la méthodologie</t>
  </si>
  <si>
    <t xml:space="preserve">Risque de non-utilisation ou mauvaise utilisation des outils et templates associés, générant des erreurs ou pertes d’information.</t>
  </si>
  <si>
    <t xml:space="preserve">Outils mal utilisés, compromettant la qualité de la gestion.</t>
  </si>
  <si>
    <t xml:space="preserve">Utilisez un outil de gestion de projet pour centraliser et tracer les modifications.</t>
  </si>
  <si>
    <t xml:space="preserve">Plan d’amélioration de la méthodologie</t>
  </si>
  <si>
    <t xml:space="preserve">Respect des étapes et jalons définis par la méthodologie</t>
  </si>
  <si>
    <t xml:space="preserve">Les étapes clés et les jalons définis par la méthodologie sont-ils respectés dans le déroulement du projet ?</t>
  </si>
  <si>
    <t xml:space="preserve">Document de suivi périodique méthodologie</t>
  </si>
  <si>
    <t xml:space="preserve">Risque de non-respect des étapes et jalons définis, conduisant à des dérives de planning et de budget.</t>
  </si>
  <si>
    <t xml:space="preserve">Étapes négligées, entraînant des dérives ou des échecs.</t>
  </si>
  <si>
    <t xml:space="preserve">Établissez un processus formel d’approbation des révisions, impliquant les parties prenantes clés.</t>
  </si>
  <si>
    <t xml:space="preserve">Rapport de synthèse évaluation méthodologie</t>
  </si>
  <si>
    <t xml:space="preserve">Évaluation périodique de l'application de la méthodologie</t>
  </si>
  <si>
    <t xml:space="preserve">L'application de la méthodologie fait-elle l'objet d'une évaluation périodique (par exemple, via des revues de phase) ?</t>
  </si>
  <si>
    <t xml:space="preserve">Rapport d'évaluation méthodologique</t>
  </si>
  <si>
    <t xml:space="preserve">Risque d’absence d’évaluation périodique de l’application de la méthodologie, empêchant la détection et correction des écarts.</t>
  </si>
  <si>
    <t xml:space="preserve">Application inégale, réduisant la cohérence du projet.</t>
  </si>
  <si>
    <t xml:space="preserve">Documentez les approbations dans un registre avec signatures et commentaires.</t>
  </si>
  <si>
    <t xml:space="preserve">Plan de mise en œuvre de la méthodologie</t>
  </si>
  <si>
    <t xml:space="preserve">S’assurer que la méthode repose sur un découpage des projets
en tâches</t>
  </si>
  <si>
    <t xml:space="preserve">Existence d'une structure de découpage du projet (WBS) formalisée et complète</t>
  </si>
  <si>
    <t xml:space="preserve">Existe-t-il une structure de découpage du projet (WBS) formalisée et jugée complète ?</t>
  </si>
  <si>
    <t xml:space="preserve">Structure de découpage du projet (WBS)</t>
  </si>
  <si>
    <t xml:space="preserve">Risque d’absence ou d’incomplétude de la structure de découpage du projet (WBS), entraînant une mauvaise visibilité sur les tâches à réaliser.</t>
  </si>
  <si>
    <t xml:space="preserve">Projet mal structuré, entraînant des retards ou des confusions.</t>
  </si>
  <si>
    <t xml:space="preserve">Comparez régulièrement le réalisé au plan initial pour identifier les écarts et leurs causes.</t>
  </si>
  <si>
    <t xml:space="preserve">Diagramme de décomposition des tâches</t>
  </si>
  <si>
    <t xml:space="preserve">Niveau de granularité adapté à la complexité du projet</t>
  </si>
  <si>
    <t xml:space="preserve">Le niveau de granularité de la WBS est-il adapté à la complexité et aux besoins de suivi du projet ?</t>
  </si>
  <si>
    <t xml:space="preserve">Description détaillée des tâches</t>
  </si>
  <si>
    <t xml:space="preserve">Risque d’un niveau de granularité inadapté, conduisant à une planification inefficace ou à une surcharge administrative.</t>
  </si>
  <si>
    <t xml:space="preserve">Tâches mal définies, provoquant des erreurs ou des inefficacités.</t>
  </si>
  <si>
    <t xml:space="preserve">Utilisez des tableaux de bord pour visualiser les écarts et faciliter leur analyse.</t>
  </si>
  <si>
    <t xml:space="preserve">Rapport d'analyse de granularité</t>
  </si>
  <si>
    <t xml:space="preserve">Définition claire du périmètre de chaque tâche</t>
  </si>
  <si>
    <t xml:space="preserve">Le périmètre de chaque tâche de la WBS est-il clairement défini ?</t>
  </si>
  <si>
    <t xml:space="preserve">Définition du périmètre des tâches</t>
  </si>
  <si>
    <t xml:space="preserve">Risque de périmètre flou pour chaque tâche, générant des confusions et des chevauchements d’activités.</t>
  </si>
  <si>
    <t xml:space="preserve">Dérives de périmètre, compromettant les objectifs du projet.</t>
  </si>
  <si>
    <t xml:space="preserve">Ajustez les plans détaillés en fonction des écarts, en documentant les raisons et les impacts.</t>
  </si>
  <si>
    <t xml:space="preserve">Charte de projet</t>
  </si>
  <si>
    <t xml:space="preserve">Identification des livrables associés à chaque tâche</t>
  </si>
  <si>
    <t xml:space="preserve">Les livrables attendus sont-ils identifiés pour chaque tâche ou lot de tâches de la WBS ?</t>
  </si>
  <si>
    <t xml:space="preserve">Liste des livrables par tâche</t>
  </si>
  <si>
    <t xml:space="preserve">Risque d’absence d’identification claire des livrables, compromettant le suivi et la validation des résultats.</t>
  </si>
  <si>
    <t xml:space="preserve">Livrables mal identifiés, entraînant des retards ou des omissions.</t>
  </si>
  <si>
    <t xml:space="preserve">Validez les ajustements avec les parties prenantes pour garantir leur pertinence.</t>
  </si>
  <si>
    <t xml:space="preserve">Matrice de traçabilité des livrables</t>
  </si>
  <si>
    <t xml:space="preserve">Mise à jour documentée du découpage en fonction de l'évolution du projet</t>
  </si>
  <si>
    <t xml:space="preserve">La WBS est-elle mise à jour de manière documentée pour refléter l'évolution du projet ?</t>
  </si>
  <si>
    <t xml:space="preserve">Registre des mises à jour du WBS</t>
  </si>
  <si>
    <t xml:space="preserve">Risque de non-mise à jour du découpage en fonction de l’évolution du projet, causant un décalage entre planification et réalité.</t>
  </si>
  <si>
    <t xml:space="preserve">Découpage obsolète, causant des incohérences dans la gestion.</t>
  </si>
  <si>
    <t xml:space="preserve">Maintenez la cohérence entre les plans détaillés et le plan global via des revues régulières.</t>
  </si>
  <si>
    <t xml:space="preserve">Journal des modifications du découpage</t>
  </si>
  <si>
    <t xml:space="preserve">S’assurer que la méthode repose sur une attribution formelle
des responsabilités par tâche</t>
  </si>
  <si>
    <t xml:space="preserve">Existence d'une matrice RACI (Responsable, Approbateur, Consulté, Informé) pour chaque tâche</t>
  </si>
  <si>
    <t xml:space="preserve">Existe-t-il une matrice RACI (ou équivalent) définissant les responsabilités pour les tâches ou activités clés du projet ?</t>
  </si>
  <si>
    <t xml:space="preserve">Risque d’absence de matrice RACI, entraînant des responsabilités mal définies et des conflits dans l’équipe projet.</t>
  </si>
  <si>
    <t xml:space="preserve">Utilisez un outil de gestion de projet pour synchroniser automatiquement les plans.</t>
  </si>
  <si>
    <t xml:space="preserve">Validation formelle des attributions de responsabilités par les responsables hiérarchiques</t>
  </si>
  <si>
    <t xml:space="preserve">Les attributions de responsabilités (issues de la matrice RACI ou autre) ont-elles été formellement validées par les responsables hiérarchiques concernés ?</t>
  </si>
  <si>
    <t xml:space="preserve">Procès-verbal de validation des responsabilités</t>
  </si>
  <si>
    <t xml:space="preserve">Risque de non-validation formelle des responsabilités, ce qui peut provoquer un manque d’engagement ou des contestations.</t>
  </si>
  <si>
    <t xml:space="preserve">Attributions non validées, réduisant l’engagement des responsables.</t>
  </si>
  <si>
    <t xml:space="preserve">Identifiez les ressources nécessaires dans une matrice détaillée, incluant les compétences requises.</t>
  </si>
  <si>
    <t xml:space="preserve">Courriels de confirmation des attributions</t>
  </si>
  <si>
    <t xml:space="preserve">Communication documentée des responsabilités aux personnes concernées</t>
  </si>
  <si>
    <t xml:space="preserve">Les responsabilités attribuées ont-elles été communiquées de manière documentée aux personnes concernées ?</t>
  </si>
  <si>
    <t xml:space="preserve">Plan de communication des responsabilités</t>
  </si>
  <si>
    <t xml:space="preserve">Risque de mauvaise communication des responsabilités, générant des malentendus et des retards.</t>
  </si>
  <si>
    <t xml:space="preserve">Manque de clarté, provoquant des erreurs ou des malentendus.</t>
  </si>
  <si>
    <t xml:space="preserve">Validez les besoins en ressources avec les responsables hiérarchiques pour garantir leur disponibilité.</t>
  </si>
  <si>
    <t xml:space="preserve">Registre des notifications des rôles</t>
  </si>
  <si>
    <t xml:space="preserve">Processus défini pour la réattribution des responsabilités en cas d'absence</t>
  </si>
  <si>
    <t xml:space="preserve">Un processus est-il défini pour gérer la réattribution temporaire ou permanente des responsabilités en cas d'absence ou de départ ?</t>
  </si>
  <si>
    <t xml:space="preserve">Procédure de réattribution des responsabilités</t>
  </si>
  <si>
    <t xml:space="preserve">Risque d’absence de processus pour réattribuer les responsabilités en cas d’absence, entraînant des blocages.</t>
  </si>
  <si>
    <t xml:space="preserve">Absences non anticipées, entraînant des retards dans l’exécution.</t>
  </si>
  <si>
    <t xml:space="preserve">Élaborez un plan de charge détaillé, en utilisant des outils comme MS Project pour visualiser l’allocation.</t>
  </si>
  <si>
    <t xml:space="preserve">Plan de gestion des absences</t>
  </si>
  <si>
    <t xml:space="preserve">Suivi de l'adéquation entre les compétences requises et les responsabilités attribuées</t>
  </si>
  <si>
    <t xml:space="preserve">L'adéquation entre les compétences requises pour une tâche/responsabilité et les compétences de la personne assignée fait-elle l'objet d'un suivi ?</t>
  </si>
  <si>
    <t xml:space="preserve">Matrice des compétences par tâche</t>
  </si>
  <si>
    <t xml:space="preserve">Risque d’inadéquation entre compétences et responsabilités, affectant la qualité et la performance des tâches.</t>
  </si>
  <si>
    <t xml:space="preserve">Inadéquation des compétences, compromettant la qualité des tâches.</t>
  </si>
  <si>
    <t xml:space="preserve">Surveillez le plan de charge via des revues régulières pour éviter les surcharges.</t>
  </si>
  <si>
    <t xml:space="preserve">S’assurer que la méthode repose sur une identification précise
des points de contrôle et des livrables</t>
  </si>
  <si>
    <t xml:space="preserve">Existence d'une liste exhaustive des livrables et points de contrôle du projet</t>
  </si>
  <si>
    <t xml:space="preserve">Existe-t-il une liste formalisée et considérée comme exhaustive des livrables attendus et des points de contrôle clés du projet ?</t>
  </si>
  <si>
    <t xml:space="preserve">Liste des livrables du projet</t>
  </si>
  <si>
    <t xml:space="preserve">Risque d’absence d’une liste exhaustive des livrables et points de contrôle, rendant le suivi difficile et incomplet.</t>
  </si>
  <si>
    <t xml:space="preserve">Livrables ou contrôles omis, risquant des écarts non détectés.</t>
  </si>
  <si>
    <t xml:space="preserve">Analysez les disponibilités et contraintes des ressources via des entretiens avec les responsables.</t>
  </si>
  <si>
    <t xml:space="preserve">Registre des points de contrôle</t>
  </si>
  <si>
    <t xml:space="preserve">Définition claire des critères de qualité pour chaque livrable</t>
  </si>
  <si>
    <t xml:space="preserve">Des critères de qualité clairs et mesurables sont-ils définis pour chaque livrable majeur du projet ?</t>
  </si>
  <si>
    <t xml:space="preserve">Critères de qualité des livrables</t>
  </si>
  <si>
    <t xml:space="preserve">Risque de critères de qualité mal définis, conduisant à des livrables non conformes aux attentes.</t>
  </si>
  <si>
    <t xml:space="preserve">Livrables de mauvaise qualité, nécessitant des reprises coûteuses.</t>
  </si>
  <si>
    <t xml:space="preserve">Utilisez des outils de planification pour simuler les impacts des contraintes sur le projet.</t>
  </si>
  <si>
    <t xml:space="preserve">Spécifications qualité par livrable</t>
  </si>
  <si>
    <t xml:space="preserve">Planification formelle des points de contrôle dans le calendrier du projet</t>
  </si>
  <si>
    <t xml:space="preserve">Les points de contrôle (revues, validations) sont-ils formellement planifiés dans le calendrier du projet ?</t>
  </si>
  <si>
    <t xml:space="preserve">Planning des points de contrôle</t>
  </si>
  <si>
    <t xml:space="preserve">Risque de planification insuffisante des points de contrôle, ce qui peut retarder la détection des écarts.</t>
  </si>
  <si>
    <t xml:space="preserve">Contrôles mal planifiés, retardant la détection des problèmes.</t>
  </si>
  <si>
    <t xml:space="preserve">Mettez en place des techniques de lissage et de nivellement pour optimiser l’allocation des ressources.</t>
  </si>
  <si>
    <t xml:space="preserve">Gantt des jalons de contrôle</t>
  </si>
  <si>
    <t xml:space="preserve">Procédure documentée de validation pour chaque point de contrôle</t>
  </si>
  <si>
    <t xml:space="preserve">Existe-t-il une procédure documentée de validation pour chaque point de contrôle défini ?</t>
  </si>
  <si>
    <t xml:space="preserve">Procédure de validation des points de contrôle</t>
  </si>
  <si>
    <t xml:space="preserve">Risque d’absence de procédure documentée pour la validation des points de contrôle, affectant la rigueur du contrôle qualité.</t>
  </si>
  <si>
    <t xml:space="preserve">Validations inefficaces, laissant passer des erreurs critiques.</t>
  </si>
  <si>
    <t xml:space="preserve">Validez les ajustements d’allocation avec les parties prenantes pour éviter les conflits.</t>
  </si>
  <si>
    <t xml:space="preserve">Registre des validations effectuées</t>
  </si>
  <si>
    <t xml:space="preserve">Traçabilité entre les points de contrôle et les phases critiques du projet</t>
  </si>
  <si>
    <t xml:space="preserve">La traçabilité entre les points de contrôle et les phases critiques du projet est-elle assurée et documentée ?</t>
  </si>
  <si>
    <t xml:space="preserve">Matrice de traçabilité des points de contrôle</t>
  </si>
  <si>
    <t xml:space="preserve">Risque de mauvaise traçabilité entre points de contrôle et phases critiques, compromettant la maîtrise du projet.</t>
  </si>
  <si>
    <t xml:space="preserve">Contrôles déconnectés, manquant les étapes clés du projet.</t>
  </si>
  <si>
    <t xml:space="preserve">Établissez une procédure de gestion des conflits de ressources, avec un comité d’arbitrage dédié.</t>
  </si>
  <si>
    <t xml:space="preserve">Rapport de conformité des phases critiques</t>
  </si>
  <si>
    <t xml:space="preserve">S’assurer que la méthode repose sur un reporting des temps à
travers une feuille de temps</t>
  </si>
  <si>
    <t xml:space="preserve">Existence d'un système standardisé de suivi des temps par ressource</t>
  </si>
  <si>
    <t xml:space="preserve">Un système standardisé de suivi des temps par ressource est-il en place et utilisé ?</t>
  </si>
  <si>
    <t xml:space="preserve">Modèle de feuille de temps</t>
  </si>
  <si>
    <t xml:space="preserve">Risque d’absence d’un système standardisé de suivi des temps, entraînant des difficultés dans le contrôle des ressources.</t>
  </si>
  <si>
    <t xml:space="preserve">Suivi imprécis, faussant l’évaluation de l’avancement.</t>
  </si>
  <si>
    <t xml:space="preserve">Utilisez un outil de gestion des ressources pour centraliser les demandes et résoudre les conflits.</t>
  </si>
  <si>
    <t xml:space="preserve">Registre des saisies de temps</t>
  </si>
  <si>
    <t xml:space="preserve">Périodicité définie et respectée pour la saisie des temps</t>
  </si>
  <si>
    <t xml:space="preserve">Une périodicité pour la saisie des temps est-elle définie et est-elle respectée ?</t>
  </si>
  <si>
    <t xml:space="preserve">Calendrier de saisie des temps</t>
  </si>
  <si>
    <t xml:space="preserve">Risque de non-respect de la périodicité de saisie des temps, affectant la fiabilité des données de suivi.</t>
  </si>
  <si>
    <t xml:space="preserve">Saisie irrégulière, compromettant l’analyse des performances.</t>
  </si>
  <si>
    <t xml:space="preserve">Créez un registre des risques spécifique au projet, en utilisant un modèle standardisé.</t>
  </si>
  <si>
    <t xml:space="preserve">Rapport de conformité des saisies</t>
  </si>
  <si>
    <t xml:space="preserve">Validation hiérarchique formalisée des feuilles de temps</t>
  </si>
  <si>
    <t xml:space="preserve">Les feuilles de temps font-elles l'objet d'une validation hiérarchique formalisée ?</t>
  </si>
  <si>
    <t xml:space="preserve">Procès-verbal de validation des feuilles de temps</t>
  </si>
  <si>
    <t xml:space="preserve">Risque d’absence de validation hiérarchique des feuilles de temps, pouvant engendrer des erreurs ou fraudes.</t>
  </si>
  <si>
    <t xml:space="preserve">Feuilles de temps non fiables, faussant le suivi budgétaire.</t>
  </si>
  <si>
    <t xml:space="preserve">Formez les équipes à l’identification des risques pour garantir l’exhaustivité du registre.</t>
  </si>
  <si>
    <t xml:space="preserve">Rapport d’audit des temps saisis</t>
  </si>
  <si>
    <t xml:space="preserve">Analyse régulière des écarts entre temps prévus et temps réels</t>
  </si>
  <si>
    <t xml:space="preserve">Les écarts entre les temps prévus et les temps réels font-ils l'objet d'une analyse régulière ?</t>
  </si>
  <si>
    <t xml:space="preserve">Analyse des écarts temps prévus/réels</t>
  </si>
  <si>
    <t xml:space="preserve">Risque d’absence d’analyse régulière des écarts entre temps prévus et réels, limitant la capacité à anticiper les dérives.</t>
  </si>
  <si>
    <t xml:space="preserve">Écarts non analysés, empêchant l’optimisation des ressources.</t>
  </si>
  <si>
    <t xml:space="preserve">Évaluez l’impact et la probabilité des risques à l’aide d’une matrice de notation validée.</t>
  </si>
  <si>
    <t xml:space="preserve">Rapport de suivi des écarts</t>
  </si>
  <si>
    <t xml:space="preserve">Intégration des données de temps dans le suivi budgétaire du projet</t>
  </si>
  <si>
    <t xml:space="preserve">Les données de suivi des temps sont-elles intégrées dans le suivi budgétaire du projet ?</t>
  </si>
  <si>
    <t xml:space="preserve">Budget prévisionnel intégrant les temps</t>
  </si>
  <si>
    <t xml:space="preserve">Risque de non-intégration des données de temps dans le suivi budgétaire, compromettant le contrôle financier.</t>
  </si>
  <si>
    <t xml:space="preserve">Suivi financier inexact, entraînant des dépassements budgétaires.</t>
  </si>
  <si>
    <t xml:space="preserve">Validez les évaluations avec des experts pour garantir leur objectivité.</t>
  </si>
  <si>
    <t xml:space="preserve">Rapport budgétaire actualisé</t>
  </si>
  <si>
    <t xml:space="preserve">S’assurer que la méthode repose sur un outil de planification</t>
  </si>
  <si>
    <t xml:space="preserve">Utilisation d'un outil de planification adapté à la complexité du projet</t>
  </si>
  <si>
    <t xml:space="preserve">Le projet utilise-t-il un outil de planification adapté à sa complexité ?</t>
  </si>
  <si>
    <t xml:space="preserve">Guide d’utilisation de l’outil de planification</t>
  </si>
  <si>
    <t xml:space="preserve">Risque d’utilisation d’un outil de planification inadapté, limitant la gestion efficace du projet.</t>
  </si>
  <si>
    <t xml:space="preserve">Planification inefficace, compromettant le respect des délais.</t>
  </si>
  <si>
    <t xml:space="preserve">Définissez des stratégies de réponse (évitement, atténuation, transfert) pour chaque risque majeur.</t>
  </si>
  <si>
    <t xml:space="preserve">Configuration de l’outil de planification</t>
  </si>
  <si>
    <t xml:space="preserve">Formation documentée des équipes à l'utilisation de l'outil</t>
  </si>
  <si>
    <t xml:space="preserve">La formation des équipes à l'utilisation de l'outil de planification est-elle documentée ?</t>
  </si>
  <si>
    <t xml:space="preserve">Attestations de formation à l’outil</t>
  </si>
  <si>
    <t xml:space="preserve">Risque d’absence de formation documentée des équipes à l’outil, réduisant son efficacité.</t>
  </si>
  <si>
    <t xml:space="preserve">Équipes mal formées, réduisant l’efficacité de la planification.</t>
  </si>
  <si>
    <t xml:space="preserve">Assignez des responsables pour mettre en œuvre et suivre les stratégies de réponse.</t>
  </si>
  <si>
    <t xml:space="preserve">Mise à jour régulière et datée du planning dans l'outil</t>
  </si>
  <si>
    <t xml:space="preserve">Le planning est-il mis à jour régulièrement et de manière datée dans l'outil ?</t>
  </si>
  <si>
    <t xml:space="preserve">Planning actualisé dans l’outil</t>
  </si>
  <si>
    <t xml:space="preserve">Risque de planning non mis à jour régulièrement, entraînant un suivi obsolète.</t>
  </si>
  <si>
    <t xml:space="preserve">Planifiez des revues périodiques des risques, avec mise à jour du registre à chaque jalon clé.</t>
  </si>
  <si>
    <t xml:space="preserve">Journal des mises à jour du planning</t>
  </si>
  <si>
    <t xml:space="preserve">Capacité de l'outil à générer des rapports d'avancement et des alertes</t>
  </si>
  <si>
    <t xml:space="preserve">L'outil de planification permet-il de générer des rapports d'avancement et des alertes ?</t>
  </si>
  <si>
    <t xml:space="preserve">Rapports d’avancement générés par l’outil</t>
  </si>
  <si>
    <t xml:space="preserve">Risque d’outil incapable de générer des rapports d’avancement et alertes, limitant la visibilité sur l’état du projet.</t>
  </si>
  <si>
    <t xml:space="preserve">Suivi limité, manquant des alertes critiques sur les dérives.</t>
  </si>
  <si>
    <t xml:space="preserve">Utilisez un outil de gestion des risques pour centraliser et suivre les mises à jour.</t>
  </si>
  <si>
    <t xml:space="preserve">Alertes configurées dans l’outil</t>
  </si>
  <si>
    <t xml:space="preserve">Accessibilité de l'outil à tous les acteurs concernés selon leurs rôles</t>
  </si>
  <si>
    <t xml:space="preserve">L'outil de planification est-il accessible à tous les acteurs concernés en fonction de leurs rôles ?</t>
  </si>
  <si>
    <t xml:space="preserve">Liste des utilisateurs de l’outil par rôle</t>
  </si>
  <si>
    <t xml:space="preserve">Risque d’accessibilité limitée de l’outil aux acteurs concernés, freinant la collaboration.</t>
  </si>
  <si>
    <t xml:space="preserve">Accès restreint, compliquant la coordination entre acteurs.</t>
  </si>
  <si>
    <t xml:space="preserve">Désignez des responsables pour chaque risque significatif, avec des rôles clairs dans le suivi.</t>
  </si>
  <si>
    <t xml:space="preserve">Matrice d’accès à l’outil</t>
  </si>
  <si>
    <t xml:space="preserve">S’assurer que la méthode repose sur des outils</t>
  </si>
  <si>
    <t xml:space="preserve">Disponibilité d'une suite cohérente d'outils couvrant toutes les phases du projet</t>
  </si>
  <si>
    <t xml:space="preserve">Le projet dispose-t-il d'une suite cohérente d'outils couvrant ses différentes phases ?</t>
  </si>
  <si>
    <t xml:space="preserve">Liste des outils utilisés par phase</t>
  </si>
  <si>
    <t xml:space="preserve">Risque d’absence d’une suite cohérente d’outils couvrant toutes les phases, provoquant des ruptures dans le suivi.</t>
  </si>
  <si>
    <t xml:space="preserve">Outils incohérents, entraînant des pertes de données ou des erreurs.</t>
  </si>
  <si>
    <t xml:space="preserve">Formez les responsables à la gestion des risques pour garantir leur efficacité.</t>
  </si>
  <si>
    <t xml:space="preserve">Inventaire des outils du projet</t>
  </si>
  <si>
    <t xml:space="preserve">Interopérabilité démontrée entre les différents outils utilisés</t>
  </si>
  <si>
    <t xml:space="preserve">L'interopérabilité entre les différents outils de gestion de projet utilisés est-elle démontrée ?</t>
  </si>
  <si>
    <t xml:space="preserve">Rapport d’interopérabilité des outils</t>
  </si>
  <si>
    <t xml:space="preserve">Risque d’interopérabilité insuffisante entre outils, générant des pertes d’information et inefficacités.</t>
  </si>
  <si>
    <t xml:space="preserve">Intégrations défaillantes, réduisant l’efficacité des outils.</t>
  </si>
  <si>
    <t xml:space="preserve">Identifiez les risques technologiques via une analyse des technologies utilisées, en impliquant des experts.</t>
  </si>
  <si>
    <t xml:space="preserve">Tests d’intégration des outils</t>
  </si>
  <si>
    <t xml:space="preserve">Adéquation des outils avec la méthodologie de projet adoptée</t>
  </si>
  <si>
    <t xml:space="preserve">Les outils utilisés sont-ils en adéquation avec la méthodologie de projet adoptée ?</t>
  </si>
  <si>
    <t xml:space="preserve">Matrice d’adéquation outil/méthodologie</t>
  </si>
  <si>
    <t xml:space="preserve">Risque d’inadéquation des outils avec la méthodologie adoptée, réduisant la cohérence des pratiques.</t>
  </si>
  <si>
    <t xml:space="preserve">Outils inadaptés, compromettant la gestion du projet.</t>
  </si>
  <si>
    <t xml:space="preserve">Documentez les risques technologiques dans un registre spécifique pour un suivi ciblé.</t>
  </si>
  <si>
    <t xml:space="preserve">Audit des outils utilisés</t>
  </si>
  <si>
    <t xml:space="preserve">Procédures formalisées d'utilisation des outils par l'équipe projet</t>
  </si>
  <si>
    <t xml:space="preserve">Des procédures formalisées d'utilisation des outils de gestion de projet existent-elles pour l'équipe ?</t>
  </si>
  <si>
    <t xml:space="preserve">Guide d’utilisation des outils</t>
  </si>
  <si>
    <t xml:space="preserve">Risque d’absence de procédures formalisées d’utilisation des outils, entraînant des usages hétérogènes.</t>
  </si>
  <si>
    <t xml:space="preserve">Utilisation incohérente, entraînant des erreurs ou des retards.</t>
  </si>
  <si>
    <t xml:space="preserve">Évaluez la maturité des technologies à l’aide de cadres reconnus (ex. : TRL – Technology Readiness Level).</t>
  </si>
  <si>
    <t xml:space="preserve">Procédures standardisées d’outils</t>
  </si>
  <si>
    <t xml:space="preserve">Évaluation périodique de l'efficacité des outils utilisés</t>
  </si>
  <si>
    <t xml:space="preserve">L'efficacité des outils de gestion de projet utilisés fait-elle l'objet d'une évaluation périodique ?</t>
  </si>
  <si>
    <t xml:space="preserve">Rapport d’évaluation des outils</t>
  </si>
  <si>
    <t xml:space="preserve">Risque de non-évaluation périodique de l’efficacité des outils, empêchant l’amélioration continue.</t>
  </si>
  <si>
    <t xml:space="preserve">Outils inefficaces, nécessitant des ajustements coûteux.</t>
  </si>
  <si>
    <t xml:space="preserve">Impliquez des experts externes pour valider les évaluations de maturité.</t>
  </si>
  <si>
    <t xml:space="preserve">Plan d’amélioration des outils</t>
  </si>
  <si>
    <t xml:space="preserve">S’assurer que les outils de suivi des délais et des coûts sont
Adaptés</t>
  </si>
  <si>
    <t xml:space="preserve">Capacité des outils à fournir des indicateurs d'avancement en temps réel</t>
  </si>
  <si>
    <t xml:space="preserve">Les outils utilisés permettent-ils de fournir des indicateurs d'avancement en temps réel ou quasi-réel ?</t>
  </si>
  <si>
    <t xml:space="preserve">Indicateurs d’avancement en temps réel</t>
  </si>
  <si>
    <t xml:space="preserve">Risque d’outils incapables de fournir des indicateurs d’avancement en temps réel, limitant la réactivité.</t>
  </si>
  <si>
    <t xml:space="preserve">Suivi retardé, compromettant la réactivité face aux dérives.</t>
  </si>
  <si>
    <t xml:space="preserve">Comparez les compétences disponibles aux exigences technologiques via une matrice de compétences.</t>
  </si>
  <si>
    <t xml:space="preserve">Tableaux de bord des outils</t>
  </si>
  <si>
    <t xml:space="preserve">Fonctionnalités de projection et d'alerte sur les dépassements potentiels</t>
  </si>
  <si>
    <t xml:space="preserve">Les outils intègrent-ils des fonctionnalités de projection et d'alerte sur les dépassements potentiels (coût, délai) ?</t>
  </si>
  <si>
    <t xml:space="preserve">Configuration des alertes de dépassement</t>
  </si>
  <si>
    <t xml:space="preserve">Risque d’absence de fonctionnalités de projection et d’alerte sur les dépassements, retardant la prise de mesures correctives.</t>
  </si>
  <si>
    <t xml:space="preserve">Alertes absentes, laissant des dépassements non détectés.</t>
  </si>
  <si>
    <t xml:space="preserve">Mettez en place des formations pour combler les écarts de compétences identifiés.</t>
  </si>
  <si>
    <t xml:space="preserve">Scénarios de projection des outils</t>
  </si>
  <si>
    <t xml:space="preserve">Granularité adaptée au niveau de contrôle requis pour le projet</t>
  </si>
  <si>
    <t xml:space="preserve">La granularité des informations fournies par les outils est-elle adaptée au niveau de contrôle requis ?</t>
  </si>
  <si>
    <t xml:space="preserve">Rapport de granularité des contrôles</t>
  </si>
  <si>
    <t xml:space="preserve">Risque d’un niveau de granularité inadapté dans le contrôle, entraînant un suivi inefficace.</t>
  </si>
  <si>
    <t xml:space="preserve">Contrôle insuffisant, manquant des détails critiques.</t>
  </si>
  <si>
    <t xml:space="preserve">Définissez des stratégies d’atténuation pour les risques technologiques, avec des plans d’action clairs.</t>
  </si>
  <si>
    <t xml:space="preserve">Analyse des niveaux de contrôle</t>
  </si>
  <si>
    <t xml:space="preserve">Possibilité de consolidation à différents niveaux (tâche, lot, projet)</t>
  </si>
  <si>
    <t xml:space="preserve">Les outils permettent-ils une consolidation des données à différents niveaux (tâche, lot, projet) ?</t>
  </si>
  <si>
    <t xml:space="preserve">Rapport de consolidation des tâches</t>
  </si>
  <si>
    <t xml:space="preserve">Risque d’impossibilité de consolidation à différents niveaux, compliquant la synthèse des informations.</t>
  </si>
  <si>
    <t xml:space="preserve">Suivi fragmenté, compliquant l’analyse globale du projet.</t>
  </si>
  <si>
    <t xml:space="preserve">Testez les stratégies d’atténuation dans des environnements pilotes pour valider leur efficacité.</t>
  </si>
  <si>
    <t xml:space="preserve">Synthèse des données consolidées</t>
  </si>
  <si>
    <t xml:space="preserve">Production automatisée de tableaux de bord adaptés aux différents niveaux de management</t>
  </si>
  <si>
    <t xml:space="preserve">Les outils permettent-ils la production automatisée de tableaux de bord adaptés aux différents niveaux de management ?</t>
  </si>
  <si>
    <t xml:space="preserve">Tableaux de bord pour le management</t>
  </si>
  <si>
    <t xml:space="preserve">Risque d’absence de production automatisée de tableaux de bord adaptés aux différents niveaux de management, limitant la prise de décision.</t>
  </si>
  <si>
    <t xml:space="preserve">Rapports inadaptés, réduisant la visibilité pour la direction.</t>
  </si>
  <si>
    <t xml:space="preserve">Mettez en place une veille technologique via des abonnements à des revues ou des alertes sectorielles.</t>
  </si>
  <si>
    <t xml:space="preserve">Modèles de rapports automatisés</t>
  </si>
  <si>
    <t xml:space="preserve">S’assurer que le plan général du projet est suffisamment précis</t>
  </si>
  <si>
    <t xml:space="preserve">Définition claire des différentes phases et de leur enchaînement</t>
  </si>
  <si>
    <t xml:space="preserve">Les différentes phases du projet et leur enchaînement sont-ils clairement définis ?</t>
  </si>
  <si>
    <t xml:space="preserve">Description des phases du projet</t>
  </si>
  <si>
    <t xml:space="preserve">Risque de définition floue des phases et de leur enchaînement, générant des confusions et retards.</t>
  </si>
  <si>
    <t xml:space="preserve">Phases mal définies, entraînant des confusions dans l’exécution.</t>
  </si>
  <si>
    <t xml:space="preserve">Documentez les impacts potentiels des évolutions technologiques dans un rapport périodique.</t>
  </si>
  <si>
    <t xml:space="preserve">Diagramme des enchaînements de phases</t>
  </si>
  <si>
    <t xml:space="preserve">Identification précise des jalons et livrables associés</t>
  </si>
  <si>
    <t xml:space="preserve">Les jalons clés et les livrables associés à chaque phase sont-ils précisément identifiés ?</t>
  </si>
  <si>
    <t xml:space="preserve">Risque d’identification imprécise des jalons et livrables, compromettant le suivi et la validation.</t>
  </si>
  <si>
    <t xml:space="preserve">Jalons flous, compromettant le suivi de l’avancement.</t>
  </si>
  <si>
    <t xml:space="preserve">Créez un registre consolidé des risques inter-projets, en coordination avec les autres chefs de projet.</t>
  </si>
  <si>
    <t xml:space="preserve">Estimation documentée des charges et durées pour chaque phase</t>
  </si>
  <si>
    <t xml:space="preserve">Les estimations de charges et de durées pour chaque phase sont-elles documentées ?</t>
  </si>
  <si>
    <t xml:space="preserve">Estimation des charges par phase</t>
  </si>
  <si>
    <t xml:space="preserve">Risque d’estimation inexacte des charges et durées, causant des dérives de planning.</t>
  </si>
  <si>
    <t xml:space="preserve">Estimations irréalistes, provoquant des retards ou des surcoûts.</t>
  </si>
  <si>
    <t xml:space="preserve">Organisez des réunions inter-projets pour maintenir à jour le registre consolidé.</t>
  </si>
  <si>
    <t xml:space="preserve">Rapport d’analyse des durées</t>
  </si>
  <si>
    <t xml:space="preserve">Définition des marges et provisions pour aléas dans le planning</t>
  </si>
  <si>
    <t xml:space="preserve">Des marges et provisions pour aléas sont-elles définies et intégrées dans le planning ?</t>
  </si>
  <si>
    <t xml:space="preserve">Marges et provisions dans le planning</t>
  </si>
  <si>
    <t xml:space="preserve">Risque d’absence de marges et provisions pour aléas, exposant le projet à des risques non anticipés.</t>
  </si>
  <si>
    <t xml:space="preserve">Marges insuffisantes, exposant le projet à des aléas imprévus.</t>
  </si>
  <si>
    <t xml:space="preserve">Cartographiez les dépendances entre projets dans une matrice pour identifier les impacts croisés.</t>
  </si>
  <si>
    <t xml:space="preserve">Analyse des aléas planifiés</t>
  </si>
  <si>
    <t xml:space="preserve">Niveau de détail adapté à l'horizon temporel de planification</t>
  </si>
  <si>
    <t xml:space="preserve">Le niveau de détail du planning est-il adapté à l'horizon temporel concerné (planification par vagues, etc.) ?</t>
  </si>
  <si>
    <t xml:space="preserve">Document de niveau de détail du planning</t>
  </si>
  <si>
    <t xml:space="preserve">Risque d’inadéquation du niveau de détail avec l’horizon temporel, limitant la pertinence de la planification.</t>
  </si>
  <si>
    <t xml:space="preserve">Planification vague, entraînant des erreurs à long terme.</t>
  </si>
  <si>
    <t xml:space="preserve">Validez la cartographie des dépendances avec les chefs de projet concernés.</t>
  </si>
  <si>
    <t xml:space="preserve">Rapport d’adéquation temporelle</t>
  </si>
  <si>
    <t xml:space="preserve">Qualité</t>
  </si>
  <si>
    <t xml:space="preserve">S’assurer qu’il existe un dispositif d'assurance qualité
Documenté</t>
  </si>
  <si>
    <t xml:space="preserve">Existence d'une documentation formelle du dispositif d'assurance qualité</t>
  </si>
  <si>
    <t xml:space="preserve">Le dispositif d'assurance qualité du projet est-il formellement documenté ?</t>
  </si>
  <si>
    <t xml:space="preserve">Manuel d’assurance qualité</t>
  </si>
  <si>
    <t xml:space="preserve">Risque d’absence de documentation formelle du dispositif d’assurance qualité, réduisant la maîtrise des processus.</t>
  </si>
  <si>
    <t xml:space="preserve">Qualité mal gérée, compromettant la fiabilité des livrables.</t>
  </si>
  <si>
    <t xml:space="preserve">Évaluez les risques de concurrence sur les ressources via une analyse des plans de charge partagés.</t>
  </si>
  <si>
    <t xml:space="preserve">Plan qualité du projet</t>
  </si>
  <si>
    <t xml:space="preserve">Définition claire des rôles et responsabilités en matière de qualité</t>
  </si>
  <si>
    <t xml:space="preserve">Les rôles et responsabilités en matière d'assurance qualité sont-ils clairement définis ?</t>
  </si>
  <si>
    <t xml:space="preserve">Organigramme des rôles qualité</t>
  </si>
  <si>
    <t xml:space="preserve">Risque de rôles et responsabilités en matière de qualité mal définis, entraînant des lacunes dans le contrôle qualité.</t>
  </si>
  <si>
    <t xml:space="preserve">Rôles flous, entraînant des négligences dans le contrôle qualité.</t>
  </si>
  <si>
    <t xml:space="preserve">Mettez en place un comité inter-projets pour arbitrer les conflits de ressources.</t>
  </si>
  <si>
    <t xml:space="preserve">Matrice des responsabilités qualité</t>
  </si>
  <si>
    <t xml:space="preserve">Planification des activités d'assurance qualité dans le calendrier du projet</t>
  </si>
  <si>
    <t xml:space="preserve">Les activités d'assurance qualité sont-elles planifiées dans le calendrier du projet ?</t>
  </si>
  <si>
    <t xml:space="preserve">Planning des activités qualité</t>
  </si>
  <si>
    <t xml:space="preserve">Risque de planification insuffisante des activités d’assurance qualité, compromettant leur réalisation.</t>
  </si>
  <si>
    <t xml:space="preserve">Activités non planifiées, retardant la détection des problèmes.</t>
  </si>
  <si>
    <t xml:space="preserve">Formalisez un processus d’escalade des risques inter-projets, avec des canaux clairs et des délais définis.</t>
  </si>
  <si>
    <t xml:space="preserve">Registre des revues qualité</t>
  </si>
  <si>
    <t xml:space="preserve">Procédures documentées pour les différentes activités d'assurance qualité</t>
  </si>
  <si>
    <t xml:space="preserve">Des procédures documentées existent-elles pour les différentes activités d'assurance qualité prévues (revues, audits, tests) ?</t>
  </si>
  <si>
    <t xml:space="preserve">Procédures d’activités qualité</t>
  </si>
  <si>
    <t xml:space="preserve">Risque d’absence de procédures documentées pour les activités d’assurance qualité, limitant leur efficacité.</t>
  </si>
  <si>
    <t xml:space="preserve">Contrôles inefficaces, laissant passer des non-conformités.</t>
  </si>
  <si>
    <t xml:space="preserve">Documentez les escalades dans un registre centralisé pour assurer leur traçabilité.</t>
  </si>
  <si>
    <t xml:space="preserve">Guide de gestion des non-conformités</t>
  </si>
  <si>
    <t xml:space="preserve">Mécanismes formalisés de remontée et de traitement des non-conformités</t>
  </si>
  <si>
    <t xml:space="preserve">Des mécanismes formalisés sont-ils en place pour la remontée et le traitement des non-conformités qualité ?</t>
  </si>
  <si>
    <t xml:space="preserve">Risque de mécanismes insuffisants pour la remontée et le traitement des non-conformités, retardant les corrections.</t>
  </si>
  <si>
    <t xml:space="preserve">Non-conformités non traitées, compromettant la qualité finale.</t>
  </si>
  <si>
    <t xml:space="preserve">Planifiez des revues périodiques des risques inter-projets, avec des PV de réunion pour documenter les discussions.</t>
  </si>
  <si>
    <t xml:space="preserve">Rapport de traitement des écarts</t>
  </si>
  <si>
    <t xml:space="preserve">S’assurer qu’il existe un manuel d'assurance qualité de l'entité</t>
  </si>
  <si>
    <t xml:space="preserve">Existence d'un manuel qualité validé et applicable à l'entité</t>
  </si>
  <si>
    <t xml:space="preserve">Existe-t-il un manuel qualité validé et applicable au sein de l'entité (DSI, entreprise) ?</t>
  </si>
  <si>
    <t xml:space="preserve">Manuel qualité de l’entité</t>
  </si>
  <si>
    <t xml:space="preserve">Risque d’absence d’un manuel qualité validé et applicable, entravant la standardisation des pratiques.</t>
  </si>
  <si>
    <t xml:space="preserve">Manuel absent, entraînant des incohérences dans les pratiques.</t>
  </si>
  <si>
    <t xml:space="preserve">Utilisez un outil collaboratif pour partager les mises à jour des risques entre projets.</t>
  </si>
  <si>
    <t xml:space="preserve">Version validée du manuel qualité</t>
  </si>
  <si>
    <t xml:space="preserve">Accessibilité du manuel à tous les acteurs concernés</t>
  </si>
  <si>
    <t xml:space="preserve">Le manuel qualité est-il accessible à tous les acteurs concernés par le projet ?</t>
  </si>
  <si>
    <t xml:space="preserve">Preuve d’accessibilité du manuel</t>
  </si>
  <si>
    <t xml:space="preserve">Risque d’inaccessibilité du manuel qualité aux acteurs concernés, limitant son utilisation.</t>
  </si>
  <si>
    <t xml:space="preserve">Manuel inaccessible, réduisant l’application des standards.</t>
  </si>
  <si>
    <t xml:space="preserve">Mettez le manuel à disposition sur une plateforme centralisée (ex. : intranet) avec des accès contrôlés pour tous les acteurs concernés.</t>
  </si>
  <si>
    <t xml:space="preserve">Liste des utilisateurs du manuel</t>
  </si>
  <si>
    <t xml:space="preserve">Mise à jour documentée et datée du manuel</t>
  </si>
  <si>
    <t xml:space="preserve">Le manuel qualité fait-il l'objet de mises à jour documentées et datées ?</t>
  </si>
  <si>
    <t xml:space="preserve">Journal des mises à jour du manuel</t>
  </si>
  <si>
    <t xml:space="preserve">Risque de non-mise à jour documentée et datée du manuel, entraînant une obsolescence des informations.</t>
  </si>
  <si>
    <t xml:space="preserve">Manuel obsolète, entraînant des pratiques non conformes.</t>
  </si>
  <si>
    <t xml:space="preserve">Formez les acteurs à l’utilisation de la plateforme pour garantir une accessibilité rapide et efficace.</t>
  </si>
  <si>
    <t xml:space="preserve">Registre des révisions du manuel</t>
  </si>
  <si>
    <t xml:space="preserve">Couverture de tous les processus clés de l'entité dans le manuel</t>
  </si>
  <si>
    <t xml:space="preserve">Le manuel qualité couvre-t-il tous les processus clés relatifs à la gestion de projet et au développement ?</t>
  </si>
  <si>
    <t xml:space="preserve">Rapport de conformité aux normes qualité</t>
  </si>
  <si>
    <t xml:space="preserve">Risque de couverture incomplète des processus clés dans le manuel, générant des zones d’ombre dans la qualité.</t>
  </si>
  <si>
    <t xml:space="preserve">Processus omis, compromettant la cohérence opérationnelle.</t>
  </si>
  <si>
    <t xml:space="preserve">Établissez un calendrier de mise à jour du manuel, avec un journal de modifications daté et validé.</t>
  </si>
  <si>
    <t xml:space="preserve">Audit de conformité ISO/CMMI</t>
  </si>
  <si>
    <t xml:space="preserve">Conformité du manuel avec les normes qualité de référence (ISO, CMMI, etc.)</t>
  </si>
  <si>
    <t xml:space="preserve">Le manuel qualité est-il conforme aux normes qualité de référence éventuellement adoptées par l'entreprise (ISO, CMMI, etc.) ?</t>
  </si>
  <si>
    <t xml:space="preserve">Plan d’assurance qualité projet</t>
  </si>
  <si>
    <t xml:space="preserve">Risque de non-conformité du manuel avec les normes qualité de référence (ISO, CMMI, etc.), exposant l’entité à des non-conformités externes.</t>
  </si>
  <si>
    <t xml:space="preserve">Non-conformité aux normes, risquant des sanctions ou des rejets.</t>
  </si>
  <si>
    <t xml:space="preserve">Utilisez un outil de gestion de versions pour assurer la traçabilité des mises à jour du manuel.</t>
  </si>
  <si>
    <t xml:space="preserve">Document d’adaptation du plan qualité</t>
  </si>
  <si>
    <t xml:space="preserve">Risque d’absence de plan d’assurance qualité spécifique, entraînant un manque de contrôle structuré sur la qualité du projet.</t>
  </si>
  <si>
    <t xml:space="preserve">S’assurer qu’il existe un plan d'assurance qualité du projet</t>
  </si>
  <si>
    <t xml:space="preserve">Existence d'un plan d'assurance qualité spécifique au projet</t>
  </si>
  <si>
    <t xml:space="preserve">Un plan d'assurance qualité spécifique au projet a-t-il été élaboré ?</t>
  </si>
  <si>
    <t xml:space="preserve">Procès-verbal de validation du plan qualité</t>
  </si>
  <si>
    <t xml:space="preserve">Plan inadapté, compromettant la qualité du projet.</t>
  </si>
  <si>
    <t xml:space="preserve">Cartographiez tous les processus clés dans le manuel, en utilisant des diagrammes standardisés (ex. : BPMN).</t>
  </si>
  <si>
    <t xml:space="preserve">Registre des approbations qualité</t>
  </si>
  <si>
    <t xml:space="preserve">Adaptation du plan aux spécificités et enjeux du projet</t>
  </si>
  <si>
    <t xml:space="preserve">Le plan d'assurance qualité est-il adapté aux spécificités et enjeux du projet ?</t>
  </si>
  <si>
    <t xml:space="preserve">Planning des revues qualité</t>
  </si>
  <si>
    <t xml:space="preserve">Risque d’inadéquation du plan aux spécificités et enjeux du projet, compromettant l’efficacité des actions qualité.</t>
  </si>
  <si>
    <t xml:space="preserve">Plan non spécifique, manquant les enjeux critiques du projet.</t>
  </si>
  <si>
    <t xml:space="preserve">Validez la couverture des processus avec les responsables métiers pour garantir leur exhaustivité.</t>
  </si>
  <si>
    <t xml:space="preserve">Rapport des revues qualité effectuées</t>
  </si>
  <si>
    <t xml:space="preserve">Validation formelle du plan par les instances de gouvernance</t>
  </si>
  <si>
    <t xml:space="preserve">Le plan d'assurance qualité a-t-il été formellement validé par les instances de gouvernance ?</t>
  </si>
  <si>
    <t xml:space="preserve">Liste des métriques qualité</t>
  </si>
  <si>
    <t xml:space="preserve">Risque d’absence de validation formelle du plan par les instances de gouvernance, réduisant son engagement et sa légitimité.</t>
  </si>
  <si>
    <t xml:space="preserve">Plan non validé, réduisant son adoption par les parties prenantes.</t>
  </si>
  <si>
    <t xml:space="preserve">Alignez le manuel sur les normes qualité (ISO, CMMI) en utilisant des checklists de conformité.</t>
  </si>
  <si>
    <t xml:space="preserve">Rapport de suivi des métriques</t>
  </si>
  <si>
    <t xml:space="preserve">Planification des revues qualité dans le calendrier du projet</t>
  </si>
  <si>
    <t xml:space="preserve">Les revues qualité sont-elles planifiées dans le calendrier du projet ?</t>
  </si>
  <si>
    <t xml:space="preserve">Documentation des exigences qualité</t>
  </si>
  <si>
    <t xml:space="preserve">Risque de planification insuffisante des revues qualité, retardant la détection des écarts et anomalies.</t>
  </si>
  <si>
    <t xml:space="preserve">Revues non planifiées, retardant la détection des écarts.</t>
  </si>
  <si>
    <t xml:space="preserve">Faites auditer le manuel par un expert qualité externe pour valider sa conformité aux normes.</t>
  </si>
  <si>
    <t xml:space="preserve">Spécifications des objectifs qualité</t>
  </si>
  <si>
    <t xml:space="preserve">Définition des métriques qualité à suivre pendant le projet</t>
  </si>
  <si>
    <t xml:space="preserve">Des métriques qualité à suivre pendant le projet ont-elles été définies ?</t>
  </si>
  <si>
    <t xml:space="preserve">Critères mesurables des objectifs qualité</t>
  </si>
  <si>
    <t xml:space="preserve">Risque de définition incomplète ou imprécise des métriques qualité, limitant la mesure et le suivi de la qualité.</t>
  </si>
  <si>
    <t xml:space="preserve">Métriques absentes, rendant l’évaluation qualité subjective.</t>
  </si>
  <si>
    <t xml:space="preserve">Rédigez un plan d’assurance qualité spécifique, adapté aux objectifs et contraintes du projet.</t>
  </si>
  <si>
    <t xml:space="preserve">Rapport d’évaluation des critères</t>
  </si>
  <si>
    <t xml:space="preserve">S’assurer que les objectifs de qualité du produit sont
Formalisés</t>
  </si>
  <si>
    <t xml:space="preserve">Documentation claire des exigences qualité du produit</t>
  </si>
  <si>
    <t xml:space="preserve">Les exigences qualité du produit sont-elles clairement documentées ?</t>
  </si>
  <si>
    <t xml:space="preserve">Procès-verbal de validation des objectifs qualité</t>
  </si>
  <si>
    <t xml:space="preserve">Risque de documentation insuffisante des exigences qualité du produit, entraînant des livrables non conformes.</t>
  </si>
  <si>
    <t xml:space="preserve">Exigences floues, entraînant des livrables inadéquats.</t>
  </si>
  <si>
    <t xml:space="preserve">Validez le plan avec les parties prenantes pour garantir son adéquation aux besoins du projet.</t>
  </si>
  <si>
    <t xml:space="preserve">Registre des validations des parties prenantes</t>
  </si>
  <si>
    <t xml:space="preserve">Définition de critères mesurables pour chaque objectif qualité</t>
  </si>
  <si>
    <t xml:space="preserve">Des critères mesurables sont-ils définis pour chaque objectif qualité ?</t>
  </si>
  <si>
    <t xml:space="preserve">Risque de critères qualité non mesurables ou mal définis, rendant difficile l’évaluation des objectifs.</t>
  </si>
  <si>
    <t xml:space="preserve">Critères non mesurables, compliquant l’évaluation qualité.</t>
  </si>
  <si>
    <t xml:space="preserve">Personnalisez le plan d’assurance qualité en fonction des spécificités du projet, en identifiant les risques clés.</t>
  </si>
  <si>
    <t xml:space="preserve">Rapport de conformité des exigences</t>
  </si>
  <si>
    <t xml:space="preserve">Validation des objectifs qualité par les parties prenantes</t>
  </si>
  <si>
    <t xml:space="preserve">Les objectifs qualité ont-ils été validés par les parties prenantes concernées ?</t>
  </si>
  <si>
    <t xml:space="preserve">Priorisation des objectifs qualité</t>
  </si>
  <si>
    <t xml:space="preserve">Risque d’absence de validation des objectifs qualité par les parties prenantes, générant un manque d’adhésion.</t>
  </si>
  <si>
    <t xml:space="preserve">Objectifs non validés, risquant un rejet par les parties prenantes.</t>
  </si>
  <si>
    <t xml:space="preserve">Impliquez des experts métiers pour adapter le plan aux enjeux opérationnels du projet.</t>
  </si>
  <si>
    <t xml:space="preserve">Liste des priorités validées</t>
  </si>
  <si>
    <t xml:space="preserve">Traçabilité entre les exigences fonctionnelles et les objectifs qualité</t>
  </si>
  <si>
    <t xml:space="preserve">La traçabilité entre les exigences fonctionnelles et les objectifs qualité est-elle assurée ?</t>
  </si>
  <si>
    <t xml:space="preserve">Définition des SLA</t>
  </si>
  <si>
    <t xml:space="preserve">Risque de mauvaise traçabilité entre exigences fonctionnelles et objectifs qualité, compromettant la couverture des besoins.</t>
  </si>
  <si>
    <t xml:space="preserve">Exigences déconnectées, réduisant la pertinence des livrables.</t>
  </si>
  <si>
    <t xml:space="preserve">Soumettez le plan d’assurance qualité à un comité de gouvernance pour une validation formelle.</t>
  </si>
  <si>
    <t xml:space="preserve">Contrats de niveau de service</t>
  </si>
  <si>
    <t xml:space="preserve">Priorisation documentée des objectifs qualité</t>
  </si>
  <si>
    <t xml:space="preserve">La priorisation des objectifs qualité est-elle documentée ?</t>
  </si>
  <si>
    <t xml:space="preserve">Indicateurs des niveaux de service</t>
  </si>
  <si>
    <t xml:space="preserve">Risque de priorisation non documentée des objectifs qualité, entraînant des efforts mal orientés.</t>
  </si>
  <si>
    <t xml:space="preserve">Priorités floues, entraînant des efforts mal ciblés.</t>
  </si>
  <si>
    <t xml:space="preserve">Documentez la validation dans un PV de réunion signé par les instances compétentes.</t>
  </si>
  <si>
    <t xml:space="preserve">Rapport de suivi des SLA</t>
  </si>
  <si>
    <t xml:space="preserve">S’assurer que les objectifs de qualité de service attendu sont
Formalisés</t>
  </si>
  <si>
    <t xml:space="preserve">Définition formelle des niveaux de service attendus (SLA)</t>
  </si>
  <si>
    <t xml:space="preserve">Les niveaux de service attendus (SLA) sont-ils formellement définis ?</t>
  </si>
  <si>
    <t xml:space="preserve">Procès-verbal de validation des SLA</t>
  </si>
  <si>
    <t xml:space="preserve">Risque d’absence de définition formelle des niveaux de service (SLA), provoquant des attentes non cadrées.</t>
  </si>
  <si>
    <t xml:space="preserve">SLA flous, compromettant la satisfaction des utilisateurs.</t>
  </si>
  <si>
    <t xml:space="preserve">Intégrez les revues qualité dans le calendrier du projet, avec des jalons clairs et des responsables désignés.</t>
  </si>
  <si>
    <t xml:space="preserve">Registre des approbations des SLA</t>
  </si>
  <si>
    <t xml:space="preserve">Établissement d'indicateurs mesurables pour chaque niveau de service</t>
  </si>
  <si>
    <t xml:space="preserve">Des indicateurs mesurables ont-ils été établis pour chaque niveau de service défini ?</t>
  </si>
  <si>
    <t xml:space="preserve">Procédures de mesure des SLA</t>
  </si>
  <si>
    <t xml:space="preserve">Risque d’indicateurs de niveau de service non mesurables ou inexistants, limitant le contrôle des performances.</t>
  </si>
  <si>
    <t xml:space="preserve">Indicateurs inadéquats, faussant l’évaluation des performances.</t>
  </si>
  <si>
    <t xml:space="preserve">Utilisez un outil de planification pour suivre les revues qualité et garantir leur exécution.</t>
  </si>
  <si>
    <t xml:space="preserve">Guide de suivi des niveaux de service</t>
  </si>
  <si>
    <t xml:space="preserve">Validation des objectifs de service par les utilisateurs et exploitants</t>
  </si>
  <si>
    <t xml:space="preserve">Les objectifs de niveau de service ont-ils été validés par les utilisateurs et les exploitants ?</t>
  </si>
  <si>
    <t xml:space="preserve">Organigramme des responsabilités SLA</t>
  </si>
  <si>
    <t xml:space="preserve">Risque d’absence de validation des objectifs de service par utilisateurs et exploitants, réduisant la pertinence des SLA.</t>
  </si>
  <si>
    <t xml:space="preserve">SLA non validés, entraînant des litiges avec les parties prenantes.</t>
  </si>
  <si>
    <t xml:space="preserve">Définissez des métriques qualité mesurables (ex. : taux de défauts, conformité aux SLA) pour le projet.</t>
  </si>
  <si>
    <t xml:space="preserve">Matrice des rôles SLA</t>
  </si>
  <si>
    <t xml:space="preserve">Documentation des procédures de mesure des niveaux de service</t>
  </si>
  <si>
    <t xml:space="preserve">Les procédures de mesure des niveaux de service sont-elles documentées ?</t>
  </si>
  <si>
    <t xml:space="preserve">Organigramme qualité/projet</t>
  </si>
  <si>
    <t xml:space="preserve">Risque de documentation insuffisante des procédures de mesure des niveaux de service, affectant la fiabilité des mesures.</t>
  </si>
  <si>
    <t xml:space="preserve">Mesures floues, rendant le suivi des SLA inefficace.</t>
  </si>
  <si>
    <t xml:space="preserve">Validez les métriques avec les parties prenantes pour garantir leur pertinence et leur faisabilité.</t>
  </si>
  <si>
    <t xml:space="preserve">Rapport de séparation hiérarchique</t>
  </si>
  <si>
    <t xml:space="preserve">Définition des responsabilités pour l'atteinte des objectifs de service</t>
  </si>
  <si>
    <t xml:space="preserve">Les responsabilités pour l'atteinte des objectifs de service sont-elles clairement définies ?</t>
  </si>
  <si>
    <t xml:space="preserve">Déclaration d’absence de conflits d’intérêts</t>
  </si>
  <si>
    <t xml:space="preserve">Risque de responsabilités mal définies pour l’atteinte des objectifs de service, générant des manques de suivi.</t>
  </si>
  <si>
    <t xml:space="preserve">Responsabilités mal définies, compromettant l’atteinte des SLA.</t>
  </si>
  <si>
    <t xml:space="preserve">Documentez les exigences qualité dans un référentiel clair, avec des critères précis et mesurables.</t>
  </si>
  <si>
    <t xml:space="preserve">Analyse des risques de conflits</t>
  </si>
  <si>
    <t xml:space="preserve">S’assurer que le groupe assurance qualité est indépendant des
équipes de développement du projet</t>
  </si>
  <si>
    <t xml:space="preserve">Rattachement hiérarchique distinct entre équipe qualité et équipe projet</t>
  </si>
  <si>
    <t xml:space="preserve">Le rattachement hiérarchique de l'équipe qualité est-il distinct de celui de l'équipe projet ?</t>
  </si>
  <si>
    <t xml:space="preserve">Charte d’autonomie qualité</t>
  </si>
  <si>
    <t xml:space="preserve">Risque de rattachement hiérarchique non distinct entre équipe qualité et équipe projet, créant des conflits d’intérêts.</t>
  </si>
  <si>
    <t xml:space="preserve">Conflits d’intérêts, biaisant les évaluations qualité.</t>
  </si>
  <si>
    <t xml:space="preserve">Organisez des ateliers avec les parties prenantes pour clarifier et valider les exigences qualité.</t>
  </si>
  <si>
    <t xml:space="preserve">Rapport d’indépendance décisionnelle</t>
  </si>
  <si>
    <t xml:space="preserve">Absence de conflits d'intérêts documentée</t>
  </si>
  <si>
    <t xml:space="preserve">L'absence de conflits d'intérêts potentiels pour l'équipe qualité est-elle documentée ou démontrable ?</t>
  </si>
  <si>
    <t xml:space="preserve">Budget des activités qualité</t>
  </si>
  <si>
    <t xml:space="preserve">Risque d’absence de documentation sur l’absence de conflits d’intérêts, compromettant l’indépendance qualité.</t>
  </si>
  <si>
    <t xml:space="preserve">Manque d’autonomie, compromettant l’objectivité des contrôles.</t>
  </si>
  <si>
    <t xml:space="preserve">Établissez des critères mesurables pour chaque objectif qualité, alignés sur les besoins du projet.</t>
  </si>
  <si>
    <t xml:space="preserve">Plan de ressources qualité</t>
  </si>
  <si>
    <t xml:space="preserve">Autonomie décisionnelle du groupe qualité sur les aspects qualité</t>
  </si>
  <si>
    <t xml:space="preserve">Le groupe qualité dispose-t-il d'une autonomie décisionnelle sur les aspects qualité ?</t>
  </si>
  <si>
    <t xml:space="preserve">Procédure d’escalade des désaccords</t>
  </si>
  <si>
    <t xml:space="preserve">Risque de manque d’autonomie décisionnelle du groupe qualité, limitant son efficacité.</t>
  </si>
  <si>
    <t xml:space="preserve">Décisions biaisées, laissant passer des défauts critiques.</t>
  </si>
  <si>
    <t xml:space="preserve">Testez les critères dans un environnement pilote pour confirmer leur applicabilité.</t>
  </si>
  <si>
    <t xml:space="preserve">Registre des escalades effectuées</t>
  </si>
  <si>
    <t xml:space="preserve">Ressources dédiées allouées aux activités d'assurance qualité</t>
  </si>
  <si>
    <t xml:space="preserve">Des ressources dédiées sont-elles allouées aux activités d'assurance qualité ?</t>
  </si>
  <si>
    <t xml:space="preserve">Procédure de suivi des revues qualité</t>
  </si>
  <si>
    <t xml:space="preserve">Risque de ressources dédiées insuffisantes pour les activités d’assurance qualité, réduisant la capacité d’action.</t>
  </si>
  <si>
    <t xml:space="preserve">Ressources insuffisantes, limitant l’efficacité des contrôles qualité.</t>
  </si>
  <si>
    <t xml:space="preserve">Soumettez les objectifs qualité à la validation des parties prenantes via des revues formelles.</t>
  </si>
  <si>
    <t xml:space="preserve">Guide de gestion des revues</t>
  </si>
  <si>
    <t xml:space="preserve">Procédure formalisée d'escalade en cas de désaccord entre équipes</t>
  </si>
  <si>
    <t xml:space="preserve">Existe-t-il une procédure formalisée d'escalade en cas de désaccord entre l'équipe qualité et l'équipe projet ?</t>
  </si>
  <si>
    <t xml:space="preserve">Liste des actions correctives</t>
  </si>
  <si>
    <t xml:space="preserve">Risque d’absence de procédure formalisée d’escalade en cas de désaccord, retardant la résolution des conflits.</t>
  </si>
  <si>
    <t xml:space="preserve">Escalades inefficaces, retardant la résolution des conflits.</t>
  </si>
  <si>
    <t xml:space="preserve">Registre des actions suivies</t>
  </si>
  <si>
    <t xml:space="preserve">S’assurer qu’une procédure de suivi des revues d'assurance
qualité est formalisée</t>
  </si>
  <si>
    <t xml:space="preserve">Existence d'une procédure documentée pour le suivi des revues qualité</t>
  </si>
  <si>
    <t xml:space="preserve">Existe-t-il une procédure documentée pour le suivi des revues qualité ?</t>
  </si>
  <si>
    <t xml:space="preserve">Outil de suivi des points de revue</t>
  </si>
  <si>
    <t xml:space="preserve">Risque d’absence de procédure documentée pour le suivi des revues qualité, compromettant la rigueur du contrôle.</t>
  </si>
  <si>
    <t xml:space="preserve">Revues mal suivies, laissant des problèmes non résolus.</t>
  </si>
  <si>
    <t xml:space="preserve">Créez une matrice de traçabilité reliant les exigences fonctionnelles aux objectifs qualité.</t>
  </si>
  <si>
    <t xml:space="preserve">Configuration de l’outil de suivi</t>
  </si>
  <si>
    <t xml:space="preserve">Définition des responsabilités pour le suivi des actions correctives</t>
  </si>
  <si>
    <t xml:space="preserve">Les responsabilités pour le suivi des actions correctives issues des revues sont-elles définies ?</t>
  </si>
  <si>
    <t xml:space="preserve">Planning des points de contrôle qualité</t>
  </si>
  <si>
    <t xml:space="preserve">Risque de responsabilités mal définies pour le suivi des actions correctives, entraînant un suivi inefficace.</t>
  </si>
  <si>
    <t xml:space="preserve">Actions non suivies, compromettant l’amélioration qualité.</t>
  </si>
  <si>
    <t xml:space="preserve">Validez la matrice avec les équipes qualité et métiers pour garantir sa complétude.</t>
  </si>
  <si>
    <t xml:space="preserve">Registre des contrôles effectués</t>
  </si>
  <si>
    <t xml:space="preserve">Utilisation d'un outil de suivi des points soulevés lors des revues</t>
  </si>
  <si>
    <t xml:space="preserve">Un outil spécifique est-il utilisé pour le suivi des points soulevés lors des revues qualité ?</t>
  </si>
  <si>
    <t xml:space="preserve">Procédure d’escalade des problèmes</t>
  </si>
  <si>
    <t xml:space="preserve">Risque de non-utilisation d’un outil de suivi des points soulevés, limitant la traçabilité et la gestion des actions.</t>
  </si>
  <si>
    <t xml:space="preserve">Suivi inefficace, manquant des problèmes critiques.</t>
  </si>
  <si>
    <t xml:space="preserve">Priorisez les objectifs qualité à l’aide d’une méthode comme MoSCoW, validée par les parties prenantes.</t>
  </si>
  <si>
    <t xml:space="preserve">Registre des escalades qualité</t>
  </si>
  <si>
    <t xml:space="preserve">Planification des points de contrôle pour vérifier la mise en œuvre des actions</t>
  </si>
  <si>
    <t xml:space="preserve">Des points de contrôle sont-ils planifiés pour vérifier la mise en œuvre effective des actions correctives ?</t>
  </si>
  <si>
    <t xml:space="preserve">Plan d’intégration des actions correctives</t>
  </si>
  <si>
    <t xml:space="preserve">Risque de planification insuffisante des points de contrôle pour vérifier la mise en œuvre des actions correctives.</t>
  </si>
  <si>
    <t xml:space="preserve">Contrôles absents, retardant la résolution des écarts.</t>
  </si>
  <si>
    <t xml:space="preserve">Organisez des sessions d’arbitrage pour résoudre les conflits de priorisation des objectifs qualité.</t>
  </si>
  <si>
    <t xml:space="preserve">Mise à jour du plan de projet</t>
  </si>
  <si>
    <t xml:space="preserve">Processus d'escalade en cas de non-résolution des problèmes identifiés</t>
  </si>
  <si>
    <t xml:space="preserve">Un processus d'escalade est-il défini en cas de non-résolution des problèmes qualité identifiés ?</t>
  </si>
  <si>
    <t xml:space="preserve">Registre de résolution des points</t>
  </si>
  <si>
    <t xml:space="preserve">Risque d’absence de processus d’escalade en cas de non-résolution des problèmes, retardant la correction des défauts.</t>
  </si>
  <si>
    <t xml:space="preserve">Problèmes non résolus, compromettant la qualité globale.</t>
  </si>
  <si>
    <t xml:space="preserve">Définissez des SLA clairs dans un document formel, avec des engagements mesurables.</t>
  </si>
  <si>
    <t xml:space="preserve">Rapport de suivi des résolutions</t>
  </si>
  <si>
    <t xml:space="preserve">S’assurer que les conclusions des revues d'assurance qualité
sont prises en compte par l'équipe projet</t>
  </si>
  <si>
    <t xml:space="preserve">Intégration formelle des actions correctives dans le plan de projet</t>
  </si>
  <si>
    <t xml:space="preserve">Les actions correctives validées sont-elles formellement intégrées dans le plan de projet (si impact) ?</t>
  </si>
  <si>
    <t xml:space="preserve">Validation des actions correctives</t>
  </si>
  <si>
    <t xml:space="preserve">Risque d’absence d’intégration formelle des actions correctives dans le plan de projet, réduisant leur impact.</t>
  </si>
  <si>
    <t xml:space="preserve">Actions non intégrées, réduisant leur impact sur le projet.</t>
  </si>
  <si>
    <t xml:space="preserve">Validez les SLA avec les utilisateurs et exploitants pour garantir leur acceptabilité.</t>
  </si>
  <si>
    <t xml:space="preserve">Procès-verbal de validation qualité</t>
  </si>
  <si>
    <t xml:space="preserve">Suivi documenté de la résolution des points soulevés lors des revues</t>
  </si>
  <si>
    <t xml:space="preserve">La résolution des points soulevés lors des revues qualité fait-elle l'objet d'un suivi documenté ?</t>
  </si>
  <si>
    <t xml:space="preserve">Analyse des causes racines</t>
  </si>
  <si>
    <t xml:space="preserve">Risque de suivi documenté insuffisant de la résolution des points soulevés lors des revues, compromettant la clôture effective.</t>
  </si>
  <si>
    <t xml:space="preserve">Problèmes non résolus, entraînant des défauts persistants.</t>
  </si>
  <si>
    <t xml:space="preserve">Établissez des indicateurs mesurables pour chaque SLA, avec des seuils clairs et des méthodes de mesure.</t>
  </si>
  <si>
    <t xml:space="preserve">Rapport d’analyse des problèmes</t>
  </si>
  <si>
    <t xml:space="preserve">Validation par le groupe qualité des actions mises en œuvre</t>
  </si>
  <si>
    <t xml:space="preserve">La mise en œuvre des actions correctives est-elle validée par le groupe qualité ?</t>
  </si>
  <si>
    <t xml:space="preserve">Rapport d’impact des actions correctives</t>
  </si>
  <si>
    <t xml:space="preserve">Risque d’absence de validation par le groupe qualité des actions mises en œuvre, réduisant leur légitimité.</t>
  </si>
  <si>
    <t xml:space="preserve">Actions non validées, compromettant leur efficacité.</t>
  </si>
  <si>
    <t xml:space="preserve">Testez les indicateurs dans un environnement pilote pour valider leur fiabilité.</t>
  </si>
  <si>
    <t xml:space="preserve">Indicateurs d’amélioration qualité</t>
  </si>
  <si>
    <t xml:space="preserve">Analyse des causes racines pour les problèmes récurrents</t>
  </si>
  <si>
    <t xml:space="preserve">Une analyse des causes racines est-elle menée pour les problèmes qualité récurrents ou majeurs ?</t>
  </si>
  <si>
    <t xml:space="preserve">Procédure de revue des livrables</t>
  </si>
  <si>
    <t xml:space="preserve">Risque de non-analyse des causes racines pour les problèmes récurrents, empêchant la résolution durable.</t>
  </si>
  <si>
    <t xml:space="preserve">Problèmes récurrents, réduisant la fiabilité des livrables.</t>
  </si>
  <si>
    <t xml:space="preserve">Impliquez les utilisateurs et exploitants dans la validation des objectifs de service via des ateliers.</t>
  </si>
  <si>
    <t xml:space="preserve">Guide d’approbation des livrables</t>
  </si>
  <si>
    <t xml:space="preserve">Impact mesurable des actions correctives sur la qualité du projet</t>
  </si>
  <si>
    <t xml:space="preserve">L'impact des actions correctives sur la qualité du projet est-il mesuré ou évalué ?</t>
  </si>
  <si>
    <t xml:space="preserve">Liste des validateurs par livrable</t>
  </si>
  <si>
    <t xml:space="preserve">Risque d’absence de mesure de l’impact des actions correctives sur la qualité du projet, limitant l’amélioration continue.</t>
  </si>
  <si>
    <t xml:space="preserve">Qualité non améliorée, compromettant la satisfaction des parties prenantes.</t>
  </si>
  <si>
    <t xml:space="preserve">Documentez les validations dans un PV de réunion pour assurer leur traçabilité.</t>
  </si>
  <si>
    <t xml:space="preserve">Organigramme des approbations</t>
  </si>
  <si>
    <t xml:space="preserve">S’assurer qu’il existe un circuit d'approbation des livrables</t>
  </si>
  <si>
    <t xml:space="preserve">Procédure formalisée de revue et d'approbation pour chaque type de livrable</t>
  </si>
  <si>
    <t xml:space="preserve">Existe-t-il une procédure formalisée de revue et d'approbation pour chaque type de livrable ?</t>
  </si>
  <si>
    <t xml:space="preserve">Délais d’approbation des livrables</t>
  </si>
  <si>
    <t xml:space="preserve">Risque d’absence de procédure formalisée de revue et d’approbation pour chaque type de livrable, compromettant la qualité finale.</t>
  </si>
  <si>
    <t xml:space="preserve">Validations inefficaces, laissant passer des livrables défectueux.</t>
  </si>
  <si>
    <t xml:space="preserve">Documentez les procédures de mesure des SLA dans un référentiel accessible aux équipes concernées.</t>
  </si>
  <si>
    <t xml:space="preserve">Registre des délais respectés</t>
  </si>
  <si>
    <t xml:space="preserve">Identification claire des acteurs impliqués dans la validation</t>
  </si>
  <si>
    <t xml:space="preserve">Les acteurs impliqués dans la validation des livrables sont-ils clairement identifiés ?</t>
  </si>
  <si>
    <t xml:space="preserve">Historique des versions des livrables</t>
  </si>
  <si>
    <t xml:space="preserve">Risque d’identification floue des acteurs impliqués dans la validation, entraînant des retards ou conflits.</t>
  </si>
  <si>
    <t xml:space="preserve">Acteurs mal identifiés, entraînant des retards dans les validations.</t>
  </si>
  <si>
    <t xml:space="preserve">Formez les équipes à l’utilisation des outils de mesure pour garantir leur application correcte.</t>
  </si>
  <si>
    <t xml:space="preserve">Registre de traçabilité des versions</t>
  </si>
  <si>
    <t xml:space="preserve">Définition des délais maximum pour chaque étape du circuit d'approbation</t>
  </si>
  <si>
    <t xml:space="preserve">Des délais maximum sont-ils définis pour chaque étape du circuit d'approbation des livrables ?</t>
  </si>
  <si>
    <t xml:space="preserve">Procédure de gestion des refus</t>
  </si>
  <si>
    <t xml:space="preserve">Risque de délais non définis ou non respectés pour chaque étape du circuit d’approbation, générant des blocages.</t>
  </si>
  <si>
    <t xml:space="preserve">Délais non respectés, retardant l’avancement du projet.</t>
  </si>
  <si>
    <t xml:space="preserve">Assignez des responsabilités claires pour l’atteinte des SLA dans une matrice RACI dédiée.</t>
  </si>
  <si>
    <t xml:space="preserve">Registre des modifications demandées</t>
  </si>
  <si>
    <t xml:space="preserve">Traçabilité des différentes versions des livrables et des validations</t>
  </si>
  <si>
    <t xml:space="preserve">La traçabilité des différentes versions des livrables et de leurs validations successives est-elle assurée ?</t>
  </si>
  <si>
    <t xml:space="preserve">Analyse du scénario "ne rien faire"</t>
  </si>
  <si>
    <t xml:space="preserve">Risque d’absence de traçabilité des différentes versions des livrables et validations, compliquant le suivi.</t>
  </si>
  <si>
    <t xml:space="preserve">Versions mal tracées, entraînant des confusions ou des erreurs.</t>
  </si>
  <si>
    <t xml:space="preserve">Validez les affectations de responsabilités avec les parties prenantes pour garantir leur engagement.</t>
  </si>
  <si>
    <t xml:space="preserve">Rapport d’évaluation du statu quo</t>
  </si>
  <si>
    <t xml:space="preserve">Mécanisme de gestion des refus et demandes de modification</t>
  </si>
  <si>
    <t xml:space="preserve">Existe-t-il un mécanisme formalisé pour gérer les refus et les demandes de modification lors de la validation des livrables ?</t>
  </si>
  <si>
    <t xml:space="preserve">Évaluation des conséquences du statu quo</t>
  </si>
  <si>
    <t xml:space="preserve">Risque de gestion inadéquate des refus et demandes de modification, impactant la qualité et les délais.</t>
  </si>
  <si>
    <t xml:space="preserve">Refus mal gérés, provoquant des retards ou des conflits.</t>
  </si>
  <si>
    <t xml:space="preserve">Maintenez une séparation hiérarchique claire entre les équipes qualité et projet, documentée dans l’organigramme.</t>
  </si>
  <si>
    <t xml:space="preserve">Rapport d’impact du statu quo</t>
  </si>
  <si>
    <t xml:space="preserve">Conception générale et analyse</t>
  </si>
  <si>
    <t xml:space="preserve">S’assurer qu’il existe une analyse des différents scénarios
possibles en termes de solution retenue</t>
  </si>
  <si>
    <t xml:space="preserve">Inclusion explicite du scénario "ne rien faire" dans l'analyse des alternatives</t>
  </si>
  <si>
    <t xml:space="preserve">Le scénario "ne rien faire" (statu quo) a-t-il été explicitement inclus dans l'analyse des alternatives ?</t>
  </si>
  <si>
    <t xml:space="preserve">Quantification des coûts d’opportunité</t>
  </si>
  <si>
    <t xml:space="preserve">Risque d’absence d’inclusion explicite du scénario "ne rien faire" dans l’analyse des alternatives, biaisant la prise de décision.</t>
  </si>
  <si>
    <t xml:space="preserve">Statu quo non évalué, faussant le choix des alternatives.</t>
  </si>
  <si>
    <t xml:space="preserve">Validez la structure hiérarchique avec la direction pour éviter tout chevauchement de rôles.</t>
  </si>
  <si>
    <t xml:space="preserve">Analyse des coûts du statu quo</t>
  </si>
  <si>
    <t xml:space="preserve">Analyse prospective sans intervention</t>
  </si>
  <si>
    <t xml:space="preserve">Risque d’évaluation insuffisante ou absente des conséquences du statu quo, sous-estimant les risques.</t>
  </si>
  <si>
    <t xml:space="preserve">Conséquences ignorées, sous-estimant les risques du statu quo.</t>
  </si>
  <si>
    <t xml:space="preserve">Documentez l’absence de conflits d’intérêts via une déclaration signée par les membres des équipes qualité.</t>
  </si>
  <si>
    <t xml:space="preserve">Évaluation documentée des conséquences du statu quo</t>
  </si>
  <si>
    <t xml:space="preserve">Les conséquences du scénario "ne rien faire" ont-elles été évaluées et documentées ?</t>
  </si>
  <si>
    <t xml:space="preserve">Scénarios prospectifs documentés</t>
  </si>
  <si>
    <t xml:space="preserve">Comparaison des alternatives</t>
  </si>
  <si>
    <t xml:space="preserve">Risque de non-quantification des coûts d’opportunité liés à l’absence d’action, affectant la pertinence des choix.</t>
  </si>
  <si>
    <t xml:space="preserve">Coûts mal évalués, faussant la justification du projet.</t>
  </si>
  <si>
    <t xml:space="preserve">Mettez en place un processus de revue périodique pour vérifier l’absence de conflits d’intérêts.</t>
  </si>
  <si>
    <t xml:space="preserve">Quantification des coûts d'opportunité liés à l'absence d'action</t>
  </si>
  <si>
    <t xml:space="preserve">Les coûts d'opportunité liés au scénario "ne rien faire" ont-ils été quantifiés ?</t>
  </si>
  <si>
    <t xml:space="preserve">Matrice de décision des scénarios</t>
  </si>
  <si>
    <t xml:space="preserve">Risque d’absence d’analyse prospective de l’évolution sans intervention, limitant la vision stratégique.</t>
  </si>
  <si>
    <t xml:space="preserve">Évolution imprévue, compromettant la pertinence des solutions.</t>
  </si>
  <si>
    <t xml:space="preserve">Garantissez l’autonomie décisionnelle du groupe qualité en formalisant ses prérogatives dans une charte.</t>
  </si>
  <si>
    <t xml:space="preserve">Analyse prospective de l'évolution de la situation sans intervention</t>
  </si>
  <si>
    <t xml:space="preserve">Une analyse prospective de l'évolution probable de la situation sans le projet a-t-elle été réalisée ?</t>
  </si>
  <si>
    <t xml:space="preserve">Risque de comparaison formelle insuffisante entre le scénario "ne rien faire" et les alternatives, faussant l’arbitrage.</t>
  </si>
  <si>
    <t xml:space="preserve">Comparaison biaisée, entraînant un choix non optimal.</t>
  </si>
  <si>
    <t xml:space="preserve">Validez la charte avec la direction pour renforcer l’autorité du groupe qualité.</t>
  </si>
  <si>
    <t xml:space="preserve">Comparaison formelle entre le scénario "ne rien faire" et les autres alternatives</t>
  </si>
  <si>
    <t xml:space="preserve">Une comparaison formelle entre le scénario "ne rien faire" et les autres alternatives a-t-elle été documentée ?</t>
  </si>
  <si>
    <t xml:space="preserve">Risque d’inventaire incomplet ou non documenté des prérequis matériels pour chaque scénario, entraînant des imprévus.</t>
  </si>
  <si>
    <t xml:space="preserve">Prérequis mal identifiés, entraînant des retards ou des échecs.</t>
  </si>
  <si>
    <t xml:space="preserve">Allouez des ressources dédiées (humaines et budgétaires) aux activités d’assurance qualité dans le plan de projet.</t>
  </si>
  <si>
    <t xml:space="preserve">S’assurer que tous les scénarios ont été envisagés, même celui
de ne rien faire</t>
  </si>
  <si>
    <t xml:space="preserve">a-t-il été explicitement inclus dans l'analyse des alternatives ?</t>
  </si>
  <si>
    <t xml:space="preserve">Risque d’évaluation insuffisante des besoins en formation et compétences nouvelles, limitant l’adaptation des équipes.</t>
  </si>
  <si>
    <t xml:space="preserve">Formations insuffisantes, réduisant l’efficacité des solutions.</t>
  </si>
  <si>
    <t xml:space="preserve">Surveillez l’utilisation des ressources via des revues régulières pour garantir leur adéquation.</t>
  </si>
  <si>
    <t xml:space="preserve"> ont-elles été évaluées et documentées ?</t>
  </si>
  <si>
    <t xml:space="preserve">Risque d’analyse incomplète des implications en ressources humaines (recrutement, redéploiement), générant des tensions.</t>
  </si>
  <si>
    <t xml:space="preserve">Ressources mal planifiées, compromettant la mise en œuvre.</t>
  </si>
  <si>
    <t xml:space="preserve">Établissez une procédure d’escalade claire pour les désaccords, avec des délais et des responsables définis.</t>
  </si>
  <si>
    <t xml:space="preserve">ne rien faire" ont-ils été quantifiés ?</t>
  </si>
  <si>
    <t xml:space="preserve">Inventaire des prérequis matériels</t>
  </si>
  <si>
    <t xml:space="preserve">Risque de non-vérification de la conformité juridique et réglementaire des solutions envisagées, exposant à des sanctions.</t>
  </si>
  <si>
    <t xml:space="preserve">Non-conformité légale, risquant des sanctions ou des blocages.</t>
  </si>
  <si>
    <t xml:space="preserve">Utilisez un outil de gestion des incidents pour suivre les escalades et leurs résolutions.</t>
  </si>
  <si>
    <t xml:space="preserve">Liste des équipements nécessaires</t>
  </si>
  <si>
    <t xml:space="preserve">Si vous souhaitez, je peux vous fournir cette liste dans un fichier Excel ou un autre format adapté à votre outil.</t>
  </si>
  <si>
    <t xml:space="preserve">Plan de formation des équipes</t>
  </si>
  <si>
    <t xml:space="preserve">Risque d’évaluation erronée ou incomplète des scénarios, pouvant conduire à des décisions inappropriées ou non optimales.</t>
  </si>
  <si>
    <t xml:space="preserve">Documentez une procédure de suivi des revues qualité, avec des modèles standardisés pour les rapports.</t>
  </si>
  <si>
    <t xml:space="preserve">Évaluation des besoins en compétences</t>
  </si>
  <si>
    <t xml:space="preserve">Analyse des besoins en ressources humaines</t>
  </si>
  <si>
    <t xml:space="preserve">Risque d’incohérence ou d’incohérence dans l’inventaire des prérequis matériels, entraînant des retards ou des coûts imprévus lors de la mise en œuvre.</t>
  </si>
  <si>
    <t xml:space="preserve">Choix biaisé, entraînant une solution non optimale.</t>
  </si>
  <si>
    <t xml:space="preserve">Formez les équipes qualité à l’application de la procédure pour garantir sa cohérence.</t>
  </si>
  <si>
    <t xml:space="preserve">S’assurer que les contraintes liées aux technologies (besoins en
matériels, en formation, en RH, contraintes juridiques, faisabilité
opérationnelle, …) ont été prises en compte</t>
  </si>
  <si>
    <t xml:space="preserve">Inventaire documenté des prérequis matériels pour chaque scénario envisagé</t>
  </si>
  <si>
    <t xml:space="preserve">Un inventaire documenté des prérequis matériels (infrastructure, équipements) existe-t-il pour chaque scénario envisagé ?</t>
  </si>
  <si>
    <t xml:space="preserve">Plan de recrutement/redéploiement</t>
  </si>
  <si>
    <t xml:space="preserve">Rapport de conformité juridique</t>
  </si>
  <si>
    <t xml:space="preserve">Risque de sous-estimation ou de mauvaise estimation des besoins en formation et compétences, ce qui pourrait compromettre la réussite du scénario choisi.</t>
  </si>
  <si>
    <t xml:space="preserve">Assignez des responsabilités claires pour le suivi des actions correctives dans une matrice RACI.</t>
  </si>
  <si>
    <t xml:space="preserve">Évaluation des besoins en formation et en compétences nouvelles</t>
  </si>
  <si>
    <t xml:space="preserve">Les besoins en formation et en nouvelles compétences ont-ils été évalués pour chaque scénario ?</t>
  </si>
  <si>
    <t xml:space="preserve">Analyse des contraintes réglementaires</t>
  </si>
  <si>
    <t xml:space="preserve">Étude de faisabilité opérationnelle</t>
  </si>
  <si>
    <t xml:space="preserve">Risque d’oubli ou d’erreur dans l’analyse des implications en ressources humaines, pouvant entraîner des tensions ou des pénuries de personnel.</t>
  </si>
  <si>
    <t xml:space="preserve">Validez les affectations avec les parties prenantes pour garantir leur engagement.</t>
  </si>
  <si>
    <t xml:space="preserve">Analyse des implications en ressources humaines (recrutement, redéploiement)</t>
  </si>
  <si>
    <t xml:space="preserve">Les implications en ressources humaines (recrutement, mobilité, redéploiement) ont-elles été analysées pour chaque scénario ?</t>
  </si>
  <si>
    <t xml:space="preserve">Analyse des contraintes organisationnelles</t>
  </si>
  <si>
    <t xml:space="preserve">Rapport de faisabilité consolidé</t>
  </si>
  <si>
    <t xml:space="preserve">Risque de non-conformité juridique ou réglementaire des solutions envisagées, exposant l’organisation à des sanctions ou des litiges.</t>
  </si>
  <si>
    <t xml:space="preserve">Utilisez un outil de gestion des tâches (ex. : Jira) pour suivre les points soulevés lors des revues.</t>
  </si>
  <si>
    <t xml:space="preserve">Vérification de la conformité juridique et réglementaire des solutions envisagées</t>
  </si>
  <si>
    <t xml:space="preserve">La conformité juridique et réglementaire des solutions envisagées dans chaque scénario a-t-elle été vérifiée ?</t>
  </si>
  <si>
    <t xml:space="preserve">Plan d’action des contraintes</t>
  </si>
  <si>
    <t xml:space="preserve">Risque d’évaluation insuffisante de la faisabilité opérationnelle, menant à des blocages ou à des défaillances lors de la mise en œuvre.</t>
  </si>
  <si>
    <t xml:space="preserve">Mettez en place des alertes automatiques pour les points non résolus dans les délais impartis.</t>
  </si>
  <si>
    <t xml:space="preserve">Étude de faisabilité opérationnelle incluant les contraintes organisationnelles</t>
  </si>
  <si>
    <t xml:space="preserve">Une étude de faisabilité opérationnelle, incluant les contraintes organisationnelles, a-t-elle été réalisée pour chaque scénario ?</t>
  </si>
  <si>
    <t xml:space="preserve">Document d'analyse de rentabilité (Business Case) par scénario.</t>
  </si>
  <si>
    <t xml:space="preserve">Risque de mauvaise quantification du retour sur investissement (ROI), ce qui pourrait fausser la comparaison entre scénarios et conduire à une mauvaise décision stratégique.</t>
  </si>
  <si>
    <t xml:space="preserve">Contraintes ignorées, entraînant des échecs opérationnels.</t>
  </si>
  <si>
    <t xml:space="preserve">Planifiez des points de contrôle réguliers dans le calendrier du projet pour vérifier les actions correctives.</t>
  </si>
  <si>
    <t xml:space="preserve">S’assurer qu’une analyse économique (bénéfices attendus,
coûts de développement, de formation, de maintenance, …) a été
intégrée au choix de la solution</t>
  </si>
  <si>
    <t xml:space="preserve">Calcul détaillé du retour sur investissement (ROI) pour chaque scénario</t>
  </si>
  <si>
    <t xml:space="preserve">Un calcul détaillé du retour sur investissement (ROI) a-t-il été réalisé pour chaque scénario envisagé ?</t>
  </si>
  <si>
    <t xml:space="preserve">Fichier de calcul détaillé du ROI (feuille de calcul, modèle financier).</t>
  </si>
  <si>
    <t xml:space="preserve">Analyse détaillée des coûts du cycle de vie par scénario.</t>
  </si>
  <si>
    <t xml:space="preserve">Risque d’une analyse incomplète des coûts totaux de possession (TCO), pouvant entraîner des choix coûteux ou non rentables à long terme.</t>
  </si>
  <si>
    <t xml:space="preserve">ROI mal évalué, faussant la justification économique du projet.</t>
  </si>
  <si>
    <t xml:space="preserve">Documentez les résultats des contrôles dans un rapport consolidé pour assurer leur traçabilité.</t>
  </si>
  <si>
    <t xml:space="preserve">Évaluation complète des coûts directs et indirects sur le cycle de vie complet</t>
  </si>
  <si>
    <t xml:space="preserve">L'évaluation des coûts inclut-elle les coûts directs et indirects sur le cycle de vie complet pour chaque scénario ?</t>
  </si>
  <si>
    <t xml:space="preserve">Budget prévisionnel du projet incluant les coûts sur le cycle de vie.</t>
  </si>
  <si>
    <t xml:space="preserve">Section "Bénéfices Attendus" du Business Case (ou document équivalent).</t>
  </si>
  <si>
    <t xml:space="preserve">Risque d’oubli ou de sous-estimation des coûts cachés (formation, transition, adaptation organisationnelle), impactant la rentabilité réelle des scénarios.</t>
  </si>
  <si>
    <t xml:space="preserve">Coûts sous-estimés, entraînant des dépassements budgétaires.</t>
  </si>
  <si>
    <t xml:space="preserve">Définissez un processus d’escalade pour les problèmes non résolus, avec des canaux clairs et des délais définis.</t>
  </si>
  <si>
    <t xml:space="preserve">Quantification des bénéfices tangibles et intangibles attendus</t>
  </si>
  <si>
    <t xml:space="preserve">Les bénéfices tangibles et intangibles attendus ont-ils été quantifiés pour chaque scénario ?</t>
  </si>
  <si>
    <t xml:space="preserve">Méthodologie de quantification des bénéfices (si formalisée).</t>
  </si>
  <si>
    <t xml:space="preserve">Rapport d'analyse TCO (Coût Total de Possession) comparatif.</t>
  </si>
  <si>
    <t xml:space="preserve">Risque d’évaluation inadéquate ou insuffisante des risques spécifiques à chaque scénario, pouvant entraîner des surprises ou des crises lors de la mise en œuvre.</t>
  </si>
  <si>
    <t xml:space="preserve">Bénéfices surestimés, compromettant la valeur perçue du projet.</t>
  </si>
  <si>
    <t xml:space="preserve">Utilisez un outil collaboratif pour centraliser les escalades et leurs résolutions.</t>
  </si>
  <si>
    <t xml:space="preserve">Analyse comparative des coûts de possession totaux (TCO) des différentes solutions</t>
  </si>
  <si>
    <t xml:space="preserve">Une analyse comparative des coûts de possession totaux (TCO) des différentes solutions a-t-elle été documentée ?</t>
  </si>
  <si>
    <t xml:space="preserve">Fichiers de calcul TCO par solution.</t>
  </si>
  <si>
    <t xml:space="preserve">Détail du budget projet montrant les lignes pour formation, transition, etc.</t>
  </si>
  <si>
    <t xml:space="preserve">Risque d’évaluation de la probabilité et de l’impact des risques mal réalisée, menant à des stratégies d’atténuation inefficaces.</t>
  </si>
  <si>
    <t xml:space="preserve">TCO mal évalué, faussant la comparaison des solutions.</t>
  </si>
  <si>
    <t xml:space="preserve">Intégrez les actions correctives dans le plan de projet via des mises à jour validées par les parties prenantes.</t>
  </si>
  <si>
    <t xml:space="preserve">Prise en compte des coûts cachés (formation, transition, adaptation organisationnelle)</t>
  </si>
  <si>
    <t xml:space="preserve">Les coûts cachés (formation, transition, adaptation) ont-ils été pris en compte dans l'évaluation financière des scénarios ?</t>
  </si>
  <si>
    <t xml:space="preserve">Analyse d'impact organisationnel (si réalisée).</t>
  </si>
  <si>
    <t xml:space="preserve">Registre des risques par scénario.</t>
  </si>
  <si>
    <t xml:space="preserve">Risque de stratégies d’atténuation inadaptées ou insuffisantes face aux risques majeurs identifiés, compromettant la réussite du projet.</t>
  </si>
  <si>
    <t xml:space="preserve">Coûts cachés ignorés, entraînant des dépassements imprévus.</t>
  </si>
  <si>
    <t xml:space="preserve">Utilisez un outil de gestion de projet pour synchroniser les actions avec le planning global.</t>
  </si>
  <si>
    <t xml:space="preserve">S’assurer qu’une analyse des risques a été mise en place pour
chaque alternative</t>
  </si>
  <si>
    <t xml:space="preserve">Identification systématique des risques spécifiques à chaque scénario</t>
  </si>
  <si>
    <t xml:space="preserve">Les risques spécifiques à chaque scénario ont-ils été systématiquement identifiés et documentés ?</t>
  </si>
  <si>
    <t xml:space="preserve">Rapport d'analyse des risques comparatif des scénarios.</t>
  </si>
  <si>
    <t xml:space="preserve">Évaluation de la probabilité et de l'impact de chaque risque identifié</t>
  </si>
  <si>
    <t xml:space="preserve">La probabilité et l'impact de chaque risque identifié ont-ils été évalués ?</t>
  </si>
  <si>
    <t xml:space="preserve">Registre des risques détaillé (avec colonnes probabilité/impact).</t>
  </si>
  <si>
    <t xml:space="preserve">Risque que la matrice de comparaison des scénarios ne prenne pas en compte tous les critères pertinents, faussant la décision finale.</t>
  </si>
  <si>
    <t xml:space="preserve">Risques non anticipés, exposant le projet à des échecs imprévus.</t>
  </si>
  <si>
    <t xml:space="preserve">Documentez la résolution des points soulevés dans un registre, avec des preuves de mise en œuvre.</t>
  </si>
  <si>
    <t xml:space="preserve">Matrice de criticité des risques.</t>
  </si>
  <si>
    <t xml:space="preserve">Définition de stratégies d'atténuation pour les risques majeurs</t>
  </si>
  <si>
    <t xml:space="preserve">Des stratégies d'atténuation ont-elles été définies pour les risques majeurs de chaque scénario ?</t>
  </si>
  <si>
    <t xml:space="preserve">Plan de gestion des risques (section stratégies d'atténuation).</t>
  </si>
  <si>
    <t xml:space="preserve">Risque que les critères d’évaluation pondérés ne soient pas validés par toutes les parties prenantes, ce qui peut biaiser la décision finale.</t>
  </si>
  <si>
    <t xml:space="preserve">Validez les résolutions avec le groupe qualité pour garantir leur conformité.</t>
  </si>
  <si>
    <t xml:space="preserve">Registre des risques (avec colonnes actions/stratégies).</t>
  </si>
  <si>
    <t xml:space="preserve">Comparaison des profils de risque des différentes alternatives</t>
  </si>
  <si>
    <t xml:space="preserve">Une comparaison documentée des profils de risque des différentes alternatives a-t-elle été effectuée ?</t>
  </si>
  <si>
    <t xml:space="preserve">Rapport d'analyse comparative des scénarios (section risques).</t>
  </si>
  <si>
    <t xml:space="preserve">Risque d’absence d’une méthode d’analyse multicritère formalisée, limitant la rigueur et la traçabilité du processus décisionnel.</t>
  </si>
  <si>
    <t xml:space="preserve">Soumettez les actions mises en œuvre à la validation du groupe qualité via des revues formelles.</t>
  </si>
  <si>
    <t xml:space="preserve">Tableau comparatif des profils de risque.</t>
  </si>
  <si>
    <t xml:space="preserve">Intégration de l'analyse des risques dans la matrice de décision finale</t>
  </si>
  <si>
    <t xml:space="preserve">L'analyse des risques a-t-elle été formellement intégrée dans la matrice de décision finale ?</t>
  </si>
  <si>
    <t xml:space="preserve">Matrice de décision multicritère finale.</t>
  </si>
  <si>
    <t xml:space="preserve">Risque que le processus de décision ne soit pas documenté ou que ses participants ne soient pas clairement identifiés, ce qui peut nuire à la transparence.</t>
  </si>
  <si>
    <t xml:space="preserve">Profils mal comparés, faussant le choix de la meilleure alternative.</t>
  </si>
  <si>
    <t xml:space="preserve">Document de synthèse de la décision (mentionnant l'intégration des risques).</t>
  </si>
  <si>
    <t xml:space="preserve">S’assurer que le choix de la solution a été fait en toute
objectivité en se basant sur des critères d'évaluation pertinents</t>
  </si>
  <si>
    <t xml:space="preserve">Définition préalable de critères d'évaluation pondérés et validés par les parties prenantes</t>
  </si>
  <si>
    <t xml:space="preserve">Des critères d'évaluation pondérés ont-ils été définis et validés par les parties prenantes avant l'évaluation des scénarios ?</t>
  </si>
  <si>
    <t xml:space="preserve">Document de définition des critères d'évaluation.</t>
  </si>
  <si>
    <t xml:space="preserve">Risque que la validation du choix final par une instance indépendante ne soit pas réalisée, compromettant la légitimité de la décision.</t>
  </si>
  <si>
    <t xml:space="preserve">Décision biaisée, négligeant des risques critiques.</t>
  </si>
  <si>
    <t xml:space="preserve">Réalisez une analyse des causes racines pour les problèmes récurrents à l’aide d’outils comme les 5 Pourquoi.</t>
  </si>
  <si>
    <t xml:space="preserve">Compte rendu de validation des critères par les parties prenantes.</t>
  </si>
  <si>
    <t xml:space="preserve">Utilisation d'une méthode d'analyse multicritère formalisée</t>
  </si>
  <si>
    <t xml:space="preserve">Une méthode d'analyse multicritère formalisée a-t-elle été utilisée pour comparer les scénarios ?</t>
  </si>
  <si>
    <t xml:space="preserve">Description de la méthode d'analyse multicritère utilisée.</t>
  </si>
  <si>
    <t xml:space="preserve">Risque que les exigences de contrôle interne ne soient pas intégrées dans la sélection des scénarios, exposant à des non-conformités.</t>
  </si>
  <si>
    <t xml:space="preserve">Critères flous, entraînant une évaluation subjective des solutions.</t>
  </si>
  <si>
    <t xml:space="preserve">Formez les équipes qualité à l’analyse des causes racines pour améliorer leur efficacité.</t>
  </si>
  <si>
    <t xml:space="preserve">Modèle ou outil utilisé pour l'analyse multicritère.</t>
  </si>
  <si>
    <t xml:space="preserve">Documentation complète du processus de décision et de ses participants</t>
  </si>
  <si>
    <t xml:space="preserve">Le processus de décision (y compris les participants) est-il complètement documenté ?</t>
  </si>
  <si>
    <t xml:space="preserve">Procédure de prise de décision projet.</t>
  </si>
  <si>
    <t xml:space="preserve">Risque que les contrôles de sécurité ne soient pas intégrés dès la conception, laissant des vulnérabilités dans le système.</t>
  </si>
  <si>
    <t xml:space="preserve">Analyse biaisée, compromettant l’objectivité du choix.</t>
  </si>
  <si>
    <t xml:space="preserve">Mesurez l’impact des actions correctives à l’aide de métriques qualité définies dans le plan.</t>
  </si>
  <si>
    <t xml:space="preserve">Liste des participants au processus de décision.</t>
  </si>
  <si>
    <t xml:space="preserve">Justification argumentée des notations attribuées à chaque solution</t>
  </si>
  <si>
    <t xml:space="preserve">Les notations attribuées à chaque solution dans la matrice de décision sont-elles argumentées et justifiées par écrit ?</t>
  </si>
  <si>
    <t xml:space="preserve">Matrice de décision complétée avec justifications écrites.</t>
  </si>
  <si>
    <t xml:space="preserve">Risque de non-traceabilité entre exigences de sécurité et fonctionnalités, pouvant compliquer la vérification et la conformité.</t>
  </si>
  <si>
    <t xml:space="preserve">Processus opaque, réduisant la confiance des parties prenantes.</t>
  </si>
  <si>
    <t xml:space="preserve">Présentez les résultats dans des rapports périodiques pour démontrer l’amélioration de la qualité.</t>
  </si>
  <si>
    <t xml:space="preserve">Document de synthèse de la décision finale.</t>
  </si>
  <si>
    <t xml:space="preserve">Validation du choix final par une instance indépendante de l'équipe projet</t>
  </si>
  <si>
    <t xml:space="preserve">Le choix final de la solution a-t-il été validé par une instance indépendante de l'équipe projet ?</t>
  </si>
  <si>
    <t xml:space="preserve">Compte rendu de validation par l'instance indépendante.</t>
  </si>
  <si>
    <t xml:space="preserve">Risque que la validation des aspects sécurité par les responsables ne soit pas formalisée, laissant des risques non maîtrisés.</t>
  </si>
  <si>
    <t xml:space="preserve">Notations injustifiées, affaiblissant la légitimité du choix.</t>
  </si>
  <si>
    <t xml:space="preserve">Établissez une procédure de revue et d’approbation pour chaque livrable, avec des rôles clairs et des délais définis.</t>
  </si>
  <si>
    <t xml:space="preserve">Procédure de validation indépendante (si formalisée).</t>
  </si>
  <si>
    <t xml:space="preserve">S’assurer que les aspects de contrôle interne et de sécurité ont
été pris en compte dans le cahier des charges</t>
  </si>
  <si>
    <t xml:space="preserve">Identification des exigences de contrôle interne applicables au système</t>
  </si>
  <si>
    <t xml:space="preserve">Les exigences de contrôle interne applicables au futur système ont-elles été identifiées ?</t>
  </si>
  <si>
    <t xml:space="preserve">Catalogue des exigences de contrôle interne pour le système.</t>
  </si>
  <si>
    <t xml:space="preserve">Risque d’absence de conformité documentée avec les politiques de contrôle interne, pouvant entraîner des sanctions ou des audits négatifs.</t>
  </si>
  <si>
    <t xml:space="preserve">Choix non validé, risquant un rejet par les parties prenantes.</t>
  </si>
  <si>
    <t xml:space="preserve">Utilisez un outil de gestion des livrables pour centraliser les revues et les approbations.</t>
  </si>
  <si>
    <t xml:space="preserve">Référentiel de contrôle interne de l'entreprise.</t>
  </si>
  <si>
    <t xml:space="preserve">Intégration des contrôles de sécurité dès la conception (security by design)</t>
  </si>
  <si>
    <t xml:space="preserve">Les contrôles de sécurité ont-ils été intégrés dès la phase de conception du système (security by design) ?</t>
  </si>
  <si>
    <t xml:space="preserve">Dossier de conception technique (montrant les contrôles intégrés).</t>
  </si>
  <si>
    <t xml:space="preserve">Risque d’incomplétude ou d’inadéquation des contrôles d’exploitation nécessaires, pouvant provoquer des incidents opérationnels.</t>
  </si>
  <si>
    <t xml:space="preserve">Contrôles omis, exposant le système à des failles de conformité.</t>
  </si>
  <si>
    <t xml:space="preserve">Identifiez les acteurs impliqués dans la validation dans une matrice RACI dédiée aux livrables.</t>
  </si>
  <si>
    <t xml:space="preserve">Politique de développement sécurisé (si existante).</t>
  </si>
  <si>
    <t xml:space="preserve">Traçabilité entre les exigences de sécurité et les fonctionnalités correspondantes</t>
  </si>
  <si>
    <t xml:space="preserve">La traçabilité entre les exigences de sécurité et les fonctionnalités ou composants correspondants est-elle assurée et documentée ?</t>
  </si>
  <si>
    <t xml:space="preserve">Matrice de traçabilité des exigences de sécurité.</t>
  </si>
  <si>
    <t xml:space="preserve">Risque que les procédures de contrôle ne soient pas documentées ou appliquées, ce qui peut entraîner des erreurs ou des fraudes.</t>
  </si>
  <si>
    <t xml:space="preserve">Failles de sécurité, compromettant la protection des données.</t>
  </si>
  <si>
    <t xml:space="preserve">Validez les affectations avec les parties prenantes pour garantir leur disponibilité.</t>
  </si>
  <si>
    <t xml:space="preserve">Spécifications fonctionnelles détaillées (avec références aux exigences de sécurité).</t>
  </si>
  <si>
    <t xml:space="preserve">Validation des aspects sécurité par les responsables de la sécurité</t>
  </si>
  <si>
    <t xml:space="preserve">Les aspects sécurité de la conception ont-ils été validés par les responsables de la sécurité désignés ?</t>
  </si>
  <si>
    <t xml:space="preserve">Compte rendu de validation de la sécurité par le RSSI (ou équivalent).</t>
  </si>
  <si>
    <t xml:space="preserve">Risque d’attribution incorrecte ou insuffisante des responsabilités de contrôle d’exploitation, compromettant la surveillance.</t>
  </si>
  <si>
    <t xml:space="preserve">Sécurité mal intégrée, entraînant des vulnérabilités critiques.</t>
  </si>
  <si>
    <t xml:space="preserve">Définissez des délais maximum pour chaque étape d’approbation dans la procédure de validation.</t>
  </si>
  <si>
    <t xml:space="preserve">Fiche de validation sécurité signée.</t>
  </si>
  <si>
    <t xml:space="preserve">Conformité documentée avec les politiques de contrôle interne de l'organisation</t>
  </si>
  <si>
    <t xml:space="preserve">La conformité de la conception avec les politiques de contrôle interne de l'organisation est-elle documentée ?</t>
  </si>
  <si>
    <t xml:space="preserve">Politique de contrôle interne de l'organisation.</t>
  </si>
  <si>
    <t xml:space="preserve">Risque que les mécanismes d’alerte en cas d’anomalie ne soient pas efficaces ou pas mis en place, retardant la détection des incidents.</t>
  </si>
  <si>
    <t xml:space="preserve">Mesures non validées, exposant le système à des risques de sécurité.</t>
  </si>
  <si>
    <t xml:space="preserve">Surveillez le respect des délais via des tableaux de bord pour éviter les retards.</t>
  </si>
  <si>
    <t xml:space="preserve">Rapport d'audit de conformité (si réalisé).</t>
  </si>
  <si>
    <t xml:space="preserve">S’assurer que les contrôles d'exploitation ont été identifiés</t>
  </si>
  <si>
    <t xml:space="preserve">Inventaire des contrôles d'exploitation nécessaires pour le système</t>
  </si>
  <si>
    <t xml:space="preserve">Un inventaire des contrôles d'exploitation nécessaires pour le futur système a-t-il été établi ?</t>
  </si>
  <si>
    <t xml:space="preserve">Inventaire des contrôles d'exploitation.</t>
  </si>
  <si>
    <t xml:space="preserve">Risque que l’intégration des contrôles dans les manuels opératoires ne soit pas réalisée, compliquant leur application.</t>
  </si>
  <si>
    <t xml:space="preserve">Non-conformité aux politiques, risquant des sanctions internes.</t>
  </si>
  <si>
    <t xml:space="preserve">Assurez la traçabilité des versions des livrables à l’aide d’un outil de gestion de versions.</t>
  </si>
  <si>
    <t xml:space="preserve">Documentation de l'architecture applicative et technique.</t>
  </si>
  <si>
    <t xml:space="preserve">Documentation des procédures de contrôle pour chaque processus critique</t>
  </si>
  <si>
    <t xml:space="preserve">Les procédures de contrôle pour chaque processus critique supporté par le système sont-elles documentées ?</t>
  </si>
  <si>
    <t xml:space="preserve">Procédures d'exploitation détaillées.</t>
  </si>
  <si>
    <t xml:space="preserve">Risque d’un mauvais alignement entre la conception du système et les objectifs de contrôle de l’organisation, laissant des vulnérabilités.</t>
  </si>
  <si>
    <t xml:space="preserve">Contrôles absents, compromettant la fiabilité opérationnelle.</t>
  </si>
  <si>
    <t xml:space="preserve">Documentez les validations dans un registre avec signatures et commentaires.</t>
  </si>
  <si>
    <t xml:space="preserve">Description des processus métier critiques supportés par l'application.</t>
  </si>
  <si>
    <t xml:space="preserve">Attribution formelle des responsabilités de contrôle d'exploitation</t>
  </si>
  <si>
    <t xml:space="preserve">Les responsabilités pour l'exécution des contrôles d'exploitation sont-elles formellement attribuées ?</t>
  </si>
  <si>
    <t xml:space="preserve">Matrice des responsabilités (RACI) pour les contrôles d'exploitation.</t>
  </si>
  <si>
    <t xml:space="preserve">Risque que la conformité avec les référentiels (COBIT, ITIL, etc.) ne soit pas vérifiée, exposant à des non-conformités.</t>
  </si>
  <si>
    <t xml:space="preserve">Procédures floues, entraînant des erreurs d’exploitation.</t>
  </si>
  <si>
    <t xml:space="preserve">Mettez en place un mécanisme clair pour gérer les refus, avec un processus de retour et de correction.</t>
  </si>
  <si>
    <t xml:space="preserve">Description des rôles et fiches de poste associées.</t>
  </si>
  <si>
    <t xml:space="preserve">Définition des mécanismes d'alerte en cas d'anomalie</t>
  </si>
  <si>
    <t xml:space="preserve">Des mécanismes d'alerte en cas d'anomalie détectée par les contrôles sont-ils définis ?</t>
  </si>
  <si>
    <t xml:space="preserve">Spécifications techniques des mécanismes d'alerte.</t>
  </si>
  <si>
    <t xml:space="preserve">Risque que l’architecture ne soit pas validée par les responsables du contrôle interne, compromettant la fiabilité des contrôles.</t>
  </si>
  <si>
    <t xml:space="preserve">Responsabilités mal définies, compromettant l’efficacité des contrôles.</t>
  </si>
  <si>
    <t xml:space="preserve">Utilisez un outil collaboratif pour centraliser les demandes de modification et leur suivi.</t>
  </si>
  <si>
    <t xml:space="preserve">Procédures de gestion des incidents et des alertes.</t>
  </si>
  <si>
    <t xml:space="preserve">Intégration des contrôles d'exploitation dans les manuels opératoires</t>
  </si>
  <si>
    <t xml:space="preserve">Les contrôles d'exploitation et leurs procédures associées sont-ils intégrés dans les manuels opératoires ?</t>
  </si>
  <si>
    <t xml:space="preserve">Manuel d'exploitation de l'application.</t>
  </si>
  <si>
    <t xml:space="preserve">Risque que les mécanismes de contrôle ne soient pas intégrés dans les composants critiques, laissant des failles.</t>
  </si>
  <si>
    <t xml:space="preserve">Anomalies non détectées, entraînant des dysfonctionnements critiques.</t>
  </si>
  <si>
    <t xml:space="preserve">Incluez explicitement le scénario "ne rien faire" dans l’analyse des alternatives, avec une évaluation détaillée.</t>
  </si>
  <si>
    <t xml:space="preserve">Manuel de supervision de l'application.</t>
  </si>
  <si>
    <t xml:space="preserve">S’assurer que la conception générale du futur système s'inscrit
dans les objectifs généraux de contrôle en vigueur, dans
L'environnement</t>
  </si>
  <si>
    <t xml:space="preserve">Alignement documenté entre la conception et les objectifs de contrôle de l'organisation</t>
  </si>
  <si>
    <t xml:space="preserve">L'alignement entre la conception du système et les objectifs de contrôle de l'organisation est-il documenté ?</t>
  </si>
  <si>
    <t xml:space="preserve">Document d'architecture fonctionnelle et technique.</t>
  </si>
  <si>
    <t xml:space="preserve">Risque que l’impact du nouveau système sur le dispositif global de contrôle ne soit pas évalué, pouvant réduire la maîtrise globale.</t>
  </si>
  <si>
    <t xml:space="preserve">Manuels incomplets, compliquant l’exploitation du système.</t>
  </si>
  <si>
    <t xml:space="preserve">Validez l’inclusion de ce scénario avec les parties prenantes pour garantir son objectivité.</t>
  </si>
  <si>
    <t xml:space="preserve">Référentiel des objectifs de contrôle de l'organisation.</t>
  </si>
  <si>
    <t xml:space="preserve">Conformité avec les référentiels de contrôle applicables (COBIT, ITIL, etc.)</t>
  </si>
  <si>
    <t xml:space="preserve">La conception respecte-t-elle les référentiels de contrôle applicables (COBIT, ITIL, etc.) ?</t>
  </si>
  <si>
    <t xml:space="preserve">Analyse de conformité aux référentiels (COBIT, ITIL...).</t>
  </si>
  <si>
    <t xml:space="preserve">Risque que la méthode d’analyse et de conception adoptée ne soit pas formalisée ou documentée, limitant la cohérence.</t>
  </si>
  <si>
    <t xml:space="preserve">Conception non alignée, réduisant l’efficacité des contrôles.</t>
  </si>
  <si>
    <t xml:space="preserve">Documentez les conséquences du statu quo dans un rapport structuré, avec des données chiffrées.</t>
  </si>
  <si>
    <t xml:space="preserve">Auto-évaluation de conformité (si réalisée).</t>
  </si>
  <si>
    <t xml:space="preserve">Validation de l'architecture par les responsables du contrôle interne</t>
  </si>
  <si>
    <t xml:space="preserve">L'architecture du système a-t-elle été validée par les responsables du contrôle interne ?</t>
  </si>
  <si>
    <t xml:space="preserve">Dossier d'architecture validé par le contrôle interne.</t>
  </si>
  <si>
    <t xml:space="preserve">Risque que la méthode ne soit pas adaptée à la complexité du projet, entraînant des erreurs ou des oublis.</t>
  </si>
  <si>
    <t xml:space="preserve">Impliquez des experts métiers pour évaluer les impacts opérationnels du statu quo.</t>
  </si>
  <si>
    <t xml:space="preserve">Compte rendu de la revue d'architecture par le contrôle interne.</t>
  </si>
  <si>
    <t xml:space="preserve">Intégration des mécanismes de contrôle dans les composants critiques</t>
  </si>
  <si>
    <t xml:space="preserve">Des mécanismes de contrôle (logs, pistes d'audit, etc.) sont-ils intégrés dans les composants critiques du système ?</t>
  </si>
  <si>
    <t xml:space="preserve">Spécifications techniques des composants critiques.</t>
  </si>
  <si>
    <t xml:space="preserve">Risque que la méthode ne respecte pas les standards de l’industrie, compromettant la crédibilité.</t>
  </si>
  <si>
    <t xml:space="preserve">Architecture non validée, compromettant la fiabilité du système.</t>
  </si>
  <si>
    <t xml:space="preserve">Quantifiez les coûts d’opportunité à l’aide d’un modèle financier validé par les parties prenantes.</t>
  </si>
  <si>
    <t xml:space="preserve">Résultats des tests des mécanismes de contrôle.</t>
  </si>
  <si>
    <t xml:space="preserve">Évaluation de l'impact du nouveau système sur le dispositif global de contrôle</t>
  </si>
  <si>
    <t xml:space="preserve">L'impact du nouveau système sur le dispositif global de contrôle interne de l'organisation a-t-il été évalué ?</t>
  </si>
  <si>
    <t xml:space="preserve">Rapport d'analyse d'impact sur le dispositif de contrôle.</t>
  </si>
  <si>
    <t xml:space="preserve">Risque que les templates et outils associés ne soient pas disponibles ou pas utilisés, limitant la conformité.</t>
  </si>
  <si>
    <t xml:space="preserve">Contrôles mal intégrés, réduisant leur efficacité.</t>
  </si>
  <si>
    <t xml:space="preserve">Validez les hypothèses de quantification avec un comité financier pour garantir leur fiabilité.</t>
  </si>
  <si>
    <t xml:space="preserve">Plan de remédiation (si des impacts négatifs sont identifiés).</t>
  </si>
  <si>
    <t xml:space="preserve">Conception détaillée</t>
  </si>
  <si>
    <t xml:space="preserve">S’assurer qu’il existe une méthode d'analyse et de conception</t>
  </si>
  <si>
    <t xml:space="preserve">Documentation formelle de la méthode d'analyse et de conception adoptée</t>
  </si>
  <si>
    <t xml:space="preserve">La méthode d'analyse et de conception adoptée pour le projet est-elle formellement documentée ?</t>
  </si>
  <si>
    <t xml:space="preserve">Manuel de méthodologie d'analyse et conception.</t>
  </si>
  <si>
    <t xml:space="preserve">Risque que la méthode ne soit pas validée par les instances techniques, ce qui peut réduire la légitimité des livrables.</t>
  </si>
  <si>
    <t xml:space="preserve">Impact mal évalué, perturbant le dispositif de contrôle global.</t>
  </si>
  <si>
    <t xml:space="preserve">Réalisez une analyse prospective du statu quo à l’aide de scénarios prévisionnels validés.</t>
  </si>
  <si>
    <t xml:space="preserve">Charte projet (section méthodologie).</t>
  </si>
  <si>
    <t xml:space="preserve">Adéquation de la méthode avec la nature et la complexité du projet</t>
  </si>
  <si>
    <t xml:space="preserve">La méthode d'analyse et de conception choisie est-elle adéquate par rapport à la nature et la complexité du projet ?</t>
  </si>
  <si>
    <t xml:space="preserve">Dossier de choix de la méthode d'analyse et conception.</t>
  </si>
  <si>
    <t xml:space="preserve">Risque que l’application de la méthode ne soit pas cohérente à toutes les phases, entraînant des incohérences dans les livrables.</t>
  </si>
  <si>
    <t xml:space="preserve">Méthode inadaptée, entraînant des erreurs dans la conception.</t>
  </si>
  <si>
    <t xml:space="preserve">Impliquez des experts sectoriels pour garantir la pertinence des projections.</t>
  </si>
  <si>
    <t xml:space="preserve">Cahier des charges du projet (mentionnant la complexité).</t>
  </si>
  <si>
    <t xml:space="preserve">Conformité de la méthode avec les standards de l'industrie</t>
  </si>
  <si>
    <t xml:space="preserve">La méthode utilisée est-elle conforme aux standards reconnus de l'industrie (ex: UML, Merise...) ?</t>
  </si>
  <si>
    <t xml:space="preserve">Référentiel des standards de l'industrie applicables.</t>
  </si>
  <si>
    <t xml:space="preserve">Risque que la traçabilité entre spécifications ne soit pas assurée, rendant difficile le suivi et la vérification.</t>
  </si>
  <si>
    <t xml:space="preserve">Conception inefficace, compromettant la qualité des livrables.</t>
  </si>
  <si>
    <t xml:space="preserve">Comparez le scénario "ne rien faire" aux autres alternatives dans une matrice décisionnelle claire.</t>
  </si>
  <si>
    <t xml:space="preserve">Analyse de conformité de la méthode aux standards.</t>
  </si>
  <si>
    <t xml:space="preserve">Disponibilité des templates et outils associés à la méthode</t>
  </si>
  <si>
    <t xml:space="preserve">Les templates et outils associés à la méthode d'analyse et de conception sont-ils disponibles pour l'équipe ?</t>
  </si>
  <si>
    <t xml:space="preserve">Liste des templates et outils requis par la méthode.</t>
  </si>
  <si>
    <t xml:space="preserve">Risque que la revue de qualité des livrables ne soit pas systématique, ce qui peut laisser passer des erreurs.</t>
  </si>
  <si>
    <t xml:space="preserve">Non-conformité aux standards, réduisant la fiabilité du système.</t>
  </si>
  <si>
    <t xml:space="preserve">Validez la comparaison avec les parties prenantes pour garantir son objectivité.</t>
  </si>
  <si>
    <t xml:space="preserve">Validation de la méthode par les instances techniques compétentes</t>
  </si>
  <si>
    <t xml:space="preserve">La méthode d'analyse et de conception a-t-elle été validée par les instances techniques compétentes (architectes, experts) ?</t>
  </si>
  <si>
    <t xml:space="preserve">Documentation de configuration des outils.</t>
  </si>
  <si>
    <t xml:space="preserve">Compte rendu de validation de la méthode par les instances techniques.</t>
  </si>
  <si>
    <t xml:space="preserve">Risque que les outils prescrits ne soient pas effectivement utilisés, limitant la qualité et la traçabilité.</t>
  </si>
  <si>
    <t xml:space="preserve">Outils absents, compliquant la production des livrables.</t>
  </si>
  <si>
    <t xml:space="preserve">S’assurer que cette méthode est correctement utilisée</t>
  </si>
  <si>
    <t xml:space="preserve">Application cohérente de la méthode à toutes les phases d'analyse et de conception</t>
  </si>
  <si>
    <t xml:space="preserve">La méthode est-elle appliquée de manière cohérente à toutes les phases d'analyse et de conception du projet ?</t>
  </si>
  <si>
    <t xml:space="preserve">Procès-verbal du comité d'architecture (ou équivalent).</t>
  </si>
  <si>
    <t xml:space="preserve">Plan projet détaillé montrant les phases d'analyse/conception.</t>
  </si>
  <si>
    <t xml:space="preserve">Risque que la formation à la méthode ne soit pas documentée ou pas réalisée, affectant la compétence de l’équipe.</t>
  </si>
  <si>
    <t xml:space="preserve">Méthode non validée, compromettant sa légitimité.</t>
  </si>
  <si>
    <t xml:space="preserve">Conformité des livrables produits avec les standards de la méthode</t>
  </si>
  <si>
    <t xml:space="preserve">Les livrables d'analyse et de conception produits sont-ils conformes aux standards définis par la méthode ?</t>
  </si>
  <si>
    <t xml:space="preserve">Exemples de livrables produits à différentes phases.</t>
  </si>
  <si>
    <t xml:space="preserve">Standards de livrables définis par la méthode.</t>
  </si>
  <si>
    <t xml:space="preserve">Risque que les compétences individuelles ne soient pas évaluées, ce qui peut compromettre la qualité des livrables.</t>
  </si>
  <si>
    <t xml:space="preserve">Application incohérente, entraînant des écarts dans les livrables.</t>
  </si>
  <si>
    <t xml:space="preserve">Traçabilité entre les différents niveaux de spécification</t>
  </si>
  <si>
    <t xml:space="preserve">La traçabilité entre les différents niveaux de spécification (besoins, spécifications fonctionnelles, spécifications techniques) est-elle assurée ?</t>
  </si>
  <si>
    <t xml:space="preserve">Rapport d'audit qualité des livrables (si réalisé).</t>
  </si>
  <si>
    <t xml:space="preserve">Spécifications fonctionnelles et techniques.</t>
  </si>
  <si>
    <t xml:space="preserve">Risque que le support d’experts méthodologiques ne soit pas disponible, ce qui peut ralentir ou dégrader la qualité du travail.</t>
  </si>
  <si>
    <t xml:space="preserve">Livrables non conformes, nécessitant des reprises coûteuses.</t>
  </si>
  <si>
    <t xml:space="preserve">Revue de qualité formelle des livrables d'analyse et de conception</t>
  </si>
  <si>
    <t xml:space="preserve">Les livrables d'analyse et de conception font-ils l'objet de revues de qualité formelles ?</t>
  </si>
  <si>
    <t xml:space="preserve">Matrice de traçabilité des exigences.</t>
  </si>
  <si>
    <t xml:space="preserve">Comptes rendus des revues de qualité des livrables.</t>
  </si>
  <si>
    <t xml:space="preserve">Risque que les bonnes pratiques ne soient pas partagées ou diffusées dans l’équipe, limitant l’amélioration continue.</t>
  </si>
  <si>
    <t xml:space="preserve">Spécifications mal tracées, entraînant des omissions critiques.</t>
  </si>
  <si>
    <t xml:space="preserve">Utilisation effective des outils prescrits par la méthode</t>
  </si>
  <si>
    <t xml:space="preserve">Les outils prescrits ou recommandés par la méthode sont-ils effectivement utilisés par l'équipe ?</t>
  </si>
  <si>
    <t xml:space="preserve">Plan d'assurance qualité projet.</t>
  </si>
  <si>
    <t xml:space="preserve">Documentation d'utilisation des outils prescrits.</t>
  </si>
  <si>
    <t xml:space="preserve">Risque que le mécanisme d’amélioration continue ne soit pas mis en place, empêchant l’évolution de la méthodologie.</t>
  </si>
  <si>
    <t xml:space="preserve">Livrables de mauvaise qualité, compromettant la satisfaction client.</t>
  </si>
  <si>
    <t xml:space="preserve">S’assurer que cette méthode est maîtrisée par l'équipe projet</t>
  </si>
  <si>
    <t xml:space="preserve">Formation documentée de l'équipe à la méthode d'analyse et de conception</t>
  </si>
  <si>
    <t xml:space="preserve">La formation de l'équipe à la méthode d'analyse et de conception est-elle documentée ?</t>
  </si>
  <si>
    <t xml:space="preserve">Logs d'utilisation ou preuves d'utilisation des outils.</t>
  </si>
  <si>
    <t xml:space="preserve">Plan de formation de l'équipe projet.</t>
  </si>
  <si>
    <t xml:space="preserve">Risque que la traçabilité entre exigences du cahier des charges et spécifications ne soit pas assurée, compromettant la couverture.</t>
  </si>
  <si>
    <t xml:space="preserve">Outils mal utilisés, réduisant l’efficacité de la conception.</t>
  </si>
  <si>
    <t xml:space="preserve">Évaluation des compétences individuelles relative à la méthode</t>
  </si>
  <si>
    <t xml:space="preserve">Les compétences individuelles des membres de l'équipe par rapport à la méthode ont-elles été évaluées ?</t>
  </si>
  <si>
    <t xml:space="preserve">Listes d'émargement ou attestations de formation à la méthode.</t>
  </si>
  <si>
    <t xml:space="preserve">Grilles d'évaluation des compétences.</t>
  </si>
  <si>
    <t xml:space="preserve">Risque que la validation de la couverture des exigences ne soit pas formalisée, pouvant laisser des besoins non satisfaits.</t>
  </si>
  <si>
    <t xml:space="preserve">Équipe mal formée, entraînant des erreurs dans la conception.</t>
  </si>
  <si>
    <t xml:space="preserve">Disponibilité d'experts méthodologiques en support de l'équipe</t>
  </si>
  <si>
    <t xml:space="preserve">Des experts méthodologiques sont-ils disponibles pour supporter l'équipe projet ?</t>
  </si>
  <si>
    <t xml:space="preserve">Fiches de poste des membres de l'équipe.</t>
  </si>
  <si>
    <t xml:space="preserve">Documentation de la méthode (manuels, guides).</t>
  </si>
  <si>
    <t xml:space="preserve">Risque que la gestion des écarts entre cahier des charges et spécifications ne soit pas documentée, ce qui peut entraîner des dérapages.</t>
  </si>
  <si>
    <t xml:space="preserve">Compétences insuffisantes, compromettant la qualité des livrables.</t>
  </si>
  <si>
    <t xml:space="preserve">Partage des bonnes pratiques au sein de l'équipe projet</t>
  </si>
  <si>
    <t xml:space="preserve">Un partage des bonnes pratiques relatives à la méthode est-il organisé au sein de l'équipe projet ?</t>
  </si>
  <si>
    <t xml:space="preserve">Coordonnées des experts méthodologiques référents.</t>
  </si>
  <si>
    <t xml:space="preserve">Comptes rendus de réunions d'équipe (partage de pratiques).</t>
  </si>
  <si>
    <t xml:space="preserve">Risque que la validation des spécifications par la maîtrise d’ouvrage ne soit pas formelle, compromettant la conformité aux besoins.</t>
  </si>
  <si>
    <t xml:space="preserve">Manque d’expertise, entraînant des erreurs méthodologiques.</t>
  </si>
  <si>
    <t xml:space="preserve">Mécanisme d'amélioration continue dans l'application de la méthode</t>
  </si>
  <si>
    <t xml:space="preserve">Existe-t-il un mécanisme d'amélioration continue concernant l'application de la méthode au sein du projet ou de l'organisation ?</t>
  </si>
  <si>
    <t xml:space="preserve">Base de connaissances projet ou wiki interne.</t>
  </si>
  <si>
    <t xml:space="preserve">Procédure d'amélioration continue (Kaizen, REX...).</t>
  </si>
  <si>
    <t xml:space="preserve">Risque que la cohérence interne des spécifications ne soit pas vérifiée, ce qui peut conduire à des incohérences ou des erreurs.</t>
  </si>
  <si>
    <t xml:space="preserve">Pratiques incohérentes, réduisant l’efficacité de l’équipe.</t>
  </si>
  <si>
    <t xml:space="preserve">Établissez un inventaire des prérequis matériels pour chaque scénario dans une matrice détaillée.</t>
  </si>
  <si>
    <t xml:space="preserve">S’assurer que les spécifications détaillées sont exhaustives par
rapport au cahier des charges</t>
  </si>
  <si>
    <t xml:space="preserve">Matrice de traçabilité entre les exigences du cahier des charges et les spécifications détaillées</t>
  </si>
  <si>
    <t xml:space="preserve">Existe-t-il une matrice assurant la traçabilité entre les exigences du cahier des charges et les spécifications détaillées ?</t>
  </si>
  <si>
    <t xml:space="preserve">Comptes rendus des REX (Retours d'Expérience) méthodologiques.</t>
  </si>
  <si>
    <t xml:space="preserve">Matrice de traçabilité Exigences-Spécifications.</t>
  </si>
  <si>
    <t xml:space="preserve">Méthode figée, manquant des opportunités d’amélioration.</t>
  </si>
  <si>
    <t xml:space="preserve">Validez l’inventaire avec les équipes IT pour garantir sa complétude.</t>
  </si>
  <si>
    <t xml:space="preserve">Validation formelle de la couverture complète des exigences</t>
  </si>
  <si>
    <t xml:space="preserve">La couverture complète des exigences par les spécifications a-t-elle été formellement validée ?</t>
  </si>
  <si>
    <t xml:space="preserve">Cahier des charges validé.</t>
  </si>
  <si>
    <t xml:space="preserve">Compte rendu de validation de la couverture des exigences.</t>
  </si>
  <si>
    <t xml:space="preserve">Exigences mal couvertes, entraînant des solutions inadéquates.</t>
  </si>
  <si>
    <t xml:space="preserve">Évaluez les besoins en formation via une analyse des écarts de compétences par profil d’utilisateur.</t>
  </si>
  <si>
    <t xml:space="preserve">Procédure de gestion des écarts entre cahier des charges et spécifications</t>
  </si>
  <si>
    <t xml:space="preserve">Existe-t-il une procédure documentée pour gérer les écarts entre le cahier des charges et les spécifications ?</t>
  </si>
  <si>
    <t xml:space="preserve">Rapport de recette fonctionnelle (partie couverture).</t>
  </si>
  <si>
    <t xml:space="preserve">Procédure de gestion des changements/écarts.</t>
  </si>
  <si>
    <t xml:space="preserve">Couverture incomplète, compromettant la satisfaction des besoins.</t>
  </si>
  <si>
    <t xml:space="preserve">Planifiez des sessions de formation adaptées pour combler les écarts identifiés.</t>
  </si>
  <si>
    <t xml:space="preserve">Validation des spécifications par les représentants de la maîtrise d'ouvrage</t>
  </si>
  <si>
    <t xml:space="preserve">Les spécifications détaillées ont-elles été validées par les représentants de la maîtrise d'ouvrage ?</t>
  </si>
  <si>
    <t xml:space="preserve">Fiches de demande de changement ou d'écart documentées.</t>
  </si>
  <si>
    <t xml:space="preserve">Procès-verbal de recette fonctionnelle signé par la MOA.</t>
  </si>
  <si>
    <t xml:space="preserve">Écarts non gérés, entraînant des dérives dans la conception.</t>
  </si>
  <si>
    <t xml:space="preserve">Analysez les implications en ressources humaines dans un rapport détaillant les besoins en recrutement et redéploiement.</t>
  </si>
  <si>
    <t xml:space="preserve">Mécanisme de vérification de la cohérence interne des spécifications</t>
  </si>
  <si>
    <t xml:space="preserve">Un mécanisme est-il en place pour vérifier la cohérence interne des spécifications ?</t>
  </si>
  <si>
    <t xml:space="preserve">Compte rendu de validation des spécifications par la MOA.</t>
  </si>
  <si>
    <t xml:space="preserve">Procédure de vérification de cohérence des spécifications.</t>
  </si>
  <si>
    <t xml:space="preserve">Spécifications non validées, risquant un rejet par la MOA.</t>
  </si>
  <si>
    <t xml:space="preserve">Validez l’analyse avec les RH pour garantir sa faisabilité.</t>
  </si>
  <si>
    <t xml:space="preserve">S’assurer qu’il existe des contrôles adaptés à chaque point
critique du système (préventifs et correctifs)</t>
  </si>
  <si>
    <t xml:space="preserve">Identification documentée des points critiques du système</t>
  </si>
  <si>
    <t xml:space="preserve">Les points critiques potentiels du système (fonctionnels, techniques) ont-ils été identifiés et documentés ?</t>
  </si>
  <si>
    <t xml:space="preserve">Rapport d'analyse de cohérence (si réalisé).</t>
  </si>
  <si>
    <t xml:space="preserve">Analyse des risques fonctionnels et techniques.</t>
  </si>
  <si>
    <t xml:space="preserve">Incohérences internes, entraînant des erreurs dans l’implémentation.</t>
  </si>
  <si>
    <t xml:space="preserve">Vérifiez la conformité juridique et réglementaire des solutions à l’aide d’une checklist validée par le service juridique.</t>
  </si>
  <si>
    <t xml:space="preserve">Conception de contrôles préventifs pour chaque risque majeur</t>
  </si>
  <si>
    <t xml:space="preserve">Des contrôles préventifs ont-ils été conçus pour chaque risque majeur identifié dans la conception ?</t>
  </si>
  <si>
    <t xml:space="preserve">Cartographie des processus métier supportés.</t>
  </si>
  <si>
    <t xml:space="preserve">Spécifications des contrôles préventifs.</t>
  </si>
  <si>
    <t xml:space="preserve">Risques non maîtrisés, entraînant des échecs imprévus.</t>
  </si>
  <si>
    <t xml:space="preserve">Impliquez un expert juridique pour auditer les solutions proposées.</t>
  </si>
  <si>
    <t xml:space="preserve">Mise en place de contrôles détectifs pour identifier les anomalies</t>
  </si>
  <si>
    <t xml:space="preserve">Des contrôles détectifs sont-ils mis en place pour identifier les anomalies ou erreurs ?</t>
  </si>
  <si>
    <t xml:space="preserve">Analyse des risques résiduels après contrôles préventifs.</t>
  </si>
  <si>
    <t xml:space="preserve">Spécifications des contrôles détectifs.</t>
  </si>
  <si>
    <t xml:space="preserve">Anomalies non détectées, compromettant la fiabilité du système.</t>
  </si>
  <si>
    <t xml:space="preserve">Réalisez une étude de faisabilité opérationnelle, en cartographiant les contraintes organisationnelles.</t>
  </si>
  <si>
    <t xml:space="preserve">Définition de contrôles correctifs pour remédier aux problèmes</t>
  </si>
  <si>
    <t xml:space="preserve">Des contrôles correctifs sont-ils définis pour remédier aux problèmes détectés ?</t>
  </si>
  <si>
    <t xml:space="preserve">Procédures de monitoring et d'alerte.</t>
  </si>
  <si>
    <t xml:space="preserve">Spécifications des contrôles correctifs.</t>
  </si>
  <si>
    <t xml:space="preserve">Problèmes non corrigés, réduisant la qualité du système.</t>
  </si>
  <si>
    <t xml:space="preserve">Validez l’étude avec les responsables métiers pour garantir son réalisme.</t>
  </si>
  <si>
    <t xml:space="preserve">Validation de l'efficacité des contrôles par des tests spécifiques</t>
  </si>
  <si>
    <t xml:space="preserve">L'efficacité des contrôles conçus a-t-elle été validée par des tests spécifiques ?</t>
  </si>
  <si>
    <t xml:space="preserve">Procédures de gestion des incidents et problèmes.</t>
  </si>
  <si>
    <t xml:space="preserve">Plan de tests des contrôles.</t>
  </si>
  <si>
    <t xml:space="preserve">Contrôles inefficaces, exposant le système à des failles.</t>
  </si>
  <si>
    <t xml:space="preserve">Calculez le ROI de chaque scénario à l’aide d’un modèle financier standardisé, incluant les coûts cachés.</t>
  </si>
  <si>
    <t xml:space="preserve">S’assurer que le responsable de la sécurité est impliqué dans le
Projet</t>
  </si>
  <si>
    <t xml:space="preserve">Participation formelle du responsable sécurité aux phases clés du projet</t>
  </si>
  <si>
    <t xml:space="preserve">Le responsable de la sécurité participe-t-il formellement aux phases clés du projet (conception, validation) ?</t>
  </si>
  <si>
    <t xml:space="preserve">Résultats des tests et preuves d'exécution.</t>
  </si>
  <si>
    <t xml:space="preserve">Organigramme projet et instances de gouvernance.</t>
  </si>
  <si>
    <t xml:space="preserve">Décisions non sécurisées, risquant des vulnérabilités critiques.</t>
  </si>
  <si>
    <t xml:space="preserve">Validez les hypothèses du ROI avec un comité financier pour garantir leur fiabilité.</t>
  </si>
  <si>
    <t xml:space="preserve">Validation des choix d'architecture par le responsable sécurité</t>
  </si>
  <si>
    <t xml:space="preserve">Les choix d'architecture technique ont-ils été validés par le responsable de la sécurité ?</t>
  </si>
  <si>
    <t xml:space="preserve">Comptes rendus de réunions avec participation du responsable sécurité.</t>
  </si>
  <si>
    <t xml:space="preserve">Dossier d'architecture sécurité validé.</t>
  </si>
  <si>
    <t xml:space="preserve">Architecture non sécurisée, compromettant la protection des données.</t>
  </si>
  <si>
    <t xml:space="preserve">Évaluez les coûts directs et indirects sur le cycle de vie complet dans un rapport détaillé.</t>
  </si>
  <si>
    <t xml:space="preserve">Revue de sécurité documentée des spécifications techniques</t>
  </si>
  <si>
    <t xml:space="preserve">Une revue de sécurité documentée des spécifications techniques a-t-elle été réalisée ?</t>
  </si>
  <si>
    <t xml:space="preserve">Compte rendu de validation de l'architecture par la sécurité.</t>
  </si>
  <si>
    <t xml:space="preserve">Rapport de revue de sécurité des spécifications.</t>
  </si>
  <si>
    <t xml:space="preserve">Spécifications non sécurisées, entraînant des failles potentielles.</t>
  </si>
  <si>
    <t xml:space="preserve">Impliquez des experts financiers pour valbassurer leur exhaustivité.</t>
  </si>
  <si>
    <t xml:space="preserve">Suivi des recommandations de sécurité émises par le responsable</t>
  </si>
  <si>
    <t xml:space="preserve">Un suivi est-il assuré pour les recommandations de sécurité émises par le responsable ?</t>
  </si>
  <si>
    <t xml:space="preserve">Plan d'action suite à la revue de sécurité.</t>
  </si>
  <si>
    <t xml:space="preserve">Registre de suivi des recommandations de sécurité.</t>
  </si>
  <si>
    <t xml:space="preserve">Recommandations ignorées, augmentant les risques de sécurité.</t>
  </si>
  <si>
    <t xml:space="preserve">Quantifiez les bénéfices tangibles et intangibles à l’aide d’une méthode validée (ex. : analyse coût-efficacité).</t>
  </si>
  <si>
    <t xml:space="preserve">Intégration du responsable sécurité dans le processus de validation finale</t>
  </si>
  <si>
    <t xml:space="preserve">Le responsable de la sécurité est-il formellement intégré dans le processus de validation finale avant mise en production ?</t>
  </si>
  <si>
    <t xml:space="preserve">Plan d'action sécurité mis à jour.</t>
  </si>
  <si>
    <t xml:space="preserve">Procès-verbal de recette sécurité.</t>
  </si>
  <si>
    <t xml:space="preserve">Validation incomplète, laissant des vulnérabilités non détectées.</t>
  </si>
  <si>
    <t xml:space="preserve">Validez les hypothèses de quantification avec les parties prenantes pour garantir leur crédibilité.</t>
  </si>
  <si>
    <t xml:space="preserve">S’assurer qu’il existe des pistes d'audit permettant de suivre la
totalité des transactions</t>
  </si>
  <si>
    <t xml:space="preserve">Conception de mécanismes d'audit trail pour toutes les transactions sensibles</t>
  </si>
  <si>
    <t xml:space="preserve">Des mécanismes d'audit trail (piste d'audit) ont-ils été conçus pour toutes les transactions jugées sensibles ?</t>
  </si>
  <si>
    <t xml:space="preserve">Compte rendu du comité de mise en production (section sécurité).</t>
  </si>
  <si>
    <t xml:space="preserve">Dossier de conception technique (section audit trail/journalisation).</t>
  </si>
  <si>
    <t xml:space="preserve">Traçabilité insuffisante, compliquant les audits réglementaires.</t>
  </si>
  <si>
    <t xml:space="preserve">Comparez les TCO des solutions dans une matrice décisionnelle, en incluant les coûts à long terme.</t>
  </si>
  <si>
    <t xml:space="preserve">Définition du niveau de détail des journaux d'audit</t>
  </si>
  <si>
    <t xml:space="preserve">Le niveau de détail requis pour les journaux d'audit a-t-il été défini ?</t>
  </si>
  <si>
    <t xml:space="preserve">Spécifications fonctionnelles détaillées (décrivant les besoins de trace).</t>
  </si>
  <si>
    <t xml:space="preserve">Politique de journalisation de l'entreprise.</t>
  </si>
  <si>
    <t xml:space="preserve">Journaux flous, réduisant l’efficacité des audits.</t>
  </si>
  <si>
    <t xml:space="preserve">Validez la comparaison avec des experts financiers pour garantir son objectivité.</t>
  </si>
  <si>
    <t xml:space="preserve">Spécification des informations à tracer (qui, quoi, quand, comment)</t>
  </si>
  <si>
    <t xml:space="preserve">Les informations spécifiques à tracer dans les pistes d'audit (qui, quoi, quand, comment) ont-elles été spécifiées ?</t>
  </si>
  <si>
    <t xml:space="preserve">Standard de configuration des logs.</t>
  </si>
  <si>
    <t xml:space="preserve">Spécifications des informations à journaliser.</t>
  </si>
  <si>
    <t xml:space="preserve">Informations mal tracées, limitant l’analyse des incidents.</t>
  </si>
  <si>
    <t xml:space="preserve">Identifiez les coûts cachés (formation, transition) dans un registre dédié, avec des estimations validées.</t>
  </si>
  <si>
    <t xml:space="preserve">Conception des fonctionnalités d'exploitation des pistes d'audit</t>
  </si>
  <si>
    <t xml:space="preserve">Des fonctionnalités permettant l'exploitation (consultation, analyse) des pistes d'audit ont-elles été conçues ?</t>
  </si>
  <si>
    <t xml:space="preserve">Extrait de la politique de journalisation.</t>
  </si>
  <si>
    <t xml:space="preserve">Spécifications fonctionnelles des écrans/rapports d'audit.</t>
  </si>
  <si>
    <t xml:space="preserve">Audit inefficace, compromettant la détection des anomalies.</t>
  </si>
  <si>
    <t xml:space="preserve">Organisez des ateliers avec les parties prenantes pour identifier et quantifier les coûts cachés.</t>
  </si>
  <si>
    <t xml:space="preserve">Conformité des pistes d'audit avec les exigences réglementaires</t>
  </si>
  <si>
    <t xml:space="preserve">La conception des pistes d'audit est-elle conforme aux exigences réglementaires et internes applicables ?</t>
  </si>
  <si>
    <t xml:space="preserve">Dossier de conception de la solution de consultation des logs.</t>
  </si>
  <si>
    <t xml:space="preserve">Exigences réglementaires applicables (RGPD, PCI-DSS...).</t>
  </si>
  <si>
    <t xml:space="preserve">Non-conformité réglementaire, risquant des sanctions.</t>
  </si>
  <si>
    <t xml:space="preserve">Identifiez les risques spécifiques à chaque scénario dans un registre structuré, avec une méthode comme AMDEC.</t>
  </si>
  <si>
    <t xml:space="preserve">S’assurer que les acteurs concernés sont impliqués dans le
projet (utilisateurs, administrateurs de données, responsable sécurité,
…)</t>
  </si>
  <si>
    <t xml:space="preserve">Identification exhaustive des catégories d'acteurs à impliquer</t>
  </si>
  <si>
    <t xml:space="preserve">Les catégories d'acteurs (utilisateurs, experts métiers, exploitants...) à impliquer dans la conception ont-elles été exhaustivement identifiées ?</t>
  </si>
  <si>
    <t xml:space="preserve">Analyse de conformité des pistes d'audit aux exigences.</t>
  </si>
  <si>
    <t xml:space="preserve">Cartographie des parties prenantes.</t>
  </si>
  <si>
    <t xml:space="preserve">Acteurs oubliés, entraînant des contributions manquantes.</t>
  </si>
  <si>
    <t xml:space="preserve">Validez le registre des risques avec des experts pour garantir son exhaustivité.</t>
  </si>
  <si>
    <t xml:space="preserve">Définition des modalités d'implication pour chaque catégorie d'acteurs</t>
  </si>
  <si>
    <t xml:space="preserve">Les modalités d'implication (ateliers, revues, validations) ont-elles été définies pour chaque catégorie d'acteurs ?</t>
  </si>
  <si>
    <t xml:space="preserve">Plan d'implication des acteurs.</t>
  </si>
  <si>
    <t xml:space="preserve">Description des modalités d'implication (ateliers, revues...).</t>
  </si>
  <si>
    <t xml:space="preserve">Implication floue, réduisant l’engagement des acteurs.</t>
  </si>
  <si>
    <t xml:space="preserve">Évaluez la probabilité et l’impact des risques à l’aide d’une matrice de notation standardisée.</t>
  </si>
  <si>
    <t xml:space="preserve">Planning formalisé des interventions des différents acteurs</t>
  </si>
  <si>
    <t xml:space="preserve">Un planning formalisé des interventions des différents acteurs dans la phase de conception existe-t-il ?</t>
  </si>
  <si>
    <t xml:space="preserve">Matrice RACI détaillée.</t>
  </si>
  <si>
    <t xml:space="preserve">Planning projet détaillé (avec interventions des acteurs).</t>
  </si>
  <si>
    <t xml:space="preserve">Interventions mal planifiées, provoquant des retards.</t>
  </si>
  <si>
    <t xml:space="preserve">Validez les évaluations avec des parties prenantes pour garantir leur objectivité.</t>
  </si>
  <si>
    <t xml:space="preserve">Traçabilité de la prise en compte des contributions des acteurs</t>
  </si>
  <si>
    <t xml:space="preserve">La prise en compte des contributions des acteurs dans la conception est-elle traçable ?</t>
  </si>
  <si>
    <t xml:space="preserve">Calendrier des ateliers et revues.</t>
  </si>
  <si>
    <t xml:space="preserve">Comptes rendus d'ateliers et de revues.</t>
  </si>
  <si>
    <t xml:space="preserve">Contributions non tracées, compromettant leur intégration.</t>
  </si>
  <si>
    <t xml:space="preserve">Définissez des stratégies d’atténuation pour chaque risque majeur, avec des plans d’action clairs.</t>
  </si>
  <si>
    <t xml:space="preserve">Évaluation périodique de la satisfaction des acteurs concernant leur implication</t>
  </si>
  <si>
    <t xml:space="preserve">La satisfaction des acteurs concernant leur implication dans la conception fait-elle l'objet d'une évaluation périodique ?</t>
  </si>
  <si>
    <t xml:space="preserve">Registre des exigences ou des demandes issues des acteurs.</t>
  </si>
  <si>
    <t xml:space="preserve">Enquêtes de satisfaction des acteurs.</t>
  </si>
  <si>
    <t xml:space="preserve">Insatisfaction des acteurs, réduisant leur adhésion au projet.</t>
  </si>
  <si>
    <t xml:space="preserve">Testez les stratégies dans un environnement pilote pour valider leur efficacité.</t>
  </si>
  <si>
    <t xml:space="preserve">S’assurer que la conception détaillée a été revue</t>
  </si>
  <si>
    <t xml:space="preserve">Organisation de revues formelles de la conception détaillée</t>
  </si>
  <si>
    <t xml:space="preserve">Des revues formelles de la conception détaillée sont-elles organisées ?</t>
  </si>
  <si>
    <t xml:space="preserve">Plan d'amélioration de l'implication des acteurs.</t>
  </si>
  <si>
    <t xml:space="preserve">Procédure de revue de conception.</t>
  </si>
  <si>
    <t xml:space="preserve">Conception non validée, entraînant des erreurs critiques.</t>
  </si>
  <si>
    <t xml:space="preserve">Comparez les profils de risque des alternatives dans une matrice décisionnelle intégrant les impacts potentiels.</t>
  </si>
  <si>
    <t xml:space="preserve">Composition adaptée des équipes de revue (experts techniques, métiers, sécurité)</t>
  </si>
  <si>
    <t xml:space="preserve">La composition des équipes de revue est-elle adaptée (experts techniques, métiers, sécurité...) ?</t>
  </si>
  <si>
    <t xml:space="preserve">Comptes rendus des revues de conception détaillée.</t>
  </si>
  <si>
    <t xml:space="preserve">Liste des participants aux revues de conception.</t>
  </si>
  <si>
    <t xml:space="preserve">Revues inadéquates, manquant des failles potentielles.</t>
  </si>
  <si>
    <t xml:space="preserve">Documentation des commentaires et actions issues des revues</t>
  </si>
  <si>
    <t xml:space="preserve">Les commentaires et actions issues des revues de conception sont-ils documentés ?</t>
  </si>
  <si>
    <t xml:space="preserve">Fiches de poste ou description des expertises requises.</t>
  </si>
  <si>
    <t xml:space="preserve">Registre des commentaires et actions issues des revues.</t>
  </si>
  <si>
    <t xml:space="preserve">Commentaires ignorés, compromettant la qualité de la conception.</t>
  </si>
  <si>
    <t xml:space="preserve">Intégrez l’analyse des risques dans la matrice de décision finale, avec des poids validés pour chaque risque.</t>
  </si>
  <si>
    <t xml:space="preserve">Vérification de la prise en compte des remarques</t>
  </si>
  <si>
    <t xml:space="preserve">La prise en compte effective des remarques issues des revues est-elle vérifiée ?</t>
  </si>
  <si>
    <t xml:space="preserve">Outil de suivi des anomalies ou remarques.</t>
  </si>
  <si>
    <t xml:space="preserve">Plan d'action suite aux revues.</t>
  </si>
  <si>
    <t xml:space="preserve">Corrections non vérifiées, laissant des erreurs persistantes.</t>
  </si>
  <si>
    <t xml:space="preserve">Validez la matrice de décision avec un comité indépendant pour garantir son impartialité.</t>
  </si>
  <si>
    <t xml:space="preserve">Validation finale de la conception après corrections</t>
  </si>
  <si>
    <t xml:space="preserve">La conception détaillée fait-elle l'objet d'une validation finale formelle après corrections ?</t>
  </si>
  <si>
    <t xml:space="preserve">Version corrigée des documents de conception.</t>
  </si>
  <si>
    <t xml:space="preserve">Procès-verbal de validation finale de la conception.</t>
  </si>
  <si>
    <t xml:space="preserve">Conception non approuvée, risquant un rejet final.</t>
  </si>
  <si>
    <t xml:space="preserve">Définissez des critères d’évaluation pondérés dans une matrice validée par les parties prenantes avant l’analyse.</t>
  </si>
  <si>
    <t xml:space="preserve">Développement, réalisation ou paramétrage</t>
  </si>
  <si>
    <t xml:space="preserve">S’assurer qu’il existe une méthode de développement</t>
  </si>
  <si>
    <t xml:space="preserve">Documentation formelle de la méthode de développement adoptée</t>
  </si>
  <si>
    <t xml:space="preserve">La méthode de développement (ex: Agile, Cycle en V, etc.) adoptée est-elle formellement documentée ?</t>
  </si>
  <si>
    <t xml:space="preserve">Check-list de validation de la conception.</t>
  </si>
  <si>
    <t xml:space="preserve">Manuel de méthodologie de développement.</t>
  </si>
  <si>
    <t xml:space="preserve">Méthode inadaptée, entraînant des erreurs de développement.</t>
  </si>
  <si>
    <t xml:space="preserve">Organisez des ateliers pour aligner les parties prenantes sur les critères et leurs pondérations.</t>
  </si>
  <si>
    <t xml:space="preserve">Adéquation de la méthode avec les technologies utilisées</t>
  </si>
  <si>
    <t xml:space="preserve">La méthode de développement est-elle adéquate par rapport aux technologies utilisées ?</t>
  </si>
  <si>
    <t xml:space="preserve">Charte projet (section méthodologie de développement).</t>
  </si>
  <si>
    <t xml:space="preserve">Analyse de compatibilité méthode/technologies.</t>
  </si>
  <si>
    <t xml:space="preserve">Méthode mal alignée, réduisant l’efficacité du développement.</t>
  </si>
  <si>
    <t xml:space="preserve">Utilisez une méthode multicritère formalisée (ex. : AHP, ELECTRE) pour structurer l’analyse des alternatives.</t>
  </si>
  <si>
    <t xml:space="preserve">Définition des standards de codage associés à la méthode</t>
  </si>
  <si>
    <t xml:space="preserve">Des standards de codage associés à la méthode de développement ont-ils été définis ?</t>
  </si>
  <si>
    <t xml:space="preserve">Spécifications techniques du projet.</t>
  </si>
  <si>
    <t xml:space="preserve">Guide des standards de codage.</t>
  </si>
  <si>
    <t xml:space="preserve">Code non standardisé, compliquant la maintenance.</t>
  </si>
  <si>
    <t xml:space="preserve">Formez les équipes à la méthode multicritère pour garantir son application correcte.</t>
  </si>
  <si>
    <t xml:space="preserve">Disponibilité des outils supportant la méthode</t>
  </si>
  <si>
    <t xml:space="preserve">Les outils supportant la méthode de développement sont-ils disponibles pour l'équipe ?</t>
  </si>
  <si>
    <t xml:space="preserve">Politique de développement sécurisé.</t>
  </si>
  <si>
    <t xml:space="preserve">Documentation des outils de développement (IDE, gestion de version...).</t>
  </si>
  <si>
    <t xml:space="preserve">Outils absents, réduisant l’efficacité du développement.</t>
  </si>
  <si>
    <t xml:space="preserve">Documentez le processus de décision dans un rapport détaillant les participants, les critères et les étapes.</t>
  </si>
  <si>
    <t xml:space="preserve">Alignement de la méthode avec les pratiques reconnues du secteur</t>
  </si>
  <si>
    <t xml:space="preserve">La méthode de développement est-elle alignée avec les pratiques reconnues du secteur ?</t>
  </si>
  <si>
    <t xml:space="preserve">Inventaire des outils utilisés par l'équipe.</t>
  </si>
  <si>
    <t xml:space="preserve">Benchmark méthodologique (si réalisé).</t>
  </si>
  <si>
    <t xml:space="preserve">Non-conformité aux normes, compromettant la fiabilité du code.</t>
  </si>
  <si>
    <t xml:space="preserve">Validez le rapport avec les parties prenantes pour garantir sa transparence.</t>
  </si>
  <si>
    <t xml:space="preserve">Conformité du code produit avec les standards de la méthode</t>
  </si>
  <si>
    <t xml:space="preserve">Le code produit est-il conforme aux standards définis par la méthode ?</t>
  </si>
  <si>
    <t xml:space="preserve">Description des processus ITIL ou CMMI internes.</t>
  </si>
  <si>
    <t xml:space="preserve">Rapport d'audit de code (si réalisé).</t>
  </si>
  <si>
    <t xml:space="preserve">Code de mauvaise qualité, entraînant des dysfonctionnements.</t>
  </si>
  <si>
    <t xml:space="preserve">Justifiez les notations attribuées dans un document clair, avec des références aux données utilisées.</t>
  </si>
  <si>
    <t xml:space="preserve">Application des processus de revue de code prévus par la méthode</t>
  </si>
  <si>
    <t xml:space="preserve">Les processus de revue de code prévus par la méthode sont-ils appliqués ?</t>
  </si>
  <si>
    <t xml:space="preserve">Check-list de conformité aux standards de codage.</t>
  </si>
  <si>
    <t xml:space="preserve">Procédure de revue de code.</t>
  </si>
  <si>
    <t xml:space="preserve">Revues inefficaces, laissant passer des erreurs critiques.</t>
  </si>
  <si>
    <t xml:space="preserve">Validez les justifications avec un comité indépendant pour garantir leur objectivité.</t>
  </si>
  <si>
    <t xml:space="preserve">Les outils prescrits ou recommandés par la méthode sont-ils effectivement utilisés ?</t>
  </si>
  <si>
    <t xml:space="preserve">Comptes rendus des revues de code.</t>
  </si>
  <si>
    <t xml:space="preserve">Outils mal utilisés, réduisant la productivité des développeurs.</t>
  </si>
  <si>
    <t xml:space="preserve">Soumettez le choix final à une instance indépendante pour une validation formelle.</t>
  </si>
  <si>
    <t xml:space="preserve">Respect des étapes et jalons du cycle de développement</t>
  </si>
  <si>
    <t xml:space="preserve">Les étapes et jalons du cycle de développement définis par la méthode sont-ils respectés ?</t>
  </si>
  <si>
    <t xml:space="preserve">Preuves d'utilisation (logs, captures d'écran).</t>
  </si>
  <si>
    <t xml:space="preserve">Planning détaillé du cycle de développement.</t>
  </si>
  <si>
    <t xml:space="preserve">Étapes négligées, entraînant des dérives dans le développement.</t>
  </si>
  <si>
    <t xml:space="preserve">Documentez la validation dans un PV de réunion signé par l’instance compétente.</t>
  </si>
  <si>
    <t xml:space="preserve">Mesure objective de la qualité du code produit selon les critères de la méthode</t>
  </si>
  <si>
    <t xml:space="preserve">La qualité du code produit est-elle mesurée objectivement selon les critères définis par la méthode ?</t>
  </si>
  <si>
    <t xml:space="preserve">Suivi d'avancement des tâches de développement.</t>
  </si>
  <si>
    <t xml:space="preserve">Indicateurs qualité du code (complexité cyclomatique, couverture de test...).</t>
  </si>
  <si>
    <t xml:space="preserve">Code de faible qualité, augmentant les coûts de maintenance.</t>
  </si>
  <si>
    <t xml:space="preserve">Identifiez les exigences de contrôle interne dans un registre aligné sur les politiques de l’organisation.</t>
  </si>
  <si>
    <t xml:space="preserve">S’assurer que cette méthode est parfaitement maîtrisée par les
Développeurs</t>
  </si>
  <si>
    <t xml:space="preserve">Formation documentée des développeurs à la méthode</t>
  </si>
  <si>
    <t xml:space="preserve">La formation des développeurs à la méthode de développement est-elle documentée ?</t>
  </si>
  <si>
    <t xml:space="preserve">Rapport d'analyse statique ou dynamique de code.</t>
  </si>
  <si>
    <t xml:space="preserve">Plan de formation des développeurs.</t>
  </si>
  <si>
    <t xml:space="preserve">Développeurs mal formés, entraînant des erreurs de codage.</t>
  </si>
  <si>
    <t xml:space="preserve">Validez le registre avec les responsables du contrôle interne pour garantir sa complétude.</t>
  </si>
  <si>
    <t xml:space="preserve">Évaluation des compétences individuelles relatives à la méthode</t>
  </si>
  <si>
    <t xml:space="preserve">Les compétences individuelles des développeurs par rapport à la méthode sont-elles évaluées ?</t>
  </si>
  <si>
    <t xml:space="preserve">Grilles d'évaluation des compétences des développeurs.</t>
  </si>
  <si>
    <t xml:space="preserve">Compétences insuffisantes, compromettant la qualité du code.</t>
  </si>
  <si>
    <t xml:space="preserve">Intégrez les contrôles de sécurité dès la conception à l’aide d’un cadre comme “security by design”.</t>
  </si>
  <si>
    <t xml:space="preserve">Disponibilité de ressources de référence sur la méthode</t>
  </si>
  <si>
    <t xml:space="preserve">Des ressources de référence (documentation, experts) sur la méthode sont-elles disponibles ?</t>
  </si>
  <si>
    <t xml:space="preserve">Organigramme de l'équipe de développement.</t>
  </si>
  <si>
    <t xml:space="preserve">Documentation de référence de la méthode.</t>
  </si>
  <si>
    <t xml:space="preserve">Ressources absentes, limitant l’accès aux bonnes pratiques.</t>
  </si>
  <si>
    <t xml:space="preserve">Formez les équipes à l’approche “security by design” pour garantir son application.</t>
  </si>
  <si>
    <t xml:space="preserve">Mécanisme de mentorat pour les développeurs moins expérimentés</t>
  </si>
  <si>
    <t xml:space="preserve">Un mécanisme de mentorat ou de pair programming est-il en place pour les développeurs moins expérimentés ?</t>
  </si>
  <si>
    <t xml:space="preserve">Accès à la base de connaissances ou wiki interne.</t>
  </si>
  <si>
    <t xml:space="preserve">Procédure de mentorat ou de pair programming.</t>
  </si>
  <si>
    <t xml:space="preserve">Développeurs non accompagnés, augmentant les erreurs.</t>
  </si>
  <si>
    <t xml:space="preserve">Établissez une matrice de traçabilité reliant les exigences de sécurité aux fonctionnalités du système.</t>
  </si>
  <si>
    <t xml:space="preserve">Processus d'amélioration continue des compétences en méthodologie</t>
  </si>
  <si>
    <t xml:space="preserve">Existe-t-il un processus d'amélioration continue des compétences de l'équipe en matière de méthodologie de développement ?</t>
  </si>
  <si>
    <t xml:space="preserve">Organisation des binômes ou affectation des mentors.</t>
  </si>
  <si>
    <t xml:space="preserve">Procédure d'amélioration continue (REX développeurs).</t>
  </si>
  <si>
    <t xml:space="preserve">Compétences stagnantes, réduisant l’efficacité du développement.</t>
  </si>
  <si>
    <t xml:space="preserve">Validez la matrice avec les responsables de la sécurité pour garantir sa complétude.</t>
  </si>
  <si>
    <t xml:space="preserve">S’assurer qu’il existe des normes de documentation</t>
  </si>
  <si>
    <t xml:space="preserve">Existence de standards documentaires formalisés pour chaque type de livrable</t>
  </si>
  <si>
    <t xml:space="preserve">Des standards documentaires formalisés existent-ils pour chaque type de livrable technique ou projet ?</t>
  </si>
  <si>
    <t xml:space="preserve">Comptes rendus des REX spécifiques au développement.</t>
  </si>
  <si>
    <t xml:space="preserve">Référentiel des standards documentaires projet.</t>
  </si>
  <si>
    <t xml:space="preserve">Documentation non standardisée, entraînant des incohérences.</t>
  </si>
  <si>
    <t xml:space="preserve">Soumettez les aspects sécurité à la validation des responsables via des revues formelles.</t>
  </si>
  <si>
    <t xml:space="preserve">Définition des contenus minimaux requis pour chaque document</t>
  </si>
  <si>
    <t xml:space="preserve">Les contenus minimaux requis pour chaque type de document sont-ils définis ?</t>
  </si>
  <si>
    <t xml:space="preserve">Exemple de livrable conforme aux standards.</t>
  </si>
  <si>
    <t xml:space="preserve">Spécification des contenus requis par type de document.</t>
  </si>
  <si>
    <t xml:space="preserve">Contenus insuffisants, compliquant la compréhension des livrables.</t>
  </si>
  <si>
    <t xml:space="preserve">Templates standardisés disponibles pour tous les types de documentation</t>
  </si>
  <si>
    <t xml:space="preserve">Des templates standardisés sont-ils disponibles et utilisés pour tous les types de documentation ?</t>
  </si>
  <si>
    <t xml:space="preserve">Guide des standards documentaires.</t>
  </si>
  <si>
    <t xml:space="preserve">Catalogue des templates documentaires.</t>
  </si>
  <si>
    <t xml:space="preserve">Templates absents, réduisant l’efficacité documentaire.</t>
  </si>
  <si>
    <t xml:space="preserve">Documentez la conformité aux politiques de contrôle interne dans un rapport validé par les responsables.</t>
  </si>
  <si>
    <t xml:space="preserve">Procédure de revue et validation de la documentation</t>
  </si>
  <si>
    <t xml:space="preserve">Une procédure de revue et de validation de la documentation existe-t-elle ?</t>
  </si>
  <si>
    <t xml:space="preserve">Accès au répertoire des templates.</t>
  </si>
  <si>
    <t xml:space="preserve">Procédure de revue et validation documentaire.</t>
  </si>
  <si>
    <t xml:space="preserve">Documentation non validée, entraînant des erreurs d’interprétation.</t>
  </si>
  <si>
    <t xml:space="preserve">Faites auditer la conformité par un expert interne ou externe pour garantir son objectivité.</t>
  </si>
  <si>
    <t xml:space="preserve">Mécanisme de gestion des versions des documents</t>
  </si>
  <si>
    <t xml:space="preserve">Un mécanisme de gestion des versions est-il appliqué à toute la documentation ?</t>
  </si>
  <si>
    <t xml:space="preserve">Workflow de validation documenté (si outil utilisé).</t>
  </si>
  <si>
    <t xml:space="preserve">Procédure de gestion des versions et de configuration documentaire.</t>
  </si>
  <si>
    <t xml:space="preserve">Versions mal gérées, provoquant des confusions.</t>
  </si>
  <si>
    <t xml:space="preserve">S’assurer que ces normes sont appliquées par les
Développeurs</t>
  </si>
  <si>
    <t xml:space="preserve">Vérification systématique de la conformité des livrables aux standards documentaires</t>
  </si>
  <si>
    <t xml:space="preserve">La conformité des livrables aux standards documentaires est-elle systématiquement vérifiée ?</t>
  </si>
  <si>
    <t xml:space="preserve">Outil de gestion documentaire ou de gestion de configuration.</t>
  </si>
  <si>
    <t xml:space="preserve">Check-list de conformité documentaire.</t>
  </si>
  <si>
    <t xml:space="preserve">Processus de revue par les pairs incluant le respect des normes de documentation</t>
  </si>
  <si>
    <t xml:space="preserve">Le processus de revue par les pairs inclut-il la vérification du respect des normes de documentation ?</t>
  </si>
  <si>
    <t xml:space="preserve">Rapport d'audit qualité de la documentation.</t>
  </si>
  <si>
    <t xml:space="preserve">Procédure de revue par les pairs.</t>
  </si>
  <si>
    <t xml:space="preserve">Revues inefficaces, manquant des écarts documentaires.</t>
  </si>
  <si>
    <t xml:space="preserve">Intégration du respect des normes dans les critères d'évaluation des développeurs</t>
  </si>
  <si>
    <t xml:space="preserve">Le respect des normes de documentation est-il intégré dans les critères d'évaluation des développeurs ?</t>
  </si>
  <si>
    <t xml:space="preserve">Preuves des revues par les pairs (commentaires, validations).</t>
  </si>
  <si>
    <t xml:space="preserve">Grille d'évaluation annuelle ou objectifs des développeurs.</t>
  </si>
  <si>
    <t xml:space="preserve">Non-respect des normes, réduisant la performance des développeurs.</t>
  </si>
  <si>
    <t xml:space="preserve">Outils automatisés de vérification de la conformité aux normes documentaires</t>
  </si>
  <si>
    <t xml:space="preserve">Des outils automatisés sont-ils utilisés pour vérifier la conformité aux normes documentaires (si applicable) ?</t>
  </si>
  <si>
    <t xml:space="preserve">Politique RH en matière d'évaluation.</t>
  </si>
  <si>
    <t xml:space="preserve">Documentation de l'outil de vérification automatique.</t>
  </si>
  <si>
    <t xml:space="preserve">Vérifications manuelles, augmentant les risques d’erreurs.</t>
  </si>
  <si>
    <t xml:space="preserve">Formation continue des développeurs sur les normes et standards à respecter</t>
  </si>
  <si>
    <t xml:space="preserve">Une formation continue est-elle dispensée aux développeurs sur les normes et standards de documentation à respecter ?</t>
  </si>
  <si>
    <t xml:space="preserve">Rapports générés par l'outil de vérification.</t>
  </si>
  <si>
    <t xml:space="preserve">Plan de formation continue.</t>
  </si>
  <si>
    <t xml:space="preserve">Développeurs mal formés, compromettant la qualité documentaire.</t>
  </si>
  <si>
    <t xml:space="preserve">S’assurer que les développements sont bien documentés</t>
  </si>
  <si>
    <t xml:space="preserve">Existence d'une documentation technique complète pour chaque module développé</t>
  </si>
  <si>
    <t xml:space="preserve">Une documentation technique complète existe-t-elle pour chaque module ou composant développé ?</t>
  </si>
  <si>
    <t xml:space="preserve">Supports des formations sur les standards documentaires.</t>
  </si>
  <si>
    <t xml:space="preserve">Document d'architecture technique détaillé (section implémentation).</t>
  </si>
  <si>
    <t xml:space="preserve">Modules mal documentés, compliquant la maintenance.</t>
  </si>
  <si>
    <t xml:space="preserve">Documentation des choix d'implémentation et des algorithmes complexes</t>
  </si>
  <si>
    <t xml:space="preserve">Les choix d'implémentation significatifs et les algorithmes complexes sont-ils documentés ?</t>
  </si>
  <si>
    <t xml:space="preserve">Documentation spécifique des modules/algorithmes complexes.</t>
  </si>
  <si>
    <t xml:space="preserve">Extrait de code source pertinent (avec commentaires).</t>
  </si>
  <si>
    <t xml:space="preserve">Choix mal expliqués, réduisant la compréhension du code.</t>
  </si>
  <si>
    <t xml:space="preserve">Commentaires pertinents et à jour dans le code source</t>
  </si>
  <si>
    <t xml:space="preserve">Le code source contient-il des commentaires pertinents et à jour ?</t>
  </si>
  <si>
    <t xml:space="preserve">Guide de bonnes pratiques de commentaires (si existant).</t>
  </si>
  <si>
    <t xml:space="preserve">Spécifications des interfaces (API, formats d'échange).</t>
  </si>
  <si>
    <t xml:space="preserve">Code mal commenté, augmentant les coûts de maintenance.</t>
  </si>
  <si>
    <t xml:space="preserve">Documentation des interfaces et des dépendances entre composants</t>
  </si>
  <si>
    <t xml:space="preserve">Les interfaces entre composants et les dépendances externes sont-elles documentées ?</t>
  </si>
  <si>
    <t xml:space="preserve">Diagramme des dépendances entre composants.</t>
  </si>
  <si>
    <t xml:space="preserve">Système de gestion de version (logs montrant liens doc/code).</t>
  </si>
  <si>
    <t xml:space="preserve">Interfaces mal documentées, entraînant des erreurs d’intégration.</t>
  </si>
  <si>
    <t xml:space="preserve">Traçabilité entre la documentation et les versions du code source</t>
  </si>
  <si>
    <t xml:space="preserve">La traçabilité entre la documentation technique et les versions correspondantes du code source est-elle assurée ?</t>
  </si>
  <si>
    <t xml:space="preserve">Matrice de correspondance documentation/version de code.</t>
  </si>
  <si>
    <t xml:space="preserve">Procédure de gestion documentaire (section soumission/validation).</t>
  </si>
  <si>
    <t xml:space="preserve">Documentation non tracée, compliquant les mises à jour.</t>
  </si>
  <si>
    <t xml:space="preserve">S’assurer que la documentation est revue par le responsable du
service des études</t>
  </si>
  <si>
    <t xml:space="preserve">Processus formalisé de soumission de la documentation au responsable des études</t>
  </si>
  <si>
    <t xml:space="preserve">Existe-t-il un processus formalisé de soumission de la documentation technique au responsable des études (ou équivalent) ?</t>
  </si>
  <si>
    <t xml:space="preserve">Workflow de validation documentaire (si outil utilisé).</t>
  </si>
  <si>
    <t xml:space="preserve">Comptes rendus des revues de documentation signés.</t>
  </si>
  <si>
    <t xml:space="preserve">Documentation non soumise, entraînant des écarts non détectés.</t>
  </si>
  <si>
    <t xml:space="preserve">Existence de comptes rendus de revue signés par le responsable</t>
  </si>
  <si>
    <t xml:space="preserve">Existe-t-il des comptes rendus de revue de la documentation signés par le responsable ?</t>
  </si>
  <si>
    <t xml:space="preserve">Emails ou preuves de validation formelle.</t>
  </si>
  <si>
    <t xml:space="preserve">Registre de suivi des actions correctives post-revue doc.</t>
  </si>
  <si>
    <t xml:space="preserve">Revues non documentées, réduisant la traçabilité des validations.</t>
  </si>
  <si>
    <t xml:space="preserve">Suivi documenté des corrections demandées lors des revues</t>
  </si>
  <si>
    <t xml:space="preserve">Le suivi des corrections demandées sur la documentation lors des revues est-il documenté ?</t>
  </si>
  <si>
    <t xml:space="preserve">Version annotée des documents avec corrections visibles.</t>
  </si>
  <si>
    <t xml:space="preserve">Procès-verbal de validation finale de la documentation.</t>
  </si>
  <si>
    <t xml:space="preserve">Corrections non suivies, laissant des erreurs documentaires.</t>
  </si>
  <si>
    <t xml:space="preserve">Validation finale formelle de la documentation par le responsable</t>
  </si>
  <si>
    <t xml:space="preserve">La documentation technique fait-elle l'objet d'une validation finale formelle par le responsable ?</t>
  </si>
  <si>
    <t xml:space="preserve">Signature du responsable sur la version finale des documents clés.</t>
  </si>
  <si>
    <t xml:space="preserve">Planning détaillé du projet (montrant les tâches de revue doc).</t>
  </si>
  <si>
    <t xml:space="preserve">Documentation non validée, risquant un rejet final.</t>
  </si>
  <si>
    <t xml:space="preserve">Intégration des revues de documentation dans le planning du projet</t>
  </si>
  <si>
    <t xml:space="preserve">Les revues de la documentation sont-elles intégrées dans le planning du projet ?</t>
  </si>
  <si>
    <t xml:space="preserve">Plan d'assurance qualité (section planification des revues).</t>
  </si>
  <si>
    <t xml:space="preserve">Stratégie de test (ou Master Test Plan).</t>
  </si>
  <si>
    <t xml:space="preserve">Revues mal planifiées, retardant l’avancement du projet.</t>
  </si>
  <si>
    <t xml:space="preserve">S’assurer qu’il existe un programme général de tests formalisé</t>
  </si>
  <si>
    <t xml:space="preserve">Existence d'une stratégie globale de test couvrant tous les niveaux (unitaires, intégration, système)</t>
  </si>
  <si>
    <t xml:space="preserve">Une stratégie globale de test, couvrant tous les niveaux requis (unitaires, intégration, système, acceptation), existe-t-elle ?</t>
  </si>
  <si>
    <t xml:space="preserve">Politique de test de l'entreprise (si existante).</t>
  </si>
  <si>
    <t xml:space="preserve">Cahier de tests (scénarios détaillés).</t>
  </si>
  <si>
    <t xml:space="preserve">Tests incomplets, manquant des failles critiques.</t>
  </si>
  <si>
    <t xml:space="preserve">Définition des scénarios de test alignés avec les exigences fonctionnelles et techniques</t>
  </si>
  <si>
    <t xml:space="preserve">Des scénarios de test alignés avec les exigences fonctionnelles, non-fonctionnelles et techniques ont-ils été définis ?</t>
  </si>
  <si>
    <t xml:space="preserve">Matrice de couverture des exigences par les tests.</t>
  </si>
  <si>
    <t xml:space="preserve">Planning détaillé des tests (par phase/campagne).</t>
  </si>
  <si>
    <t xml:space="preserve">Scénarios mal alignés, réduisant la pertinence des tests.</t>
  </si>
  <si>
    <t xml:space="preserve">Planification détaillée des campagnes de test dans le calendrier du projet</t>
  </si>
  <si>
    <t xml:space="preserve">Les campagnes de test sont-elles planifiées de manière détaillée dans le calendrier du projet ?</t>
  </si>
  <si>
    <t xml:space="preserve">Plan de projet global (montrant les phases de test).</t>
  </si>
  <si>
    <t xml:space="preserve">Stratégie de test (section critères entrée/sortie).</t>
  </si>
  <si>
    <t xml:space="preserve">Tests mal planifiés, entraînant des retards dans la validation.</t>
  </si>
  <si>
    <t xml:space="preserve">Définition des critères d'entrée et de sortie pour chaque phase de test</t>
  </si>
  <si>
    <t xml:space="preserve">Des critères d'entrée et de sortie clairs sont-ils définis pour chaque phase de test ?</t>
  </si>
  <si>
    <t xml:space="preserve">Plan de test spécifique à une phase (ex: plan de test d'intégration).</t>
  </si>
  <si>
    <t xml:space="preserve">Plan de gestion des ressources projet (section tests).</t>
  </si>
  <si>
    <t xml:space="preserve">Critères flous, compromettant l’efficacité des tests.</t>
  </si>
  <si>
    <t xml:space="preserve">Allocation des ressources et des environnements nécessaires aux tests</t>
  </si>
  <si>
    <t xml:space="preserve">Les ressources (testeurs, données) et les environnements nécessaires aux différentes phases de test sont-ils alloués ?</t>
  </si>
  <si>
    <t xml:space="preserve">Plan de gestion des environnements de test.</t>
  </si>
  <si>
    <t xml:space="preserve">Plan de déploiement détaillé.</t>
  </si>
  <si>
    <t xml:space="preserve">Ressources insuffisantes, limitant la qualité des tests.</t>
  </si>
  <si>
    <t xml:space="preserve">S’assurer qu’il existe un plan de mise en place</t>
  </si>
  <si>
    <t xml:space="preserve">Documentation formelle du plan de déploiement et de mise en production</t>
  </si>
  <si>
    <t xml:space="preserve">Le plan de déploiement et de mise en production est-il formellement documenté ?</t>
  </si>
  <si>
    <t xml:space="preserve">Procédure de mise en production.</t>
  </si>
  <si>
    <t xml:space="preserve">Plan de déploiement (section stratégie de transition/bascule).</t>
  </si>
  <si>
    <t xml:space="preserve">Déploiement mal préparé, entraînant des échecs en production.</t>
  </si>
  <si>
    <t xml:space="preserve">Définition des étapes de transition entre l'ancien et le nouveau système</t>
  </si>
  <si>
    <t xml:space="preserve">Les étapes de transition (bascule, période de double run...) entre l'ancien et le nouveau système sont-elles définies ?</t>
  </si>
  <si>
    <t xml:space="preserve">Plan de migration des données (si applicable).</t>
  </si>
  <si>
    <t xml:space="preserve">Plan de formation détaillé (calendrier, modules, participants).</t>
  </si>
  <si>
    <t xml:space="preserve">Transition chaotique, provoquant des interruptions de service.</t>
  </si>
  <si>
    <t xml:space="preserve">Planification détaillée des actions de formation des utilisateurs</t>
  </si>
  <si>
    <t xml:space="preserve">Les actions de formation des utilisateurs finaux sont-elles planifiées de manière détaillée ?</t>
  </si>
  <si>
    <t xml:space="preserve">Plan de conduite du changement (section formation).</t>
  </si>
  <si>
    <t xml:space="preserve">Dossier d'architecture technique (section prérequis déploiement).</t>
  </si>
  <si>
    <t xml:space="preserve">Utilisateurs mal formés, réduisant l’adoption du système.</t>
  </si>
  <si>
    <t xml:space="preserve">Identification des prérequis techniques pour la mise en production</t>
  </si>
  <si>
    <t xml:space="preserve">Les prérequis techniques (infrastructure, configuration...) pour la mise en production sont-ils identifiés et documentés ?</t>
  </si>
  <si>
    <t xml:space="preserve">Check-list de prérequis de mise en production.</t>
  </si>
  <si>
    <t xml:space="preserve">Plan de déploiement (section procédure de rollback).</t>
  </si>
  <si>
    <t xml:space="preserve">Prérequis ignorés, entraînant des échecs de mise en production.</t>
  </si>
  <si>
    <t xml:space="preserve">Définition des procédures de retour arrière en cas de problème</t>
  </si>
  <si>
    <t xml:space="preserve">Une procédure documentée de retour arrière (rollback) en cas de problème de déploiement est-elle définie ?</t>
  </si>
  <si>
    <t xml:space="preserve">Procédure de mise en production (section rollback).</t>
  </si>
  <si>
    <t xml:space="preserve">Cahiers de tests exécutés (avec statut et preuves).</t>
  </si>
  <si>
    <t xml:space="preserve">Retour arrière impossible, augmentant les risques d’échec.</t>
  </si>
  <si>
    <t xml:space="preserve">Tests et recettes</t>
  </si>
  <si>
    <t xml:space="preserve">S’assurer que la MOE réalise des tests</t>
  </si>
  <si>
    <t xml:space="preserve">Exécution documentée des tests par l'équipe de maîtrise d'œuvre</t>
  </si>
  <si>
    <t xml:space="preserve">L'exécution des tests par l'équipe de maîtrise d'œuvre (MOE) est-elle documentée (fiches de test, rapports) ?</t>
  </si>
  <si>
    <t xml:space="preserve">Rapports de synthèse d'exécution des tests MOE.</t>
  </si>
  <si>
    <t xml:space="preserve">Matrice de couverture des exigences/fonctionnalités par les tests.</t>
  </si>
  <si>
    <t xml:space="preserve">Tests mal exécutés, manquant des anomalies critiques.</t>
  </si>
  <si>
    <t xml:space="preserve">Couverture suffisante des tests par rapport aux fonctionnalités développées</t>
  </si>
  <si>
    <t xml:space="preserve">La suffisance de la couverture des tests par rapport aux fonctionnalités développées a-t-elle été évaluée et documentée ?</t>
  </si>
  <si>
    <t xml:space="preserve">Rapport d'avancement des tests (indiquant la couverture).</t>
  </si>
  <si>
    <t xml:space="preserve">Documentation de l'outil de gestion des tests.</t>
  </si>
  <si>
    <t xml:space="preserve">Couverture insuffisante, laissant des failles non détectées.</t>
  </si>
  <si>
    <t xml:space="preserve">Utilisation d'outils adaptés pour la réalisation et le suivi des tests</t>
  </si>
  <si>
    <t xml:space="preserve">Des outils adaptés sont-ils utilisés pour la réalisation et le suivi des tests ?</t>
  </si>
  <si>
    <t xml:space="preserve">Licences ou preuves d'utilisation de l'outil de test.</t>
  </si>
  <si>
    <t xml:space="preserve">Rapport de synthèse des tests (incluant anomalies).</t>
  </si>
  <si>
    <t xml:space="preserve">Outils inadaptés, réduisant l’efficacité des tests.</t>
  </si>
  <si>
    <t xml:space="preserve">Documentation formelle des résultats de tests et des anomalies détectées</t>
  </si>
  <si>
    <t xml:space="preserve">Les résultats des tests et les anomalies détectées sont-ils formellement documentés ?</t>
  </si>
  <si>
    <t xml:space="preserve">Base de données ou registre des anomalies.</t>
  </si>
  <si>
    <t xml:space="preserve">Procédure de gestion des anomalies.</t>
  </si>
  <si>
    <t xml:space="preserve">Résultats mal documentés, compliquant la correction des anomalies.</t>
  </si>
  <si>
    <t xml:space="preserve">Procédure de correction et de retest des anomalies identifiées</t>
  </si>
  <si>
    <t xml:space="preserve">Une procédure définie existe-t-elle pour la correction et le retest des anomalies identifiées ?</t>
  </si>
  <si>
    <t xml:space="preserve">Workflow de correction/retest dans l'outil de suivi des anomalies.</t>
  </si>
  <si>
    <t xml:space="preserve">Matrice de traçabilité Exigences/Spécifications/Tests.</t>
  </si>
  <si>
    <t xml:space="preserve">Anomalies non corrigées, compromettant la qualité du système.</t>
  </si>
  <si>
    <t xml:space="preserve">S’assurer que la MOE s'assure que chacun des composants de
l'application fonctionne tel qu'il a été décrit dans le dossier de
Spécifications</t>
  </si>
  <si>
    <t xml:space="preserve">Matrice de traçabilité entre les spécifications et les cas de test</t>
  </si>
  <si>
    <t xml:space="preserve">Une matrice de traçabilité liant les spécifications aux cas de test existe-t-elle ?</t>
  </si>
  <si>
    <t xml:space="preserve">Fonctionnalité de traçabilité dans l'outil de gestion des tests.</t>
  </si>
  <si>
    <t xml:space="preserve">Cahiers de tests fonctionnels exécutés.</t>
  </si>
  <si>
    <t xml:space="preserve">Tests non tracés, réduisant la fiabilité des validations.</t>
  </si>
  <si>
    <t xml:space="preserve">Vérification systématique de la conformité fonctionnelle aux spécifications</t>
  </si>
  <si>
    <t xml:space="preserve">La conformité fonctionnelle aux spécifications est-elle systématiquement vérifiée par les tests ?</t>
  </si>
  <si>
    <t xml:space="preserve">Rapport de recette fonctionnelle.</t>
  </si>
  <si>
    <t xml:space="preserve">Plan de test de non-régression.</t>
  </si>
  <si>
    <t xml:space="preserve">Fonctionnalités non conformes, entraînant un rejet par la MOA.</t>
  </si>
  <si>
    <t xml:space="preserve">Tests de non-régression après modification des composants</t>
  </si>
  <si>
    <t xml:space="preserve">Des tests de non-régression sont-ils effectués après la modification de composants ?</t>
  </si>
  <si>
    <t xml:space="preserve">Résultats d'exécution des tests de non-régression.</t>
  </si>
  <si>
    <t xml:space="preserve">Plan de test de performance.</t>
  </si>
  <si>
    <t xml:space="preserve">Régressions non détectées, compromettant la stabilité du système.</t>
  </si>
  <si>
    <t xml:space="preserve">Validation des performances techniques conformément aux exigences</t>
  </si>
  <si>
    <t xml:space="preserve">Les performances techniques sont-elles validées par rapport aux exigences lors des tests ?</t>
  </si>
  <si>
    <t xml:space="preserve">Rapport des tests de performance.</t>
  </si>
  <si>
    <t xml:space="preserve">Procès-verbal de qualification MOE.</t>
  </si>
  <si>
    <t xml:space="preserve">Performances insuffisantes, réduisant la satisfaction des utilisateurs.</t>
  </si>
  <si>
    <t xml:space="preserve">Certification formelle par la MOE de la conformité aux spécifications</t>
  </si>
  <si>
    <t xml:space="preserve">La MOE a-t-elle formellement certifié la conformité des livrables aux spécifications ?</t>
  </si>
  <si>
    <t xml:space="preserve">Attestation de conformité signée par la MOE.</t>
  </si>
  <si>
    <t xml:space="preserve">Plan de test détaillé (ou Master Test Plan).</t>
  </si>
  <si>
    <t xml:space="preserve">Conformité non certifiée, risquant un rejet final.</t>
  </si>
  <si>
    <t xml:space="preserve">S’assurer que la MOE réalise des tests sur l'ensemble des
composants de l'application sur le plan fonctionnel et technique</t>
  </si>
  <si>
    <t xml:space="preserve">Existence d'un plan de test couvrant 100% des composants fonctionnels et techniques</t>
  </si>
  <si>
    <t xml:space="preserve">Existe-t-il un plan de test visant une couverture de 100% des composants fonctionnels et techniques ?</t>
  </si>
  <si>
    <t xml:space="preserve">Analyse de couverture des composants par les tests.</t>
  </si>
  <si>
    <t xml:space="preserve">Cahier de tests unitaires et d'intégration.</t>
  </si>
  <si>
    <t xml:space="preserve">Tests incomplets, manquant des composants critiques.</t>
  </si>
  <si>
    <t xml:space="preserve">Documentation des scénarios de test pour chaque composant et chaque fonction</t>
  </si>
  <si>
    <t xml:space="preserve">Les scénarios de test sont-ils documentés pour chaque composant et chaque fonction ?</t>
  </si>
  <si>
    <t xml:space="preserve">Spécifications des tests par composant.</t>
  </si>
  <si>
    <t xml:space="preserve">Résultats des tests de non-régression (logs, rapports d'outil).</t>
  </si>
  <si>
    <t xml:space="preserve">Scénarios absents, réduisant la fiabilité des tests.</t>
  </si>
  <si>
    <t xml:space="preserve">Exécution et traçabilité des tests de non-régression après chaque modification</t>
  </si>
  <si>
    <t xml:space="preserve">L'exécution et la traçabilité des tests de non-régression sont-elles assurées après chaque modification ?</t>
  </si>
  <si>
    <t xml:space="preserve">Registre des modifications liées aux re-tests.</t>
  </si>
  <si>
    <t xml:space="preserve">Rapports de tests techniques (performance, sécurité, charge, robustesse...).</t>
  </si>
  <si>
    <t xml:space="preserve">Régressions non testées, entraînant des dysfonctionnements.</t>
  </si>
  <si>
    <t xml:space="preserve">Validation de toutes les exigences techniques (performance, sécurité, disponibilité)</t>
  </si>
  <si>
    <t xml:space="preserve">Toutes les exigences techniques (performance, sécurité, disponibilité) ont-elles été validées par des tests ?</t>
  </si>
  <si>
    <t xml:space="preserve">Procès-verbal de recette technique.</t>
  </si>
  <si>
    <t xml:space="preserve">Rapports de tests unitaires et d'intégration détaillés.</t>
  </si>
  <si>
    <t xml:space="preserve">Exigences non validées, compromettant la satisfaction des utilisateurs.</t>
  </si>
  <si>
    <t xml:space="preserve">Rapport de test détaillé par composant avec statut et niveau de conformité</t>
  </si>
  <si>
    <t xml:space="preserve">Un rapport de test détaillé par composant, indiquant le statut et le niveau de conformité, est-il disponible ?</t>
  </si>
  <si>
    <t xml:space="preserve">Tableau de bord de suivi des tests par composant.</t>
  </si>
  <si>
    <t xml:space="preserve">Dossier d'architecture (section interfaces).</t>
  </si>
  <si>
    <t xml:space="preserve">Rapports incomplets, réduisant la transparence des tests.</t>
  </si>
  <si>
    <t xml:space="preserve">S’assurer que la MOE réalise des tests sur les interfaces de
l'application dans le SI</t>
  </si>
  <si>
    <t xml:space="preserve">Cartographie complète des interfaces entrantes et sortantes de l'application</t>
  </si>
  <si>
    <t xml:space="preserve">Une cartographie complète des interfaces entrantes et sortantes de l'application existe-t-elle ?</t>
  </si>
  <si>
    <t xml:space="preserve">Spécifications détaillées des interfaces.</t>
  </si>
  <si>
    <t xml:space="preserve">Plan de test d'intégration (section tests d'interfaces).</t>
  </si>
  <si>
    <t xml:space="preserve">Interfaces mal cartographiées, entraînant des erreurs d’intégration.</t>
  </si>
  <si>
    <t xml:space="preserve">Scénarios de test spécifiques pour chaque interface identifiée</t>
  </si>
  <si>
    <t xml:space="preserve">Des scénarios de test spécifiques sont-ils définis pour chaque interface identifiée ?</t>
  </si>
  <si>
    <t xml:space="preserve">Cahier de tests des interfaces.</t>
  </si>
  <si>
    <t xml:space="preserve">Description de l'environnement de test d'intégration (simulateurs).</t>
  </si>
  <si>
    <t xml:space="preserve">Interfaces non testées, compromettant l’interopérabilité.</t>
  </si>
  <si>
    <t xml:space="preserve">Simulation des comportements normaux et anormaux des systèmes connectés</t>
  </si>
  <si>
    <t xml:space="preserve">Les tests d'interface incluent-ils la simulation des comportements normaux et anormaux des systèmes connectés ?</t>
  </si>
  <si>
    <t xml:space="preserve">Scénarios de test incluant des cas d'erreur d'interface.</t>
  </si>
  <si>
    <t xml:space="preserve">Résultats des tests des cas d'erreur d'interface.</t>
  </si>
  <si>
    <t xml:space="preserve">Comportements mal simulés, manquant des anomalies critiques.</t>
  </si>
  <si>
    <t xml:space="preserve">Vérification de la gestion des erreurs et des exceptions au niveau des interfaces</t>
  </si>
  <si>
    <t xml:space="preserve">La gestion des erreurs et des exceptions au niveau des interfaces est-elle vérifiée par les tests ?</t>
  </si>
  <si>
    <t xml:space="preserve">Logs applicatifs montrant la gestion des erreurs d'interface.</t>
  </si>
  <si>
    <t xml:space="preserve">Description de l'environnement de test d'intégration/pré-production.</t>
  </si>
  <si>
    <t xml:space="preserve">Erreurs non gérées, entraînant des dysfonctionnements critiques.</t>
  </si>
  <si>
    <t xml:space="preserve">Tests d'intégration en environnement représentatif de la production</t>
  </si>
  <si>
    <t xml:space="preserve">Les tests d'intégration sont-ils réalisés dans un environnement représentatif de la production ?</t>
  </si>
  <si>
    <t xml:space="preserve">Stratégie de test (mentionnant les environnements).</t>
  </si>
  <si>
    <t xml:space="preserve">Liste des participants à la recette utilisateur (avec profils).</t>
  </si>
  <si>
    <t xml:space="preserve">Intégration non testée, risquant des échecs en production.</t>
  </si>
  <si>
    <t xml:space="preserve">S’assurer que des tests utilisateurs sont réalisés</t>
  </si>
  <si>
    <t xml:space="preserve">Participation formelle d'un panel représentatif d'utilisateurs finaux aux tests</t>
  </si>
  <si>
    <t xml:space="preserve">Un panel représentatif d'utilisateurs finaux a-t-il formellement participé aux tests (recette) ?</t>
  </si>
  <si>
    <t xml:space="preserve">Compte rendu de lancement de la recette utilisateur.</t>
  </si>
  <si>
    <t xml:space="preserve">Cahier de recette utilisateur (scénarios métier).</t>
  </si>
  <si>
    <t xml:space="preserve">Tests sans utilisateurs, réduisant la pertinence des validations.</t>
  </si>
  <si>
    <t xml:space="preserve">Définition de scénarios de test basés sur des cas d'utilisation réels</t>
  </si>
  <si>
    <t xml:space="preserve">Des scénarios de test basés sur des cas d'utilisation réels sont-ils définis pour la recette utilisateur ?</t>
  </si>
  <si>
    <t xml:space="preserve">Cas d'utilisation (Use Cases) du projet.</t>
  </si>
  <si>
    <t xml:space="preserve">Base de suivi des anomalies/retours de recette utilisateur.</t>
  </si>
  <si>
    <t xml:space="preserve">Scénarios irréalistes, manquant des cas d’usage critiques.</t>
  </si>
  <si>
    <t xml:space="preserve">Documentation des retours utilisateurs selon un format standardisé</t>
  </si>
  <si>
    <t xml:space="preserve">Les retours utilisateurs issus des tests sont-ils documentés selon un format standardisé ?</t>
  </si>
  <si>
    <t xml:space="preserve">Modèle de fiche de retour utilisateur.</t>
  </si>
  <si>
    <t xml:space="preserve">Questionnaire de satisfaction post-recette.</t>
  </si>
  <si>
    <t xml:space="preserve">Retours mal documentés, compliquant leur prise en compte.</t>
  </si>
  <si>
    <t xml:space="preserve">Évaluation de la satisfaction utilisateur sur des critères prédéfinis</t>
  </si>
  <si>
    <t xml:space="preserve">La satisfaction des utilisateurs est-elle évaluée sur la base de critères prédéfinis pendant ou après la recette ?</t>
  </si>
  <si>
    <t xml:space="preserve">Compte rendu de bilan de recette utilisateur.</t>
  </si>
  <si>
    <t xml:space="preserve">Procédure de gestion des retours de recette.</t>
  </si>
  <si>
    <t xml:space="preserve">Insatisfaction non mesurée, réduisant l’adoption du système.</t>
  </si>
  <si>
    <t xml:space="preserve">Processus de prise en compte des feedback utilisateurs dans les corrections</t>
  </si>
  <si>
    <t xml:space="preserve">Un processus défini existe-t-il pour la prise en compte des retours utilisateurs dans les corrections ?</t>
  </si>
  <si>
    <t xml:space="preserve">Registre de suivi des actions correctives post-recette.</t>
  </si>
  <si>
    <t xml:space="preserve">Matrice de couverture Cahier des Charges / Recette.</t>
  </si>
  <si>
    <t xml:space="preserve">Feedback ignorés, entraînant des solutions inadéquates.</t>
  </si>
  <si>
    <t xml:space="preserve">S’assurer que les tests portent sur l'adéquation de l'application
livrée par la MOE avec les besoins exprimés par la MOA</t>
  </si>
  <si>
    <t xml:space="preserve">Validation croisée entre les besoins du cahier des charges et les fonctionnalités livrées</t>
  </si>
  <si>
    <t xml:space="preserve">Une validation croisée entre les besoins du cahier des charges et les fonctionnalités livrées est-elle effectuée lors de la recette ?</t>
  </si>
  <si>
    <t xml:space="preserve">Compte rendu de recette MOA.</t>
  </si>
  <si>
    <t xml:space="preserve">Procès-verbal de recette MOA signé.</t>
  </si>
  <si>
    <t xml:space="preserve">Fonctionnalités non validées, risquant un rejet par la MOA.</t>
  </si>
  <si>
    <t xml:space="preserve">Participation formalisée de la MOA aux tests de recette</t>
  </si>
  <si>
    <t xml:space="preserve">La participation de la MOA (Maîtrise d'Ouvrage) aux tests de recette est-elle formalisée ?</t>
  </si>
  <si>
    <t xml:space="preserve">Liste des participants MOA aux sessions de recette.</t>
  </si>
  <si>
    <t xml:space="preserve">Cahier de recette MOA.</t>
  </si>
  <si>
    <t xml:space="preserve">Recette inefficace, manquant des écarts critiques.</t>
  </si>
  <si>
    <t xml:space="preserve">Scénarios de test élaborés directement à partir des exigences métier</t>
  </si>
  <si>
    <t xml:space="preserve">Les scénarios de test de recette sont-ils élaborés directement à partir des exigences métier ?</t>
  </si>
  <si>
    <t xml:space="preserve">Cahier des charges fonctionnel.</t>
  </si>
  <si>
    <t xml:space="preserve">Rapport de recette MOA (section couverture).</t>
  </si>
  <si>
    <t xml:space="preserve">Scénarios mal alignés, réduisant la pertinence de la recette.</t>
  </si>
  <si>
    <t xml:space="preserve">Evaluation de la couverture fonctionnelle par rapport aux besoins exprimés</t>
  </si>
  <si>
    <t xml:space="preserve">La couverture fonctionnelle par rapport aux besoins exprimés est-elle évaluée lors de la recette ?</t>
  </si>
  <si>
    <t xml:space="preserve">Matrice de couverture des exigences métier.</t>
  </si>
  <si>
    <t xml:space="preserve">Procédure de recette MOA (section gestion des écarts).</t>
  </si>
  <si>
    <t xml:space="preserve">Couverture insuffisante, compromettant la validation des besoins.</t>
  </si>
  <si>
    <t xml:space="preserve">Processus formalisé d'acceptation ou de refus des écarts identifiés</t>
  </si>
  <si>
    <t xml:space="preserve">Un processus formalisé d'acceptation ou de refus des écarts identifiés lors de la recette existe-t-il ?</t>
  </si>
  <si>
    <t xml:space="preserve">Fiches d'anomalie/écart avec décision MOA.</t>
  </si>
  <si>
    <t xml:space="preserve">Exigences non-fonctionnelles (section ergo, perf, qualité).</t>
  </si>
  <si>
    <t xml:space="preserve">Écarts mal gérés, entraînant des retards ou des conflits.</t>
  </si>
  <si>
    <t xml:space="preserve">S’assurer que les tests portent sur l'acceptation technique du
système (ergonomie, performance, qualité des entrées/sorties…)</t>
  </si>
  <si>
    <t xml:space="preserve">Définition de critères mesurables pour l'ergonomie, la performance et la qualité</t>
  </si>
  <si>
    <t xml:space="preserve">Des critères mesurables sont-ils définis pour évaluer l'ergonomie, la performance et la qualité ?</t>
  </si>
  <si>
    <t xml:space="preserve">Plan d'assurance qualité projet (indicateurs).</t>
  </si>
  <si>
    <t xml:space="preserve">Rapport de tests de charge et performance.</t>
  </si>
  <si>
    <t xml:space="preserve">Absence de critères mesurables, rendant l’évaluation de l’ergonomie, des performances et de la qualité subjective.</t>
  </si>
  <si>
    <t xml:space="preserve">Tests de charge et de performance calibrés selon l'usage prévu</t>
  </si>
  <si>
    <t xml:space="preserve">Les tests de charge et de performance sont-ils calibrés en fonction de l'usage prévu du système ?</t>
  </si>
  <si>
    <t xml:space="preserve">Scénarios de tests de performance basés sur volumétrie cible.</t>
  </si>
  <si>
    <t xml:space="preserve">Rapport d'évaluation ergonomique.</t>
  </si>
  <si>
    <t xml:space="preserve">Tests mal calibrés, entraînant des performances inadéquates en conditions réelles.</t>
  </si>
  <si>
    <t xml:space="preserve">Evaluation de l'ergonomie par un panel d'utilisateurs représentatifs</t>
  </si>
  <si>
    <t xml:space="preserve">L'ergonomie du système est-elle évaluée par un panel d'utilisateurs représentatifs ?</t>
  </si>
  <si>
    <t xml:space="preserve">Compte rendu des tests utilisateurs spécifiques à l'ergonomie.</t>
  </si>
  <si>
    <t xml:space="preserve">Standards de qualité des données (si formalisés).</t>
  </si>
  <si>
    <t xml:space="preserve">Évaluation non représentative, compromettant l’ergonomie pour certains utilisateurs.</t>
  </si>
  <si>
    <t xml:space="preserve">Vérification de la qualité des entrées/sorties selon des standards prédéfinis</t>
  </si>
  <si>
    <t xml:space="preserve">La qualité des entrées et sorties du système est-elle vérifiée selon des standards prédéfinis ?</t>
  </si>
  <si>
    <t xml:space="preserve">Résultats des tests de validation des données d'entrée/sortie.</t>
  </si>
  <si>
    <t xml:space="preserve">Rapport de tests de performance (sections temps de réponse).</t>
  </si>
  <si>
    <t xml:space="preserve">Qualité non vérifiée, risquant des erreurs dans les données traitées.</t>
  </si>
  <si>
    <t xml:space="preserve">Mesure du temps de réponse dans diverses conditions d'utilisation</t>
  </si>
  <si>
    <t xml:space="preserve">Le temps de réponse du système est-il mesuré dans diverses conditions d'utilisation ?</t>
  </si>
  <si>
    <t xml:space="preserve">Exigences non-fonctionnelles (objectifs de temps de réponse).</t>
  </si>
  <si>
    <t xml:space="preserve">Plan de recette d'exploitation (ou VABE : Vérification Aptitude Bonne Exploitation).</t>
  </si>
  <si>
    <t xml:space="preserve">Temps de réponse non mesuré, entraînant une expérience utilisateur dégradée.</t>
  </si>
  <si>
    <t xml:space="preserve">S’assurer qu’il existe des tests de pré-exploitation</t>
  </si>
  <si>
    <t xml:space="preserve">Existence d'un plan de tests spécifique à la phase de pré-exploitation</t>
  </si>
  <si>
    <t xml:space="preserve">Existe-t-il un plan de tests spécifique à la phase de pré-exploitation / pré-production ?</t>
  </si>
  <si>
    <t xml:space="preserve">Stratégie de test (section tests de pré-exploitation).</t>
  </si>
  <si>
    <t xml:space="preserve">Description de l'environnement de pré-production.</t>
  </si>
  <si>
    <t xml:space="preserve">Tests pré-exploitation absents, augmentant les risques d’échec en production.</t>
  </si>
  <si>
    <t xml:space="preserve">Simulation des conditions réelles d'exploitation dans un environnement de préproduction</t>
  </si>
  <si>
    <t xml:space="preserve">Les conditions réelles d'exploitation sont-elles simulées dans un environnement de pré-production ?</t>
  </si>
  <si>
    <t xml:space="preserve">Scénarios de tests de pré-exploitation.</t>
  </si>
  <si>
    <t xml:space="preserve">Manuel d'exploitation.</t>
  </si>
  <si>
    <t xml:space="preserve">Conditions non simulées, manquant des problèmes critiques en production.</t>
  </si>
  <si>
    <t xml:space="preserve">Vérification des procédures d'exploitation (sauvegardes, redémarrages, etc.)</t>
  </si>
  <si>
    <t xml:space="preserve">Les procédures d'exploitation (sauvegardes, redémarrages, etc.) sont-elles vérifiées en pré-production ?</t>
  </si>
  <si>
    <t xml:space="preserve">Résultats des tests des procédures d'exploitation.</t>
  </si>
  <si>
    <t xml:space="preserve">Plan de continuité d'activité (PCA) / Plan de reprise d'activité (PRA).</t>
  </si>
  <si>
    <t xml:space="preserve">Procédures non vérifiées, entraînant des échecs lors de l’exploitation.</t>
  </si>
  <si>
    <t xml:space="preserve">Tests des procédures de reprise sur incident et de continuité d'activité</t>
  </si>
  <si>
    <t xml:space="preserve">Les procédures de reprise sur incident et de continuité d'activité sont-elles testées ?</t>
  </si>
  <si>
    <t xml:space="preserve">Rapport des tests de PCA/PRA.</t>
  </si>
  <si>
    <t xml:space="preserve">Manuel d'administration et de supervision.</t>
  </si>
  <si>
    <t xml:space="preserve">Reprises non testées, compromettant la continuité d’activité.</t>
  </si>
  <si>
    <t xml:space="preserve">Validation des outils de supervision et d'administration du système</t>
  </si>
  <si>
    <t xml:space="preserve">Les outils de supervision et d'administration du système sont-ils validés ?</t>
  </si>
  <si>
    <t xml:space="preserve">Résultats des tests des outils d'administration/supervision.</t>
  </si>
  <si>
    <t xml:space="preserve">Dossier d'architecture technique (DAT).</t>
  </si>
  <si>
    <t xml:space="preserve">Outils non validés, réduisant l’efficacité de la supervision.</t>
  </si>
  <si>
    <t xml:space="preserve">S’assurer que ces tests s'assurent de la bonne intégration de
l'application dans l'environnement de production</t>
  </si>
  <si>
    <t xml:space="preserve">Vérification de la compatibilité avec l'infrastructure technique de production</t>
  </si>
  <si>
    <t xml:space="preserve">La compatibilité du système avec l'infrastructure technique de production est-elle vérifiée ?</t>
  </si>
  <si>
    <t xml:space="preserve">Résultats des tests en environnement de pré-production.</t>
  </si>
  <si>
    <t xml:space="preserve">Cartographie applicative du SI.</t>
  </si>
  <si>
    <t xml:space="preserve">Incompatibilités non détectées, entraînant des dysfonctionnements en production.</t>
  </si>
  <si>
    <t xml:space="preserve">Tests de cohabitation avec les autres applications du système d'information</t>
  </si>
  <si>
    <t xml:space="preserve">Des tests de cohabitation avec les autres applications du SI sont-ils réalisés ?</t>
  </si>
  <si>
    <t xml:space="preserve">Rapport des tests d'intégration et de cohabitation.</t>
  </si>
  <si>
    <t xml:space="preserve">Rapport des tests de performance en pré-production.</t>
  </si>
  <si>
    <t xml:space="preserve">Cohabitation non testée, provoquant des interférences avec d’autres applications.</t>
  </si>
  <si>
    <t xml:space="preserve">Validation des performances dans l'environnement cible avec charges réelles</t>
  </si>
  <si>
    <t xml:space="preserve">Les performances sont-elles validées dans l'environnement cible avec des charges représentatives ?</t>
  </si>
  <si>
    <t xml:space="preserve">Résultats du monitoring lors des tests de charge.</t>
  </si>
  <si>
    <t xml:space="preserve">Spécifications d'intégration aux outils de supervision/sécurité.</t>
  </si>
  <si>
    <t xml:space="preserve">Performances non validées, entraînant une expérience utilisateur dégradée.</t>
  </si>
  <si>
    <t xml:space="preserve">Vérification de l'intégration aux outils de supervision et de sécurité existants</t>
  </si>
  <si>
    <t xml:space="preserve">L'intégration aux outils de supervision et de sécurité existants est-elle vérifiée ?</t>
  </si>
  <si>
    <t xml:space="preserve">Résultats des tests d'intégration (logs, alertes...).</t>
  </si>
  <si>
    <t xml:space="preserve">Manuel d'exploitation (procédures quotidiennes).</t>
  </si>
  <si>
    <t xml:space="preserve">Intégration non vérifiée, compromettant la sécurité et la supervision.</t>
  </si>
  <si>
    <t xml:space="preserve">Tests des procédures opérationnelles de gestion quotidienne du système</t>
  </si>
  <si>
    <t xml:space="preserve">Les procédures opérationnelles de gestion quotidienne du système sont-elles testées ?</t>
  </si>
  <si>
    <t xml:space="preserve">Check-list d'exploitation quotidienne testée.</t>
  </si>
  <si>
    <t xml:space="preserve">Synthèse des études d'opportunité ou de faisabilité.</t>
  </si>
  <si>
    <t xml:space="preserve">Procédures non testées, entraînant des erreurs dans la gestion quotidienne.</t>
  </si>
  <si>
    <t xml:space="preserve">Conduite du changement et mise en œuvre</t>
  </si>
  <si>
    <t xml:space="preserve">S’assurer qu’il existe une synthèse de l'évaluation des
Changements</t>
  </si>
  <si>
    <t xml:space="preserve">Existence d'un document formel de synthèse des évaluations de changements</t>
  </si>
  <si>
    <t xml:space="preserve">Existe-t-il un document formel synthétisant l'évaluation des impacts des changements induits par le projet ?</t>
  </si>
  <si>
    <t xml:space="preserve">Demande de changement documentée (incluant évaluation).</t>
  </si>
  <si>
    <t xml:space="preserve">Registre des changements.</t>
  </si>
  <si>
    <t xml:space="preserve">Impacts mal évalués, entraînant des résistances ou des échecs imprévus.</t>
  </si>
  <si>
    <t xml:space="preserve">Exhaustivité de la synthèse couvrant tous les changements significatifs</t>
  </si>
  <si>
    <t xml:space="preserve">La synthèse des impacts couvre-t-elle tous les changements significatifs (techniques, organisationnels, financiers) ?</t>
  </si>
  <si>
    <t xml:space="preserve">Synthèse des études couvrant les changements listés.</t>
  </si>
  <si>
    <t xml:space="preserve">Modèle de document de synthèse des impacts.</t>
  </si>
  <si>
    <t xml:space="preserve">Impacts incomplets, manquant des changements critiques.</t>
  </si>
  <si>
    <t xml:space="preserve">Structuration claire des impacts identifiés (techniques, organisationnels, financiers)</t>
  </si>
  <si>
    <t xml:space="preserve">Les impacts identifiés sont-ils clairement structurés dans le document de synthèse ?</t>
  </si>
  <si>
    <t xml:space="preserve">Synthèse des études (sections impacts tech/orga/fin).</t>
  </si>
  <si>
    <t xml:space="preserve">Procédure de gestion des changements (indiquant la fréquence).</t>
  </si>
  <si>
    <t xml:space="preserve">Impacts mal structurés, compliquant leur compréhension par les parties prenantes.</t>
  </si>
  <si>
    <t xml:space="preserve">Fréquence de mise à jour de la synthèse</t>
  </si>
  <si>
    <t xml:space="preserve">La synthèse des impacts est-elle mise à jour à une fréquence définie ou à des jalons clés ?</t>
  </si>
  <si>
    <t xml:space="preserve">Historique des versions de la synthèse.</t>
  </si>
  <si>
    <t xml:space="preserve">Liste de diffusion de la synthèse.</t>
  </si>
  <si>
    <t xml:space="preserve">Synthèse obsolète, réduisant sa pertinence pour la prise de décision.</t>
  </si>
  <si>
    <t xml:space="preserve">Accessibilité de la synthèse aux parties prenantes concernées</t>
  </si>
  <si>
    <t xml:space="preserve">La synthèse des impacts est-elle accessible aux parties prenantes concernées ?</t>
  </si>
  <si>
    <t xml:space="preserve">Preuve d'accès à l'outil/répertoire contenant la synthèse.</t>
  </si>
  <si>
    <t xml:space="preserve">Document de synthèse signé.</t>
  </si>
  <si>
    <t xml:space="preserve">Synthèse inaccessible, limitant l’engagement des parties prenantes.</t>
  </si>
  <si>
    <t xml:space="preserve">S’assurer que l'évaluation des changements a été validée</t>
  </si>
  <si>
    <t xml:space="preserve">Présence des signatures/approbations formelles des autorités compétentes</t>
  </si>
  <si>
    <t xml:space="preserve">Le document de synthèse des impacts (ou la demande de changement associée) comporte-t-il les signatures/approbations formelles requises ?</t>
  </si>
  <si>
    <t xml:space="preserve">Workflow d'approbation dans l'outil de gestion des changements.</t>
  </si>
  <si>
    <t xml:space="preserve">Historique de validation dans l'outil de gestion des changements.</t>
  </si>
  <si>
    <t xml:space="preserve">Approbations absentes, compromettant la légitimité des changements.</t>
  </si>
  <si>
    <t xml:space="preserve">Traçabilité du processus de validation (dates, versions, commentaires)</t>
  </si>
  <si>
    <t xml:space="preserve">Le processus de validation de l'évaluation des impacts est-il traçable (dates, versions, commentaires) ?</t>
  </si>
  <si>
    <t xml:space="preserve">Document de synthèse avec historique des versions/validations.</t>
  </si>
  <si>
    <t xml:space="preserve">Liste des valideurs incluant des experts métiers.</t>
  </si>
  <si>
    <t xml:space="preserve">Validation non tracée, réduisant la transparence du processus.</t>
  </si>
  <si>
    <t xml:space="preserve">Implication des experts métiers dans la validation</t>
  </si>
  <si>
    <t xml:space="preserve">Des experts métiers ont-ils été impliqués dans la validation de l'évaluation des impacts ?</t>
  </si>
  <si>
    <t xml:space="preserve">Compte rendu de validation avec participants.</t>
  </si>
  <si>
    <t xml:space="preserve">Procédure interne de gestion des changements.</t>
  </si>
  <si>
    <t xml:space="preserve">Validation sans experts, risquant des impacts mal évalués.</t>
  </si>
  <si>
    <t xml:space="preserve">Conformité du processus de validation avec les procédures internes</t>
  </si>
  <si>
    <t xml:space="preserve">Le processus de validation des changements est-il conforme aux procédures internes de gestion du changement ?</t>
  </si>
  <si>
    <t xml:space="preserve">Audit du processus de validation (si réalisé).</t>
  </si>
  <si>
    <t xml:space="preserve">Procédure de gestion des changements (section responsabilités).</t>
  </si>
  <si>
    <t xml:space="preserve">Non-conformité aux procédures, entraînant des rejets ou des conflits.</t>
  </si>
  <si>
    <t xml:space="preserve">Existence d'une matrice des responsabilités pour la validation des changements</t>
  </si>
  <si>
    <t xml:space="preserve">Existe-t-il une matrice définissant les responsabilités pour la validation des changements ?</t>
  </si>
  <si>
    <t xml:space="preserve">Matrice RACI pour la gestion des changements.</t>
  </si>
  <si>
    <t xml:space="preserve">Liste des personnes auditées/interrogées (pour l'audit).</t>
  </si>
  <si>
    <t xml:space="preserve">Responsabilités floues, provoquant des retards dans la validation.</t>
  </si>
  <si>
    <t xml:space="preserve">S’assurer que les entretiens réalisés sont représentatifs</t>
  </si>
  <si>
    <t xml:space="preserve">Diversité des profils interrogés (métiers, niveaux hiérarchiques, ancienneté)</t>
  </si>
  <si>
    <t xml:space="preserve">Les preuves d'audit (ex: comptes rendus d'entretiens) montrent-elles qu'une diversité de profils a été interrogée (métiers, niveaux hiérarchiques, ancienneté) ?</t>
  </si>
  <si>
    <t xml:space="preserve">Organigramme de l'entreprise/des services impactés.</t>
  </si>
  <si>
    <t xml:space="preserve">Cartographie des services/départements impactés.</t>
  </si>
  <si>
    <t xml:space="preserve">Profils non diversifiés, manquant des perspectives critiques.</t>
  </si>
  <si>
    <t xml:space="preserve">Couverture de l'ensemble des services/départements impactés</t>
  </si>
  <si>
    <t xml:space="preserve">Les entretiens menés couvrent-ils l'ensemble des services/départements impactés par le projet/changement ?</t>
  </si>
  <si>
    <t xml:space="preserve">Liste des personnes auditées couvrant les services identifiés.</t>
  </si>
  <si>
    <t xml:space="preserve">Liste des personnes ciblées pour entretien.</t>
  </si>
  <si>
    <t xml:space="preserve">Services non couverts, entraînant des impacts non anticipés.</t>
  </si>
  <si>
    <t xml:space="preserve">Taux de participation aux entretiens par rapport à la population cible</t>
  </si>
  <si>
    <t xml:space="preserve">Le taux de participation aux entretiens par rapport à la population cible a-t-il été mesuré ou estimé ?</t>
  </si>
  <si>
    <t xml:space="preserve">Liste des entretiens réalisés.</t>
  </si>
  <si>
    <t xml:space="preserve">Guide d'entretien de l'audit.</t>
  </si>
  <si>
    <t xml:space="preserve">Participation non mesurée, réduisant la fiabilité des conclusions.</t>
  </si>
  <si>
    <t xml:space="preserve">Pertinence des questions posées par rapport aux objectifs d'audit</t>
  </si>
  <si>
    <t xml:space="preserve">Les questions posées lors des entretiens étaient-elles pertinentes par rapport aux objectifs de l'audit ?</t>
  </si>
  <si>
    <t xml:space="preserve">Plan d'audit détaillé.</t>
  </si>
  <si>
    <t xml:space="preserve">Modèle de grille d'entretien.</t>
  </si>
  <si>
    <t xml:space="preserve">Questions inadaptées, compromettant la pertinence des retours.</t>
  </si>
  <si>
    <t xml:space="preserve">Documentation standardisée des entretiens (grilles, comptes rendus)</t>
  </si>
  <si>
    <t xml:space="preserve">La documentation des entretiens est-elle standardisée (grilles, comptes rendus) ?</t>
  </si>
  <si>
    <t xml:space="preserve">Comptes rendus d'entretien standardisés.</t>
  </si>
  <si>
    <t xml:space="preserve">Plan de conduite du changement (section implication utilisateurs).</t>
  </si>
  <si>
    <t xml:space="preserve">Documentation non standardisée, compliquant l’analyse des entretiens.</t>
  </si>
  <si>
    <t xml:space="preserve">S’assurer que les utilisateurs participent à l'évaluation des
Changements</t>
  </si>
  <si>
    <t xml:space="preserve">Existence d'un processus formel d'implication des utilisateurs</t>
  </si>
  <si>
    <t xml:space="preserve">Un processus formel d'implication des utilisateurs tout au long du projet existe-t-il ?</t>
  </si>
  <si>
    <t xml:space="preserve">Procédure de gestion de projet (section implication utilisateurs).</t>
  </si>
  <si>
    <t xml:space="preserve">Plan de communication et de participation.</t>
  </si>
  <si>
    <t xml:space="preserve">Implication non formalisée, réduisant l’engagement des utilisateurs.</t>
  </si>
  <si>
    <t xml:space="preserve">Diversité des mécanismes de participation (ateliers, sondages, tests)</t>
  </si>
  <si>
    <t xml:space="preserve">L'implication des utilisateurs fait-elle appel à des mécanismes variés (ateliers, sondages, tests) ?</t>
  </si>
  <si>
    <t xml:space="preserve">Exemples de supports utilisés (convocations ateliers, sondages...).</t>
  </si>
  <si>
    <t xml:space="preserve">Comptes rendus d'ateliers utilisateurs.</t>
  </si>
  <si>
    <t xml:space="preserve">Mécanismes limités, manquant des retours critiques des utilisateurs.</t>
  </si>
  <si>
    <t xml:space="preserve">Prise en compte documentée des retours utilisateurs</t>
  </si>
  <si>
    <t xml:space="preserve">La prise en compte des retours utilisateurs est-elle documentée et traçable ?</t>
  </si>
  <si>
    <t xml:space="preserve">Registre de suivi des retours/demandes utilisateurs.</t>
  </si>
  <si>
    <t xml:space="preserve">Analyse de la population cible utilisateurs.</t>
  </si>
  <si>
    <t xml:space="preserve">Retours non tracés, entraînant des négligences dans leur prise en compte.</t>
  </si>
  <si>
    <t xml:space="preserve">Représentativité des utilisateurs impliqués dans le processus</t>
  </si>
  <si>
    <t xml:space="preserve">Les utilisateurs impliqués dans le processus sont-ils représentatifs de la population utilisateur globale ?</t>
  </si>
  <si>
    <t xml:space="preserve">Liste des utilisateurs participants vs population cible.</t>
  </si>
  <si>
    <t xml:space="preserve">Planning projet détaillé (montrant les consultations).</t>
  </si>
  <si>
    <t xml:space="preserve">Utilisateurs non représentatifs, compromettant la pertinence des retours.</t>
  </si>
  <si>
    <t xml:space="preserve">Fréquence des consultations utilisateurs à chaque phase du projet</t>
  </si>
  <si>
    <t xml:space="preserve">Les utilisateurs sont-ils consultés à des fréquences adaptées aux différentes phases du projet ?</t>
  </si>
  <si>
    <t xml:space="preserve">Plan de conduite du changement.</t>
  </si>
  <si>
    <t xml:space="preserve">Plan de communication du projet.</t>
  </si>
  <si>
    <t xml:space="preserve">Consultations irrégulières, réduisant l’adhésion des utilisateurs.</t>
  </si>
  <si>
    <t xml:space="preserve">S’assurer qu’il existe un plan de communication complet</t>
  </si>
  <si>
    <t xml:space="preserve">Existence d'un document formalisé détaillant le plan de communication</t>
  </si>
  <si>
    <t xml:space="preserve">Un document formalisé détaillant le plan de communication du projet existe-t-il ?</t>
  </si>
  <si>
    <t xml:space="preserve">Stratégie de communication.</t>
  </si>
  <si>
    <t xml:space="preserve">Plan de communication (section objectifs par cible).</t>
  </si>
  <si>
    <t xml:space="preserve">Communication non planifiée, entraînant des malentendus ou un désengagement.</t>
  </si>
  <si>
    <t xml:space="preserve">Définition claire des objectifs de communication pour chaque cible</t>
  </si>
  <si>
    <t xml:space="preserve">Des objectifs de communication clairs sont-ils définis pour chaque cible dans le plan ?</t>
  </si>
  <si>
    <t xml:space="preserve">Analyse des parties prenantes.</t>
  </si>
  <si>
    <t xml:space="preserve">Plan de communication (calendrier des actions).</t>
  </si>
  <si>
    <t xml:space="preserve">Objectifs flous, réduisant l’efficacité des communications.</t>
  </si>
  <si>
    <t xml:space="preserve">Planification temporelle des actions de communication</t>
  </si>
  <si>
    <t xml:space="preserve">Le plan de communication inclut-il une planification temporelle des actions ?</t>
  </si>
  <si>
    <t xml:space="preserve">Planning projet global.</t>
  </si>
  <si>
    <t xml:space="preserve">Plan de communication (section canaux par cible).</t>
  </si>
  <si>
    <t xml:space="preserve">Actions non planifiées, entraînant des retards dans la diffusion des messages.</t>
  </si>
  <si>
    <t xml:space="preserve">Identification des canaux de communication adaptés à chaque audience</t>
  </si>
  <si>
    <t xml:space="preserve">Le plan identifie-t-il les canaux de communication adaptés à chaque audience ?</t>
  </si>
  <si>
    <t xml:space="preserve">Politique de communication interne de l'entreprise.</t>
  </si>
  <si>
    <t xml:space="preserve">Plan de communication (section indicateurs/mesure).</t>
  </si>
  <si>
    <t xml:space="preserve">Canaux inadaptés, limitant la portée des communications.</t>
  </si>
  <si>
    <t xml:space="preserve">Définition des indicateurs de mesure d'efficacité de la communication</t>
  </si>
  <si>
    <t xml:space="preserve">Des indicateurs pour mesurer l'efficacité de la communication sont-ils définis dans le plan ?</t>
  </si>
  <si>
    <t xml:space="preserve">Tableau de bord de suivi du projet (indicateurs communication).</t>
  </si>
  <si>
    <t xml:space="preserve">Exemples de supports de communication.</t>
  </si>
  <si>
    <t xml:space="preserve">Efficacité non mesurée, compromettant l’amélioration des communications.</t>
  </si>
  <si>
    <t xml:space="preserve">S’assurer que les messages sont clairs et simples</t>
  </si>
  <si>
    <t xml:space="preserve">Utilisation d'un vocabulaire adapté au niveau des destinataires</t>
  </si>
  <si>
    <t xml:space="preserve">Le vocabulaire utilisé dans les communications est-il adapté au niveau des destinataires ?</t>
  </si>
  <si>
    <t xml:space="preserve">Charte de communication projet (si existante).</t>
  </si>
  <si>
    <t xml:space="preserve">Exemples de supports de communication destinés aux non-techniciens.</t>
  </si>
  <si>
    <t xml:space="preserve">Vocabulaire inadapté, entraînant des incompréhensions par les destinataires.</t>
  </si>
  <si>
    <t xml:space="preserve">Absence de jargon technique non expliqué</t>
  </si>
  <si>
    <t xml:space="preserve">Les communications évitent-elles le jargon technique non expliqué ?</t>
  </si>
  <si>
    <t xml:space="preserve">Glossaire projet (si existant).</t>
  </si>
  <si>
    <t xml:space="preserve">Exemples de supports de communication structurés.</t>
  </si>
  <si>
    <t xml:space="preserve">Jargon non expliqué, réduisant la clarté des messages.</t>
  </si>
  <si>
    <t xml:space="preserve">Structure logique et cohérente des messages diffusés</t>
  </si>
  <si>
    <t xml:space="preserve">Les messages diffusés sont-ils structurés de manière logique et cohérente ?</t>
  </si>
  <si>
    <t xml:space="preserve">Modèles de communication projet.</t>
  </si>
  <si>
    <t xml:space="preserve">Exemples de présentations, infographies, vidéos utilisées.</t>
  </si>
  <si>
    <t xml:space="preserve">Messages désorganisés, compliquant leur compréhension.</t>
  </si>
  <si>
    <t xml:space="preserve">Présence de supports visuels facilitant la compréhension</t>
  </si>
  <si>
    <t xml:space="preserve">Les communications utilisent-elles des supports visuels pour faciliter la compréhension lorsque c'est pertinent ?</t>
  </si>
  <si>
    <t xml:space="preserve">Plan de communication (mentionnant les types de supports).</t>
  </si>
  <si>
    <t xml:space="preserve">Enquêtes de compréhension post-communication.</t>
  </si>
  <si>
    <t xml:space="preserve">Supports visuels absents, réduisant l’accessibilité des messages.</t>
  </si>
  <si>
    <t xml:space="preserve">Mécanisme de feedback pour vérifier la compréhension des messages</t>
  </si>
  <si>
    <t xml:space="preserve">Un mécanisme de feedback existe-t-il pour vérifier la compréhension des messages communiqués ?</t>
  </si>
  <si>
    <t xml:space="preserve">Compte rendu de sessions questions/réponses.</t>
  </si>
  <si>
    <t xml:space="preserve">Plan de communication aligné sur le planning projet.</t>
  </si>
  <si>
    <t xml:space="preserve">Feedback non collecté, manquant des opportunités d’amélioration.</t>
  </si>
  <si>
    <t xml:space="preserve">S’assurer que la communication évolue et progresse par rapport
au développement du projet</t>
  </si>
  <si>
    <t xml:space="preserve">Synchronisation entre le calendrier du projet et le plan de communication</t>
  </si>
  <si>
    <t xml:space="preserve">Le plan de communication est-il synchronisé avec le calendrier du projet ?</t>
  </si>
  <si>
    <t xml:space="preserve">Compte rendu de comité de pilotage (validation alignement).</t>
  </si>
  <si>
    <t xml:space="preserve">Exemples de communication pour différentes phases (lancement, déploiement...).</t>
  </si>
  <si>
    <t xml:space="preserve">Communication désynchronisée, entraînant des messages hors contexte.</t>
  </si>
  <si>
    <t xml:space="preserve">Adaptation des messages aux différentes phases du projet</t>
  </si>
  <si>
    <t xml:space="preserve">Les messages de communication sont-ils adaptés aux différentes phases du projet ?</t>
  </si>
  <si>
    <t xml:space="preserve">Plan de communication détaillé par phase.</t>
  </si>
  <si>
    <t xml:space="preserve">Historique des versions des supports de communication.</t>
  </si>
  <si>
    <t xml:space="preserve">Messages non adaptés, réduisant leur pertinence par phase.</t>
  </si>
  <si>
    <t xml:space="preserve">Mise à jour régulière des supports de communication</t>
  </si>
  <si>
    <t xml:space="preserve">Les supports de communication sont-ils mis à jour régulièrement ?</t>
  </si>
  <si>
    <t xml:space="preserve">Site intranet projet ou espace partagé mis à jour.</t>
  </si>
  <si>
    <t xml:space="preserve">Procédure de communication des changements projet.</t>
  </si>
  <si>
    <t xml:space="preserve">Supports obsolètes, entraînant des informations erronées.</t>
  </si>
  <si>
    <t xml:space="preserve">Mécanismes d'alerte en cas de modification du projet</t>
  </si>
  <si>
    <t xml:space="preserve">Des mécanismes d'alerte sont-ils en place pour communiquer les modifications importantes du projet aux parties prenantes ?</t>
  </si>
  <si>
    <t xml:space="preserve">Exemples de communication d'alerte ou de modification.</t>
  </si>
  <si>
    <t xml:space="preserve">Archives des communications projet.</t>
  </si>
  <si>
    <t xml:space="preserve">Alertes absentes, retardant l’information sur les changements critiques.</t>
  </si>
  <si>
    <t xml:space="preserve">Traçabilité des évolutions des messages communiqués</t>
  </si>
  <si>
    <t xml:space="preserve">L'évolution des messages clés communiqués est-elle traçable au fil du temps ?</t>
  </si>
  <si>
    <t xml:space="preserve">Historique des versions du plan de communication.</t>
  </si>
  <si>
    <t xml:space="preserve">Communications signées ou co-signées par la MOA.</t>
  </si>
  <si>
    <t xml:space="preserve">Évolution non tracée, compliquant la cohérence des messages.</t>
  </si>
  <si>
    <t xml:space="preserve">S’assurer que la communication est fortement soutenue par la
MOA</t>
  </si>
  <si>
    <t xml:space="preserve">Implication visible de la MOA dans les communications importantes</t>
  </si>
  <si>
    <t xml:space="preserve">La Maîtrise d'Ouvrage (MOA) est-elle visiblement impliquée dans les communications importantes du projet ?</t>
  </si>
  <si>
    <t xml:space="preserve">Compte rendu d'événements avec intervention de la MOA.</t>
  </si>
  <si>
    <t xml:space="preserve">Exemples de communications co-signées MOA.</t>
  </si>
  <si>
    <t xml:space="preserve">MOA absente, réduisant la crédibilité des communications.</t>
  </si>
  <si>
    <t xml:space="preserve">Allocation de ressources suffisantes pour la communication</t>
  </si>
  <si>
    <t xml:space="preserve">Des ressources suffisantes (humaines, budgétaires) sont-elles allouées à la communication du projet ?</t>
  </si>
  <si>
    <t xml:space="preserve">Comptes rendus d'événements projet avec intervention MOA.</t>
  </si>
  <si>
    <t xml:space="preserve">Budget détaillé du projet (ligne communication).</t>
  </si>
  <si>
    <t xml:space="preserve">Ressources insuffisantes, limitant l’efficacité de la communication.</t>
  </si>
  <si>
    <t xml:space="preserve">Validation systématique des messages clés par la MOA</t>
  </si>
  <si>
    <t xml:space="preserve">Les messages clés destinés aux parties prenantes sont-ils systématiquement validés par la MOA ?</t>
  </si>
  <si>
    <t xml:space="preserve">Plan de charge des ressources affectées à la communication.</t>
  </si>
  <si>
    <t xml:space="preserve">Procédure de validation des communications.</t>
  </si>
  <si>
    <t xml:space="preserve">Messages non validés, risquant des incohérences ou des erreurs.</t>
  </si>
  <si>
    <t xml:space="preserve">Présence de la MOA lors des événements de communication majeurs</t>
  </si>
  <si>
    <t xml:space="preserve">La MOA est-elle présente lors des événements de communication majeurs (réunions d'information, lancements...) ?</t>
  </si>
  <si>
    <t xml:space="preserve">Emails ou preuves de validation MOA des messages clés.</t>
  </si>
  <si>
    <t xml:space="preserve">Listes de présence des événements de communication.</t>
  </si>
  <si>
    <t xml:space="preserve">MOA absente, réduisant l’impact des événements de communication.</t>
  </si>
  <si>
    <t xml:space="preserve">Cohérence entre le discours de la MOA et les autres communications du projet</t>
  </si>
  <si>
    <t xml:space="preserve">Le discours de la MOA est-il cohérent avec les autres communications diffusées sur le projet ?</t>
  </si>
  <si>
    <t xml:space="preserve">Ordres du jour des événements mentionnant l'intervention MOA.</t>
  </si>
  <si>
    <t xml:space="preserve">Discours/présentations de la MOA.</t>
  </si>
  <si>
    <t xml:space="preserve">Discours incohérent, entraînant une perte de confiance des parties prenantes.</t>
  </si>
  <si>
    <t xml:space="preserve">S’assurer qu’il existe un plan de formation</t>
  </si>
  <si>
    <t xml:space="preserve">Existence d'un document formalisé détaillant le plan de formation</t>
  </si>
  <si>
    <t xml:space="preserve">Un document formalisé détaillant le plan de formation existe-t-il ?</t>
  </si>
  <si>
    <t xml:space="preserve">Autres supports de communication projet (pour comparaison).</t>
  </si>
  <si>
    <t xml:space="preserve">Plan de formation détaillé.</t>
  </si>
  <si>
    <t xml:space="preserve">Formation non planifiée, compromettant l’adoption du système.</t>
  </si>
  <si>
    <t xml:space="preserve">Identification des besoins de formation par profil d'utilisateur</t>
  </si>
  <si>
    <t xml:space="preserve">Les besoins de formation ont-ils été identifiés par profil d'utilisateur ?</t>
  </si>
  <si>
    <t xml:space="preserve">Stratégie de conduite du changement (section formation).</t>
  </si>
  <si>
    <t xml:space="preserve">Analyse des besoins de formation (par profil).</t>
  </si>
  <si>
    <t xml:space="preserve">Besoins mal identifiés, entraînant des formations inadaptées.</t>
  </si>
  <si>
    <t xml:space="preserve">Planification temporelle des sessions de formation</t>
  </si>
  <si>
    <t xml:space="preserve">Une planification temporelle des sessions de formation a-t-elle été établie ?</t>
  </si>
  <si>
    <t xml:space="preserve">Description des profils utilisateurs cibles.</t>
  </si>
  <si>
    <t xml:space="preserve">Calendrier détaillé des sessions de formation.</t>
  </si>
  <si>
    <t xml:space="preserve">Sessions non planifiées, entraînant des retards dans la montée en compétences.</t>
  </si>
  <si>
    <t xml:space="preserve">Définition des modalités pédagogiques adaptées (présentiel, e-learning)</t>
  </si>
  <si>
    <t xml:space="preserve">Les modalités pédagogiques adaptées (présentiel, e-learning, etc.) ont-elles été définies ?</t>
  </si>
  <si>
    <t xml:space="preserve">Plan de formation (section planning).</t>
  </si>
  <si>
    <t xml:space="preserve">Plan de formation (section modalités pédagogiques).</t>
  </si>
  <si>
    <t xml:space="preserve">Modalités inadaptées, réduisant l’efficacité des formations.</t>
  </si>
  <si>
    <t xml:space="preserve">Allocation des ressources nécessaires (formateurs, salles, matériel)</t>
  </si>
  <si>
    <t xml:space="preserve">Les ressources nécessaires à la formation (formateurs, salles, matériel) ont-elles été allouées ?</t>
  </si>
  <si>
    <t xml:space="preserve">Catalogue des supports de formation par modalité.</t>
  </si>
  <si>
    <t xml:space="preserve">Plan de formation (section ressources allouées).</t>
  </si>
  <si>
    <t xml:space="preserve">Ressources insuffisantes, limitant la qualité des formations.</t>
  </si>
  <si>
    <t xml:space="preserve">Documentation</t>
  </si>
  <si>
    <t xml:space="preserve">S’assurer qu’il existe un manuel d'utilisation</t>
  </si>
  <si>
    <t xml:space="preserve">Existence d'un manuel utilisateur formalisé et daté</t>
  </si>
  <si>
    <t xml:space="preserve">Existe-t-il un manuel utilisateur formalisé et daté ?</t>
  </si>
  <si>
    <t xml:space="preserve">Budget détaillé de la formation.</t>
  </si>
  <si>
    <t xml:space="preserve">Manuel utilisateur (dernière version validée).</t>
  </si>
  <si>
    <t xml:space="preserve">Manuel absent, compliquant l’utilisation du système.</t>
  </si>
  <si>
    <t xml:space="preserve">Couverture de l'ensemble des fonctionnalités du système</t>
  </si>
  <si>
    <t xml:space="preserve">Le manuel utilisateur couvre-t-il l'ensemble des fonctionnalités du système ?</t>
  </si>
  <si>
    <t xml:space="preserve">Historique des versions du manuel utilisateur.</t>
  </si>
  <si>
    <t xml:space="preserve">Manuel utilisateur (table des matières, contenu).</t>
  </si>
  <si>
    <t xml:space="preserve">Fonctionnalités non couvertes, réduisant l’efficacité des utilisateurs.</t>
  </si>
  <si>
    <t xml:space="preserve">Structure claire et logique du document</t>
  </si>
  <si>
    <t xml:space="preserve">Le manuel utilisateur est-il structuré de manière claire et logique ?</t>
  </si>
  <si>
    <t xml:space="preserve">Liste des fonctionnalités du système (pour comparaison).</t>
  </si>
  <si>
    <t xml:space="preserve">Manuel utilisateur (pour évaluation de la structure).</t>
  </si>
  <si>
    <t xml:space="preserve">Manuel désorganisé, compliquant la recherche d’informations.</t>
  </si>
  <si>
    <t xml:space="preserve">Présence d'un sommaire et d'un index facilitant la recherche</t>
  </si>
  <si>
    <t xml:space="preserve">Le manuel utilisateur contient-il un sommaire et un index facilitant la recherche d'information ?</t>
  </si>
  <si>
    <t xml:space="preserve">Guide de rédaction ou charte documentaire (si existant).</t>
  </si>
  <si>
    <t xml:space="preserve">Manuel utilisateur (vérification présence sommaire/index).</t>
  </si>
  <si>
    <t xml:space="preserve">Navigation difficile, réduisant l’utilité du manuel.</t>
  </si>
  <si>
    <t xml:space="preserve">Disponibilité du manuel dans des formats adaptés (papier, électronique)</t>
  </si>
  <si>
    <t xml:space="preserve">Le manuel utilisateur est-il disponible dans des formats adaptés (papier, électronique) ?</t>
  </si>
  <si>
    <t xml:space="preserve">Fonctionnalité de recherche dans la version électronique.</t>
  </si>
  <si>
    <t xml:space="preserve">Manuel utilisateur (versions papier et électronique).</t>
  </si>
  <si>
    <t xml:space="preserve">Formats inadaptés, limitant l’accessibilité du manuel.</t>
  </si>
  <si>
    <t xml:space="preserve">S’assurer que le manuel utilisateur est conforme aux normes en
Vigueur</t>
  </si>
  <si>
    <t xml:space="preserve">Respect des normes documentaires internes à l'organisation</t>
  </si>
  <si>
    <t xml:space="preserve">Le manuel utilisateur respecte-t-il les normes documentaires internes de l'organisation ?</t>
  </si>
  <si>
    <t xml:space="preserve">Plan de diffusion du manuel utilisateur.</t>
  </si>
  <si>
    <t xml:space="preserve">Manuel utilisateur.</t>
  </si>
  <si>
    <t xml:space="preserve">Manuel non conforme, risquant des erreurs d’utilisation.</t>
  </si>
  <si>
    <t xml:space="preserve">Conformité avec les exigences légales applicables</t>
  </si>
  <si>
    <t xml:space="preserve">Le manuel utilisateur est-il conforme aux exigences légales applicables (si pertinent) ?</t>
  </si>
  <si>
    <t xml:space="preserve">Référentiel des normes documentaires internes.</t>
  </si>
  <si>
    <t xml:space="preserve">Non-conformité légale, entraînant des sanctions potentielles.</t>
  </si>
  <si>
    <t xml:space="preserve">Application des standards de l'industrie pour la documentation technique</t>
  </si>
  <si>
    <t xml:space="preserve">Le manuel utilisateur applique-t-il les standards reconnus de l'industrie pour la documentation technique ?</t>
  </si>
  <si>
    <t xml:space="preserve">Liste des exigences légales applicables (si identifiées).</t>
  </si>
  <si>
    <t xml:space="preserve">Manuel non standardisé, réduisant sa fiabilité.</t>
  </si>
  <si>
    <t xml:space="preserve">Présence des mentions légales et droits d'auteur requis</t>
  </si>
  <si>
    <t xml:space="preserve">Le manuel utilisateur contient-il les mentions légales et les droits d'auteur requis ?</t>
  </si>
  <si>
    <t xml:space="preserve">Référentiel des standards de l'industrie (ex: ISO, normes spécifiques).</t>
  </si>
  <si>
    <t xml:space="preserve">Manuel utilisateur (vérification des mentions).</t>
  </si>
  <si>
    <t xml:space="preserve">Mentions absentes, compromettant la conformité légale.</t>
  </si>
  <si>
    <t xml:space="preserve">Validation du manuel par les services juridiques/conformité si nécessaire</t>
  </si>
  <si>
    <t xml:space="preserve">Le manuel utilisateur a-t-il été validé par les services juridiques ou de conformité si nécessaire ?</t>
  </si>
  <si>
    <t xml:space="preserve">Politique de propriété intellectuelle de l'entreprise.</t>
  </si>
  <si>
    <t xml:space="preserve">Preuve de validation juridique/conformité (email, signature).</t>
  </si>
  <si>
    <t xml:space="preserve">Validation absente, risquant des erreurs dans le manuel.</t>
  </si>
  <si>
    <t xml:space="preserve">S’assurer que le manuel d’utilisateur est disponible et
compréhensible par l'ensemble des utilisateurs</t>
  </si>
  <si>
    <t xml:space="preserve">Accessibilité du manuel via plusieurs canaux (intranet, application, version papier)</t>
  </si>
  <si>
    <t xml:space="preserve">Le manuel utilisateur est-il accessible via plusieurs canaux (intranet, aide en ligne, etc.) ?</t>
  </si>
  <si>
    <t xml:space="preserve">Procédure de validation documentaire interne.</t>
  </si>
  <si>
    <t xml:space="preserve">Preuves d'accès via différents canaux (URL intranet, aide en ligne...).</t>
  </si>
  <si>
    <t xml:space="preserve">Canaux limités, réduisant l’accessibilité du manuel.</t>
  </si>
  <si>
    <t xml:space="preserve">Adaptation du langage au niveau technique des utilisateurs finaux</t>
  </si>
  <si>
    <t xml:space="preserve">Le langage utilisé dans le manuel est-il adapté au niveau technique des utilisateurs finaux ?</t>
  </si>
  <si>
    <t xml:space="preserve">Plan de communication sur la disponibilité du manuel.</t>
  </si>
  <si>
    <t xml:space="preserve">Manuel utilisateur (pour évaluation du langage).</t>
  </si>
  <si>
    <t xml:space="preserve">Langage inadapté, compliquant la compréhension par les utilisateurs.</t>
  </si>
  <si>
    <t xml:space="preserve">Inclusion d'un glossaire des termes techniques</t>
  </si>
  <si>
    <t xml:space="preserve">Le manuel utilisateur inclut-il un glossaire des termes techniques spécifiques ?</t>
  </si>
  <si>
    <t xml:space="preserve">Manuel utilisateur (vérification présence glossaire).</t>
  </si>
  <si>
    <t xml:space="preserve">Glossaire absent, entraînant des confusions sur les termes techniques.</t>
  </si>
  <si>
    <t xml:space="preserve">Présence d'illustrations et captures d'écran facilitant la compréhension</t>
  </si>
  <si>
    <t xml:space="preserve">Le manuel utilisateur contient-il des illustrations et des captures d'écran facilitant la compréhension ?</t>
  </si>
  <si>
    <t xml:space="preserve">Liste des termes techniques spécifiques au projet/système.</t>
  </si>
  <si>
    <t xml:space="preserve">Manuel utilisateur (vérification présence illustrations).</t>
  </si>
  <si>
    <t xml:space="preserve">Illustrations absentes, réduisant la clarté du manuel.</t>
  </si>
  <si>
    <t xml:space="preserve">Disponibilité du manuel dans toutes les langues nécessaires selon le contexte</t>
  </si>
  <si>
    <t xml:space="preserve">Le manuel utilisateur est-il disponible dans toutes les langues requises par le contexte d'utilisation ?</t>
  </si>
  <si>
    <t xml:space="preserve">Charte graphique ou guide de style documentaire.</t>
  </si>
  <si>
    <t xml:space="preserve">Manuel utilisateur (versions linguistiques).</t>
  </si>
  <si>
    <t xml:space="preserve">Langues manquantes, limitant l’accessibilité pour certains utilisateurs.</t>
  </si>
  <si>
    <t xml:space="preserve">S’assurer que le manuel utilisateur comprend les objets du
système et la description des dessins d'écran et des commandes
Disponibles</t>
  </si>
  <si>
    <t xml:space="preserve">Présence d'un catalogue exhaustif des objets du système</t>
  </si>
  <si>
    <t xml:space="preserve">Le manuel utilisateur (ou documentation associée) contient-il un catalogue exhaustif des objets du système ?</t>
  </si>
  <si>
    <t xml:space="preserve">Analyse des besoins linguistiques des utilisateurs.</t>
  </si>
  <si>
    <t xml:space="preserve">Manuel utilisateur (section catalogue d'objets ou équivalent).</t>
  </si>
  <si>
    <t xml:space="preserve">Objets non catalogués, compliquant la compréhension du système.</t>
  </si>
  <si>
    <t xml:space="preserve">Description détaillée de l'interface utilisateur avec captures d'écran</t>
  </si>
  <si>
    <t xml:space="preserve">L'interface utilisateur est-elle décrite en détail, avec des captures d'écran, dans le manuel ?</t>
  </si>
  <si>
    <t xml:space="preserve">Dictionnaire de données ou modèle conceptuel.</t>
  </si>
  <si>
    <t xml:space="preserve">Manuel utilisateur (sections décrivant l'IHM).</t>
  </si>
  <si>
    <t xml:space="preserve">Interface mal décrite, entraînant des erreurs d’utilisation.</t>
  </si>
  <si>
    <t xml:space="preserve">Documentation complète des commandes et fonctions disponibles</t>
  </si>
  <si>
    <t xml:space="preserve">Les commandes et fonctions disponibles sont-elles complètement documentées dans le manuel ?</t>
  </si>
  <si>
    <t xml:space="preserve">Guide de style de l'interface utilisateur (si existant).</t>
  </si>
  <si>
    <t xml:space="preserve">Manuel utilisateur (référence des commandes/fonctions).</t>
  </si>
  <si>
    <t xml:space="preserve">Fonctions mal documentées, réduisant l’efficacité des utilisateurs.</t>
  </si>
  <si>
    <t xml:space="preserve">Présentation des raccourcis clavier et options avancées</t>
  </si>
  <si>
    <t xml:space="preserve">Le manuel présente-t-il les raccourcis clavier et les options avancées disponibles ?</t>
  </si>
  <si>
    <t xml:space="preserve">Spécifications fonctionnelles détaillées.</t>
  </si>
  <si>
    <t xml:space="preserve">Manuel utilisateur (section raccourcis/options avancées).</t>
  </si>
  <si>
    <t xml:space="preserve">Raccourcis absents, limitant la productivité des utilisateurs.</t>
  </si>
  <si>
    <t xml:space="preserve">Indication des liens entre les différentes fonctionnalités du système</t>
  </si>
  <si>
    <t xml:space="preserve">Le manuel indique-t-il les liens ou navigations possibles entre les différentes fonctionnalités ?</t>
  </si>
  <si>
    <t xml:space="preserve">Liste exhaustive des raccourcis fournie par l'équipe dev.</t>
  </si>
  <si>
    <t xml:space="preserve">Manuel utilisateur (diagrammes de navigation, hyperliens).</t>
  </si>
  <si>
    <t xml:space="preserve">Liens mal décrits, compliquant la navigation dans le système.</t>
  </si>
  <si>
    <t xml:space="preserve">S’assurer que le manuel utilisateur comprend les responsables
concernant le redressement des erreurs ou anomalies</t>
  </si>
  <si>
    <t xml:space="preserve">Identification claire des contacts pour chaque type d'erreur</t>
  </si>
  <si>
    <t xml:space="preserve">Les contacts à joindre pour chaque type d'erreur ou problème sont-ils clairement identifiés dans la documentation ?</t>
  </si>
  <si>
    <t xml:space="preserve">Cartographie fonctionnelle du système.</t>
  </si>
  <si>
    <t xml:space="preserve">Manuel utilisateur (section support/contacts).</t>
  </si>
  <si>
    <t xml:space="preserve">Contacts absents, retardant la résolution des problèmes.</t>
  </si>
  <si>
    <t xml:space="preserve">Description des procédures de signalement d'anomalies</t>
  </si>
  <si>
    <t xml:space="preserve">Les procédures de signalement des anomalies sont-elles décrites dans la documentation ?</t>
  </si>
  <si>
    <t xml:space="preserve">Procédure de support utilisateur.</t>
  </si>
  <si>
    <t xml:space="preserve">Manuel utilisateur (section signaler un problème).</t>
  </si>
  <si>
    <t xml:space="preserve">Signalement flou, compliquant la gestion des anomalies.</t>
  </si>
  <si>
    <t xml:space="preserve">Documentation des niveaux d'escalade pour la résolution des problèmes</t>
  </si>
  <si>
    <t xml:space="preserve">Les niveaux d'escalade pour la résolution des problèmes sont-ils documentés ?</t>
  </si>
  <si>
    <t xml:space="preserve">Procédure de gestion des incidents utilisateurs.</t>
  </si>
  <si>
    <t xml:space="preserve">Manuel utilisateur (section escalade support).</t>
  </si>
  <si>
    <t xml:space="preserve">Escalades mal définies, retardant la résolution des incidents.</t>
  </si>
  <si>
    <t xml:space="preserve">Présentation des délais de traitement attendus par type d'incident</t>
  </si>
  <si>
    <t xml:space="preserve">Les délais de traitement attendus par type d'incident sont-ils présentés dans la documentation ?</t>
  </si>
  <si>
    <t xml:space="preserve">Procédure de gestion des incidents (avec niveaux d'escalade).</t>
  </si>
  <si>
    <t xml:space="preserve">Manuel utilisateur (section engagements de service).</t>
  </si>
  <si>
    <t xml:space="preserve">Délais non précisés, entraînant des attentes non satisfaites.</t>
  </si>
  <si>
    <t xml:space="preserve">Inclusion des formulaires ou outils de déclaration d'incidents</t>
  </si>
  <si>
    <t xml:space="preserve">Les formulaires ou outils de déclaration d'incidents sont-ils inclus ou référencés dans la documentation ?</t>
  </si>
  <si>
    <t xml:space="preserve">Catalogue de services ou SLA (Service Level Agreement).</t>
  </si>
  <si>
    <t xml:space="preserve">Manuel utilisateur (lien vers l'outil ou formulaire type).</t>
  </si>
  <si>
    <t xml:space="preserve">Outils non référencés, compliquant le signalement des incidents.</t>
  </si>
  <si>
    <t xml:space="preserve">S’assurer que le manuel utilisateur comprend la description des
sorties et leur mode de diffusion</t>
  </si>
  <si>
    <t xml:space="preserve">Catalogage complet des rapports et sorties disponibles</t>
  </si>
  <si>
    <t xml:space="preserve">Un catalogue complet des rapports et sorties disponibles via le système existe-t-il ?</t>
  </si>
  <si>
    <t xml:space="preserve">Accès à l'outil de ticketing/déclaration d'incident.</t>
  </si>
  <si>
    <t xml:space="preserve">Manuel utilisateur (section rapports/sorties).</t>
  </si>
  <si>
    <t xml:space="preserve">Rapports non catalogués, réduisant l’efficacité des utilisateurs.</t>
  </si>
  <si>
    <t xml:space="preserve">Description détaillée du format et du contenu de chaque sortie</t>
  </si>
  <si>
    <t xml:space="preserve">Le format et le contenu de chaque sortie sont-ils décrits en détail dans la documentation ?</t>
  </si>
  <si>
    <t xml:space="preserve">Liste exhaustive des rapports générés par le système.</t>
  </si>
  <si>
    <t xml:space="preserve">Manuel utilisateur (détail des rapports).</t>
  </si>
  <si>
    <t xml:space="preserve">Sorties mal décrites, entraînant des erreurs d’interprétation.</t>
  </si>
  <si>
    <t xml:space="preserve">Documentation des méthodes d'extraction et d'export de données</t>
  </si>
  <si>
    <t xml:space="preserve">Les méthodes d'extraction et d'export de données sont-elles documentées ?</t>
  </si>
  <si>
    <t xml:space="preserve">Spécifications techniques des rapports.</t>
  </si>
  <si>
    <t xml:space="preserve">Manuel utilisateur (section export/extraction).</t>
  </si>
  <si>
    <t xml:space="preserve">Extraction non documentée, compliquant l’utilisation des données.</t>
  </si>
  <si>
    <t xml:space="preserve">Présentation des options de personnalisation des sorties</t>
  </si>
  <si>
    <t xml:space="preserve">Les options de personnalisation des sorties sont-elles présentées dans la documentation ?</t>
  </si>
  <si>
    <t xml:space="preserve">Guide d'utilisation des fonctions d'export.</t>
  </si>
  <si>
    <t xml:space="preserve">Manuel utilisateur (section personnalisation rapports).</t>
  </si>
  <si>
    <t xml:space="preserve">Personnalisation absente, limitant l’adaptabilité des sorties.</t>
  </si>
  <si>
    <t xml:space="preserve">Explication des processus de diffusion automatique des rapports</t>
  </si>
  <si>
    <t xml:space="preserve">Les processus éventuels de diffusion automatique des rapports sont-ils expliqués ?</t>
  </si>
  <si>
    <t xml:space="preserve">Guide d'utilisation des fonctions de personnalisation.</t>
  </si>
  <si>
    <t xml:space="preserve">Manuel utilisateur (section diffusion automatique).</t>
  </si>
  <si>
    <t xml:space="preserve">Diffusion mal expliquée, entraînant des erreurs de distribution.</t>
  </si>
  <si>
    <t xml:space="preserve">S’assurer que le manuel utilisateur comprend les
responsabilités en matière de sauvegarde/archivage</t>
  </si>
  <si>
    <t xml:space="preserve">Définition claire des responsabilités des utilisateurs en matière de sauvegarde</t>
  </si>
  <si>
    <t xml:space="preserve">Les responsabilités des utilisateurs en matière de sauvegarde de leurs données sont-elles clairement définies ?</t>
  </si>
  <si>
    <t xml:space="preserve">Documentation de configuration des diffusions automatiques.</t>
  </si>
  <si>
    <t xml:space="preserve">Manuel utilisateur (section sauvegardes personnelles).</t>
  </si>
  <si>
    <t xml:space="preserve">Responsabilités floues, entraînant des pertes de données.</t>
  </si>
  <si>
    <t xml:space="preserve">Documentation des procédures de sauvegarde à la portée des utilisateurs</t>
  </si>
  <si>
    <t xml:space="preserve">Les procédures de sauvegarde à la portée des utilisateurs sont-elles documentées ?</t>
  </si>
  <si>
    <t xml:space="preserve">Charte informatique (responsabilités utilisateur).</t>
  </si>
  <si>
    <t xml:space="preserve">Manuel utilisateur (guide "comment sauvegarder").</t>
  </si>
  <si>
    <t xml:space="preserve">Sauvegardes non documentées, compromettant la sécurité des données.</t>
  </si>
  <si>
    <t xml:space="preserve">Explication des politiques de conservation et d'archivage des données</t>
  </si>
  <si>
    <t xml:space="preserve">Les politiques de conservation et d'archivage des données sont-elles expliquées aux utilisateurs ?</t>
  </si>
  <si>
    <t xml:space="preserve">Support de formation sur les sauvegardes.</t>
  </si>
  <si>
    <t xml:space="preserve">Manuel utilisateur (section conservation/archivage).</t>
  </si>
  <si>
    <t xml:space="preserve">Politiques floues, entraînant des non-conformités réglementaires.</t>
  </si>
  <si>
    <t xml:space="preserve">Description des outils disponibles pour la récupération de données</t>
  </si>
  <si>
    <t xml:space="preserve">Les outils disponibles pour la récupération de données par les utilisateurs sont-ils décrits ?</t>
  </si>
  <si>
    <t xml:space="preserve">Politique de gestion des données de l'entreprise.</t>
  </si>
  <si>
    <t xml:space="preserve">Manuel utilisateur (section récupération de données).</t>
  </si>
  <si>
    <t xml:space="preserve">Récupération non décrite, compliquant la restauration des données.</t>
  </si>
  <si>
    <t xml:space="preserve">Indication des contacts pour le support en cas de problème de sauvegarde</t>
  </si>
  <si>
    <t xml:space="preserve">Les contacts pour le support en cas de problème de sauvegarde sont-ils indiqués ?</t>
  </si>
  <si>
    <t xml:space="preserve">Guide d'utilisation des outils de récupération.</t>
  </si>
  <si>
    <t xml:space="preserve">Manuel utilisateur (section support sauvegarde).</t>
  </si>
  <si>
    <t xml:space="preserve">Support non indiqué, retardant la résolution des problèmes.</t>
  </si>
  <si>
    <t xml:space="preserve">S’assurer que le manuel d’utilisateur fait l'objet d'une procédure
de mise à jour</t>
  </si>
  <si>
    <t xml:space="preserve">Existence d'une procédure formalisée de mise à jour du manuel</t>
  </si>
  <si>
    <t xml:space="preserve">Une procédure formalisée de mise à jour du manuel utilisateur existe-t-elle ?</t>
  </si>
  <si>
    <t xml:space="preserve">Annuaire des contacts support IT.</t>
  </si>
  <si>
    <t xml:space="preserve">Procédure de gestion documentaire (section mise à jour).</t>
  </si>
  <si>
    <t xml:space="preserve">Mises à jour non formalisées, entraînant un manuel obsolète.</t>
  </si>
  <si>
    <t xml:space="preserve">Traçabilité des versions avec historique des modifications</t>
  </si>
  <si>
    <t xml:space="preserve">La traçabilité des versions du manuel, avec un historique des modifications, est-elle assurée ?</t>
  </si>
  <si>
    <t xml:space="preserve">Workflow de mise à jour du manuel.</t>
  </si>
  <si>
    <t xml:space="preserve">Manuel utilisateur (page de garde avec historique).</t>
  </si>
  <si>
    <t xml:space="preserve">Versions non tracées, compliquant la gestion des modifications.</t>
  </si>
  <si>
    <t xml:space="preserve">Définition des responsabilités pour la mise à jour de la documentation</t>
  </si>
  <si>
    <t xml:space="preserve">Les responsabilités pour la mise à jour de la documentation utilisateur sont-elles clairement définies ?</t>
  </si>
  <si>
    <t xml:space="preserve">Outil de gestion de version ou log des modifications.</t>
  </si>
  <si>
    <t xml:space="preserve">Procédure de gestion documentaire (section rôles et resp.).</t>
  </si>
  <si>
    <t xml:space="preserve">Responsabilités floues, entraînant des mises à jour négligées.</t>
  </si>
  <si>
    <t xml:space="preserve">Mécanisme de notification des utilisateurs lors de mises à jour importantes</t>
  </si>
  <si>
    <t xml:space="preserve">Existe-t-il un mécanisme pour notifier les utilisateurs des mises à jour importantes du manuel ?</t>
  </si>
  <si>
    <t xml:space="preserve">Matrice RACI pour la documentation projet.</t>
  </si>
  <si>
    <t xml:space="preserve">Procédure de communication des mises à jour documentaires.</t>
  </si>
  <si>
    <t xml:space="preserve">Notifications absentes, laissant les utilisateurs avec un manuel obsolète.</t>
  </si>
  <si>
    <t xml:space="preserve">Synchronisation des mises à jour du manuel avec les évolutions du système</t>
  </si>
  <si>
    <t xml:space="preserve">Les mises à jour du manuel utilisateur sont-elles synchronisées avec les évolutions du système ?</t>
  </si>
  <si>
    <t xml:space="preserve">Exemples de notifications de mise à jour.</t>
  </si>
  <si>
    <t xml:space="preserve">Planning de mise à jour documentaire lié au planning de release.</t>
  </si>
  <si>
    <t xml:space="preserve">Mises à jour désynchronisées, entraînant des incohérences avec le système.</t>
  </si>
  <si>
    <t xml:space="preserve">S’assurer qu’il existe un manuel d'exploitation</t>
  </si>
  <si>
    <t xml:space="preserve">Existence d'un manuel d'exploitation formalisé et à jour</t>
  </si>
  <si>
    <t xml:space="preserve">Existe-t-il un manuel d'exploitation formalisé et à jour ?</t>
  </si>
  <si>
    <t xml:space="preserve">Processus de gestion des changements incluant la doc.</t>
  </si>
  <si>
    <t xml:space="preserve">Manuel d'exploitation (dernière version validée).</t>
  </si>
  <si>
    <t xml:space="preserve">Manuel d’exploitation absent ou obsolète, compliquant la gestion du système.</t>
  </si>
  <si>
    <t xml:space="preserve">Couverture des procédures d'installation et de configuration</t>
  </si>
  <si>
    <t xml:space="preserve">Le manuel d'exploitation couvre-t-il les procédures d'installation et de configuration ?</t>
  </si>
  <si>
    <t xml:space="preserve">Historique des versions du manuel d'exploitation.</t>
  </si>
  <si>
    <t xml:space="preserve">Manuel d'exploitation (section installation/configuration).</t>
  </si>
  <si>
    <t xml:space="preserve">Installation et configuration mal documentées, entraînant des erreurs de déploiement.</t>
  </si>
  <si>
    <t xml:space="preserve">Documentation des procédures de maintenance préventive et corrective</t>
  </si>
  <si>
    <t xml:space="preserve">Les procédures de maintenance préventive et corrective sont-elles documentées dans le manuel d'exploitation ?</t>
  </si>
  <si>
    <t xml:space="preserve">Guide d'installation détaillé.</t>
  </si>
  <si>
    <t xml:space="preserve">Manuel d'exploitation (section maintenance).</t>
  </si>
  <si>
    <t xml:space="preserve">Maintenance non documentée, augmentant les temps d’arrêt du système.</t>
  </si>
  <si>
    <t xml:space="preserve">Description des processus de sauvegarde et restauration système</t>
  </si>
  <si>
    <t xml:space="preserve">Les processus de sauvegarde et de restauration système sont-ils décrits dans le manuel d'exploitation ?</t>
  </si>
  <si>
    <t xml:space="preserve">Plan de maintenance préventive.</t>
  </si>
  <si>
    <t xml:space="preserve">Manuel d'exploitation (section sauvegarde/restauration).</t>
  </si>
  <si>
    <t xml:space="preserve">Sauvegardes et restaurations mal décrites, compromettant la récupération des données.</t>
  </si>
  <si>
    <t xml:space="preserve">Inclusion des procédures de gestion des incidents techniques</t>
  </si>
  <si>
    <t xml:space="preserve">Le manuel d'exploitation inclut-il les procédures de gestion des incidents techniques ?</t>
  </si>
  <si>
    <t xml:space="preserve">Procédure détaillée de sauvegarde et restauration.</t>
  </si>
  <si>
    <t xml:space="preserve">Manuel d'exploitation (section gestion incidents).</t>
  </si>
  <si>
    <t xml:space="preserve">Incidents mal gérés, prolongeant les interruptions de service.</t>
  </si>
  <si>
    <t xml:space="preserve">Structures mises en place à l'occasion du projet</t>
  </si>
  <si>
    <t xml:space="preserve">S’assurer que les rôles et les responsabilités respectifs de la
MOA et de la MOE sont clairement définis</t>
  </si>
  <si>
    <t xml:space="preserve">Existence d'une matrice RACI (Responsable, Approbateur, Consulté, Informé)</t>
  </si>
  <si>
    <t xml:space="preserve">Une matrice RACI (ou équivalent) définissant les responsabilités MOA/MOE existe-t-elle ?</t>
  </si>
  <si>
    <t xml:space="preserve">Procédure de gestion des incidents niveau 2/3.</t>
  </si>
  <si>
    <t xml:space="preserve">Matrice RACI projet/exploitation.</t>
  </si>
  <si>
    <t xml:space="preserve">Responsabilités floues, entraînant des conflits entre MOA et MOE.</t>
  </si>
  <si>
    <t xml:space="preserve">Documentation formelle des périmètres d'intervention MOA/MOE</t>
  </si>
  <si>
    <t xml:space="preserve">Les périmètres d'intervention respectifs de la MOA et de la MOE sont-ils formellement documentés ?</t>
  </si>
  <si>
    <t xml:space="preserve">Charte projet ou document de gouvernance.</t>
  </si>
  <si>
    <t xml:space="preserve">Convention de service MOA/MOE (ou équivalent).</t>
  </si>
  <si>
    <t xml:space="preserve">Périmètres mal définis, provoquant des chevauchements ou des omissions.</t>
  </si>
  <si>
    <t xml:space="preserve">Définition des processus décisionnels et circuits de validation</t>
  </si>
  <si>
    <t xml:space="preserve">Les processus décisionnels et les circuits de validation impliquant la MOA et la MOE sont-ils définis ?</t>
  </si>
  <si>
    <t xml:space="preserve">Description des rôles et responsabilités MOA/MOE.</t>
  </si>
  <si>
    <t xml:space="preserve">Procédure de gouvernance projet.</t>
  </si>
  <si>
    <t xml:space="preserve">Processus décisionnels flous, retardant les validations critiques.</t>
  </si>
  <si>
    <t xml:space="preserve">Clarté des responsabilités financières et budgétaires</t>
  </si>
  <si>
    <t xml:space="preserve">Les responsabilités financières et budgétaires de la MOA et de la MOE sont-elles clairement définies ?</t>
  </si>
  <si>
    <t xml:space="preserve">Description des instances projet (COPIL, COTECH...).</t>
  </si>
  <si>
    <t xml:space="preserve">Budget détaillé du projet (avec responsabilités).</t>
  </si>
  <si>
    <t xml:space="preserve">Responsabilités financières ambiguës, entraînant des litiges budgétaires.</t>
  </si>
  <si>
    <t xml:space="preserve">Formalisation des modalités de collaboration et d'escalade</t>
  </si>
  <si>
    <t xml:space="preserve">Les modalités de collaboration et d'escalade entre MOA et MOE sont-elles formalisées ?</t>
  </si>
  <si>
    <t xml:space="preserve">Règles de gestion budgétaire de l'entreprise.</t>
  </si>
  <si>
    <t xml:space="preserve">Plan de communication projet (section escalade).</t>
  </si>
  <si>
    <t xml:space="preserve">Collaboration inefficace, retardant la résolution des problèmes.</t>
  </si>
  <si>
    <t xml:space="preserve">S’assurer que les prérogatives du chef de projet sont clairement
Définies</t>
  </si>
  <si>
    <t xml:space="preserve">Existence d'une fiche de poste ou lettre de mission pour le chef de projet</t>
  </si>
  <si>
    <t xml:space="preserve">Existe-t-il une fiche de poste ou une lettre de mission formalisant le rôle du chef de projet ?</t>
  </si>
  <si>
    <t xml:space="preserve">Procédure de gestion des conflits/escalade.</t>
  </si>
  <si>
    <t xml:space="preserve">Fiche de poste du chef de projet.</t>
  </si>
  <si>
    <t xml:space="preserve">Rôle du chef de projet flou, compromettant la coordination du projet.</t>
  </si>
  <si>
    <t xml:space="preserve">Documentation des limites de décision autonome du chef de projet</t>
  </si>
  <si>
    <t xml:space="preserve">Les limites de décision autonome du chef de projet sont-elles documentées ?</t>
  </si>
  <si>
    <t xml:space="preserve">Lettre de mission du chef de projet.</t>
  </si>
  <si>
    <t xml:space="preserve">Charte projet (section autorité du CdP).</t>
  </si>
  <si>
    <t xml:space="preserve">Décisions non encadrées, risquant des abus ou des erreurs.</t>
  </si>
  <si>
    <t xml:space="preserve">Définition des prérogatives en matière d'allocation des ressources</t>
  </si>
  <si>
    <t xml:space="preserve">Les prérogatives du chef de projet en matière d'allocation des ressources sont-elles définies ?</t>
  </si>
  <si>
    <t xml:space="preserve">Matrice de délégation de pouvoir.</t>
  </si>
  <si>
    <t xml:space="preserve">Charte projet (section ressources/autorité CdP).</t>
  </si>
  <si>
    <t xml:space="preserve">Allocation floue, entraînant une mauvaise gestion des ressources.</t>
  </si>
  <si>
    <t xml:space="preserve">Clarification des responsabilités concernant la gestion des risques</t>
  </si>
  <si>
    <t xml:space="preserve">Les responsabilités du chef de projet concernant la gestion des risques sont-elles clarifiées ?</t>
  </si>
  <si>
    <t xml:space="preserve">Procédure d'affectation des ressources projet.</t>
  </si>
  <si>
    <t xml:space="preserve">Plan de gestion des risques (section rôles et resp.).</t>
  </si>
  <si>
    <t xml:space="preserve">Risques mal gérés, exposant le projet à des échecs imprévus.</t>
  </si>
  <si>
    <t xml:space="preserve">Formalisation des pouvoirs en matière de validation des livrables</t>
  </si>
  <si>
    <t xml:space="preserve">Les pouvoirs du chef de projet en matière de validation des livrables sont-ils formalisés ?</t>
  </si>
  <si>
    <t xml:space="preserve">Procédure de validation des livrables.</t>
  </si>
  <si>
    <t xml:space="preserve">Validations non définies, entraînant des livrables non conformes.</t>
  </si>
  <si>
    <t xml:space="preserve">S’assurer que le chef de projet dispose de l'autorité suffisante
pour résoudre les éventuels conf</t>
  </si>
  <si>
    <t xml:space="preserve">Positionnement hiérarchique adéquat dans l'organigramme du projet</t>
  </si>
  <si>
    <t xml:space="preserve">Le positionnement hiérarchique du chef de projet est-il adéquat dans l'organigramme du projet ?</t>
  </si>
  <si>
    <t xml:space="preserve">Matrice RACI pour les livrables projet.</t>
  </si>
  <si>
    <t xml:space="preserve">Organigramme projet.</t>
  </si>
  <si>
    <t xml:space="preserve">Positionnement inadéquat, réduisant l’autorité du chef de projet.</t>
  </si>
  <si>
    <t xml:space="preserve">Documentation des procédures de résolution de conflits</t>
  </si>
  <si>
    <t xml:space="preserve">Des procédures de résolution de conflits au sein du projet sont-elles documentées ?</t>
  </si>
  <si>
    <t xml:space="preserve">Procédure de gestion des conflits projet.</t>
  </si>
  <si>
    <t xml:space="preserve">Conflits non résolus, retardant l’avancement du projet.</t>
  </si>
  <si>
    <t xml:space="preserve">Formalisation des mécanismes d'arbitrage à disposition du chef de projet</t>
  </si>
  <si>
    <t xml:space="preserve">Des mécanismes d'arbitrage à la disposition du chef de projet sont-ils formalisés ?</t>
  </si>
  <si>
    <t xml:space="preserve">Plan de communication projet (section gestion des conflits).</t>
  </si>
  <si>
    <t xml:space="preserve">Procédure d'escalade et d'arbitrage.</t>
  </si>
  <si>
    <t xml:space="preserve">Arbitrage flou, entraînant des blocages décisionnels.</t>
  </si>
  <si>
    <t xml:space="preserve">Soutien explicite de la direction dans la charte de projet</t>
  </si>
  <si>
    <t xml:space="preserve">La charte de projet (ou équivalent) mentionne-t-elle explicitement le soutien de la direction au chef de projet ?</t>
  </si>
  <si>
    <t xml:space="preserve">Description des instances de gouvernance (rôle d'arbitrage).</t>
  </si>
  <si>
    <t xml:space="preserve">Charte projet (signature, section soutien direction).</t>
  </si>
  <si>
    <t xml:space="preserve">Soutien non formalisé, affaiblissant la légitimité du chef de projet.</t>
  </si>
  <si>
    <t xml:space="preserve">Existence de canaux d'escalade clairement définis pour les cas non résolus</t>
  </si>
  <si>
    <t xml:space="preserve">Des canaux d'escalade clairement définis existent-ils pour les cas non résolus par le chef de projet ?</t>
  </si>
  <si>
    <t xml:space="preserve">Communication de lancement du projet par la direction.</t>
  </si>
  <si>
    <t xml:space="preserve">Procédure d'escalade projet.</t>
  </si>
  <si>
    <t xml:space="preserve">Escalades floues, retardant la résolution des problèmes critiques.</t>
  </si>
  <si>
    <t xml:space="preserve">Existe-t-il une procédure formalisée de mise à jour du manuel (utilisateur/exploitation) ?</t>
  </si>
  <si>
    <t xml:space="preserve">Organigramme projet avec lignes d'escalade.</t>
  </si>
  <si>
    <t xml:space="preserve">Mises à jour non formalisées, entraînant une documentation obsolète.</t>
  </si>
  <si>
    <t xml:space="preserve">La traçabilité des versions avec historique des modifications est-elle assurée pour la documentation ?</t>
  </si>
  <si>
    <t xml:space="preserve">Manuel (page de garde avec historique).</t>
  </si>
  <si>
    <t xml:space="preserve">Les responsabilités pour la mise à jour de la documentation sont-elles clairement définies ?</t>
  </si>
  <si>
    <t xml:space="preserve">Un mécanisme de notification des utilisateurs/exploitants lors de mises à jour importantes existe-t-il ?</t>
  </si>
  <si>
    <t xml:space="preserve">Matrice RACI pour la documentation.</t>
  </si>
  <si>
    <t xml:space="preserve">Notifications absentes, laissant les utilisateurs avec une documentation obsolète.</t>
  </si>
  <si>
    <t xml:space="preserve">Les mises à jour de la documentation sont-elles synchronisées avec les évolutions du système ?</t>
  </si>
  <si>
    <t xml:space="preserve">S’assurer que les principales décisions et orientations du projet
sont prises par le niveau de management adéquat</t>
  </si>
  <si>
    <t xml:space="preserve">Existence d'une matrice de délégation de pouvoir selon le type et l'impact des décisions</t>
  </si>
  <si>
    <t xml:space="preserve">Existe-t-il une matrice formalisée de délégation de pouvoir selon le type et l'impact des décisions ?</t>
  </si>
  <si>
    <t xml:space="preserve">Délégations floues, entraînant des décisions non autorisées.</t>
  </si>
  <si>
    <t xml:space="preserve">Implication documentée des dirigeants dans les décisions stratégiques</t>
  </si>
  <si>
    <t xml:space="preserve">L'implication des dirigeants dans les décisions stratégiques du projet est-elle documentée ?</t>
  </si>
  <si>
    <t xml:space="preserve">Comptes rendus de comité de pilotage (décisions stratégiques).</t>
  </si>
  <si>
    <t xml:space="preserve">Implication non documentée, réduisant l’engagement des dirigeants.</t>
  </si>
  <si>
    <t xml:space="preserve">Participation des niveaux appropriés aux comités de pilotage</t>
  </si>
  <si>
    <t xml:space="preserve">Les niveaux hiérarchiques appropriés participent-ils effectivement aux comités de pilotage ?</t>
  </si>
  <si>
    <t xml:space="preserve">Procès-verbaux de validation signés par les dirigeants.</t>
  </si>
  <si>
    <t xml:space="preserve">Liste des membres du comité de pilotage.</t>
  </si>
  <si>
    <t xml:space="preserve">Participation inadéquate, compromettant les décisions stratégiques.</t>
  </si>
  <si>
    <t xml:space="preserve">Traçabilité des décisions avec identification des décideurs</t>
  </si>
  <si>
    <t xml:space="preserve">Les décisions prises sont-elles traçables avec identification claire des décideurs ?</t>
  </si>
  <si>
    <t xml:space="preserve">Comptes rendus de COPIL avec listes de présence.</t>
  </si>
  <si>
    <t xml:space="preserve">Registre des décisions projet.</t>
  </si>
  <si>
    <t xml:space="preserve">Décisions non tracées, réduisant la transparence du projet.</t>
  </si>
  <si>
    <t xml:space="preserve">Conformité des décisions prises avec le niveau d'autorité requis</t>
  </si>
  <si>
    <t xml:space="preserve">Les décisions prises sont-elles conformes au niveau d'autorité requis pour chaque décideur ?</t>
  </si>
  <si>
    <t xml:space="preserve">Comptes rendus de réunions mentionnant les décisions et décideurs.</t>
  </si>
  <si>
    <t xml:space="preserve">Registre des décisions (comparaison avec matrice de délégation).</t>
  </si>
  <si>
    <t xml:space="preserve">Décisions non conformes, risquant des contestations ou des erreurs.</t>
  </si>
  <si>
    <t xml:space="preserve">S’assurer que les principaux intervenants sur le projet sont
100% dédiés au projet avec suppression, pendant la durée du projet,
des anciens liens hiérarchiques</t>
  </si>
  <si>
    <t xml:space="preserve">Documentation des affectations de ressources humaines avec taux d'allocation</t>
  </si>
  <si>
    <t xml:space="preserve">Les affectations des ressources humaines au projet, avec leur taux d'allocation, sont-elles documentées ?</t>
  </si>
  <si>
    <t xml:space="preserve">Audit de gouvernance projet (si réalisé).</t>
  </si>
  <si>
    <t xml:space="preserve">Plan de ressources projet.</t>
  </si>
  <si>
    <t xml:space="preserve">Affectations mal documentées, entraînant une mauvaise gestion des ressources.</t>
  </si>
  <si>
    <t xml:space="preserve">Existence d'une structure hiérarchique propre au projet</t>
  </si>
  <si>
    <t xml:space="preserve">Une structure hiérarchique propre au projet est-elle définie et communiquée ?</t>
  </si>
  <si>
    <t xml:space="preserve">Fiches d'affectation individuelle.</t>
  </si>
  <si>
    <t xml:space="preserve">Organigramme projet détaillé.</t>
  </si>
  <si>
    <t xml:space="preserve">Hiérarchie floue, entraînant des confusions dans la coordination.</t>
  </si>
  <si>
    <t xml:space="preserve">Clarté des reportings temporaires pendant la durée du projet</t>
  </si>
  <si>
    <t xml:space="preserve">Les lignes de reporting temporaires pour la durée du projet sont-elles claires ?</t>
  </si>
  <si>
    <t xml:space="preserve">Charte projet (section organisation).</t>
  </si>
  <si>
    <t xml:space="preserve">Modèles de rapports d'avancement projet.</t>
  </si>
  <si>
    <t xml:space="preserve">Reporting flou, compliquant le suivi du projet.</t>
  </si>
  <si>
    <t xml:space="preserve">Absence de conflits d'agenda pour les ressources critiques</t>
  </si>
  <si>
    <t xml:space="preserve">A-t-on vérifié l'absence de conflits d'agenda majeurs pour les ressources critiques ?</t>
  </si>
  <si>
    <t xml:space="preserve">Procédure de reporting projet.</t>
  </si>
  <si>
    <t xml:space="preserve">Plan de charge détaillé des ressources critiques.</t>
  </si>
  <si>
    <t xml:space="preserve">Conflits d’agenda, retardant les tâches critiques.</t>
  </si>
  <si>
    <t xml:space="preserve">Formalisation de la suspension des responsabilités antérieures</t>
  </si>
  <si>
    <t xml:space="preserve">La suspension temporaire des responsabilités antérieures des membres de l'équipe projet est-elle formalisée (si applicable) ?</t>
  </si>
  <si>
    <t xml:space="preserve">Outil de planification partagé.</t>
  </si>
  <si>
    <t xml:space="preserve">Lettre de mission précisant la suspension des tâches hors projet.</t>
  </si>
  <si>
    <t xml:space="preserve">Suspensions non formalisées, entraînant des conflits de priorités.</t>
  </si>
  <si>
    <t xml:space="preserve">S’assurer que la MOA ou la MOE ont bénéficié d'une assistance
extérieure au cours du projet</t>
  </si>
  <si>
    <t xml:space="preserve">Existence de contrats d'assistance ou de prestation de conseil</t>
  </si>
  <si>
    <t xml:space="preserve">Existe-t-il des contrats formalisés pour les assistances ou prestations de conseil externes ?</t>
  </si>
  <si>
    <t xml:space="preserve">Accord écrit du manager hiérarchique d'origine.</t>
  </si>
  <si>
    <t xml:space="preserve">Contrats de prestation signés.</t>
  </si>
  <si>
    <t xml:space="preserve">Contrats absents, entraînant des ambiguïtés avec les prestataires.</t>
  </si>
  <si>
    <t xml:space="preserve">Documentation des domaines d'intervention des assistances externes</t>
  </si>
  <si>
    <t xml:space="preserve">Les domaines d'intervention des assistances externes sont-ils clairement documentés ?</t>
  </si>
  <si>
    <t xml:space="preserve">Bons de commande associés.</t>
  </si>
  <si>
    <t xml:space="preserve">Contrat de prestation (périmètre détaillé).</t>
  </si>
  <si>
    <t xml:space="preserve">Interventions floues, réduisant l’efficacité des prestataires.</t>
  </si>
  <si>
    <t xml:space="preserve">Évaluation de la valeur ajoutée des assistances extérieures</t>
  </si>
  <si>
    <t xml:space="preserve">La valeur ajoutée apportée par les assistances extérieures fait-elle l'objet d'une évaluation ?</t>
  </si>
  <si>
    <t xml:space="preserve">Cahier des charges de la prestation externe.</t>
  </si>
  <si>
    <t xml:space="preserve">Bilans de mission ou évaluation de prestation.</t>
  </si>
  <si>
    <t xml:space="preserve">Valeur non évaluée, risquant un gaspillage de ressources.</t>
  </si>
  <si>
    <t xml:space="preserve">Intégration des recommandations externes dans le pilotage du projet</t>
  </si>
  <si>
    <t xml:space="preserve">Les recommandations issues des assistances externes sont-elles intégrées dans le pilotage du projet ?</t>
  </si>
  <si>
    <t xml:space="preserve">Enquêtes de satisfaction internes sur les prestations.</t>
  </si>
  <si>
    <t xml:space="preserve">Plan d'action suite aux recommandations externes.</t>
  </si>
  <si>
    <t xml:space="preserve">Recommandations ignorées, réduisant l’efficacité du pilotage.</t>
  </si>
  <si>
    <t xml:space="preserve">Adéquation entre les besoins identifiés et les assistances sollicitées</t>
  </si>
  <si>
    <t xml:space="preserve">L'adéquation entre les besoins identifiés du projet et les assistances externes sollicitées est-elle vérifiée ?</t>
  </si>
  <si>
    <t xml:space="preserve">Comptes rendus de réunion intégrant les avis externes.</t>
  </si>
  <si>
    <t xml:space="preserve">Expression de besoin pour la prestation externe.</t>
  </si>
  <si>
    <t xml:space="preserve">Assistances inadaptées, entraînant des écarts par rapport aux besoins.</t>
  </si>
  <si>
    <t xml:space="preserve">S’assurer que la consultation et l'implication des utilisateurs a
été suffisante au cours des différentes phases du projet</t>
  </si>
  <si>
    <t xml:space="preserve">Documentation des ateliers et séances de travail avec les utilisateurs</t>
  </si>
  <si>
    <t xml:space="preserve">Les ateliers et séances de travail avec les utilisateurs sont-ils documentés (comptes rendus, livrables) ?</t>
  </si>
  <si>
    <t xml:space="preserve">Contrat de prestation (pour comparaison).</t>
  </si>
  <si>
    <t xml:space="preserve">Ateliers non documentés, compliquant la traçabilité des contributions.</t>
  </si>
  <si>
    <t xml:space="preserve">Représentativité des utilisateurs impliqués par rapport à la population cible</t>
  </si>
  <si>
    <t xml:space="preserve">Les utilisateurs impliqués sont-ils représentatifs de la population utilisateur cible ?</t>
  </si>
  <si>
    <t xml:space="preserve">Supports de présentation utilisés lors des ateliers.</t>
  </si>
  <si>
    <t xml:space="preserve">Liste des participants aux ateliers vs cartographie des utilisateurs.</t>
  </si>
  <si>
    <t xml:space="preserve">Fréquence des sollicitations utilisateurs à chaque phase clé</t>
  </si>
  <si>
    <t xml:space="preserve">La fréquence des sollicitations utilisateurs est-elle adaptée aux différentes phases clés du projet ?</t>
  </si>
  <si>
    <t xml:space="preserve">Analyse de la représentativité (si formalisée).</t>
  </si>
  <si>
    <t xml:space="preserve">Planning projet détaillé montrant les ateliers/sollicitations.</t>
  </si>
  <si>
    <t xml:space="preserve">Sollicitations irrégulières, réduisant l’adhésion des utilisateurs.</t>
  </si>
  <si>
    <t xml:space="preserve">Traçabilité de la prise en compte des retours utilisateurs</t>
  </si>
  <si>
    <t xml:space="preserve">La prise en compte des retours utilisateurs est-elle traçable dans les documents du projet ?</t>
  </si>
  <si>
    <t xml:space="preserve">Plan d'implication des utilisateurs.</t>
  </si>
  <si>
    <t xml:space="preserve">Registre des retours utilisateurs et actions associées.</t>
  </si>
  <si>
    <t xml:space="preserve">Existence de mécanismes formels de validation utilisateur des livrables</t>
  </si>
  <si>
    <t xml:space="preserve">Des mécanismes formels de validation des livrables par les utilisateurs existent-ils (recette, etc.) ?</t>
  </si>
  <si>
    <t xml:space="preserve">Compte rendu d'atelier avec plan d'action.</t>
  </si>
  <si>
    <t xml:space="preserve">Procédure de recette utilisateur.</t>
  </si>
  <si>
    <t xml:space="preserve">Validations absentes, risquant un rejet des livrables par les utilisateurs.</t>
  </si>
  <si>
    <t xml:space="preserve">S’assurer qu’il existe un contrat de prestation entre la MOA et la
MOE</t>
  </si>
  <si>
    <t xml:space="preserve">Existence d'un contrat formalisé et signé par les deux parties</t>
  </si>
  <si>
    <t xml:space="preserve">Un contrat (ou convention de service interne) formalisé et signé par les parties existe-t-il ?</t>
  </si>
  <si>
    <t xml:space="preserve">Procès-verbaux de recette signés par les utilisateurs.</t>
  </si>
  <si>
    <t xml:space="preserve">Contrat fournisseur/prestataire signé.</t>
  </si>
  <si>
    <t xml:space="preserve">Contrat absent, entraînant des ambiguïtés sur les responsabilités.</t>
  </si>
  <si>
    <t xml:space="preserve">Définition précise du périmètre des prestations attendues</t>
  </si>
  <si>
    <t xml:space="preserve">Le périmètre des prestations attendues est-il précisément défini dans le contrat ?</t>
  </si>
  <si>
    <t xml:space="preserve">Convention de service interne signée.</t>
  </si>
  <si>
    <t xml:space="preserve">Contrat (section périmètre/objet).</t>
  </si>
  <si>
    <t xml:space="preserve">Périmètre flou, entraînant des écarts dans les prestations livrées.</t>
  </si>
  <si>
    <t xml:space="preserve">Clarté des engagements réciproques et des responsabilités</t>
  </si>
  <si>
    <t xml:space="preserve">Les engagements réciproques et les responsabilités des parties sont-ils clairement définis ?</t>
  </si>
  <si>
    <t xml:space="preserve">Cahier des charges annexé au contrat.</t>
  </si>
  <si>
    <t xml:space="preserve">Contrat (section engagements/responsabilités).</t>
  </si>
  <si>
    <t xml:space="preserve">Engagements flous, entraînant des litiges entre les parties.</t>
  </si>
  <si>
    <t xml:space="preserve">Définition des modalités financières et de facturation</t>
  </si>
  <si>
    <t xml:space="preserve">Les modalités financières et de facturation sont-elles définies sans ambiguïté ?</t>
  </si>
  <si>
    <t xml:space="preserve">Matrice RACI annexée au contrat (si applicable).</t>
  </si>
  <si>
    <t xml:space="preserve">Contrat (section conditions financières).</t>
  </si>
  <si>
    <t xml:space="preserve">Modalités financières ambiguës, entraînant des conflits budgétaires.</t>
  </si>
  <si>
    <t xml:space="preserve">Inclusion de clauses de résolution des litiges et de pénalités</t>
  </si>
  <si>
    <t xml:space="preserve">Le contrat inclut-il des clauses de résolution des litiges et/ou de pénalités ?</t>
  </si>
  <si>
    <t xml:space="preserve">Calendrier de facturation/paiement.</t>
  </si>
  <si>
    <t xml:space="preserve">Contrat (sections litiges, pénalités, résiliation).</t>
  </si>
  <si>
    <t xml:space="preserve">Clauses absentes, compliquant la résolution des litiges.</t>
  </si>
  <si>
    <t xml:space="preserve">Gestion des évolutions</t>
  </si>
  <si>
    <t xml:space="preserve">S’assurer que les demandes d'évolution du périmètre sont
Fréquentes</t>
  </si>
  <si>
    <t xml:space="preserve">Existence d'un registre de suivi des demandes d'évolution</t>
  </si>
  <si>
    <t xml:space="preserve">Existe-t-il un registre permettant le suivi des demandes d'évolution ?</t>
  </si>
  <si>
    <t xml:space="preserve">Plan d'assurance qualité fournisseur (si applicable).</t>
  </si>
  <si>
    <t xml:space="preserve">Rapport statistique sur les demandes d'évolution (par mois, trimestre...).</t>
  </si>
  <si>
    <t xml:space="preserve">Demandes non suivies, entraînant des évolutions non gérées.</t>
  </si>
  <si>
    <t xml:space="preserve">Analyse statistique de la fréquence des demandes par période</t>
  </si>
  <si>
    <t xml:space="preserve">Une analyse statistique de la fréquence des demandes d'évolution par période est-elle réalisée ?</t>
  </si>
  <si>
    <t xml:space="preserve">Extrait du registre des demandes avec dates de soumission.</t>
  </si>
  <si>
    <t xml:space="preserve">Registre des demandes d'évolution (avec champs catégorie/priorité).</t>
  </si>
  <si>
    <t xml:space="preserve">Fréquence non analysée, compliquant la planification des évolutions.</t>
  </si>
  <si>
    <t xml:space="preserve">Catégorisation des demandes selon leur origine et leur importance</t>
  </si>
  <si>
    <t xml:space="preserve">Les demandes d'évolution sont-elles catégorisées selon leur origine et leur importance ?</t>
  </si>
  <si>
    <t xml:space="preserve">Rapport de synthèse des demandes par catégorie/priorité.</t>
  </si>
  <si>
    <t xml:space="preserve">Registre des demandes (avec évaluation d'impact sur planning).</t>
  </si>
  <si>
    <t xml:space="preserve">Demandes non catégorisées, réduisant l’efficacité de leur gestion.</t>
  </si>
  <si>
    <t xml:space="preserve">Mesure de l'impact des demandes sur le planning initial</t>
  </si>
  <si>
    <t xml:space="preserve">L'impact des demandes d'évolution sur le planning initial est-il mesuré ?</t>
  </si>
  <si>
    <t xml:space="preserve">Comparaison Planning initial vs Planning révisé (avec justifications liées aux évolutions).</t>
  </si>
  <si>
    <t xml:space="preserve">Benchmark interne ou externe sur la gestion des évolutions.</t>
  </si>
  <si>
    <t xml:space="preserve">Impact non mesuré, entraînant des retards imprévus.</t>
  </si>
  <si>
    <t xml:space="preserve">Comparaison avec les standards du secteur ou les projets similaires</t>
  </si>
  <si>
    <t xml:space="preserve">La fréquence ou l'impact des évolutions sont-ils comparés avec des standards du secteur ou des projets similaires ?</t>
  </si>
  <si>
    <t xml:space="preserve">Rapport d'audit comparant les pratiques du projet aux standards.</t>
  </si>
  <si>
    <t xml:space="preserve">Modèle de formulaire de demande d'évolution (vierge).</t>
  </si>
  <si>
    <t xml:space="preserve">Comparaison absente, limitant l’optimisation du processus.</t>
  </si>
  <si>
    <t xml:space="preserve">S’assurer que les demandes d'évolutions sont formalisées</t>
  </si>
  <si>
    <t xml:space="preserve">Existence d'un formulaire standard de demande d'évolution</t>
  </si>
  <si>
    <t xml:space="preserve">Un formulaire standardisé est-il utilisé pour les demandes d'évolution ?</t>
  </si>
  <si>
    <t xml:space="preserve">Exemples de formulaires remplis.</t>
  </si>
  <si>
    <t xml:space="preserve">Exemples de formulaires de demande d'évolution remplis.</t>
  </si>
  <si>
    <t xml:space="preserve">Formulaire absent, entraînant des demandes incomplètes.</t>
  </si>
  <si>
    <t xml:space="preserve">Complétude des informations requises pour chaque demande</t>
  </si>
  <si>
    <t xml:space="preserve">La complétude des informations requises est-elle vérifiée pour chaque demande d'évolution ?</t>
  </si>
  <si>
    <t xml:space="preserve">Check-list de complétude pour les demandes.</t>
  </si>
  <si>
    <t xml:space="preserve">Exemples de demandes d'évolution avec signatures/validations.</t>
  </si>
  <si>
    <t xml:space="preserve">Informations manquantes, retardant le traitement des demandes.</t>
  </si>
  <si>
    <t xml:space="preserve">Traçabilité des approbations pour chaque demande</t>
  </si>
  <si>
    <t xml:space="preserve">La traçabilité des approbations nécessaires pour chaque demande est-elle assurée ?</t>
  </si>
  <si>
    <t xml:space="preserve">Workflow d'approbation dans l'outil de suivi (si applicable).</t>
  </si>
  <si>
    <t xml:space="preserve">Accès à l'outil/registre centralisé des demandes.</t>
  </si>
  <si>
    <t xml:space="preserve">Approbations non tracées, réduisant la transparence du processus.</t>
  </si>
  <si>
    <t xml:space="preserve">Centralisation des demandes dans un référentiel unique</t>
  </si>
  <si>
    <t xml:space="preserve">Les demandes d'évolution sont-elles centralisées dans un référentiel unique ?</t>
  </si>
  <si>
    <t xml:space="preserve">Procédure de gestion des évolutions (mentionnant l'outil).</t>
  </si>
  <si>
    <t xml:space="preserve">Accès à l'outil/registre montrant l'historique complet.</t>
  </si>
  <si>
    <t xml:space="preserve">Demandes dispersées, compliquant leur gestion centralisée.</t>
  </si>
  <si>
    <t xml:space="preserve">Conservation de l'historique des demandes et de leur traitement</t>
  </si>
  <si>
    <t xml:space="preserve">L'historique des demandes d'évolution et de leur traitement est-il conservé ?</t>
  </si>
  <si>
    <t xml:space="preserve">Politique d'archivage des données projet.</t>
  </si>
  <si>
    <t xml:space="preserve">Procédure de gestion des évolutions/changements.</t>
  </si>
  <si>
    <t xml:space="preserve">Historique non conservé, réduisant la traçabilité des évolutions.</t>
  </si>
  <si>
    <t xml:space="preserve">S’assurer qu’il existe une procédure de gestion des évolutions
du périmètre</t>
  </si>
  <si>
    <t xml:space="preserve">Documentation formelle du processus de gestion des évolutions</t>
  </si>
  <si>
    <t xml:space="preserve">Le processus de gestion des évolutions est-il formellement documenté ?</t>
  </si>
  <si>
    <t xml:space="preserve">Manuel qualité projet (section gestion des évolutions).</t>
  </si>
  <si>
    <t xml:space="preserve">Procédure de gestion des évolutions (section rôles/resp.).</t>
  </si>
  <si>
    <t xml:space="preserve">Processus non documenté, entraînant une gestion incohérente des évolutions.</t>
  </si>
  <si>
    <t xml:space="preserve">Définition des rôles et responsabilités dans le processus</t>
  </si>
  <si>
    <t xml:space="preserve">Les rôles et responsabilités dans le processus de gestion des évolutions sont-ils clairement définis ?</t>
  </si>
  <si>
    <t xml:space="preserve">Matrice RACI pour la gestion des évolutions.</t>
  </si>
  <si>
    <t xml:space="preserve">Charte du comité d'évaluation des évolutions (ou CCB).</t>
  </si>
  <si>
    <t xml:space="preserve">Rôles flous, entraînant des retards dans la gestion des évolutions.</t>
  </si>
  <si>
    <t xml:space="preserve">Existence d'un comité d'évaluation des demandes d'évolution</t>
  </si>
  <si>
    <t xml:space="preserve">Existe-t-il un comité (ou instance équivalente) pour évaluer les demandes d'évolution ?</t>
  </si>
  <si>
    <t xml:space="preserve">Comptes rendus des réunions du comité.</t>
  </si>
  <si>
    <t xml:space="preserve">Grille de critères d'évaluation/priorisation.</t>
  </si>
  <si>
    <t xml:space="preserve">Comité absent, compromettant l’évaluation des demandes.</t>
  </si>
  <si>
    <t xml:space="preserve">Critères objectifs d'évaluation et de priorisation des demandes</t>
  </si>
  <si>
    <t xml:space="preserve">Des critères objectifs d'évaluation et de priorisation des demandes d'évolution sont-ils utilisés ?</t>
  </si>
  <si>
    <t xml:space="preserve">Procédure de gestion des évolutions (section critères).</t>
  </si>
  <si>
    <t xml:space="preserve">Procédure de gestion des évolutions (section communication).</t>
  </si>
  <si>
    <t xml:space="preserve">Critères flous, entraînant une priorisation subjective des évolutions.</t>
  </si>
  <si>
    <t xml:space="preserve">Mécanismes de communication des décisions aux parties prenantes</t>
  </si>
  <si>
    <t xml:space="preserve">Des mécanismes sont-ils en place pour communiquer les décisions sur les évolutions aux parties prenantes ?</t>
  </si>
  <si>
    <t xml:space="preserve">Exemples de communications sur les décisions d'évolution.</t>
  </si>
  <si>
    <t xml:space="preserve">Procédure ou guide d'analyse d'impact.</t>
  </si>
  <si>
    <t xml:space="preserve">Décisions non communiquées, réduisant l’adhésion des parties prenantes.</t>
  </si>
  <si>
    <t xml:space="preserve">S’assurer qu’une mesure d'impact est effectuée</t>
  </si>
  <si>
    <t xml:space="preserve">Existence d'une méthodologie formalisée d'analyse d'impact</t>
  </si>
  <si>
    <t xml:space="preserve">Une méthodologie formalisée d'analyse d'impact des évolutions existe-t-elle ?</t>
  </si>
  <si>
    <t xml:space="preserve">Modèle de document d'analyse d'impact.</t>
  </si>
  <si>
    <t xml:space="preserve">Exemples d'analyses d'impact complétées.</t>
  </si>
  <si>
    <t xml:space="preserve">Analyse absente, entraînant des évolutions mal évaluées.</t>
  </si>
  <si>
    <t xml:space="preserve">Évaluation systématique des impacts sur les délais, coûts et qualité</t>
  </si>
  <si>
    <t xml:space="preserve">Les impacts sur les délais, les coûts et la qualité sont-ils systématiquement évalués pour chaque évolution significative ?</t>
  </si>
  <si>
    <t xml:space="preserve">Registre des évolutions (avec colonnes impacts délais/coûts/qualité).</t>
  </si>
  <si>
    <t xml:space="preserve">Exemples d'analyses d'impact (section risques).</t>
  </si>
  <si>
    <t xml:space="preserve">Impacts mal évalués, entraînant des retards ou des surcoûts.</t>
  </si>
  <si>
    <t xml:space="preserve">Analyse des risques associés à chaque évolution significative</t>
  </si>
  <si>
    <t xml:space="preserve">Une analyse des risques associés à chaque évolution significative est-elle réalisée ?</t>
  </si>
  <si>
    <t xml:space="preserve">Registre des risques projet (mis à jour avec risques liés aux évolutions).</t>
  </si>
  <si>
    <t xml:space="preserve">Exemples d'analyses d'impact (sections impacts orga/tech).</t>
  </si>
  <si>
    <t xml:space="preserve">Risques non analysés, exposant le projet à des échecs imprévus.</t>
  </si>
  <si>
    <t xml:space="preserve">Prise en compte des impacts organisationnels et techniques</t>
  </si>
  <si>
    <t xml:space="preserve">Les impacts organisationnels et techniques des évolutions sont-ils pris en compte dans l'analyse ?</t>
  </si>
  <si>
    <t xml:space="preserve">Consultation documentée des experts orga/tech.</t>
  </si>
  <si>
    <t xml:space="preserve">Dossier de décision d'une évolution (incluant l'analyse d'impact).</t>
  </si>
  <si>
    <t xml:space="preserve">Impacts ignorés, entraînant des résistances organisationnelles.</t>
  </si>
  <si>
    <t xml:space="preserve">Documentation des résultats d'analyse d'impact dans le dossier de décision</t>
  </si>
  <si>
    <t xml:space="preserve">Les résultats de l'analyse d'impact sont-ils documentés dans le dossier de décision de l'évolution ?</t>
  </si>
  <si>
    <t xml:space="preserve">Compte rendu du comité d'évaluation (avec référence à l'analyse).</t>
  </si>
  <si>
    <t xml:space="preserve">Politique de gestion de configuration logicielle/documentaire.</t>
  </si>
  <si>
    <t xml:space="preserve">Résultats non documentés, réduisant la transparence des décisions.</t>
  </si>
  <si>
    <t xml:space="preserve">S’assurer qu’il existe une gestion des versions</t>
  </si>
  <si>
    <t xml:space="preserve">Existence d'une politique de gestion des versions documentée</t>
  </si>
  <si>
    <t xml:space="preserve">Une politique de gestion des versions est-elle documentée et appliquée ?</t>
  </si>
  <si>
    <t xml:space="preserve">Plan de gestion de configuration du projet.</t>
  </si>
  <si>
    <t xml:space="preserve">Politique/Plan de gestion de configuration (section nommage).</t>
  </si>
  <si>
    <t xml:space="preserve">Politique absente, entraînant une gestion incohérente des versions.</t>
  </si>
  <si>
    <t xml:space="preserve">Convention de nommage claire pour les différentes versions</t>
  </si>
  <si>
    <t xml:space="preserve">Une convention de nommage claire est-elle utilisée pour identifier les différentes versions ?</t>
  </si>
  <si>
    <t xml:space="preserve">Exemples de livrables avec noms de version conformes.</t>
  </si>
  <si>
    <t xml:space="preserve">Historique des modifications (changelog) dans les documents/logiciels.</t>
  </si>
  <si>
    <t xml:space="preserve">Nommage flou, entraînant des confusions entre versions.</t>
  </si>
  <si>
    <t xml:space="preserve">Traçabilité des modifications entre versions successives</t>
  </si>
  <si>
    <t xml:space="preserve">La traçabilité des modifications apportées entre les versions successives est-elle assurée ?</t>
  </si>
  <si>
    <t xml:space="preserve">Outil de gestion de version (logs, diffs).</t>
  </si>
  <si>
    <t xml:space="preserve">Procédure de mise en production (différenciant types de release).</t>
  </si>
  <si>
    <t xml:space="preserve">Modifications non tracées, compliquant la gestion des versions.</t>
  </si>
  <si>
    <t xml:space="preserve">Procédures de déploiement adaptées aux différents types de versions</t>
  </si>
  <si>
    <t xml:space="preserve">Des procédures de déploiement adaptées aux différents types de versions (majeure, mineure, patch) existent-elles ?</t>
  </si>
  <si>
    <t xml:space="preserve">Plan de déploiement spécifique à une version.</t>
  </si>
  <si>
    <t xml:space="preserve">Politique d'archivage.</t>
  </si>
  <si>
    <t xml:space="preserve">Déploiements inadaptés, entraînant des erreurs en production.</t>
  </si>
  <si>
    <t xml:space="preserve">Archivage systématique des versions antérieures</t>
  </si>
  <si>
    <t xml:space="preserve">Les versions antérieures sont-elles systématiquement archivées ?</t>
  </si>
  <si>
    <t xml:space="preserve">Accès à l'archive des versions antérieures.</t>
  </si>
  <si>
    <t xml:space="preserve">Tableau de bord projet (indicateurs délais décision).</t>
  </si>
  <si>
    <t xml:space="preserve">Versions non archivées, compromettant la récupération en cas d’erreur.</t>
  </si>
  <si>
    <t xml:space="preserve">S’assurer que les décisions sont prises dans un délai
Satisfaisant</t>
  </si>
  <si>
    <t xml:space="preserve">Existence d'indicateurs de mesure des délais de décision</t>
  </si>
  <si>
    <t xml:space="preserve">Existe-t-il des indicateurs pour mesurer les délais de prise de décision ?</t>
  </si>
  <si>
    <t xml:space="preserve">Rapport de suivi des décisions.</t>
  </si>
  <si>
    <t xml:space="preserve">Rapport de suivi des délais de décision vs objectifs.</t>
  </si>
  <si>
    <t xml:space="preserve">Délais non mesurés, compliquant l’optimisation des décisions.</t>
  </si>
  <si>
    <t xml:space="preserve">Conformité des délais constatés avec les standards définis</t>
  </si>
  <si>
    <t xml:space="preserve">Les délais de décision constatés sont-ils conformes aux standards ou objectifs définis ?</t>
  </si>
  <si>
    <t xml:space="preserve">Analyse des écarts sur les délais de décision.</t>
  </si>
  <si>
    <t xml:space="preserve">Procédure de prise de décision (section escalade).</t>
  </si>
  <si>
    <t xml:space="preserve">Délais non conformes, entraînant des retards dans le projet.</t>
  </si>
  <si>
    <t xml:space="preserve">Présence de mécanismes d'escalade en cas de retard décisionnel</t>
  </si>
  <si>
    <t xml:space="preserve">Des mécanismes d'escalade sont-ils prévus en cas de retard décisionnel ?</t>
  </si>
  <si>
    <t xml:space="preserve">Exemples d'escalades documentées pour décisions tardives.</t>
  </si>
  <si>
    <t xml:space="preserve">Analyse d'impact des retards de décision.</t>
  </si>
  <si>
    <t xml:space="preserve">Escalades absentes, retardant la résolution des blocages.</t>
  </si>
  <si>
    <t xml:space="preserve">Impact limité des décisions tardives sur l'avancement du projet</t>
  </si>
  <si>
    <t xml:space="preserve">L'impact des décisions tardives sur l'avancement du projet est-il évalué et limité ?</t>
  </si>
  <si>
    <t xml:space="preserve">Registre des risques projet (mentionnant les risques liés aux retards).</t>
  </si>
  <si>
    <t xml:space="preserve">analyse d'impact).</t>
  </si>
  <si>
    <t xml:space="preserve">Impact non évalué, entraînant des dérives dans le planning.</t>
  </si>
  <si>
    <t xml:space="preserve">Formalisation des délais acceptables selon la nature des décisions</t>
  </si>
  <si>
    <t xml:space="preserve">Des délais acceptables sont-ils formalisés selon la nature et l'urgence des décisions ?</t>
  </si>
  <si>
    <t xml:space="preserve">Rapports d'analyse d'impact remplis pour des évolutions significatives.</t>
  </si>
  <si>
    <t xml:space="preserve">Check-list ou modèle d'analyse d'impact.</t>
  </si>
  <si>
    <t xml:space="preserve">Délais non formalisés, entraînant des décisions tardives.</t>
  </si>
  <si>
    <t xml:space="preserve">S’assurer que les décisions sont prises sur la base d'un niveau
d'information pertinent</t>
  </si>
  <si>
    <t xml:space="preserve">Documentation standardisée requise pour chaque type de décision</t>
  </si>
  <si>
    <t xml:space="preserve">Une documentation standardisée est-elle requise pour soumettre chaque type de décision ?</t>
  </si>
  <si>
    <t xml:space="preserve">Rapport d'analyse d'impact (section analyse des risques).</t>
  </si>
  <si>
    <t xml:space="preserve">Registre des risques projet (mis à jour suite aux évolutions).</t>
  </si>
  <si>
    <t xml:space="preserve">Documentation absente, entraînant des décisions mal informées.</t>
  </si>
  <si>
    <t xml:space="preserve">Qualité et exhaustivité des dossiers de prise de décision</t>
  </si>
  <si>
    <t xml:space="preserve">Les dossiers de prise de décision sont-ils jugés de qualité suffisante et exhaustifs ?</t>
  </si>
  <si>
    <t xml:space="preserve">Rapport d'analyse d'impact (sections impacts organisationnels/techniques).</t>
  </si>
  <si>
    <t xml:space="preserve">Preuves de consultation des experts organisationnels et techniques.</t>
  </si>
  <si>
    <t xml:space="preserve">Dossiers incomplets, compromettant la qualité des décisions.</t>
  </si>
  <si>
    <t xml:space="preserve">Consultation systématique des experts appropriés</t>
  </si>
  <si>
    <t xml:space="preserve">Les experts appropriés sont-ils systématiquement consultés avant les prises de décision ?</t>
  </si>
  <si>
    <t xml:space="preserve">Dossier de demande d'évolution complet (incluant l'analyse d'impact).</t>
  </si>
  <si>
    <t xml:space="preserve">Compte rendu du comité d'évolution validant l'évolution (mentionnant l'analyse).</t>
  </si>
  <si>
    <t xml:space="preserve">Experts non consultés, entraînant des décisions erronées.</t>
  </si>
  <si>
    <t xml:space="preserve">Traçabilité des sources d'information utilisées</t>
  </si>
  <si>
    <t xml:space="preserve">Les sources d'information utilisées pour la prise de décision sont-elles traçables ?</t>
  </si>
  <si>
    <t xml:space="preserve">Politique de gestion des versions et de configuration.</t>
  </si>
  <si>
    <t xml:space="preserve">Procédure de gestion de configuration logicielle.</t>
  </si>
  <si>
    <t xml:space="preserve">Sources non tracées, réduisant la fiabilité des décisions.</t>
  </si>
  <si>
    <t xml:space="preserve">Évaluation des alternatives et scenarios pour les décisions majeures</t>
  </si>
  <si>
    <t xml:space="preserve">Une évaluation documentée des alternatives et scénarios est-elle réalisée pour les décisions majeures ?</t>
  </si>
  <si>
    <t xml:space="preserve">Politique/Procédure de gestion des versions (section convention de nommage).</t>
  </si>
  <si>
    <t xml:space="preserve">Exemples de livrables respectant la convention de nommage.</t>
  </si>
  <si>
    <t xml:space="preserve">Alternatives non évaluées, entraînant des choix non optimaux.</t>
  </si>
  <si>
    <t xml:space="preserve">S’assurer que le manuel d'exploitation fait l'objet d'une
procédure de mise à jour</t>
  </si>
  <si>
    <t xml:space="preserve">Existence d'une procédure documentée de révision du manuel d'exploitation</t>
  </si>
  <si>
    <t xml:space="preserve">Existe-t-il une procédure documentée pour la révision du manuel d'exploitation ?</t>
  </si>
  <si>
    <t xml:space="preserve">Outil de gestion de version (logs, historique des modifications, comparaison).</t>
  </si>
  <si>
    <t xml:space="preserve">Changelog ou historique des modifications documenté par version.</t>
  </si>
  <si>
    <t xml:space="preserve">Révision non formalisée, entraînant un manuel d’exploitation obsolète.</t>
  </si>
  <si>
    <t xml:space="preserve">Historique des versions avec changelog détaillé</t>
  </si>
  <si>
    <t xml:space="preserve">Un historique des versions du manuel d'exploitation, avec un changelog détaillé, est-il maintenu ?</t>
  </si>
  <si>
    <t xml:space="preserve">Procédure de mise en production (détaillant par type de version).</t>
  </si>
  <si>
    <t xml:space="preserve">Attribution claire des responsabilités pour les mises à jour du manuel</t>
  </si>
  <si>
    <t xml:space="preserve">Les responsabilités pour les mises à jour du manuel d'exploitation sont-elles clairement attribuées ?</t>
  </si>
  <si>
    <t xml:space="preserve">Politique d'archivage des logiciels et documentations.</t>
  </si>
  <si>
    <t xml:space="preserve">Accès à l'archive des versions antérieures (code et documentation).</t>
  </si>
  <si>
    <t xml:space="preserve">Fréquence définie de révision (planifiée ou déclenchée par événements)</t>
  </si>
  <si>
    <t xml:space="preserve">Une fréquence de révision du manuel d'exploitation (planifiée ou déclenchée par événements) est-elle définie ?</t>
  </si>
  <si>
    <t xml:space="preserve">Tableau de bord projet (indicateurs sur les délais de décision).</t>
  </si>
  <si>
    <t xml:space="preserve">Rapports périodiques d'analyse des délais de décision.</t>
  </si>
  <si>
    <t xml:space="preserve">Révision non planifiée, entraînant un manuel non à jour.</t>
  </si>
  <si>
    <t xml:space="preserve">Validation formelle des mises à jour par les parties prenantes concernées</t>
  </si>
  <si>
    <t xml:space="preserve">Les mises à jour du manuel d'exploitation sont-elles formellement validées par les parties prenantes concernées ?</t>
  </si>
  <si>
    <t xml:space="preserve">Rapports d'indicateurs comparés aux objectifs ou SLA définis.</t>
  </si>
  <si>
    <t xml:space="preserve">Procédure de prise de décision (mentionnant les délais cibles/SLA).</t>
  </si>
  <si>
    <t xml:space="preserve">Mises à jour non validées, risquant des erreurs dans le manuel.</t>
  </si>
  <si>
    <t xml:space="preserve">S’assurer que l’organisation de soutien aux utilisateurs est
informée des évolutions et les a anticipées</t>
  </si>
  <si>
    <t xml:space="preserve">Inclusion formelle de l'équipe de support dans le plan de communication</t>
  </si>
  <si>
    <t xml:space="preserve">L'équipe de support est-elle formellement incluse dans le plan de communication du projet ?</t>
  </si>
  <si>
    <t xml:space="preserve">Procédure de prise de décision (section escalade en cas de retard).</t>
  </si>
  <si>
    <t xml:space="preserve">Exemples documentés d'escalades réalisées pour retard décisionnel.</t>
  </si>
  <si>
    <t xml:space="preserve">Support non informé, réduisant son efficacité face aux utilisateurs.</t>
  </si>
  <si>
    <t xml:space="preserve">Formation anticipée de l'équipe de support sur les nouvelles fonctionnalités</t>
  </si>
  <si>
    <t xml:space="preserve">L'équipe de support a-t-elle été formée de manière anticipée sur les nouvelles fonctionnalités ?</t>
  </si>
  <si>
    <t xml:space="preserve">Analyse post-mortem des retards projet liés aux décisions tardives.</t>
  </si>
  <si>
    <t xml:space="preserve">Suivi des dépendances liées aux décisions dans le planning projet.</t>
  </si>
  <si>
    <t xml:space="preserve">Support non formé, entraînant des erreurs dans la gestion des incidents.</t>
  </si>
  <si>
    <t xml:space="preserve">Participation du support aux phases de test et recette</t>
  </si>
  <si>
    <t xml:space="preserve">L'équipe de support a-t-elle participé aux phases de test et recette ?</t>
  </si>
  <si>
    <t xml:space="preserve">Procédure de prise de décision (mentionnant les délais acceptables par type).</t>
  </si>
  <si>
    <t xml:space="preserve">Catalogue ou typologie des décisions projet.</t>
  </si>
  <si>
    <t xml:space="preserve">Support non impliqué, réduisant la qualité des tests.</t>
  </si>
  <si>
    <t xml:space="preserve">Documentation des procédures de support mises à jour avant déploiement</t>
  </si>
  <si>
    <t xml:space="preserve">Les procédures de support ont-elles été documentées et mises à jour avant le déploiement ?</t>
  </si>
  <si>
    <t xml:space="preserve">Modèles de dossiers de décision par type.</t>
  </si>
  <si>
    <t xml:space="preserve">Procédure de prise de décision (section documentation requise).</t>
  </si>
  <si>
    <t xml:space="preserve">Procédures non documentées, compliquant la résolution des incidents.</t>
  </si>
  <si>
    <t xml:space="preserve">Disponibilité d'une base de connaissances actualisée pour l'équipe de support</t>
  </si>
  <si>
    <t xml:space="preserve">Une base de connaissances actualisée est-elle disponible pour l'équipe de support ?</t>
  </si>
  <si>
    <t xml:space="preserve">Exemples de dossiers de décision soumis pour évaluation.</t>
  </si>
  <si>
    <t xml:space="preserve">Check-list de qualité ou d'exhaustivité des dossiers de décision.</t>
  </si>
  <si>
    <t xml:space="preserve">Base de connaissances absente, réduisant l’efficacité du support.</t>
  </si>
  <si>
    <t xml:space="preserve">Mise en production</t>
  </si>
  <si>
    <t xml:space="preserve">S’assurer que les responsabilités respectives des directions des
projets et de la production sont clairement établies et les périmètres
décrits respectent les principes de séparation des tâches</t>
  </si>
  <si>
    <t xml:space="preserve">Existence d'une matrice RACI détaillant les responsabilités projet/production</t>
  </si>
  <si>
    <t xml:space="preserve">Existe-t-il une matrice RACI (ou équivalent) détaillant les responsabilités entre le projet et la production/support ?</t>
  </si>
  <si>
    <t xml:space="preserve">Comptes rendus de réunions de décision (avec liste des participants experts).</t>
  </si>
  <si>
    <t xml:space="preserve">Preuves de consultation des experts (emails, avis formels annexés).</t>
  </si>
  <si>
    <t xml:space="preserve">Responsabilités floues, entraînant des conflits entre projet et production.</t>
  </si>
  <si>
    <t xml:space="preserve">Conformité de la séparation des tâches avec les bonnes pratiques de sécurité</t>
  </si>
  <si>
    <t xml:space="preserve">La séparation des tâches définie est-elle conforme aux bonnes pratiques de sécurité ?</t>
  </si>
  <si>
    <t xml:space="preserve">Dossiers de décision (mentionnant les sources, références, annexes).</t>
  </si>
  <si>
    <t xml:space="preserve">Base de connaissances projet ou répertoire documentaire utilisé.</t>
  </si>
  <si>
    <t xml:space="preserve">Séparation non conforme, augmentant les risques de sécurité.</t>
  </si>
  <si>
    <t xml:space="preserve">Documentation des points de contrôle et validations croisées</t>
  </si>
  <si>
    <t xml:space="preserve">Les points de contrôle et les validations croisées entre projet et production sont-ils documentés ?</t>
  </si>
  <si>
    <t xml:space="preserve">Dossiers de décision pour des choix stratégiques ou majeurs.</t>
  </si>
  <si>
    <t xml:space="preserve">Analyses comparatives des scénarios ou alternatives présentées.</t>
  </si>
  <si>
    <t xml:space="preserve">Validations absentes, entraînant des erreurs en production.</t>
  </si>
  <si>
    <t xml:space="preserve">Clarté des périmètres d'intervention pour éviter les zones grises</t>
  </si>
  <si>
    <t xml:space="preserve">Les périmètres d'intervention respectifs sont-ils définis avec suffisamment de clarté pour éviter les zones grises ?</t>
  </si>
  <si>
    <t xml:space="preserve">Procédure de gestion de la documentation d'exploitation.</t>
  </si>
  <si>
    <t xml:space="preserve">Workflow de révision/mise à jour du manuel d'exploitation.</t>
  </si>
  <si>
    <t xml:space="preserve">Périmètres flous, entraînant des zones de responsabilité ambiguës.</t>
  </si>
  <si>
    <t xml:space="preserve">Mécanismes de résolution des conflits de responsabilité</t>
  </si>
  <si>
    <t xml:space="preserve">Des mécanismes de résolution des conflits de responsabilité entre projet et production existent-ils ?</t>
  </si>
  <si>
    <t xml:space="preserve">Manuel d'exploitation (page de garde ou section historique des versions).</t>
  </si>
  <si>
    <t xml:space="preserve">Outil de gestion documentaire (logs spécifiques au manuel d'exploitation).</t>
  </si>
  <si>
    <t xml:space="preserve">Conflits non résolus, retardant la transition vers la production.</t>
  </si>
  <si>
    <t xml:space="preserve">S’assurer qu’il existe un document décrivant les responsabilités
respectives des projets et de la production lors d’une mise en
Production</t>
  </si>
  <si>
    <t xml:space="preserve">Existence d'un document formalisé de procédure de mise en production</t>
  </si>
  <si>
    <t xml:space="preserve">Un document formalisé décrivant la procédure de mise en production existe-t-il ?</t>
  </si>
  <si>
    <t xml:space="preserve">Procédure de gestion documentaire (section rôles et responsabilités).</t>
  </si>
  <si>
    <t xml:space="preserve">Matrice RACI pour la documentation d'exploitation.</t>
  </si>
  <si>
    <t xml:space="preserve">Procédure absente, entraînant des erreurs lors de la mise en production.</t>
  </si>
  <si>
    <t xml:space="preserve">Définition précise des rôles et responsabilités à chaque étape</t>
  </si>
  <si>
    <t xml:space="preserve">Les rôles et responsabilités sont-ils précisément définis pour chaque étape de la mise en production ?</t>
  </si>
  <si>
    <t xml:space="preserve">Procédure de gestion documentaire (section fréquence de révision).</t>
  </si>
  <si>
    <t xml:space="preserve">Planning de révision de la documentation d'exploitation.</t>
  </si>
  <si>
    <t xml:space="preserve">Rôles flous, entraînant des confusions lors de la mise en production.</t>
  </si>
  <si>
    <t xml:space="preserve">Description des points de contrôle et de validation</t>
  </si>
  <si>
    <t xml:space="preserve">Les points de contrôle et de validation de la procédure de mise en production sont-ils décrits ?</t>
  </si>
  <si>
    <t xml:space="preserve">Preuves de validation des mises à jour (signatures, emails, workflow validé).</t>
  </si>
  <si>
    <t xml:space="preserve">Compte rendu de validation formelle du manuel mis à jour.</t>
  </si>
  <si>
    <t xml:space="preserve">Contrôles absents, augmentant les risques d’échec en production.</t>
  </si>
  <si>
    <t xml:space="preserve">Documentation des scénarios de rollback en cas d'échec</t>
  </si>
  <si>
    <t xml:space="preserve">Les scénarios de retour arrière (rollback) en cas d'échec de la mise en production sont-ils documentés ?</t>
  </si>
  <si>
    <t xml:space="preserve">Plan de communication projet (mentionnant le support comme cible).</t>
  </si>
  <si>
    <t xml:space="preserve">Liste de diffusion des communications incluant l'équipe support.</t>
  </si>
  <si>
    <t xml:space="preserve">Retour arrière non prévu, compromettant la récupération en cas d’échec.</t>
  </si>
  <si>
    <t xml:space="preserve">Clarté des processus de communication pendant la mise en production</t>
  </si>
  <si>
    <t xml:space="preserve">Les processus de communication pendant la mise en production sont-ils clairement définis ?</t>
  </si>
  <si>
    <t xml:space="preserve">Plan de formation spécifique à l'équipe support.</t>
  </si>
  <si>
    <t xml:space="preserve">Supports de formation et listes d'émargement des sessions support.</t>
  </si>
  <si>
    <t xml:space="preserve">Communication floue, entraînant des erreurs lors de la mise en production.</t>
  </si>
  <si>
    <t xml:space="preserve">S’assurer que les équipes projet et de production connaissent
et respectent ce document</t>
  </si>
  <si>
    <t xml:space="preserve">Diffusion tracée du document aux équipes concernées</t>
  </si>
  <si>
    <t xml:space="preserve">La diffusion de la procédure de mise en production aux équipes concernées est-elle tracée ?</t>
  </si>
  <si>
    <t xml:space="preserve">Plan de test ou de recette (mentionnant la participation du support).</t>
  </si>
  <si>
    <t xml:space="preserve">Comptes rendus de phases de test avec participants du support listés.</t>
  </si>
  <si>
    <t xml:space="preserve">Diffusion non tracée, réduisant l’engagement des équipes.</t>
  </si>
  <si>
    <t xml:space="preserve">Formation documentée des équipes sur les procédures</t>
  </si>
  <si>
    <t xml:space="preserve">Les équipes concernées ont-elles été formées de manière documentée sur les procédures de mise en production ?</t>
  </si>
  <si>
    <t xml:space="preserve">Procédures de support datées et versionnées.</t>
  </si>
  <si>
    <t xml:space="preserve">Plan de déploiement (mentionnant la mise à jour des docs support comme prérequis).</t>
  </si>
  <si>
    <t xml:space="preserve">Équipes non formées, entraînant des erreurs en production.</t>
  </si>
  <si>
    <t xml:space="preserve">Tests ou simulations réalisés pour vérifier la maîtrise des procédures</t>
  </si>
  <si>
    <t xml:space="preserve">Des tests ou simulations ont-ils été réalisés pour vérifier la maîtrise des procédures de mise en production ?</t>
  </si>
  <si>
    <t xml:space="preserve">Accès à la base de connaissances support.</t>
  </si>
  <si>
    <t xml:space="preserve">Procédure de mise à jour de la base de connaissances support.</t>
  </si>
  <si>
    <t xml:space="preserve">Simulations absentes, augmentant les risques d’échec en production.</t>
  </si>
  <si>
    <t xml:space="preserve">Taux de conformité aux procédures lors des mises en production précédentes</t>
  </si>
  <si>
    <t xml:space="preserve">Le taux de conformité aux procédures lors des mises en production précédentes a-t-il été mesuré ou évalué ?</t>
  </si>
  <si>
    <t xml:space="preserve">Matrice RACI Projet/Production (ou Projet/Support).</t>
  </si>
  <si>
    <t xml:space="preserve">Convention de service interne Procédure de prise de décision (SLA internes).</t>
  </si>
  <si>
    <t xml:space="preserve">Non-conformité non mesurée, limitant l’amélioration des processus.</t>
  </si>
  <si>
    <t xml:space="preserve">Existence d'un processus d'amélioration continue basé sur les retours d'expérience</t>
  </si>
  <si>
    <t xml:space="preserve">Existe-t-il un processus d'amélioration continue des procédures de mise en production basé sur les retours d'expérience ?</t>
  </si>
  <si>
    <t xml:space="preserve">Matrice de délégation de pouvoir (avec délais).</t>
  </si>
  <si>
    <t xml:space="preserve">Modèles de dossiers de décision.</t>
  </si>
  <si>
    <t xml:space="preserve">Améliorations absentes, perpetuant les inefficacités en production.</t>
  </si>
  <si>
    <t xml:space="preserve">S’assurer que les membres de l’organisation et les fournisseurs
respectent leurs obligations lors de la mise en production</t>
  </si>
  <si>
    <t xml:space="preserve">Traçabilité des engagements contractuels spécifiques à la mise en production</t>
  </si>
  <si>
    <t xml:space="preserve">Les engagements contractuels (internes ou externes) spécifiques à la mise en production sont-ils tracés ?</t>
  </si>
  <si>
    <t xml:space="preserve">Exemples de dossiers de décision soumis.</t>
  </si>
  <si>
    <t xml:space="preserve">Engagements non tracés, entraînant des litiges contractuels.</t>
  </si>
  <si>
    <t xml:space="preserve">Documentation des livrables attendus de chaque partie</t>
  </si>
  <si>
    <t xml:space="preserve">Les livrables attendus de chaque partie lors de la mise en production sont-ils documentés ?</t>
  </si>
  <si>
    <t xml:space="preserve">Check-list de qualité/complétude des dossiers de décision.</t>
  </si>
  <si>
    <t xml:space="preserve">Dossiers de décision (mentionnant les experts consultés).</t>
  </si>
  <si>
    <t xml:space="preserve">Livrables flous, entraînant des écarts dans la mise en production.</t>
  </si>
  <si>
    <t xml:space="preserve">Suivi de la participation effective aux activités de mise en production</t>
  </si>
  <si>
    <t xml:space="preserve">La participation effective des différentes parties aux activités de mise en production est-elle suivie ?</t>
  </si>
  <si>
    <t xml:space="preserve">Comptes rendus de réunion avec les experts.</t>
  </si>
  <si>
    <t xml:space="preserve">Dossiers de décision (références, bibliographie).</t>
  </si>
  <si>
    <t xml:space="preserve">Participation non suivie, réduisant la coordination des équipes.</t>
  </si>
  <si>
    <t xml:space="preserve">Évaluation de la qualité des prestations fournies</t>
  </si>
  <si>
    <t xml:space="preserve">La qualité des prestations fournies par chaque partie lors de la mise en production fait-elle l'objet d'une évaluation ?</t>
  </si>
  <si>
    <t xml:space="preserve">Documents sources mentionnés dans les dossiers.</t>
  </si>
  <si>
    <t xml:space="preserve">Dossiers de décision (section analyse d'alternatives).</t>
  </si>
  <si>
    <t xml:space="preserve">Prestations non évaluées, risquant un gaspillage de ressources.</t>
  </si>
  <si>
    <t xml:space="preserve">Mécanismes de gestion des écarts par rapport aux obligations</t>
  </si>
  <si>
    <t xml:space="preserve">Des mécanismes sont-ils en place pour gérer les écarts par rapport aux obligations de chaque partie lors de la mise en production ?</t>
  </si>
  <si>
    <t xml:space="preserve">Rapport d'étude comparative des scénarios.</t>
  </si>
  <si>
    <t xml:space="preserve">Écarts non gérés, entraînant des litiges entre les parties.</t>
  </si>
  <si>
    <t xml:space="preserve">S’assurer que la bascule de la garantie vers la maintenance est
organisée à travers des documents contractuels clairs</t>
  </si>
  <si>
    <t xml:space="preserve">Existence de clauses contractuelles définissant la garantie et la maintenance</t>
  </si>
  <si>
    <t xml:space="preserve">Existe-t-il des clauses contractuelles définissant clairement la période de garantie et les modalités de maintenance post-production ?</t>
  </si>
  <si>
    <t xml:space="preserve">Manuel qualité (section documentation d'exploitation).</t>
  </si>
  <si>
    <t xml:space="preserve">Manuel d'exploitation (page d'historique des versions).</t>
  </si>
  <si>
    <t xml:space="preserve">Garantie floue, entraînant des ambiguïtés post-production.</t>
  </si>
  <si>
    <t xml:space="preserve">Documentation de la date précise de bascule et des conditions associées</t>
  </si>
  <si>
    <t xml:space="preserve">La date précise de bascule en production et les conditions associées sont-elles documentées ?</t>
  </si>
  <si>
    <t xml:space="preserve">Outil de gestion de version pour le manuel.</t>
  </si>
  <si>
    <t xml:space="preserve">Procédure de gestion de la documentation (section rôles/resp.).</t>
  </si>
  <si>
    <t xml:space="preserve">Bascule mal documentée, entraînant des erreurs en production.</t>
  </si>
  <si>
    <t xml:space="preserve">Clarté des niveaux de service applicables avant et après bascule</t>
  </si>
  <si>
    <t xml:space="preserve">Les niveaux de service (SLA) applicables avant et après la bascule sont-ils clairement définis ?</t>
  </si>
  <si>
    <t xml:space="preserve">Procédure de gestion de la documentation (section fréquence révision).</t>
  </si>
  <si>
    <t xml:space="preserve">SLA flous, entraînant des litiges avec les parties prenantes.</t>
  </si>
  <si>
    <t xml:space="preserve">Définition des processus de transition des équipes et des connaissances</t>
  </si>
  <si>
    <t xml:space="preserve">Les processus de transition des équipes projet vers les équipes de maintenance/support sont-ils définis ?</t>
  </si>
  <si>
    <t xml:space="preserve">Planning de révision de la documentation.</t>
  </si>
  <si>
    <t xml:space="preserve">Manuel d'exploitation (avec signatures/preuves de validation).</t>
  </si>
  <si>
    <t xml:space="preserve">Transition floue, entraînant des interruptions de service.</t>
  </si>
  <si>
    <t xml:space="preserve">Formalisation des responsabilités financières pendant et après la période de garantie</t>
  </si>
  <si>
    <t xml:space="preserve">Les responsabilités financières pendant et après la période de garantie sont-elles formalisées ?</t>
  </si>
  <si>
    <t xml:space="preserve">Comptes rendus de validation des mises à jour.</t>
  </si>
  <si>
    <t xml:space="preserve">Audit du Support Utilisateur et de la Gestion du Parc</t>
  </si>
  <si>
    <t xml:space="preserve">Fonction support : audit fiabilité et sécurité</t>
  </si>
  <si>
    <t xml:space="preserve">S’assurer qu’une structure de centre d’assistance (help-desk)
(HD) est mise en place</t>
  </si>
  <si>
    <t xml:space="preserve">Existence d'un organigramme et d'une définition claire des rôles et responsabilités de l'équipe HD</t>
  </si>
  <si>
    <t xml:space="preserve">Un organigramme définissant clairement les rôles et responsabilités de l'équipe helpdesk est-il formalisé et disponible ?</t>
  </si>
  <si>
    <t xml:space="preserve">Charte du Help Desk définissant sa mission, ses objectifs et ses engagements</t>
  </si>
  <si>
    <t xml:space="preserve">Absence de rôles clairement définis entraînant des chevauchements ou des zones de flou dans les responsabilités.</t>
  </si>
  <si>
    <t xml:space="preserve">Manque de clarté dans les responsabilités peut entraîner des erreurs de prise en charge ou des oublis dans le traitement des incidents.</t>
  </si>
  <si>
    <t xml:space="preserve">Clarifier et formaliser les rôles et responsabilités dans un organigramme accessible à toute l’équipe HD.</t>
  </si>
  <si>
    <t xml:space="preserve">Document de politique de service incluant la définition du périmètre d'intervention du HD</t>
  </si>
  <si>
    <t xml:space="preserve">Mettre en place des sessions de formation régulières pour assurer la compréhension et l’appropriation des rôles par les membres de l’équipe.</t>
  </si>
  <si>
    <t xml:space="preserve">Présence d'un responsable désigné pour le help-desk</t>
  </si>
  <si>
    <t xml:space="preserve">Existe-t-il un responsable formellement désigné pour le helpdesk ?</t>
  </si>
  <si>
    <t xml:space="preserve">Liste des correspondants locaux avec leurs coordonnées et responsabilités</t>
  </si>
  <si>
    <t xml:space="preserve">Risque d'inefficacité ou de manque de coordination sans responsable clairement identifié.</t>
  </si>
  <si>
    <t xml:space="preserve">Absence de pilotage et de supervision directe peut réduire la réactivité et la qualité du service rendu.</t>
  </si>
  <si>
    <t xml:space="preserve">Désigner officiellement un responsable du help-desk avec des missions clairement définies.</t>
  </si>
  <si>
    <t xml:space="preserve">Procédures spécifiques aux relais locaux et périmètre d'intervention</t>
  </si>
  <si>
    <t xml:space="preserve">Assurer la communication régulière sur le rôle et les responsabilités du responsable auprès de l’ensemble des équipes et utilisateurs.</t>
  </si>
  <si>
    <t xml:space="preserve">Disponibilité de canaux de communication multiples (téléphone, email, portail web, etc.)</t>
  </si>
  <si>
    <t xml:space="preserve">Les utilisateurs disposent-ils de plusieurs canaux de communication (téléphone, email, portail web) pour contacter le helpdesk ?</t>
  </si>
  <si>
    <t xml:space="preserve">Matrice des compétences linguistiques des agents du HD</t>
  </si>
  <si>
    <t xml:space="preserve">Difficulté à joindre le support en cas de panne d’un canal unique.</t>
  </si>
  <si>
    <t xml:space="preserve">Difficultés d’accès au support pouvant entraîner des retards de traitement et une insatisfaction des utilisateurs.</t>
  </si>
  <si>
    <t xml:space="preserve">Multiplier les canaux de communication (téléphone, email, portail web) pour faciliter l’accès au support.</t>
  </si>
  <si>
    <t xml:space="preserve">Documentation multilingue disponible (guides, formulaires, FAQ)</t>
  </si>
  <si>
    <t xml:space="preserve">Mettre en place un système de suivi des demandes via tous les canaux pour garantir leur traitement efficace.</t>
  </si>
  <si>
    <t xml:space="preserve">Mise en place d'horaires de service définis et communiqués</t>
  </si>
  <si>
    <t xml:space="preserve">Les horaires de service du helpdesk sont-ils clairement définis et communiqués aux utilisateurs ?</t>
  </si>
  <si>
    <t xml:space="preserve">Contrats avec prestataires locaux pour interventions sur site</t>
  </si>
  <si>
    <t xml:space="preserve">Non-respect des plages horaires en l’absence d’une communication claire.</t>
  </si>
  <si>
    <t xml:space="preserve">Attentes non maîtrisées des utilisateurs en dehors des plages de service, pouvant générer des tensions et des escalades.</t>
  </si>
  <si>
    <t xml:space="preserve">Définir et communiquer clairement les horaires de service pour gérer les attentes des utilisateurs.</t>
  </si>
  <si>
    <t xml:space="preserve">Journal des interventions physiques avec temps de résolution par site</t>
  </si>
  <si>
    <t xml:space="preserve">Adapter les horaires de service aux besoins réels des utilisateurs, en tenant compte des pics d’activité.</t>
  </si>
  <si>
    <t xml:space="preserve">Existence d'un document formalisant la mission et les objectifs du HD</t>
  </si>
  <si>
    <t xml:space="preserve">Existe-t-il un document officiel qui formalise la mission et les objectifs du helpdesk ?</t>
  </si>
  <si>
    <t xml:space="preserve">Inventaire/Catalogue des services ou applications gérés par l'entreprise.</t>
  </si>
  <si>
    <t xml:space="preserve">Dérive des activités du HD sans mission formalisée.</t>
  </si>
  <si>
    <t xml:space="preserve">Incompréhension de la mission du HD, menant à une sollicitation inappropriée du service ou à des attentes irréalistes.</t>
  </si>
  <si>
    <t xml:space="preserve">Rédiger un document formalisant la mission et les objectifs du help-desk, validé par la direction.</t>
  </si>
  <si>
    <t xml:space="preserve">Liste/Cartographie des applications/systèmes spécifiquement couverts par le HD (précisant le périmètre exact du support).</t>
  </si>
  <si>
    <t xml:space="preserve">Diffuser largement ce document auprès des équipes pour assurer l’alignement des actions sur les objectifs.</t>
  </si>
  <si>
    <t xml:space="preserve">S’assurer qu’une procédure de gestion des demandes
d’assistance est diffusée et connue des utilisateurs</t>
  </si>
  <si>
    <t xml:space="preserve">Existence d'une documentation formalisée décrivant la procédure de demande d'assistance</t>
  </si>
  <si>
    <t xml:space="preserve">Une documentation formalisée décrivant la procédure de demande d'assistance est-elle disponible ?</t>
  </si>
  <si>
    <t xml:space="preserve">Matrice de compétences de l'équipe HD (liant techniciens, compétences techniques/fonctionnelles et applications/systèmes).</t>
  </si>
  <si>
    <t xml:space="preserve">Erreur ou perte de temps due à une mauvaise compréhension du processus de demande.</t>
  </si>
  <si>
    <t xml:space="preserve">Risque de demandes mal formulées ou non traitées en raison d’un manque de clarté sur la procédure à suivre.</t>
  </si>
  <si>
    <t xml:space="preserve">Documenter précisément la procédure de demande d’assistance et la rendre accessible.</t>
  </si>
  <si>
    <t xml:space="preserve">Plan de formation ou actions de montée en compétence basés sur les écarts de la matrice.</t>
  </si>
  <si>
    <t xml:space="preserve">Former les utilisateurs à la procédure pour garantir une bonne utilisation et réduire les erreurs de saisie.</t>
  </si>
  <si>
    <t xml:space="preserve">Taux d'utilisateurs ayant reçu une communication sur la procédure (emails, sessions d'information)</t>
  </si>
  <si>
    <t xml:space="preserve">Au moins 80% des utilisateurs ont-ils reçu une communication officielle sur la procédure de demande d'assistance ?</t>
  </si>
  <si>
    <t xml:space="preserve">Annuaire/Liste officielle des experts ou points de contact (internes/externes) par domaine/application.</t>
  </si>
  <si>
    <t xml:space="preserve">Méconnaissance des procédures par une partie des utilisateurs.</t>
  </si>
  <si>
    <t xml:space="preserve">Faible adoption des bonnes pratiques par les utilisateurs, augmentant le taux d'erreurs dans la saisine de demandes.</t>
  </si>
  <si>
    <t xml:space="preserve">Communiquer régulièrement aux utilisateurs la procédure via emails et sessions d’information.</t>
  </si>
  <si>
    <t xml:space="preserve">Procédure d'escalade définissant quand et comment solliciter ces experts.</t>
  </si>
  <si>
    <t xml:space="preserve">Mettre à disposition des supports pédagogiques accessibles en permanence (intranet, FAQ).</t>
  </si>
  <si>
    <t xml:space="preserve">Disponibilité des instructions sur l'intranet ou autre plateforme accessible aux utilisateurs</t>
  </si>
  <si>
    <t xml:space="preserve">Les instructions pour contacter le helpdesk sont-elles disponibles sur l'intranet ou une autre plateforme accessible à tous les utilisateurs ?</t>
  </si>
  <si>
    <t xml:space="preserve">Rapports périodiques (ex: mensuels) générés par l'outil de ticketing montrant le taux de résolution L1 par domaine/catégorie.</t>
  </si>
  <si>
    <t xml:space="preserve">Perte d’autonomie des utilisateurs en l’absence d’accès facile aux procédures.</t>
  </si>
  <si>
    <t xml:space="preserve">Accès difficile à la procédure pouvant générer des demandes mal orientées ou redondantes.</t>
  </si>
  <si>
    <t xml:space="preserve">Publier un guide utilisateur simplifié pour les nouvelles recrues afin de faciliter leur prise en main.</t>
  </si>
  <si>
    <t xml:space="preserve">Journal de mise à jour du contenu des plateformes d'information</t>
  </si>
  <si>
    <t xml:space="preserve">Organiser des sessions d’accueil ou de formation spécifiques pour les nouveaux utilisateurs.</t>
  </si>
  <si>
    <t xml:space="preserve">Présence d'un guide utilisateur simplifié pour les nouvelles recrues</t>
  </si>
  <si>
    <t xml:space="preserve">Un guide utilisateur simplifié est-il fourni aux nouvelles recrues concernant l'utilisation du helpdesk ?</t>
  </si>
  <si>
    <t xml:space="preserve">Guide d'accueil spécifique au Help Desk pour nouveaux collaborateurs</t>
  </si>
  <si>
    <t xml:space="preserve">Prise en main difficile pour les nouveaux arrivants.</t>
  </si>
  <si>
    <t xml:space="preserve">Allongement du délai d’autonomie des nouvelles recrues et surcharge du HD sur des demandes basiques.</t>
  </si>
  <si>
    <t xml:space="preserve">Mettre en place un système de rappel périodique des procédures auprès des utilisateurs.</t>
  </si>
  <si>
    <t xml:space="preserve">Support de formation simplifié pour les nouveaux utilisateurs</t>
  </si>
  <si>
    <t xml:space="preserve">Utiliser des campagnes de communication variées (email, notifications) pour maintenir la sensibilisation.</t>
  </si>
  <si>
    <t xml:space="preserve">Existence d'un mécanisme de rappel périodique des procédures auprès des utilisateurs</t>
  </si>
  <si>
    <t xml:space="preserve">Existe-t-il un mécanisme de rappel périodique des procédures helpdesk auprès des utilisateurs ?</t>
  </si>
  <si>
    <t xml:space="preserve">Planning annuel des communications de rappel</t>
  </si>
  <si>
    <t xml:space="preserve">Oubli des bonnes pratiques en l’absence de rappels réguliers.</t>
  </si>
  <si>
    <t xml:space="preserve">Oubli progressif des procédures, engendrant une baisse de la qualité des demandes et du temps de traitement.</t>
  </si>
  <si>
    <t xml:space="preserve">Formaliser une matrice d’escalade par type d’incident, validée par la direction.</t>
  </si>
  <si>
    <t xml:space="preserve">Exemples de newsletters ou emails de rappel envoyés aux utilisateurs</t>
  </si>
  <si>
    <t xml:space="preserve">Former les équipes à l’application rigoureuse de cette matrice pour garantir une gestion efficace des incidents.</t>
  </si>
  <si>
    <t xml:space="preserve">S’assurer qu’une procédure d'escalade mise en place</t>
  </si>
  <si>
    <t xml:space="preserve">Existence d'une matrice d'escalade documentée par type d'incident</t>
  </si>
  <si>
    <t xml:space="preserve">Une matrice d'escalade documentée par type d'incident est-elle formalisée ?</t>
  </si>
  <si>
    <t xml:space="preserve">Document de matrice d'escalade par catégorie d'incident</t>
  </si>
  <si>
    <t xml:space="preserve">Retard ou mauvaise gestion des escalades sans matrice claire.</t>
  </si>
  <si>
    <t xml:space="preserve">Mauvaise orientation ou escalade tardive des incidents critiques, allongeant le temps de résolution.</t>
  </si>
  <si>
    <t xml:space="preserve">Définir clairement les niveaux de support (N1, N2, N3) avec leurs responsabilités respectives.</t>
  </si>
  <si>
    <t xml:space="preserve">Procédure détaillée d'escalade avec arbre de décision</t>
  </si>
  <si>
    <t xml:space="preserve">Assurer la montée en compétence des équipes à chaque niveau pour optimiser la résolution des incidents.</t>
  </si>
  <si>
    <t xml:space="preserve">Présence de niveaux de support clairement définis (N1, N2, N3)</t>
  </si>
  <si>
    <t xml:space="preserve">Les niveaux de support (N1, N2, N3) sont-ils clairement définis dans la documentation ?</t>
  </si>
  <si>
    <t xml:space="preserve">Organigramme fonctionnel du service avec distinction des niveaux</t>
  </si>
  <si>
    <t xml:space="preserve">Confusion dans la répartition des tickets sans définition des niveaux.</t>
  </si>
  <si>
    <t xml:space="preserve">Sur-sollicitation du niveau 1 ou confusion sur les responsabilités des différents niveaux.</t>
  </si>
  <si>
    <t xml:space="preserve">Établir des délais maximums d’escalade selon la criticité, avec un suivi régulier.</t>
  </si>
  <si>
    <t xml:space="preserve">Document de description des compétences et responsabilités par niveau</t>
  </si>
  <si>
    <t xml:space="preserve">Mettre en place des alertes automatiques pour respecter ces délais et éviter les blocages.</t>
  </si>
  <si>
    <t xml:space="preserve">Définition de délais maximums avant escalade selon la criticité des incidents</t>
  </si>
  <si>
    <t xml:space="preserve">Des délais maximums avant escalade sont-ils définis selon la criticité des incidents ?</t>
  </si>
  <si>
    <t xml:space="preserve">Tableau des SLA (Service Level Agreement) par niveau de criticité</t>
  </si>
  <si>
    <t xml:space="preserve">Allongement des délais de résolution sans règles d’escalade claires.</t>
  </si>
  <si>
    <t xml:space="preserve">Retards dans la prise en charge des incidents critiques, augmentant leur impact sur l’activité.</t>
  </si>
  <si>
    <t xml:space="preserve">Identifier formellement les responsables par niveau d’escalade et domaine d’expertise.</t>
  </si>
  <si>
    <t xml:space="preserve">Procédure de gestion temporelle des incidents et escalades</t>
  </si>
  <si>
    <t xml:space="preserve">Communiquer clairement ces responsabilités à toutes les parties prenantes.</t>
  </si>
  <si>
    <t xml:space="preserve">Identification des responsables par niveau d'escalade et par domaine d'expertise</t>
  </si>
  <si>
    <t xml:space="preserve">Les responsables sont-ils identifiés pour chaque niveau d'escalade et par domaine d'expertise ?</t>
  </si>
  <si>
    <t xml:space="preserve">Annuaire des contacts et responsables par niveau et domaine</t>
  </si>
  <si>
    <t xml:space="preserve">Manque de réactivité si les responsabilités d’escalade ne sont pas identifiées.</t>
  </si>
  <si>
    <t xml:space="preserve">Escalades inefficaces ou mal dirigées, conduisant à un allongement du délai de résolution.</t>
  </si>
  <si>
    <t xml:space="preserve">Assurer la traçabilité complète des escalades dans l’outil de gestion des tickets.</t>
  </si>
  <si>
    <t xml:space="preserve">Document de répartition des rôles et responsabilités avec coordonnées</t>
  </si>
  <si>
    <t xml:space="preserve">Réaliser des audits réguliers pour vérifier la conformité de la traçabilité.</t>
  </si>
  <si>
    <t xml:space="preserve">Traçabilité des escalades dans l'outil de gestion des tickets</t>
  </si>
  <si>
    <t xml:space="preserve">Les escalades sont-elles systématiquement tracées dans l'outil de gestion des tickets ?</t>
  </si>
  <si>
    <t xml:space="preserve">Rapports d'extraction de l'outil de ticketing montrant le suivi des escalades</t>
  </si>
  <si>
    <t xml:space="preserve">Risque de perte de traçabilité ou d’analyse sans enregistrement des escalades.</t>
  </si>
  <si>
    <t xml:space="preserve">Absence de traçabilité rendant difficile l’analyse des causes et la responsabilité des délais.</t>
  </si>
  <si>
    <t xml:space="preserve">Cartographier exhaustivement les sites et locaux couverts par le service HD.</t>
  </si>
  <si>
    <t xml:space="preserve">Manuel d'utilisation de l'outil de gestion des tickets section escalade</t>
  </si>
  <si>
    <t xml:space="preserve">Mettre à jour régulièrement cette cartographie pour refléter les évolutions.</t>
  </si>
  <si>
    <t xml:space="preserve">S’assurer de la couverture géographique du HD</t>
  </si>
  <si>
    <t xml:space="preserve">Taux de sites/locaux couverts par le service HD</t>
  </si>
  <si>
    <t xml:space="preserve">Au moins 90% des sites/locaux de l'entreprise sont-ils couverts par le service helpdesk ?</t>
  </si>
  <si>
    <t xml:space="preserve">Rapport de couverture géographique du service Help Desk</t>
  </si>
  <si>
    <t xml:space="preserve">Utilisateurs non couverts en l'absence d’un suivi global de la couverture.</t>
  </si>
  <si>
    <t xml:space="preserve">Non-couverture de certains sites entraînant des délais de réponse inégaux et un service perçu comme inéquitable.</t>
  </si>
  <si>
    <t xml:space="preserve">Documenter les horaires de support associés à chaque site.</t>
  </si>
  <si>
    <t xml:space="preserve">Contrat de service précisant les sites couverts et les modalités</t>
  </si>
  <si>
    <t xml:space="preserve">Communiquer ces horaires aux utilisateurs pour gérer leurs attentes.</t>
  </si>
  <si>
    <t xml:space="preserve">Existence d'une cartographie des sites et des horaires de support associés</t>
  </si>
  <si>
    <t xml:space="preserve">Une cartographie des sites avec les horaires de support associés est-elle formalisée ?</t>
  </si>
  <si>
    <t xml:space="preserve">Document cartographique des sites avec horaires de support spécifiques</t>
  </si>
  <si>
    <t xml:space="preserve">Impossibilité d’assurer une qualité homogène de support sans cartographie claire.</t>
  </si>
  <si>
    <t xml:space="preserve">Méconnaissance des horaires de support par site pouvant générer des sollicitations hors périmètre ou hors horaires.</t>
  </si>
  <si>
    <t xml:space="preserve">Mettre en place des relais locaux sur sites distants pour améliorer la réactivité.</t>
  </si>
  <si>
    <t xml:space="preserve">Planning des équipes HD par zone géographique et fuseau horaire</t>
  </si>
  <si>
    <t xml:space="preserve">Former ces relais aux procédures et outils du HD pour garantir la qualité du support.</t>
  </si>
  <si>
    <t xml:space="preserve">Mise en place de relais locaux sur les sites distants si nécessaire</t>
  </si>
  <si>
    <t xml:space="preserve">Des relais locaux sont-ils mis en place sur les sites distants lorsque nécessaire ?</t>
  </si>
  <si>
    <t xml:space="preserve">Abandon des utilisateurs distants faute de relais locaux.</t>
  </si>
  <si>
    <t xml:space="preserve">Perte d’efficacité sur les sites distants faute d’appui local en cas d’incident physique ou urgent.</t>
  </si>
  <si>
    <t xml:space="preserve">Assurer la disponibilité d’un support dans les langues requises selon les implantations.</t>
  </si>
  <si>
    <t xml:space="preserve">Former les équipes aux spécificités culturelles et linguistiques des utilisateurs.</t>
  </si>
  <si>
    <t xml:space="preserve">Disponibilité d'un support dans les différentes langues requises selon les implantations</t>
  </si>
  <si>
    <t xml:space="preserve">Un support est-il disponible dans toutes les langues requises selon les implantations géographiques ?</t>
  </si>
  <si>
    <t xml:space="preserve">Incompréhensions ou erreurs si le support n’est pas multilingue.</t>
  </si>
  <si>
    <t xml:space="preserve">Difficulté de communication avec les utilisateurs non francophones, impactant la qualité de la prise en charge.</t>
  </si>
  <si>
    <t xml:space="preserve">Garantir la capacité d’intervention physique sur tous les sites dans les délais contractuels.</t>
  </si>
  <si>
    <t xml:space="preserve">Mettre en place un suivi des interventions pour respecter les engagements.</t>
  </si>
  <si>
    <t xml:space="preserve">Capacité à intervenir physiquement sur tous les sites dans des délais contractuels</t>
  </si>
  <si>
    <t xml:space="preserve">Le helpdesk peut-il intervenir physiquement sur tous les sites dans les délais contractuels établis ?</t>
  </si>
  <si>
    <t xml:space="preserve">Non-respect des engagements contractuels de temps d’intervention.</t>
  </si>
  <si>
    <t xml:space="preserve">Non-respect des engagements contractuels et insatisfaction en cas d’intervention physique non garantie.</t>
  </si>
  <si>
    <t xml:space="preserve">Couvrir un pourcentage élevé d’applications et systèmes par le support HD.</t>
  </si>
  <si>
    <t xml:space="preserve">Actualiser régulièrement la liste des applications supportées pour suivre l’évolution du SI.</t>
  </si>
  <si>
    <t xml:space="preserve">S’assurer de la couverture fonctionnelle du HD</t>
  </si>
  <si>
    <t xml:space="preserve">Pourcentage d'applications et systèmes couverts par le support HD</t>
  </si>
  <si>
    <t xml:space="preserve">Au moins 90% des applications et systèmes critiques sont-ils couverts par le support helpdesk ?</t>
  </si>
  <si>
    <t xml:space="preserve">Non-assistance d’utilisateurs ou d’applications critiques hors périmètre.</t>
  </si>
  <si>
    <t xml:space="preserve">Incapacité à répondre sur certaines applications, générant une frustration utilisateur et un transfert excessif vers d’autres équipes.</t>
  </si>
  <si>
    <t xml:space="preserve">Établir une matrice de compétences de l’équipe HD par rapport aux applications supportées.</t>
  </si>
  <si>
    <t xml:space="preserve">Identifier les besoins en formation pour combler les écarts de compétences.</t>
  </si>
  <si>
    <t xml:space="preserve">Existence d'une matrice de compétences de l'équipe HD par rapport aux applications supportées</t>
  </si>
  <si>
    <t xml:space="preserve">Existe-t-il une matrice de compétences de l'équipe helpdesk par rapport aux applications supportées ?</t>
  </si>
  <si>
    <t xml:space="preserve">Inadéquation des compétences de l’équipe face aux besoins spécifiques.</t>
  </si>
  <si>
    <t xml:space="preserve">Sur-dépendance à quelques individus et difficulté de planification en cas d’absence ou de départ.</t>
  </si>
  <si>
    <t xml:space="preserve">Mettre à disposition des experts ou points de contact pour chaque domaine fonctionnel.</t>
  </si>
  <si>
    <t xml:space="preserve">Faciliter l’accès rapide à ces experts pour les techniciens du HD.</t>
  </si>
  <si>
    <t xml:space="preserve">Disponibilité d'experts ou points de contact pour chaque domaine fonctionnel</t>
  </si>
  <si>
    <t xml:space="preserve">Des experts ou points de contact sont-ils désignés pour chaque domaine fonctionnel ?</t>
  </si>
  <si>
    <t xml:space="preserve">Risque de blocage sans expert désigné sur certaines applications.</t>
  </si>
  <si>
    <t xml:space="preserve">Retards de traitement sur les incidents spécifiques faute de référents ou de connaissances documentées.</t>
  </si>
  <si>
    <t xml:space="preserve">Suivre et améliorer le taux de résolution des incidents au premier niveau par domaine fonctionnel.</t>
  </si>
  <si>
    <t xml:space="preserve">Analyser les causes des non-résolutions pour améliorer les processus et formations.</t>
  </si>
  <si>
    <t xml:space="preserve">Taux de résolution des incidents au premier niveau par domaine fonctionnel</t>
  </si>
  <si>
    <t xml:space="preserve">Le taux de résolution des incidents au premier niveau est-il mesuré par domaine fonctionnel ?</t>
  </si>
  <si>
    <t xml:space="preserve">Faible performance du support de premier niveau dans certains domaines.</t>
  </si>
  <si>
    <t xml:space="preserve">Faible efficacité du niveau 1, augmentant la charge sur les niveaux supérieurs et les délais globaux.</t>
  </si>
  <si>
    <t xml:space="preserve">Cartographier les applications et systèmes avec leur niveau de couverture (24/7, heures ouvrées).</t>
  </si>
  <si>
    <t xml:space="preserve">Définition formelle de l'indicateur (KPI) "Taux de résolution L1" (incluant la formule de calcul et les sources de données).</t>
  </si>
  <si>
    <t xml:space="preserve">Adapter les ressources du HD en fonction des niveaux de couverture requis.</t>
  </si>
  <si>
    <t xml:space="preserve">Cartographie des applications et systèmes avec leur niveau de couverture (24/7, heures ouvrées, etc.)</t>
  </si>
  <si>
    <t xml:space="preserve">Une cartographie des applications et systèmes avec leur niveau de couverture (24/7, heures ouvrées) est-elle formalisée ?</t>
  </si>
  <si>
    <t xml:space="preserve">Cartographie/Liste des applications/systèmes indiquant les plages horaires et niveaux de support (SLA/OLA) convenus.</t>
  </si>
  <si>
    <t xml:space="preserve">Incohérence dans la disponibilité du support selon les outils ou les horaires.</t>
  </si>
  <si>
    <t xml:space="preserve">Mauvaise anticipation des ressources à allouer selon les plages horaires et l’importance des systèmes.</t>
  </si>
  <si>
    <t xml:space="preserve">Utiliser un logiciel de gestion des tickets accessible à tous les membres du HD.</t>
  </si>
  <si>
    <t xml:space="preserve">Catalogue de services (s'il formalise ces niveaux) ou les OLA/SLA correspondants.</t>
  </si>
  <si>
    <t xml:space="preserve">Assurer la formation des utilisateurs à cet outil pour garantir une utilisation optimale.</t>
  </si>
  <si>
    <t xml:space="preserve">S’assurer qu’un outil est implémenté pour la prise d'appel et le
suivi des tickets</t>
  </si>
  <si>
    <t xml:space="preserve">Existence d'un logiciel de gestion des tickets accessible à tous les membres du HD</t>
  </si>
  <si>
    <t xml:space="preserve">Un logiciel de gestion des tickets accessible à tous les membres du helpdesk est-il déployé ?</t>
  </si>
  <si>
    <t xml:space="preserve">Documentation ou présentation de l'outil de gestion des tickets (ITSM) utilisé.</t>
  </si>
  <si>
    <t xml:space="preserve">Tickets non enregistrés ou mal suivis sans outil commun accessible.</t>
  </si>
  <si>
    <t xml:space="preserve">Traitement manuel ou parallèle des tickets, entraînant des erreurs, des doublons ou une perte d’historique.</t>
  </si>
  <si>
    <t xml:space="preserve">Garantir que l’outil génère des numéros de référence uniques pour chaque demande.</t>
  </si>
  <si>
    <t xml:space="preserve">Liste des comptes utilisateurs actifs pour les membres de l'équipe HD dans l'outil.</t>
  </si>
  <si>
    <t xml:space="preserve">Mettre en place un suivi rigoureux des tickets via ces références.</t>
  </si>
  <si>
    <t xml:space="preserve">Capacité de l'outil à générer des numéros de référence uniques pour chaque demande</t>
  </si>
  <si>
    <t xml:space="preserve">L'outil de gestion génère-t-il automatiquement des numéros de référence uniques pour chaque demande ?</t>
  </si>
  <si>
    <t xml:space="preserve">Exemples de tickets montrant la génération de numéros de référence uniques et séquentiels.</t>
  </si>
  <si>
    <t xml:space="preserve">Difficulté à référencer les demandes sans identifiants uniques.</t>
  </si>
  <si>
    <t xml:space="preserve">Confusion pour les utilisateurs et les techniciens sur les tickets ouverts, rendant le suivi difficile.</t>
  </si>
  <si>
    <t xml:space="preserve">Exploiter les fonctionnalités de suivi de l’état d’avancement et des délais de résolution.</t>
  </si>
  <si>
    <t xml:space="preserve">Documentation technique ou guide utilisateur de l'outil confirmant cette fonctionnalité.</t>
  </si>
  <si>
    <t xml:space="preserve">Mettre en place des alertes pour les tickets en retard ou bloqués.</t>
  </si>
  <si>
    <t xml:space="preserve">Fonctionnalités de suivi de l'état d'avancement des tickets et des délais de résolution</t>
  </si>
  <si>
    <t xml:space="preserve">L'outil dispose-t-il de fonctionnalités permettant de suivre l'état d'avancement des tickets et les délais de résolution ?</t>
  </si>
  <si>
    <t xml:space="preserve">Captures d'écran de l'outil illustrant le suivi des statuts et des échéances (SLA).</t>
  </si>
  <si>
    <t xml:space="preserve">Perte de visibilité sur l’état des demandes en cours.</t>
  </si>
  <si>
    <t xml:space="preserve">Suivi difficile des engagements, des délais contractuels, et absence de vision sur la performance.</t>
  </si>
  <si>
    <t xml:space="preserve">Produire régulièrement des rapports et statistiques sur l’activité du HD.</t>
  </si>
  <si>
    <t xml:space="preserve">Documentation de l'outil décrivant les fonctionnalités de workflow et de gestion des SLA.</t>
  </si>
  <si>
    <t xml:space="preserve">Utiliser ces rapports pour piloter la performance et identifier les axes d’amélioration.</t>
  </si>
  <si>
    <t xml:space="preserve">Capacité à produire des rapports et statistiques sur l'activité du HD</t>
  </si>
  <si>
    <t xml:space="preserve">L'outil permet-il de produire des rapports et statistiques sur l'activité du helpdesk ?</t>
  </si>
  <si>
    <t xml:space="preserve">Exemples de rapports standards ou personnalisés générés par l'outil (volumétrie, performance, délais...).</t>
  </si>
  <si>
    <t xml:space="preserve">Manque de pilotage sans indicateurs fiables.</t>
  </si>
  <si>
    <t xml:space="preserve">Difficulté d’analyse des volumes et d’optimisation du service par manque de données consolidées.</t>
  </si>
  <si>
    <t xml:space="preserve">Intégrer l’outil avec d’autres systèmes (gestion des assets, base de connaissances).</t>
  </si>
  <si>
    <t xml:space="preserve">Liste des rapports périodiques effectivement produits et diffusés (ex: reporting mensuel d'activité).</t>
  </si>
  <si>
    <t xml:space="preserve">Assurer la synchronisation des données entre les différents outils pour éviter les silos.</t>
  </si>
  <si>
    <t xml:space="preserve">Niveau d'intégration de l'outil avec d'autres systèmes (gestion des assets, base de connaissances, etc.)</t>
  </si>
  <si>
    <t xml:space="preserve">L'outil de gestion des tickets est-il intégré avec d'autres systèmes (gestion des assets, base de connaissances) ?</t>
  </si>
  <si>
    <t xml:space="preserve">Schéma d'architecture applicative montrant les flux et intégrations de l'outil HD.</t>
  </si>
  <si>
    <t xml:space="preserve">Risque de doublon ou d’erreurs sans intégration des systèmes.</t>
  </si>
  <si>
    <t xml:space="preserve">Impossibilité de croiser les informations avec d'autres systèmes (matériel, incidents récurrents, etc.).</t>
  </si>
  <si>
    <t xml:space="preserve">Standardiser la typologie des incidents et demandes pour faciliter le traitement.</t>
  </si>
  <si>
    <t xml:space="preserve">Documentation technique des intégrations (API, connecteurs) ou preuves de leur fonctionnement (logs, données synchronisées).</t>
  </si>
  <si>
    <t xml:space="preserve">Former les techniciens à l’utilisation de cette typologie pour garantir la cohérence.</t>
  </si>
  <si>
    <t xml:space="preserve">S’assurer que des critères à renseigner pour la qualification des
tickets existent</t>
  </si>
  <si>
    <t xml:space="preserve">Présence d'une typologie standardisée des incidents et demandes</t>
  </si>
  <si>
    <t xml:space="preserve">Une typologie standardisée des incidents et demandes est-elle définie dans l'outil ?</t>
  </si>
  <si>
    <t xml:space="preserve">Arborescence/Liste de la typologie (catégories, sous-catégories, items) configurée dans l'outil.</t>
  </si>
  <si>
    <t xml:space="preserve">Classement erroné ou imprécis des tickets.</t>
  </si>
  <si>
    <t xml:space="preserve">Mauvaise classification des tickets, empêchant les analyses ou l’orientation automatique vers les bons interlocuteurs.</t>
  </si>
  <si>
    <t xml:space="preserve">Imposer des champs obligatoires pour la priorisation des tickets.</t>
  </si>
  <si>
    <t xml:space="preserve">Guide ou procédure de qualification/catégorisation des tickets pour les techniciens.</t>
  </si>
  <si>
    <t xml:space="preserve">Contrôler régulièrement la qualité des données saisies pour assurer la fiabilité.</t>
  </si>
  <si>
    <t xml:space="preserve">Existence de champs obligatoires pour la priorisation des tickets</t>
  </si>
  <si>
    <t xml:space="preserve">Des champs obligatoires pour la priorisation des tickets sont-ils configurés dans l'outil ?</t>
  </si>
  <si>
    <t xml:space="preserve">Captures d'écran de la configuration de l'outil montrant les champs obligatoires (ex: impact, urgence) pour la priorisation.</t>
  </si>
  <si>
    <t xml:space="preserve">Traitement inadapté en l’absence d’informations de priorité.</t>
  </si>
  <si>
    <t xml:space="preserve">Perte de temps et de qualité dans le tri des tickets, allongeant les délais de traitement.</t>
  </si>
  <si>
    <t xml:space="preserve">Inclure des critères d’impact business dans la qualification des tickets.</t>
  </si>
  <si>
    <t xml:space="preserve">Matrice de priorisation officielle (définissant la priorité en fonction de l'impact et de l'urgence).</t>
  </si>
  <si>
    <t xml:space="preserve">Sensibiliser les équipes au poids des impacts pour prioriser efficacement.</t>
  </si>
  <si>
    <t xml:space="preserve">Inclusion de critères d'impact business dans la qualification</t>
  </si>
  <si>
    <t xml:space="preserve">Des critères d'impact business sont-ils inclus dans la qualification des tickets ?</t>
  </si>
  <si>
    <t xml:space="preserve">Définition des niveaux d'impact business utilisés dans la matrice de priorisation.</t>
  </si>
  <si>
    <t xml:space="preserve">Erreur d’évaluation de l’urgence sans considération de l’impact métier.</t>
  </si>
  <si>
    <t xml:space="preserve">Non-prise en compte de l’impact métier dans les priorités, engendrant un traitement déséquilibré des incidents.</t>
  </si>
  <si>
    <t xml:space="preserve">Catégoriser techniquement les tickets pour orienter rapidement vers les bonnes équipes.</t>
  </si>
  <si>
    <t xml:space="preserve">Procédure ou guide de qualification expliquant comment évaluer l'impact business d'un ticket.</t>
  </si>
  <si>
    <t xml:space="preserve">Mettre à jour régulièrement la catégorisation en fonction des évolutions technologiques.</t>
  </si>
  <si>
    <t xml:space="preserve">Présence d'une catégorisation technique permettant une orientation efficace des tickets</t>
  </si>
  <si>
    <t xml:space="preserve">Une catégorisation technique permettant une orientation efficace des tickets est-elle en place ?</t>
  </si>
  <si>
    <t xml:space="preserve">Arborescence de catégorisation technique (distincte de la typologie fonctionnelle si nécessaire) utilisée dans l'outil.</t>
  </si>
  <si>
    <t xml:space="preserve">Désorientation des tickets vers des équipes non pertinentes.</t>
  </si>
  <si>
    <t xml:space="preserve">Mauvaise orientation technique, retardant la prise en charge ou entraînant des escalades inutiles.</t>
  </si>
  <si>
    <t xml:space="preserve">Identifier et marquer les incidents récurrents ou liés pour faciliter leur gestion.</t>
  </si>
  <si>
    <t xml:space="preserve">Matrice de routage/affectation des tickets basée sur la catégorie technique (vers les groupes de support L2/L3).</t>
  </si>
  <si>
    <t xml:space="preserve">Analyser ces incidents pour mettre en place des actions préventives.</t>
  </si>
  <si>
    <t xml:space="preserve">Capacité à identifier et marquer les incidents récurrents ou liés</t>
  </si>
  <si>
    <t xml:space="preserve">L'outil permet-il d'identifier et de marquer les incidents récurrents ou liés ?</t>
  </si>
  <si>
    <t xml:space="preserve">Procédure pour l'identification et la liaison des incidents (ex: lien vers un incident parent ou un problème).</t>
  </si>
  <si>
    <t xml:space="preserve">Sous-estimation des incidents récurrents sans identification spécifique.</t>
  </si>
  <si>
    <t xml:space="preserve">Incidents récurrents non identifiés, empêchant les actions préventives et l'amélioration continue.</t>
  </si>
  <si>
    <t xml:space="preserve">Fournir des scripts d’accueil et de qualification standardisés aux techniciens.</t>
  </si>
  <si>
    <t xml:space="preserve">Exemples de tickets liés dans l'outil ou rapports spécifiques sur les incidents récurrents.</t>
  </si>
  <si>
    <t xml:space="preserve">Former régulièrement les techniciens à l’utilisation de ces scripts pour homogénéiser les réponses.</t>
  </si>
  <si>
    <t xml:space="preserve">S’assure qu’il existe une liste de questions à dérouler lors d'un
appel afin préciser au mieux la demande de l'utilisateur</t>
  </si>
  <si>
    <t xml:space="preserve">Disponibilité de scripts d'accueil et de qualification standardisés pour les techniciens</t>
  </si>
  <si>
    <t xml:space="preserve">Des scripts d'accueil et de qualification standardisés sont-ils mis à disposition des techniciens ?</t>
  </si>
  <si>
    <t xml:space="preserve">Modèles de scripts d'accueil (téléphonique, email, chat...).</t>
  </si>
  <si>
    <t xml:space="preserve">Accueil incohérent des utilisateurs en l’absence de scripts unifiés.</t>
  </si>
  <si>
    <t xml:space="preserve">Accueil et qualification hétérogènes selon le technicien, provoquant une inégalité de traitement.</t>
  </si>
  <si>
    <t xml:space="preserve">Mettre en place des questionnaires spécifiques par type d’incident ou demande.</t>
  </si>
  <si>
    <t xml:space="preserve">Check-lists ou scripts de qualification pour les types de demandes les plus fréquents.</t>
  </si>
  <si>
    <t xml:space="preserve">Actualiser les questionnaires en fonction des retours d’expérience pour améliorer la pertinence.</t>
  </si>
  <si>
    <t xml:space="preserve">Existence de questionnaires spécifiques par type d'incident ou de demande</t>
  </si>
  <si>
    <t xml:space="preserve">Des questionnaires spécifiques par type d'incident ou de demande sont-ils disponibles ?</t>
  </si>
  <si>
    <t xml:space="preserve">Exemples de questionnaires de diagnostic intégrés ou référencés pour des incidents spécifiques.</t>
  </si>
  <si>
    <t xml:space="preserve">Qualification incomplète ou inadaptée sans guides dédiés.</t>
  </si>
  <si>
    <t xml:space="preserve">Qualification incomplète ou incorrecte sur des incidents spécifiques, entraînant des erreurs de diagnostic.</t>
  </si>
  <si>
    <t xml:space="preserve">Utiliser un arbre de décision pour guider l’analyse de premier niveau.</t>
  </si>
  <si>
    <t xml:space="preserve">Base de connaissances ou référentiel documentaire contenant ces questionnaires structurés.</t>
  </si>
  <si>
    <t xml:space="preserve">Former les équipes à l’utilisation de cet outil pour améliorer la qualité des diagnostics.</t>
  </si>
  <si>
    <t xml:space="preserve">Présence d'un arbre de décision pour guider l'analyse de premier niveau</t>
  </si>
  <si>
    <t xml:space="preserve">Un arbre de décision pour guider l'analyse de premier niveau est-il formalisé ?</t>
  </si>
  <si>
    <t xml:space="preserve">Exemples d'arbres de décision formalisés pour des scénarios de dépannage courants.</t>
  </si>
  <si>
    <t xml:space="preserve">Erreurs d’analyse de premier niveau sans aide à la décision.</t>
  </si>
  <si>
    <t xml:space="preserve">Perte de temps dans l’analyse des incidents en l’absence de guidance claire et structurée.</t>
  </si>
  <si>
    <t xml:space="preserve">Intégrer les questions dans l’outil de gestion des tickets pour assurer leur utilisation systématique.</t>
  </si>
  <si>
    <t xml:space="preserve">Preuve de l'intégration ou de la mise à disposition de ces arbres dans l'outil ou la base de connaissances.</t>
  </si>
  <si>
    <t xml:space="preserve">Contrôler l’usage de ces questions et corriger les écarts.</t>
  </si>
  <si>
    <t xml:space="preserve">Mise à jour régulière des questions en fonction des retours d'expérience</t>
  </si>
  <si>
    <t xml:space="preserve">Les questions de qualification sont-elles mises à jour régulièrement en fonction des retours d'expérience ?</t>
  </si>
  <si>
    <t xml:space="preserve">Procédure de revue et de mise à jour des scripts, questionnaires et arbres de décision.</t>
  </si>
  <si>
    <t xml:space="preserve">Déconnexion des procédures de la réalité terrain sans mise à jour régulière.</t>
  </si>
  <si>
    <t xml:space="preserve">Mauvaise prise en compte des apprentissages du terrain, reproduisant les mêmes erreurs ou lacunes.</t>
  </si>
  <si>
    <t xml:space="preserve">Distinguer clairement la gestion des incidents de celle des problèmes.</t>
  </si>
  <si>
    <t xml:space="preserve">Registre des modifications ou compte-rendu de réunions prouvant la réalisation de ces mises à jour.</t>
  </si>
  <si>
    <t xml:space="preserve">Former les équipes aux processus spécifiques de gestion des problèmes.</t>
  </si>
  <si>
    <t xml:space="preserve">Intégration des questions dans l'outil de gestion des tickets pour assurer leur utilisation</t>
  </si>
  <si>
    <t xml:space="preserve">Les questions standardisées sont-elles intégrées dans l'outil de gestion des tickets ?</t>
  </si>
  <si>
    <t xml:space="preserve">Captures d'écran de l'outil montrant l'intégration active de questionnaires ou de champs guidés.</t>
  </si>
  <si>
    <t xml:space="preserve">Non-utilisation des guides si non intégrés à l’outil de ticketing.</t>
  </si>
  <si>
    <t xml:space="preserve">Questions oubliées ou mal posées, conduisant à un diagnostic incorrect dès le départ.</t>
  </si>
  <si>
    <t xml:space="preserve">Mettre en place des indicateurs de suivi des problèmes identifiés.</t>
  </si>
  <si>
    <t xml:space="preserve">Guide utilisateur ou procédure interne démontrant l'utilisation obligatoire ou assistée de ces questions.</t>
  </si>
  <si>
    <t xml:space="preserve">Analyser régulièrement ces indicateurs pour piloter les actions correctives.</t>
  </si>
  <si>
    <t xml:space="preserve">S’assurer que les problèmes sont gérés</t>
  </si>
  <si>
    <t xml:space="preserve">Distinction claire entre la gestion des incidents et la gestion des problèmes</t>
  </si>
  <si>
    <t xml:space="preserve">Une distinction claire entre la gestion des incidents et la gestion des problèmes est-elle établie dans les procédures ?</t>
  </si>
  <si>
    <t xml:space="preserve">Procédure de gestion des incidents.</t>
  </si>
  <si>
    <t xml:space="preserve">Confusion dans le traitement entre incidents ponctuels et problèmes systémiques.</t>
  </si>
  <si>
    <t xml:space="preserve">Confusion entre résolution rapide et traitement de fond, empêchant la pérennité des solutions apportées.</t>
  </si>
  <si>
    <t xml:space="preserve">Suivre le taux de problèmes résolus par rapport aux problèmes identifiés.</t>
  </si>
  <si>
    <t xml:space="preserve">Procédure de gestion des problèmes (soulignant les différences d'objectifs et d'activités).</t>
  </si>
  <si>
    <t xml:space="preserve">Mettre en place des plans d’action pour améliorer ce taux.</t>
  </si>
  <si>
    <t xml:space="preserve">Existence d'indicateurs de suivi des problèmes identifiés</t>
  </si>
  <si>
    <t xml:space="preserve">Des indicateurs de suivi des problèmes identifiés sont-ils définis et mesurés ?</t>
  </si>
  <si>
    <t xml:space="preserve">Définition des indicateurs clés (KPIs) spécifiques à la gestion des problèmes (ex: nombre de problèmes ouverts, backlog...).</t>
  </si>
  <si>
    <t xml:space="preserve">Suivi inefficace sans indicateurs de gestion des problèmes.</t>
  </si>
  <si>
    <t xml:space="preserve">Non-suivi des problèmes identifiés, laissant perdurer les incidents récurrents.</t>
  </si>
  <si>
    <t xml:space="preserve">Mesurer le délai moyen de résolution des problèmes par niveau de priorité.</t>
  </si>
  <si>
    <t xml:space="preserve">Tableaux de bord ou rapports périodiques de suivi de ces indicateurs de gestion des problèmes.</t>
  </si>
  <si>
    <t xml:space="preserve">Fixer des objectifs de performance et suivre leur atteinte.</t>
  </si>
  <si>
    <t xml:space="preserve">Taux de problèmes résolus vs. problèmes identifiés</t>
  </si>
  <si>
    <t xml:space="preserve">Le taux de problèmes résolus par rapport aux problèmes identifiés est-il mesuré régulièrement ?</t>
  </si>
  <si>
    <t xml:space="preserve">Rapports périodiques montrant le ratio/taux de problèmes résolus (avec cause racine identifiée et solution pérenne) par rapport aux problèmes créés.</t>
  </si>
  <si>
    <t xml:space="preserve">Problèmes non résolus faute de suivi ou d’escalade.</t>
  </si>
  <si>
    <t xml:space="preserve">Accumulation de problèmes non résolus, provoquant un engorgement du support.</t>
  </si>
  <si>
    <t xml:space="preserve">Formaliser un processus d’analyse des causes racines.</t>
  </si>
  <si>
    <t xml:space="preserve">Définition de l'indicateur "Taux de résolution des problèmes".</t>
  </si>
  <si>
    <t xml:space="preserve">Former les équipes à cette méthode pour assurer des analyses efficaces.</t>
  </si>
  <si>
    <t xml:space="preserve">Délai moyen de résolution des problèmes par niveau de priorité</t>
  </si>
  <si>
    <t xml:space="preserve">Le délai moyen de résolution des problèmes est-il mesuré par niveau de priorité ?</t>
  </si>
  <si>
    <t xml:space="preserve">Rapports périodiques montrant le délai moyen de résolution (MTTR) des problèmes, ventilé par priorité.</t>
  </si>
  <si>
    <t xml:space="preserve">Temps de traitement excessif pour les problèmes critiques.</t>
  </si>
  <si>
    <t xml:space="preserve">Problèmes critiques non traités en priorité, affectant significativement la productivité.</t>
  </si>
  <si>
    <t xml:space="preserve">Documenter formellement le processus de gestion des problèmes.</t>
  </si>
  <si>
    <t xml:space="preserve">Définition des niveaux de priorité des problèmes et des objectifs de délai associés.</t>
  </si>
  <si>
    <t xml:space="preserve">Diffuser et faire appliquer ce processus au sein des équipes.</t>
  </si>
  <si>
    <t xml:space="preserve">Existence d'un processus d'analyse des causes racines</t>
  </si>
  <si>
    <t xml:space="preserve">Un processus formalisé d'analyse des causes racines est-il en place ?</t>
  </si>
  <si>
    <t xml:space="preserve">Procédure formalisée d'analyse des causes racines (RCA), incluant les méthodes possibles (5 Pourquoi, Ishikawa...).</t>
  </si>
  <si>
    <t xml:space="preserve">Répétition des incidents sans analyse approfondie.</t>
  </si>
  <si>
    <t xml:space="preserve">Traitements symptomatiques répétés au lieu d’éradication des causes profondes.</t>
  </si>
  <si>
    <t xml:space="preserve">Désigner un responsable clairement identifié pour la gestion des problèmes.</t>
  </si>
  <si>
    <t xml:space="preserve">Exemples de rapports d'analyse de cause racine (RCA reports) documentés pour des problèmes résolus.</t>
  </si>
  <si>
    <t xml:space="preserve">Assurer le suivi et le reporting régulier des activités liées aux problèmes.</t>
  </si>
  <si>
    <t xml:space="preserve">S’assurer qu’un processus de gestion des problèmes existe</t>
  </si>
  <si>
    <t xml:space="preserve">Documentation formelle du processus de gestion des problèmes</t>
  </si>
  <si>
    <t xml:space="preserve">Le processus de gestion des problèmes est-il formellement documenté ?</t>
  </si>
  <si>
    <t xml:space="preserve">Procédure/Politique de gestion des problèmes décrivant le cycle de vie complet d'un problème.</t>
  </si>
  <si>
    <t xml:space="preserve">Absence de traçabilité et d’amélioration continue sans documentation.</t>
  </si>
  <si>
    <t xml:space="preserve">Résolutions ponctuelles sans partage ou formalisation, empêchant la réutilisation collective.</t>
  </si>
  <si>
    <t xml:space="preserve">Définir des critères précis pour qualifier un incident en problème.</t>
  </si>
  <si>
    <t xml:space="preserve">Manuel Qualité ou documentation du Système de Management (ITIL, ISO 20000...) décrivant le processus.</t>
  </si>
  <si>
    <t xml:space="preserve">Former les équipes à ces critères pour garantir une bonne qualification.</t>
  </si>
  <si>
    <t xml:space="preserve">Désignation d'un responsable de la gestion des problèmes</t>
  </si>
  <si>
    <t xml:space="preserve">Un responsable de la gestion des problèmes est-il formellement désigné ?</t>
  </si>
  <si>
    <t xml:space="preserve">Organigramme ou description de rôle montrant explicitement la fonction de "Problem Manager" ou le responsable désigné.</t>
  </si>
  <si>
    <t xml:space="preserve">Pas de pilote pour coordonner la résolution des problèmes.</t>
  </si>
  <si>
    <t xml:space="preserve">Flou dans les responsabilités empêchant la bonne coordination et la priorisation des actions.</t>
  </si>
  <si>
    <t xml:space="preserve">Mettre en place des comités de revue périodique des problèmes en cours.</t>
  </si>
  <si>
    <t xml:space="preserve">Fiche de poste du "Problem Manager".</t>
  </si>
  <si>
    <t xml:space="preserve">Assurer la participation des parties prenantes clés à ces comités.</t>
  </si>
  <si>
    <t xml:space="preserve">Existence de critères de qualification pour transformer un incident en problème</t>
  </si>
  <si>
    <t xml:space="preserve">Des critères formels de qualification permettant de transformer un incident en problème sont-ils définis ?</t>
  </si>
  <si>
    <t xml:space="preserve">Procédure de gestion des problèmes décrivant les critères précis de création d'un enregistrement "Problème".</t>
  </si>
  <si>
    <t xml:space="preserve">Incident grave non transformé en problème faute de critères définis.</t>
  </si>
  <si>
    <t xml:space="preserve">Mauvaise gestion du cycle de vie des incidents transformés en problèmes, causant des lenteurs et un suivi incomplet.</t>
  </si>
  <si>
    <t xml:space="preserve">Intégrer le processus de gestion des problèmes dans le système de management de la qualité.</t>
  </si>
  <si>
    <t xml:space="preserve">Exemples de tickets d'incident ayant conduit à la création d'un problème, justifiant l'application des critères.</t>
  </si>
  <si>
    <t xml:space="preserve">Documenter et auditer régulièrement cette intégration pour assurer son efficacité.</t>
  </si>
  <si>
    <t xml:space="preserve">Mise en place de comités de revue périodique des problèmes en cours</t>
  </si>
  <si>
    <t xml:space="preserve">Des comités de revue périodique des problèmes en cours sont-ils organisés régulièrement ?</t>
  </si>
  <si>
    <t xml:space="preserve">Planning ou invitations récurrentes aux réunions de revue des problèmes.</t>
  </si>
  <si>
    <t xml:space="preserve">Manque de priorisation et de suivi sans comité de revue.</t>
  </si>
  <si>
    <t xml:space="preserve">Problèmes persistants non revus régulièrement, limitant l’amélioration continue.</t>
  </si>
  <si>
    <t xml:space="preserve">Amélioration de la qualité des données saisies, facilitant le traitement et l’analyse des tickets.</t>
  </si>
  <si>
    <t xml:space="preserve">Comptes-rendus des dernières réunions de revue des problèmes (participants, points abordés, décisions, actions).</t>
  </si>
  <si>
    <t xml:space="preserve">Intégration du processus de gestion des problèmes dans le système de management de la qualité</t>
  </si>
  <si>
    <t xml:space="preserve">Le processus de gestion des problèmes est-il intégré dans le système de management de la qualité ?</t>
  </si>
  <si>
    <t xml:space="preserve">Manuel Qualité ou documentation du SMSI/SMQ mentionnant le processus de gestion des problèmes.</t>
  </si>
  <si>
    <t xml:space="preserve">Gestion des problèmes déconnectée des autres processus qualité.</t>
  </si>
  <si>
    <t xml:space="preserve">Manque d’alignement qualité/suivi, entraînant une gestion isolée du traitement des problèmes.</t>
  </si>
  <si>
    <t xml:space="preserve">Réduction des erreurs de classification et accélération du processus de saisie des incidents.</t>
  </si>
  <si>
    <t xml:space="preserve">Rapports d'audit (interne ou externe) vérifiant la conformité du processus de gestion des problèmes aux exigences du système de management.</t>
  </si>
  <si>
    <t xml:space="preserve">Fonction support : audit d'efficacité et de performance</t>
  </si>
  <si>
    <t xml:space="preserve">S’assurer qu’il existe une aide à la saisie pour la saisie des
Tickets</t>
  </si>
  <si>
    <t xml:space="preserve">Présence de formulaires structurés avec champs pré-définis</t>
  </si>
  <si>
    <t xml:space="preserve">L'outil de ticketing propose-t-il des formulaires structurés avec des champs pré-définis ?</t>
  </si>
  <si>
    <t xml:space="preserve">Captures d'écran des formulaires de création/gestion des tickets et des problèmes dans l'outil.</t>
  </si>
  <si>
    <t xml:space="preserve">Saisie incohérente ou incomplète sans structure de formulaire.</t>
  </si>
  <si>
    <t xml:space="preserve">Saisies incomplètes ou incohérentes, rendant le traitement plus long et augmentant le risque d’erreur.</t>
  </si>
  <si>
    <t xml:space="preserve">Diminution du temps de saisie et augmentation de la précision grâce à la suggestion automatique de mots-clés.</t>
  </si>
  <si>
    <t xml:space="preserve">Modèles (templates) de formulaires ou documentation décrivant les champs et informations requis.</t>
  </si>
  <si>
    <t xml:space="preserve">Existence de menus déroulants pour les typologies communes d'incidents</t>
  </si>
  <si>
    <t xml:space="preserve">Des menus déroulants pour les typologies communes d'incidents sont-ils disponibles dans l'interface de saisie ?</t>
  </si>
  <si>
    <t xml:space="preserve">Le guide de saisie des tickets (format PDF, page web, article de base de connaissances).</t>
  </si>
  <si>
    <t xml:space="preserve">Risque d'erreurs de classification sans typologie assistée.</t>
  </si>
  <si>
    <t xml:space="preserve">Risques d’erreurs de typologie, réduisant la qualité des statistiques et la pertinence de l’orientation des tickets.</t>
  </si>
  <si>
    <t xml:space="preserve">Meilleure autonomie des utilisateurs et réduction des erreurs grâce à l’assistance contextuelle lors de la saisie.</t>
  </si>
  <si>
    <t xml:space="preserve">Capture d'écran de l'outil de ticketing montrant le lien ou bouton d'accès au guide, ou procédure indiquant comment y accéder depuis l'outil.</t>
  </si>
  <si>
    <t xml:space="preserve">Disponibilité d'une fonction d'auto-complétion basée sur des mots-clés</t>
  </si>
  <si>
    <t xml:space="preserve">Une fonction d'auto-complétion basée sur des mots-clés est-elle disponible lors de la saisie des tickets ?</t>
  </si>
  <si>
    <t xml:space="preserve">Temps perdu ou tickets mal orientés sans auto-complétion efficace.</t>
  </si>
  <si>
    <t xml:space="preserve">Temps de saisie plus long et risque de formulations inexactes, impactant l’efficacité du traitement.</t>
  </si>
  <si>
    <t xml:space="preserve">Uniformisation des pratiques de saisie et diminution des erreurs grâce à un guide accessible directement dans l’outil.</t>
  </si>
  <si>
    <t xml:space="preserve">Présence de bulles d'aide contextuelle dans l'interface de saisie</t>
  </si>
  <si>
    <t xml:space="preserve">Des bulles d'aide contextuelle sont-elles présentes dans l'interface de saisie des tickets ?</t>
  </si>
  <si>
    <t xml:space="preserve">Mauvaise saisie des tickets faute d’aide contextuelle accessible.</t>
  </si>
  <si>
    <t xml:space="preserve">Mauvaise compréhension de certains champs par les opérateurs, menant à une mauvaise qualification des demandes.</t>
  </si>
  <si>
    <t xml:space="preserve">Amélioration continue de la qualité des tickets et détection rapide des écarts grâce à des contrôles réguliers.</t>
  </si>
  <si>
    <t xml:space="preserve">Existence d'un guide de saisie accessible depuis l'outil de ticketing</t>
  </si>
  <si>
    <t xml:space="preserve">Un guide de saisie est-il accessible directement depuis l'outil de ticketing ?</t>
  </si>
  <si>
    <t xml:space="preserve">Utilisation limitée de l’outil sans guide de saisie clair.</t>
  </si>
  <si>
    <t xml:space="preserve">Perte de temps en cas de doute sur la saisie et hétérogénéité dans la qualité des tickets créés.</t>
  </si>
  <si>
    <t xml:space="preserve">Évaluation objective de la qualité des tickets, facilitant l’identification des axes de progrès.</t>
  </si>
  <si>
    <t xml:space="preserve">S’assurer qu’il existe des revues qualité pour la saisie des
Tickets</t>
  </si>
  <si>
    <t xml:space="preserve">Fréquence des contrôles qualité sur les tickets saisis</t>
  </si>
  <si>
    <t xml:space="preserve">Des contrôles qualité sur les tickets saisis sont-ils effectués au moins une fois par mois ?</t>
  </si>
  <si>
    <t xml:space="preserve">Procédure de contrôle qualité des tickets (décrivant la méthode, la fréquence cible, l'échantillonnage).</t>
  </si>
  <si>
    <t xml:space="preserve">Détection tardive des erreurs en l’absence de contrôle qualité régulier.</t>
  </si>
  <si>
    <t xml:space="preserve">Détection tardive des erreurs ou dérives de saisie, affectant la qualité des données et l’analyse globale.</t>
  </si>
  <si>
    <t xml:space="preserve">Augmentation de la qualité globale du support par un contrôle plus large des tickets traités.</t>
  </si>
  <si>
    <t xml:space="preserve">Planning ou rapports périodiques prouvant la réalisation effective des contrôles qualité selon la fréquence définie.</t>
  </si>
  <si>
    <t xml:space="preserve">Existence d'une grille d'évaluation de la qualité des tickets</t>
  </si>
  <si>
    <t xml:space="preserve">Une grille d'évaluation formalisée de la qualité des tickets existe-t-elle ?</t>
  </si>
  <si>
    <t xml:space="preserve">La grille d'évaluation qualité des tickets (avec les critères précis : complétude, clarté, catégorisation, etc. et le système de notation).</t>
  </si>
  <si>
    <t xml:space="preserve">Manque de repères pour évaluer les tickets sans grille formalisée.</t>
  </si>
  <si>
    <t xml:space="preserve">Difficulté à objectiver la qualité des tickets sans grille claire, entraînant une subjectivité dans les évaluations.</t>
  </si>
  <si>
    <t xml:space="preserve">Montée en compétence des opérateurs et correction rapide des mauvaises pratiques via des sessions de feedback.</t>
  </si>
  <si>
    <t xml:space="preserve">Exemples de fiches d'évaluation remplies lors des contrôles qualité (anonymisées si nécessaire).</t>
  </si>
  <si>
    <t xml:space="preserve">Pourcentage de tickets revus par rapport au volume total</t>
  </si>
  <si>
    <t xml:space="preserve">Au moins 10% des tickets sont-ils revus dans le cadre des contrôles qualité ?</t>
  </si>
  <si>
    <t xml:space="preserve">Rapports périodiques de contrôle qualité indiquant le nombre de tickets revus et le volume total de tickets sur la période (permettant de calculer le pourcentage).</t>
  </si>
  <si>
    <t xml:space="preserve">Faible représentativité de la qualité si peu de tickets sont révisés.</t>
  </si>
  <si>
    <t xml:space="preserve">Faible couverture de la qualité globale, rendant difficile l’identification des axes d’amélioration.</t>
  </si>
  <si>
    <t xml:space="preserve">Suivi efficace des actions correctives et mesure de l’impact des améliorations apportées après revue qualité.</t>
  </si>
  <si>
    <t xml:space="preserve">Définition de l'indicateur (KPI) "Pourcentage de tickets revus" et la méthode de calcul utilisée.</t>
  </si>
  <si>
    <t xml:space="preserve">Mise en place de sessions de feedback pour les opérateurs</t>
  </si>
  <si>
    <t xml:space="preserve">Des sessions de feedback sont-elles organisées régulièrement pour les opérateurs ?</t>
  </si>
  <si>
    <t xml:space="preserve">Compte-rendus ou fiches de feedback individualisées suite aux contrôles qualité, transmis aux opérateurs.</t>
  </si>
  <si>
    <t xml:space="preserve">Absence de retour constructif sans sessions dédiées aux opérateurs.</t>
  </si>
  <si>
    <t xml:space="preserve">Faible amélioration continue des pratiques si les retours ne sont pas organisés et réguliers.</t>
  </si>
  <si>
    <t xml:space="preserve">Centralisation et accès rapide aux solutions, réduisant le temps de résolution des incidents.</t>
  </si>
  <si>
    <t xml:space="preserve">Planning ou preuves (invitations, ordres du jour, compte-rendus) des sessions de feedback (collectives ou individuelles).</t>
  </si>
  <si>
    <t xml:space="preserve">Suivi des améliorations suite aux revues qualité</t>
  </si>
  <si>
    <t xml:space="preserve">Un suivi des améliorations suite aux revues qualité est-il mis en place ?</t>
  </si>
  <si>
    <t xml:space="preserve">Plans d'actions issus des revues qualité (listant les points d'amélioration identifiés et les actions correctives associées).</t>
  </si>
  <si>
    <t xml:space="preserve">Répétition des erreurs si les retours ne sont pas suivis d’actions concrètes.</t>
  </si>
  <si>
    <t xml:space="preserve">Absence de traçabilité sur l’impact des actions qualité, limitant leur efficacité dans le temps.</t>
  </si>
  <si>
    <t xml:space="preserve">Accès facilité à la base de connaissances, permettant une résolution plus autonome et rapide par les techniciens et utilisateurs.</t>
  </si>
  <si>
    <t xml:space="preserve">Preuves du suivi de l'état d'avancement de ces plans d'actions (ex: dans un outil de suivi, fichier partagé, ou via des comptes-rendus de réunions dédiées).</t>
  </si>
  <si>
    <t xml:space="preserve">Vérifier l’existence d’une base de connaissance</t>
  </si>
  <si>
    <t xml:space="preserve">Présence d'un référentiel centralisé et structuré des solutions</t>
  </si>
  <si>
    <t xml:space="preserve">Existe-t-il un référentiel centralisé et structuré des solutions accessibles aux agents du helpdesk ?</t>
  </si>
  <si>
    <t xml:space="preserve">Accès direct à la base de connaissances pour visualisation de sa structure et contenu.</t>
  </si>
  <si>
    <t xml:space="preserve">Perte de temps ou erreurs répétées sans base de solutions centralisée.</t>
  </si>
  <si>
    <t xml:space="preserve">Risque de réinvention des solutions existantes, allongeant les délais de résolution.</t>
  </si>
  <si>
    <t xml:space="preserve">Meilleure couverture fonctionnelle et réduction des incidents récurrents grâce à une documentation exhaustive des solutions.</t>
  </si>
  <si>
    <t xml:space="preserve">Document décrivant l'architecture, la taxonomie (catégorisation) et les principes d'organisation de la base de connaissances.</t>
  </si>
  <si>
    <t xml:space="preserve">Accessibilité de la base aux techniciens du HD et éventuellement aux utilisateurs</t>
  </si>
  <si>
    <t xml:space="preserve">La base de connaissances est-elle accessible à tous les techniciens du helpdesk ?</t>
  </si>
  <si>
    <t xml:space="preserve">Documentation ou guide utilisateur expliquant comment accéder et utiliser la base de connaissances (pour les techniciens et/ou utilisateurs finaux).</t>
  </si>
  <si>
    <t xml:space="preserve">Résolutions inefficaces si la base n’est pas accessible à tous les concernés.</t>
  </si>
  <si>
    <t xml:space="preserve">Perte d’autonomie des techniciens et redondance des sollicitations pour des problèmes déjà traités.</t>
  </si>
  <si>
    <t xml:space="preserve">Recherche d’information plus rapide et efficace, limitant les pertes de temps lors de la résolution.</t>
  </si>
  <si>
    <t xml:space="preserve">Configuration des droits d'accès dans l'outil de base de connaissances montrant les profils autorisés (techniciens HD, groupes d'utilisateurs spécifiques...).</t>
  </si>
  <si>
    <t xml:space="preserve">Volume de solutions documentées par rapport au périmètre fonctionnel</t>
  </si>
  <si>
    <t xml:space="preserve">Au moins 70% des solutions sont-elles documentées par rapport au périmètre fonctionnel couvert ?</t>
  </si>
  <si>
    <t xml:space="preserve">Statistiques issues de l'outil de base de connaissances (nombre d'articles, articles par catégorie/application).</t>
  </si>
  <si>
    <t xml:space="preserve">Sous-utilisation de la base si le contenu n’est pas adapté au périmètre réel.</t>
  </si>
  <si>
    <t xml:space="preserve">Faible couverture des cas rencontrés dans les incidents, réduisant l’utilité de la base.</t>
  </si>
  <si>
    <t xml:space="preserve">Augmentation de la réutilisation des solutions existantes, accélérant la résolution des incidents.</t>
  </si>
  <si>
    <t xml:space="preserve">Rapport d'analyse de couverture de la base de connaissances comparant le contenu existant au catalogue des services/applications supportés.</t>
  </si>
  <si>
    <t xml:space="preserve">Présence d'un moteur de recherche efficace</t>
  </si>
  <si>
    <t xml:space="preserve">La base de connaissances dispose-t-elle d'un moteur de recherche efficace ?</t>
  </si>
  <si>
    <t xml:space="preserve">Captures d'écran de l'interface de recherche de la base de connaissances illustrant ses fonctionnalités (filtres, tri...).</t>
  </si>
  <si>
    <t xml:space="preserve">Temps de recherche allongé sans moteur efficace.</t>
  </si>
  <si>
    <t xml:space="preserve">Difficulté à trouver rapidement des solutions pertinentes, générant une perte d’efficacité.</t>
  </si>
  <si>
    <t xml:space="preserve">Maintien d’une base de connaissances à jour et pertinente grâce à une documentation claire des processus de création et de mise à jour.</t>
  </si>
  <si>
    <t xml:space="preserve">Documentation technique ou guide utilisateur de l'outil décrivant les capacités du moteur de recherche (pertinence, indexation...).</t>
  </si>
  <si>
    <t xml:space="preserve">Taux d'utilisation de la base de connaissances lors de la résolution des incidents</t>
  </si>
  <si>
    <t xml:space="preserve">Le taux d'utilisation de la base de connaissances lors de la résolution des incidents est-il mesuré ?</t>
  </si>
  <si>
    <t xml:space="preserve">Rapports générés par l'outil de ticketing/base de connaissances montrant la liaison entre incidents résolus et articles de la base utilisés (ex: taux de "fix linked to KB").</t>
  </si>
  <si>
    <t xml:space="preserve">Résolution lente des tickets si la base n’est pas utilisée.</t>
  </si>
  <si>
    <t xml:space="preserve">Faible usage de la base, malgré sa richesse, si l’accès n’est pas fluide ou intuitif.</t>
  </si>
  <si>
    <t xml:space="preserve">Garantie de la qualité et de la cohérence des nouveaux articles via un workflow de validation systématique.</t>
  </si>
  <si>
    <t xml:space="preserve">Définition de l'indicateur (KPI) "Taux d'utilisation de la base de connaissances" ou "Taux de résolution assistée par la base de connaissances".</t>
  </si>
  <si>
    <t xml:space="preserve">S’assurer qu’une procédure de mise à jour de la base de
connaissance existe</t>
  </si>
  <si>
    <t xml:space="preserve">Documentation du processus de création et mise à jour des articles</t>
  </si>
  <si>
    <t xml:space="preserve">Le processus de création et de mise à jour des articles de la base de connaissances est-il documenté ?</t>
  </si>
  <si>
    <t xml:space="preserve">Procédure formalisée de gestion du cycle de vie des articles de la base de connaissances (décrivant qui peut créer, comment rédiger, valider, mettre à jour, archiver).</t>
  </si>
  <si>
    <t xml:space="preserve">Perte de cohérence documentaire sans processus de mise à jour.</t>
  </si>
  <si>
    <t xml:space="preserve">Création de contenus non exploitables ou non réutilisables, faute de rigueur dans la documentation.</t>
  </si>
  <si>
    <t xml:space="preserve">Maintien de la pertinence de la base de connaissances grâce à des revues régulières du contenu.</t>
  </si>
  <si>
    <t xml:space="preserve">Modèles (templates) standardisés pour la rédaction des articles de la base de connaissances.</t>
  </si>
  <si>
    <t xml:space="preserve">Existence d'un workflow de validation des nouveaux articles</t>
  </si>
  <si>
    <t xml:space="preserve">Un workflow de validation des nouveaux articles est-il en place ?</t>
  </si>
  <si>
    <t xml:space="preserve">Description du workflow de validation (étapes, rôles) dans la procédure de gestion de la base de connaissances.</t>
  </si>
  <si>
    <t xml:space="preserve">Propagation d’informations erronées sans validation formelle.</t>
  </si>
  <si>
    <t xml:space="preserve">Propagation d'informations incorrectes ou non validées si aucun processus de contrôle n’est appliqué.</t>
  </si>
  <si>
    <t xml:space="preserve">Amélioration de la qualité du contenu par la désignation de responsables dédiés à chaque domaine.</t>
  </si>
  <si>
    <t xml:space="preserve">Captures d'écran de l'outil de base de connaissances montrant les différents statuts possibles d'un article (Brouillon, En validation, Rejeté, Publié) et l'historique des validations.</t>
  </si>
  <si>
    <t xml:space="preserve">Fréquence des revues de pertinence du contenu existant</t>
  </si>
  <si>
    <t xml:space="preserve">Des revues de pertinence du contenu existant sont-elles effectuées au moins tous les trimestres ?</t>
  </si>
  <si>
    <t xml:space="preserve">Procédure de revue périodique des articles (définissant la fréquence, les critères de revue : exactitude, utilité, date de dernière révision...).</t>
  </si>
  <si>
    <t xml:space="preserve">Contenu obsolète si non revu régulièrement.</t>
  </si>
  <si>
    <t xml:space="preserve">Contenus obsolètes ou non alignés avec les outils et process actuels, réduisant la fiabilité.</t>
  </si>
  <si>
    <t xml:space="preserve">Réactivité accrue et réduction des délais de mise à jour des solutions grâce à un suivi précis des métriques.</t>
  </si>
  <si>
    <t xml:space="preserve">Planning ou rapports/logs prouvant la réalisation des revues de contenu (ex: liste des articles revus sur une période donnée).</t>
  </si>
  <si>
    <t xml:space="preserve">Désignation de responsables par domaine pour la qualité du contenu</t>
  </si>
  <si>
    <t xml:space="preserve">Des responsables par domaine pour la qualité du contenu de la base de connaissances sont-ils désignés ?</t>
  </si>
  <si>
    <t xml:space="preserve">Matrice RACI ou liste officielle des propriétaires ("knowledge owners") désignés par domaine technique ou fonctionnel.</t>
  </si>
  <si>
    <t xml:space="preserve">Responsabilités floues si aucun référent qualité n’est désigné.</t>
  </si>
  <si>
    <t xml:space="preserve">Absence de responsabilité claire en cas d’erreur ou d’obsolescence, limitant les actions correctives.</t>
  </si>
  <si>
    <t xml:space="preserve">Amélioration de la traçabilité et de la qualité du support téléphonique grâce à l’enregistrement des appels.</t>
  </si>
  <si>
    <t xml:space="preserve">Configuration dans l'outil de base de connaissances associant des responsables/groupes aux différentes catégories ou articles.</t>
  </si>
  <si>
    <t xml:space="preserve">Métriques sur les délais de mise à jour après identification de nouvelles solutions</t>
  </si>
  <si>
    <t xml:space="preserve">Des métriques sur les délais de mise à jour après identification de nouvelles solutions sont-elles suivies ?</t>
  </si>
  <si>
    <t xml:space="preserve">Rapports périodiques (mensuels/trimestriels) de performance indiquant les délais moyens et médians de mise à jour de la base de connaissances.</t>
  </si>
  <si>
    <t xml:space="preserve">Mise à jour tardive des solutions faute d’indicateurs de suivi.</t>
  </si>
  <si>
    <t xml:space="preserve">Délais importants entre l’identification d’une solution et sa disponibilité dans la base.</t>
  </si>
  <si>
    <t xml:space="preserve">Respect de la législation et protection des données personnelles grâce à la conformité du système d’enregistrement.</t>
  </si>
  <si>
    <t xml:space="preserve">Extrait du système de ticketing ou de la base de connaissances montrant les timestamps de création/identification de la solution et de sa publication/mise à jour.</t>
  </si>
  <si>
    <t xml:space="preserve">S’assurer que les appels sont enregistrés</t>
  </si>
  <si>
    <t xml:space="preserve">Existence d'un système d'enregistrement des appels téléphoniques</t>
  </si>
  <si>
    <t xml:space="preserve">Un système d'enregistrement des appels téléphoniques est-il en place ?</t>
  </si>
  <si>
    <t xml:space="preserve">Documentation technique ou fonctionnelle du système d'enregistrement téléphonique (ACD/PBX).</t>
  </si>
  <si>
    <t xml:space="preserve">Absence de preuve et de traçabilité sans enregistrement des appels.</t>
  </si>
  <si>
    <t xml:space="preserve">Impossibilité de tracer les échanges, ce qui limite les possibilités de contrôle qualité et de formation.</t>
  </si>
  <si>
    <t xml:space="preserve">Préservation des preuves et respect des politiques internes grâce à une durée de conservation adaptée des enregistrements.</t>
  </si>
  <si>
    <t xml:space="preserve">Capture d'écran de la configuration du système montrant l'activation de l'enregistrement OU un extrait du journal système confirmant l'enregistrement actif.</t>
  </si>
  <si>
    <t xml:space="preserve">Conformité du système d'enregistrement avec les règles de protection des données</t>
  </si>
  <si>
    <t xml:space="preserve">Le système d'enregistrement des appels est-il conforme aux règles de protection des données (RGPD) ?</t>
  </si>
  <si>
    <t xml:space="preserve">Analyse d'Impact relative à la Protection des Données (AIPD/DPIA) spécifique au système d'enregistrement OU la politique de confidentialité mentionnant l'enregistrement.</t>
  </si>
  <si>
    <t xml:space="preserve">Risque juridique si le dispositif n’est pas conforme aux lois en vigueur.</t>
  </si>
  <si>
    <t xml:space="preserve">Risque juridique en cas de non-respect des obligations légales sur la protection des données.</t>
  </si>
  <si>
    <t xml:space="preserve">Sécurisation de l’accès aux enregistrements pour des usages légitimes (formation, audit) et traçabilité renforcée.</t>
  </si>
  <si>
    <t xml:space="preserve">Script ou message vocal lu/diffusé informant les appelants de l'enregistrement ET preuve de l'information donnée aux employés (ex: clause contrat, charte informatique, formation).</t>
  </si>
  <si>
    <t xml:space="preserve">Durée de conservation des enregistrements conforme aux politiques internes</t>
  </si>
  <si>
    <t xml:space="preserve">La durée de conservation des enregistrements est-elle conforme aux politiques internes ?</t>
  </si>
  <si>
    <t xml:space="preserve">Politique interne de conservation des données (ou section spécifique sur les enregistrements téléphoniques).</t>
  </si>
  <si>
    <t xml:space="preserve">Non-conformité réglementaire en cas de conservation excessive.</t>
  </si>
  <si>
    <t xml:space="preserve">Conservation excessive ou insuffisante des enregistrements, générant des risques de non-conformité.</t>
  </si>
  <si>
    <t xml:space="preserve">Transparence et respect des droits des utilisateurs grâce à une information préalable sur l’enregistrement des communications.</t>
  </si>
  <si>
    <t xml:space="preserve">Capture d'écran de la configuration du système d'enregistrement montrant les paramètres de durée de conservation/purge automatique OU procédure de suppression manuelle documentée.</t>
  </si>
  <si>
    <t xml:space="preserve">Procédure d'accès aux enregistrements à des fins de formation ou d'audit</t>
  </si>
  <si>
    <t xml:space="preserve">Une procédure formalisée d'accès aux enregistrements à des fins de formation ou d'audit existe-t-elle ?</t>
  </si>
  <si>
    <t xml:space="preserve">Procédure formalisée décrivant qui peut accéder aux enregistrements, dans quel but, et le processus de demande/approbation.</t>
  </si>
  <si>
    <t xml:space="preserve">Utilisation abusive des enregistrements sans cadre défini.</t>
  </si>
  <si>
    <t xml:space="preserve">Accès non maîtrisé pouvant poser des problèmes éthiques ou de confidentialité.</t>
  </si>
  <si>
    <t xml:space="preserve">Collecte régulière de retours clients permettant d’identifier rapidement les axes d’amélioration du service.</t>
  </si>
  <si>
    <t xml:space="preserve">Journal d'audit (logs) des accès aux enregistrements OU exemples de formulaires de demande d'accès remplis et approuvés.</t>
  </si>
  <si>
    <t xml:space="preserve">Information préalable des utilisateurs sur l'enregistrement des communications</t>
  </si>
  <si>
    <t xml:space="preserve">Les utilisateurs sont-ils informés préalablement de l'enregistrement des communications ?</t>
  </si>
  <si>
    <t xml:space="preserve">Script du message vocal diffusé avant la mise en relation OU mention explicite dans les conditions générales d'utilisation du service.</t>
  </si>
  <si>
    <t xml:space="preserve">Non-respect des droits des usagers si l'information préalable est omise.</t>
  </si>
  <si>
    <t xml:space="preserve">Manque de transparence perçu par les utilisateurs, nuisant à la relation de confiance.</t>
  </si>
  <si>
    <t xml:space="preserve">Meilleure représentativité des résultats et fiabilité des analyses grâce à un taux de participation élevé aux enquêtes de satisfaction.</t>
  </si>
  <si>
    <t xml:space="preserve">Preuve de communication interne informant les employés sur l'enregistrement de leurs appels professionnels (ex: charte informatique, clause contractuelle).</t>
  </si>
  <si>
    <t xml:space="preserve">S’assurer que des études de satisfaction sont réalisées auprès
des utilisateurs</t>
  </si>
  <si>
    <t xml:space="preserve">Fréquence des enquêtes de satisfaction (après chaque ticket et/ou périodiquement)</t>
  </si>
  <si>
    <t xml:space="preserve">Des enquêtes de satisfaction sont-elles réalisées au moins une fois par trimestre ?</t>
  </si>
  <si>
    <t xml:space="preserve">Capture d'écran de la configuration de l'outil de ticketing ou de l'outil d'enquête montrant la règle de déclenchement (ex: "après fermeture ticket", "mensuelle").</t>
  </si>
  <si>
    <t xml:space="preserve">Feedback inutilisable si les enquêtes ne sont pas régulières.</t>
  </si>
  <si>
    <t xml:space="preserve">Absence de retour utilisateur régulier, empêchant l’amélioration continue du service.</t>
  </si>
  <si>
    <t xml:space="preserve">Alignement des actions d’amélioration avec les attentes des utilisateurs grâce à des questions pertinentes et ciblées.</t>
  </si>
  <si>
    <t xml:space="preserve">Planning ou calendrier des campagnes d'enquêtes périodiques (si applicable) OU un rapport montrant le volume d'enquêtes envoyées par rapport aux tickets fermés.</t>
  </si>
  <si>
    <t xml:space="preserve">Taux de participation aux enquêtes de satisfaction</t>
  </si>
  <si>
    <t xml:space="preserve">Le taux de participation aux enquêtes de satisfaction atteint-il au moins 30% ?</t>
  </si>
  <si>
    <t xml:space="preserve">Données biaisées si peu d’utilisateurs répondent.</t>
  </si>
  <si>
    <t xml:space="preserve">Taux de participation faible rendant les résultats peu représentatifs des besoins réels.</t>
  </si>
  <si>
    <t xml:space="preserve">Suivi structuré des résultats et pilotage efficace des actions correctives grâce à un processus d’analyse dédié.</t>
  </si>
  <si>
    <t xml:space="preserve">Pertinence des questions posées par rapport aux objectifs du service</t>
  </si>
  <si>
    <t xml:space="preserve">Les questions posées dans les enquêtes sont-elles alignées avec les objectifs de service du helpdesk ?</t>
  </si>
  <si>
    <t xml:space="preserve">Le questionnaire d'enquête de satisfaction utilisé.</t>
  </si>
  <si>
    <t xml:space="preserve">Mesure inefficace de la satisfaction si les questions sont mal formulées.</t>
  </si>
  <si>
    <t xml:space="preserve">Feedback non pertinent ou difficile à exploiter pour identifier les axes d’amélioration.</t>
  </si>
  <si>
    <t xml:space="preserve">Amélioration continue de la qualité du service support grâce à la mise en œuvre d’actions concrètes issues des retours utilisateurs.</t>
  </si>
  <si>
    <t xml:space="preserve">Document décrivant les objectifs du service support (SLA, objectifs qualité) permettant de mettre en regard les questions posées.</t>
  </si>
  <si>
    <t xml:space="preserve">Existence d'un processus d'analyse et de suivi des résultats</t>
  </si>
  <si>
    <t xml:space="preserve">Un processus d'analyse et de suivi des résultats des enquêtes de satisfaction est-il en place ?</t>
  </si>
  <si>
    <t xml:space="preserve">Procédure documentée décrivant comment les résultats des enquêtes sont collectés, analysés et par qui.</t>
  </si>
  <si>
    <t xml:space="preserve">Décisions non fondées sans analyse structurée des résultats.</t>
  </si>
  <si>
    <t xml:space="preserve">Décalage entre les enquêtes menées et les actions correctives effectivement engagées.</t>
  </si>
  <si>
    <t xml:space="preserve">Compte-rendu des réunions d'analyse des résultats des enquêtes OU rapports d'analyse synthétisant les retours et tendances.</t>
  </si>
  <si>
    <t xml:space="preserve">Mise en place d'actions d'amélioration basées sur les retours utilisateurs</t>
  </si>
  <si>
    <t xml:space="preserve">Des actions d'amélioration basées sur les retours utilisateurs sont-elles formellement mises en place ?</t>
  </si>
  <si>
    <t xml:space="preserve">Plan d'actions d'amélioration continue issu de l'analyse des enquêtes de satisfaction.</t>
  </si>
  <si>
    <t xml:space="preserve">Aucune amélioration si les retours utilisateurs ne sont pas exploités.</t>
  </si>
  <si>
    <t xml:space="preserve">Risque de stagnation du service si les retours clients ne sont pas exploités pour faire évoluer les pratiques.</t>
  </si>
  <si>
    <t xml:space="preserve">Preuves de la mise en œuvre des actions (ex: communication sur les changements, mise à jour de procédure, compte-rendu de formation spécifique).</t>
  </si>
  <si>
    <t xml:space="preserve">S’assurer qu’il existe une évaluation de l’équipe HD, notamment
pour les prestataires afin d’en évaluer le niveau de connaissance</t>
  </si>
  <si>
    <t xml:space="preserve">Existence d'une grille d'évaluation des compétences techniques et relationnelles</t>
  </si>
  <si>
    <t xml:space="preserve">Une grille d'évaluation des compétences techniques et relationnelles de l'équipe helpdesk est-elle formalisée ?</t>
  </si>
  <si>
    <t xml:space="preserve">Grille d'évaluation des compétences utilisée lors des entretiens individuels ou des écoutes qualité.</t>
  </si>
  <si>
    <t xml:space="preserve">Évolution des compétences non maîtrisée sans grille d’évaluation.</t>
  </si>
  <si>
    <t xml:space="preserve">Inadéquation entre les compétences requises et celles réellement évaluées.</t>
  </si>
  <si>
    <t xml:space="preserve">Référentiel de compétences du service support ou fiches de poste détaillant les compétences attendues.</t>
  </si>
  <si>
    <t xml:space="preserve">Fréquence des évaluations individuelles et collectives</t>
  </si>
  <si>
    <t xml:space="preserve">Des évaluations individuelles et collectives sont-elles réalisées au moins une fois par an ?</t>
  </si>
  <si>
    <t xml:space="preserve">Planning des entretiens annuels d'évaluation OU des sessions d'évaluation collective.</t>
  </si>
  <si>
    <t xml:space="preserve">Perte de visibilité sur les performances sans évaluations récurrentes.</t>
  </si>
  <si>
    <t xml:space="preserve">Évaluations trop espacées ou irrégulières, limitant leur impact sur le pilotage RH.</t>
  </si>
  <si>
    <t xml:space="preserve">Exemples de comptes-rendus d'évaluation datés pour différents membres de l'équipe.</t>
  </si>
  <si>
    <t xml:space="preserve">Intégration de KPIs de performance dans les contrats de prestation</t>
  </si>
  <si>
    <t xml:space="preserve">Des KPIs de performance sont-ils intégrés dans les contrats de prestation des équipes externes ?</t>
  </si>
  <si>
    <t xml:space="preserve">Contrat de prestation de service avec le fournisseur externe.</t>
  </si>
  <si>
    <t xml:space="preserve">Manque de pilotage qualité sans intégration des KPIs.</t>
  </si>
  <si>
    <t xml:space="preserve">Difficulté à objectiver les résultats contractuels si les KPIs ne sont pas intégrés dans les prestations.</t>
  </si>
  <si>
    <t xml:space="preserve">Annexe au contrat détaillant les indicateurs clés de performance (KPIs) et les niveaux de service attendus (SLAs).</t>
  </si>
  <si>
    <t xml:space="preserve">Mise en place de tests de connaissance réguliers</t>
  </si>
  <si>
    <t xml:space="preserve">Des tests de connaissance sont-ils organisés régulièrement pour les agents du helpdesk ?</t>
  </si>
  <si>
    <t xml:space="preserve">Exemples de questionnaires ou tests de connaissance utilisés.</t>
  </si>
  <si>
    <t xml:space="preserve">Compétences non actualisées sans contrôle de connaissances.</t>
  </si>
  <si>
    <t xml:space="preserve">Baisse du niveau global des connaissances si aucun contrôle n’est effectué régulièrement.</t>
  </si>
  <si>
    <t xml:space="preserve">Planning des sessions de tests OU rapports de résultats agrégés des tests.</t>
  </si>
  <si>
    <t xml:space="preserve">Suivi des plans de développement individuels suite aux évaluations</t>
  </si>
  <si>
    <t xml:space="preserve">Un suivi des plans de développement individuels suite aux évaluations est-il assuré ?</t>
  </si>
  <si>
    <t xml:space="preserve">Exemples de plans de développement individuels (PDI) formalisés suite aux évaluations.</t>
  </si>
  <si>
    <t xml:space="preserve">Plans de formation non adaptés si non suivis individuellement.</t>
  </si>
  <si>
    <t xml:space="preserve">Aucune visibilité sur les progrès individuels ou collectifs, empêchant une gestion proactive des compétences.</t>
  </si>
  <si>
    <t xml:space="preserve">Compte-rendu de points de suivi sur l'avancement des PDI entre le manager et l'employé.</t>
  </si>
  <si>
    <t xml:space="preserve">S’assurer que l’obtention des certifications (ITIL, ISO, COBIT,
SIGMA) est encouragée au sein de la DSI, et du HD en particulier</t>
  </si>
  <si>
    <t xml:space="preserve">Pourcentage du personnel certifié par type de certification</t>
  </si>
  <si>
    <t xml:space="preserve">Au moins 50% du personnel concerné est-il certifié selon les standards requis (ITIL, etc.) ?</t>
  </si>
  <si>
    <t xml:space="preserve">Tableau de suivi des certifications détenues par les membres de l'équipe (avec dates de validité).</t>
  </si>
  <si>
    <t xml:space="preserve">Faible légitimité technique sans personnel certifié.</t>
  </si>
  <si>
    <t xml:space="preserve">Manque de légitimité du personnel en cas de non-certification dans les domaines critiques.</t>
  </si>
  <si>
    <t xml:space="preserve">Rapport RH ou tableau de bord indiquant le pourcentage de certifiés par rapport à l'effectif total ou cible.</t>
  </si>
  <si>
    <t xml:space="preserve">Existence d'un budget de formation dédié aux certifications</t>
  </si>
  <si>
    <t xml:space="preserve">Un budget de formation dédié aux certifications est-il alloué annuellement ?</t>
  </si>
  <si>
    <t xml:space="preserve">Budget prévisionnel ou réalisé du service support, avec une ligne spécifique pour les formations et certifications.</t>
  </si>
  <si>
    <t xml:space="preserve">Formation insuffisante si le budget est inexistant ou mal alloué.</t>
  </si>
  <si>
    <t xml:space="preserve">Impossibilité de planifier les certifications sans budget, freinant la montée en compétence.</t>
  </si>
  <si>
    <t xml:space="preserve">Politique de formation de l'entreprise mentionnant le financement des certifications.</t>
  </si>
  <si>
    <t xml:space="preserve">Mise en place d'incitations à l'obtention de certifications (primes, évolution de carrière)</t>
  </si>
  <si>
    <t xml:space="preserve">Des incitations à l'obtention de certifications (primes, évolution de carrière) sont-elles mises en place ?</t>
  </si>
  <si>
    <t xml:space="preserve">Politique RH ou accord d'entreprise décrivant les avantages liés à l'obtention de certifications.</t>
  </si>
  <si>
    <t xml:space="preserve">Faible motivation à se certifier sans reconnaissance concrète.</t>
  </si>
  <si>
    <t xml:space="preserve">Faible motivation à se certifier sans reconnaissance concrète ou bénéfice individuel.</t>
  </si>
  <si>
    <t xml:space="preserve">Communication interne présentant ces incitations.</t>
  </si>
  <si>
    <t xml:space="preserve">Intégration des certifications dans les profils de postes</t>
  </si>
  <si>
    <t xml:space="preserve">Les certifications sont-elles intégrées dans les descriptions des profils de postes ?</t>
  </si>
  <si>
    <t xml:space="preserve">Fiches de poste pour les différentes fonctions du service support mentionnant les certifications requises ou souhaitées.</t>
  </si>
  <si>
    <t xml:space="preserve">Mauvais recrutement ou évaluation sans exigence de certification.</t>
  </si>
  <si>
    <t xml:space="preserve">Incohérence entre les compétences attendues et les exigences formalisées dans les fiches de poste.</t>
  </si>
  <si>
    <t xml:space="preserve">Grille de compétences ou matrice de polyvalence incluant les certifications.</t>
  </si>
  <si>
    <t xml:space="preserve">Plan de formation pluriannuel incluant les parcours de certification</t>
  </si>
  <si>
    <t xml:space="preserve">Un plan de formation pluriannuel incluant les parcours de certification est-il établi ?</t>
  </si>
  <si>
    <t xml:space="preserve">Plan de formation à moyen/long terme (2-3 ans) du service ou de l'entreprise.</t>
  </si>
  <si>
    <t xml:space="preserve">Formations inadaptées si non inscrites dans une vision pluriannuelle.</t>
  </si>
  <si>
    <t xml:space="preserve">Absence de vision long terme sur les compétences à développer, limitant la stratégie RH.</t>
  </si>
  <si>
    <t xml:space="preserve">Catalogue des formations proposées incluant les parcours menant aux certifications cibles.</t>
  </si>
  <si>
    <t xml:space="preserve">Vérifier la stratégie de formation des utilisateurs et de l’équipe
Helpdesk</t>
  </si>
  <si>
    <t xml:space="preserve">Existence d'un plan de formation formalisé et budgétisé</t>
  </si>
  <si>
    <t xml:space="preserve">Un plan de formation formalisé et budgétisé pour l'équipe helpdesk existe-t-il ?</t>
  </si>
  <si>
    <t xml:space="preserve">Dérive budgétaire ou formation incomplète sans plan structuré.</t>
  </si>
  <si>
    <t xml:space="preserve">Absence de traçabilité ou de priorisation dans les actions de formation.</t>
  </si>
  <si>
    <t xml:space="preserve">Diversité des méthodes de formation proposées (présentiel, e-learning, tutoriels)</t>
  </si>
  <si>
    <t xml:space="preserve">Les méthodes de formation proposées sont-elles diversifiées (présentiel, e-learning, tutoriels) ?</t>
  </si>
  <si>
    <t xml:space="preserve">Catalogue de formation présentant les différentes modalités pédagogiques.</t>
  </si>
  <si>
    <t xml:space="preserve">Manque de diversité pédagogique limitant l’efficacité de la formation.</t>
  </si>
  <si>
    <t xml:space="preserve">Inadaptation aux préférences et contraintes des apprenants, diminuant l’efficacité pédagogique.</t>
  </si>
  <si>
    <t xml:space="preserve">Accès aux plateformes e-learning ou aux ressources de tutoriels internes/externes.</t>
  </si>
  <si>
    <t xml:space="preserve">Fréquence des sessions de formation par public cible</t>
  </si>
  <si>
    <t xml:space="preserve">Des sessions de formation par public cible sont-elles organisées au moins deux fois par an ?</t>
  </si>
  <si>
    <t xml:space="preserve">Planning annuel des sessions de formation prévues.</t>
  </si>
  <si>
    <t xml:space="preserve">Inégalité d’accès à la formation si les sessions sont mal réparties.</t>
  </si>
  <si>
    <t xml:space="preserve">Publics mal ciblés ou oubliés, créant des disparités de montée en compétence.</t>
  </si>
  <si>
    <t xml:space="preserve">Historique des formations réalisées (listes d'émargement, rapports de formation).</t>
  </si>
  <si>
    <t xml:space="preserve">Évaluation de l'efficacité des formations dispensées</t>
  </si>
  <si>
    <t xml:space="preserve">L'efficacité des formations dispensées est-elle évaluée systématiquement ?</t>
  </si>
  <si>
    <t xml:space="preserve">Formulaires d'évaluation à chaud (satisfaction immédiate) remplis par les participants.</t>
  </si>
  <si>
    <t xml:space="preserve">Impact limité des formations sans évaluation de leur efficacité.</t>
  </si>
  <si>
    <t xml:space="preserve">Efforts de formation peu mesurables, rendant difficile le retour sur investissement.</t>
  </si>
  <si>
    <t xml:space="preserve">Méthodologie et résultats des évaluations à froid (mesure de l'application des acquis en situation de travail) OU bilans post-formation avec les managers.</t>
  </si>
  <si>
    <t xml:space="preserve">Adaptation des formations aux évolutions technologiques et organisationnelles</t>
  </si>
  <si>
    <t xml:space="preserve">Les formations sont-elles adaptées en fonction des évolutions technologiques et organisationnelles ?</t>
  </si>
  <si>
    <t xml:space="preserve">Compte-rendu des réunions de revue du plan de formation OU analyse des besoins en formation.</t>
  </si>
  <si>
    <t xml:space="preserve">Décalage des compétences si les formations ne suivent pas l’évolution des besoins.</t>
  </si>
  <si>
    <t xml:space="preserve">Décalage entre les compétences acquises et les besoins réels du terrain ou des nouveaux outils.</t>
  </si>
  <si>
    <t xml:space="preserve">Procédure de mise à jour du catalogue ou du plan de formation en fonction des veilles technologiques ou changements organisationnels.</t>
  </si>
  <si>
    <t xml:space="preserve">Des formulaires structurés avec champs pré-définis sont-ils disponibles pour les utilisateurs ? (Ce critère semble être un doublon du critère 4)</t>
  </si>
  <si>
    <t xml:space="preserve">Capture d'écran de l'interface de création de ticket dans l'outil ITSM montrant les champs obligatoires/prédéfinis.</t>
  </si>
  <si>
    <t xml:space="preserve">Risque de saisie d’incidents incohérente ou incomplète, ce qui peut compliquer leur traitement et leur résolution.</t>
  </si>
  <si>
    <t xml:space="preserve">Documentation de configuration de l'outil ITSM décrivant les formulaires de ticket.</t>
  </si>
  <si>
    <t xml:space="preserve">Des menus déroulants pour les typologies communes d'incidents sont-ils proposés dans l'interface ? (Ce critère semble être un doublon du critère 5)</t>
  </si>
  <si>
    <t xml:space="preserve">Capture d'écran de l'interface de création de ticket montrant les menus déroulants pour la catégorisation (ex: type, catégorie, sous-catégorie).</t>
  </si>
  <si>
    <t xml:space="preserve">Risque de confusion ou d’erreur lors de la classification des incidents, impactant la priorisation et la gestion.</t>
  </si>
  <si>
    <t xml:space="preserve">Référentiel de catégorisation des incidents/demandes utilisé dans l'outil.</t>
  </si>
  <si>
    <t xml:space="preserve">Une fonction d'auto-complétion basée sur des mots-clés est-elle implémentée ? (Ce critère semble être un doublon du critère 6)</t>
  </si>
  <si>
    <t xml:space="preserve">Capture d'écran ou vidéo montrant la fonction d'auto-complétion en action lors de la saisie d'un ticket.</t>
  </si>
  <si>
    <t xml:space="preserve">Risque de perte de temps et d’erreurs dans la saisie des incidents en raison de formulaires peu structurés ou mal conçus.</t>
  </si>
  <si>
    <t xml:space="preserve">Documentation de l'outil ITSM décrivant cette fonctionnalité (si disponible).</t>
  </si>
  <si>
    <t xml:space="preserve">Des bulles d'aide contextuelle sont-elles intégrées dans l'interface de saisie ? (Ce critère semble être un doublon du critère 7)</t>
  </si>
  <si>
    <t xml:space="preserve">Capture d'écran de l'interface de saisie montrant une bulle d'aide sur un champ spécifique.</t>
  </si>
  <si>
    <t xml:space="preserve">Risque d’erreurs ou d’oubli dans la documentation des incidents, limitant la traçabilité et l’analyse ultérieure.</t>
  </si>
  <si>
    <t xml:space="preserve">Documentation utilisateur de l'outil ITSM mentionnant l'aide contextuelle.</t>
  </si>
  <si>
    <t xml:space="preserve">Un guide de saisie est-il accessible directement depuis l'interface de ticketing ? (Ce critère semble être un doublon du critère 8)</t>
  </si>
  <si>
    <t xml:space="preserve">Le guide de saisie des tickets (document PDF, page Wiki, etc.).</t>
  </si>
  <si>
    <t xml:space="preserve">Risque de mauvaise utilisation des menus déroulants ou de la fonction d’auto-complétion, entraînant des incohérences dans la base de données.</t>
  </si>
  <si>
    <t xml:space="preserve">Capture d'écran de l'outil ITSM montrant le lien ou bouton permettant d'accéder à ce guide.</t>
  </si>
  <si>
    <t xml:space="preserve">Des contrôles qualité sur les tickets sont-ils effectués régulièrement ? (Ce critère semble être un doublon du critère 9)</t>
  </si>
  <si>
    <t xml:space="preserve">Faible détection des erreurs récurrentes si les contrôles qualité sont rares.</t>
  </si>
  <si>
    <t xml:space="preserve">Risque d’informations inexactes ou incomplètes dans les tickets, affectant la qualité du support.</t>
  </si>
  <si>
    <t xml:space="preserve">Une grille d'évaluation de la qualité des tickets est-elle établie ? (Ce critère semble être un doublon du critère 10)</t>
  </si>
  <si>
    <t xml:space="preserve">La grille d'évaluation utilisée pour le contrôle qualité des tickets.</t>
  </si>
  <si>
    <t xml:space="preserve">Absence de critères objectifs d’évaluation sans grille dédiée.</t>
  </si>
  <si>
    <t xml:space="preserve">Risque de dégradation de la qualité des tickets en cas de contrôles qualité insuffisants ou trop rares.</t>
  </si>
  <si>
    <t xml:space="preserve">Référentiel qualité ou guide des bonnes pratiques de saisie des tickets.</t>
  </si>
  <si>
    <t xml:space="preserve">Au moins 15% des tickets font-ils l'objet d'une revue qualité ? (Ce critère est similaire au critère 11)</t>
  </si>
  <si>
    <t xml:space="preserve">Rapports de contrôle qualité indiquant le nombre de tickets revus et le volume total traité sur une période donnée.</t>
  </si>
  <si>
    <t xml:space="preserve">Surévaluation ou sous-évaluation de la qualité si peu de tickets sont revus.</t>
  </si>
  <si>
    <t xml:space="preserve">Risque d’évaluation biaisée de la qualité des tickets si la grille d’évaluation n’est pas adaptée ou mal appliquée.</t>
  </si>
  <si>
    <t xml:space="preserve">Tableau de bord des KPIs qualité incluant ce pourcentage.</t>
  </si>
  <si>
    <t xml:space="preserve">Des sessions de feedback pour les opérateurs sont-elles programmées après les contrôles qualité ? (Ce critère est similaire au critère 12)</t>
  </si>
  <si>
    <t xml:space="preserve">Planning des sessions de feedback individuelles ou collectives suite aux contrôles qualité.</t>
  </si>
  <si>
    <t xml:space="preserve">Manque d’amélioration continue sans retours réguliers aux opérateurs.</t>
  </si>
  <si>
    <t xml:space="preserve">Risque d’un faible pourcentage de tickets revus, limitant la capacité à détecter et corriger les erreurs ou incohérences.</t>
  </si>
  <si>
    <t xml:space="preserve">Exemples de supports de feedback utilisés ou de comptes-rendus anonymisés.</t>
  </si>
  <si>
    <t xml:space="preserve">Un système de suivi des actions d'amélioration suite aux revues qualité est-il en place ?</t>
  </si>
  <si>
    <t xml:space="preserve">Plan d'actions issu des revues qualité (formation, coaching, mise à jour de procédure).</t>
  </si>
  <si>
    <t xml:space="preserve">Effets limités des revues qualité si les améliorations ne sont pas suivies.</t>
  </si>
  <si>
    <t xml:space="preserve">Risque d’absence de suivi des actions d’amélioration suite aux revues qualité, entraînant une stagnation de la qualité.</t>
  </si>
  <si>
    <t xml:space="preserve">Tableau de suivi des indicateurs qualité montrant l'évolution suite aux actions entreprises.</t>
  </si>
  <si>
    <t xml:space="preserve">Existe-t-il un référentiel centralisé et structuré des solutions techniques ?</t>
  </si>
  <si>
    <t xml:space="preserve">Accès à la base de connaissances pour en vérifier la structure et l'organisation.</t>
  </si>
  <si>
    <t xml:space="preserve">Perte de temps ou inefficacité sans référentiel de solutions structuré.</t>
  </si>
  <si>
    <t xml:space="preserve">Risque de base de solutions non centralisée ou peu structurée, rendant la recherche et la réutilisation difficiles.</t>
  </si>
  <si>
    <t xml:space="preserve">Documentation décrivant l'architecture et la taxonomie de la base de connaissances.</t>
  </si>
  <si>
    <t xml:space="preserve">La base de connaissances est-elle accessible à tous les techniciens du helpdesk et, le cas échéant, aux utilisateurs ?</t>
  </si>
  <si>
    <t xml:space="preserve">Matrice des droits d'accès à la base de connaissances par profil (technicien, utilisateur).</t>
  </si>
  <si>
    <t xml:space="preserve">Résolution lente si la base n’est pas facilement accessible.</t>
  </si>
  <si>
    <t xml:space="preserve">Risque d’accès limité ou peu sécurisé à la base de connaissances, compromettant la confidentialité ou la disponibilité.</t>
  </si>
  <si>
    <t xml:space="preserve">Capture d'écran montrant l'interface d'accès pour un technicien et (si applicable) pour un utilisateur final.</t>
  </si>
  <si>
    <t xml:space="preserve">Au moins 75% des solutions sont-elles documentées par rapport au périmètre fonctionnel supporté ?</t>
  </si>
  <si>
    <t xml:space="preserve">Statistiques extraites de la base de connaissances (nombre d'articles par catégorie).</t>
  </si>
  <si>
    <t xml:space="preserve">Couverture fonctionnelle insuffisante si le contenu est trop limité.</t>
  </si>
  <si>
    <t xml:space="preserve">Risque d’un volume insuffisant de solutions documentées, limitant l’efficacité lors de la résolution d’incidents récurrents.</t>
  </si>
  <si>
    <t xml:space="preserve">Cartographie du périmètre fonctionnel supporté permettant d'évaluer la couverture de la base.</t>
  </si>
  <si>
    <t xml:space="preserve">La base de connaissances est-elle équipée d'un moteur de recherche performant ?</t>
  </si>
  <si>
    <t xml:space="preserve">Test en direct du moteur de recherche avec différents mots-clés pertinents.</t>
  </si>
  <si>
    <t xml:space="preserve">Difficulté à exploiter la base sans moteur de recherche performant.</t>
  </si>
  <si>
    <t xml:space="preserve">Risque d’un moteur de recherche inefficace, rendant la recherche d’informations fastidieuse ou infructueuse.</t>
  </si>
  <si>
    <t xml:space="preserve">Documentation technique du moteur de recherche (si disponible) ou statistiques sur l'utilisation de la recherche.</t>
  </si>
  <si>
    <t xml:space="preserve">Le taux d'utilisation de la base de connaissances lors de la résolution des incidents est-il mesuré régulièrement ?</t>
  </si>
  <si>
    <t xml:space="preserve">Rapports de l'outil ITSM indiquant si un article de la base a été lié/utilisé pour la résolution d'un ticket.</t>
  </si>
  <si>
    <t xml:space="preserve">Non-utilisation de la base, rendant sa maintenance inutile.</t>
  </si>
  <si>
    <t xml:space="preserve">Risque de faible taux d’utilisation de la base de connaissances, diminuant la valeur ajoutée de l’outil.</t>
  </si>
  <si>
    <t xml:space="preserve">Statistiques d'accès et de consultation de la base de connaissances.</t>
  </si>
  <si>
    <t xml:space="preserve">Un processus documenté de création et de mise à jour des articles de la base de connaissances existe-t-il ?</t>
  </si>
  <si>
    <t xml:space="preserve">Procédure formalisée décrivant le cycle de vie d'un article de connaissance (création, validation, publication, mise à jour, archivage).</t>
  </si>
  <si>
    <t xml:space="preserve">Articles obsolètes ou incohérents sans processus de mise à jour clair.</t>
  </si>
  <si>
    <t xml:space="preserve">Risque de mauvaise documentation ou mise à jour des articles, impactant la pertinence des solutions proposées.</t>
  </si>
  <si>
    <t xml:space="preserve">Guide de rédaction ou charte éditoriale pour les contributeurs de la base.</t>
  </si>
  <si>
    <t xml:space="preserve">Un workflow de validation des nouveaux articles avant publication est-il implémenté ?</t>
  </si>
  <si>
    <t xml:space="preserve">Capture d'écran de l'outil de gestion de la base montrant le workflow de validation configuré.</t>
  </si>
  <si>
    <t xml:space="preserve">Contenu erroné publié sans validation préalable.</t>
  </si>
  <si>
    <t xml:space="preserve">Risque d’absence de workflow de validation pour les nouveaux articles, pouvant introduire des erreurs ou incohérences.</t>
  </si>
  <si>
    <t xml:space="preserve">Procédure décrivant les étapes de validation et les rôles associés (ex: relecteur technique, valideur).</t>
  </si>
  <si>
    <t xml:space="preserve">Des revues de pertinence du contenu de la base de connaissances sont-elles réalisées au moins trimestriellement ?</t>
  </si>
  <si>
    <t xml:space="preserve">Planning des revues périodiques des articles de la base de connaissances.</t>
  </si>
  <si>
    <t xml:space="preserve">Base non fiable sans revue régulière du contenu.</t>
  </si>
  <si>
    <t xml:space="preserve">Risque de revue de contenu peu fréquente ou inexistante, laissant des informations obsolètes ou inexactes.</t>
  </si>
  <si>
    <t xml:space="preserve">Procédure de revue et d'archivage du contenu obsolète (mentionnant la fréquence).</t>
  </si>
  <si>
    <t xml:space="preserve">Des responsables sont-ils désignés par domaine technique pour assurer la qualité du contenu de la base de connaissances ?</t>
  </si>
  <si>
    <t xml:space="preserve">Matrice des responsabilités (RACI) pour la gestion de la base de connaissances par domaine/catégorie.</t>
  </si>
  <si>
    <t xml:space="preserve">Faible qualité documentaire sans responsables désignés.</t>
  </si>
  <si>
    <t xml:space="preserve">Risque de responsabilité mal attribuée pour la gestion et la mise à jour du contenu, affectant la qualité globale.</t>
  </si>
  <si>
    <t xml:space="preserve">Annuaire ou liste des "Knowledge Owners" et de leurs périmètres respectifs.</t>
  </si>
  <si>
    <t xml:space="preserve">Des métriques sur les délais de mise à jour de la base de connaissances après identification de nouvelles solutions sont-elles suivies ?</t>
  </si>
  <si>
    <t xml:space="preserve">Mises à jour trop lentes en cas de nouvelles solutions non suivies.</t>
  </si>
  <si>
    <t xml:space="preserve">Risque d’un délai trop long pour la mise à jour des solutions après identification de nouvelles problématiques, affectant la réactivité.</t>
  </si>
  <si>
    <t xml:space="preserve">Un système d'enregistrement des appels téléphoniques au helpdesk est-il déployé ?</t>
  </si>
  <si>
    <t xml:space="preserve">Manque de traçabilité et formation sans enregistrement des appels.</t>
  </si>
  <si>
    <t xml:space="preserve">Risque d’insuffisance d’enregistrement des appels téléphoniques, limitant la traçabilité et la qualité du support téléphonique.</t>
  </si>
  <si>
    <t xml:space="preserve">Le système d'enregistrement des appels respecte-t-il les règles de protection des données personnelles ?</t>
  </si>
  <si>
    <t xml:space="preserve">Violation potentielle de la réglementation sur les données personnelles.</t>
  </si>
  <si>
    <t xml:space="preserve">Risque de non-conformité du système d’enregistrement avec les règles de protection des données, exposant à des sanctions légales.</t>
  </si>
  <si>
    <t xml:space="preserve">La durée de conservation des enregistrements d'appels est-elle définie et conforme aux politiques internes ?</t>
  </si>
  <si>
    <t xml:space="preserve">Rétention excessive ou insuffisante si les règles ne sont pas respectées.</t>
  </si>
  <si>
    <t xml:space="preserve">Risque de durée de conservation des enregistrements non conforme, pouvant entraîner la perte d’informations ou non-respect des politiques internes.</t>
  </si>
  <si>
    <t xml:space="preserve">Accès inapproprié aux enregistrements sans procédure définie.</t>
  </si>
  <si>
    <t xml:space="preserve">Risque d’accès non contrôlé aux enregistrements, compromettant la confidentialité ou la sécurité des données.</t>
  </si>
  <si>
    <t xml:space="preserve">Les utilisateurs sont-ils informés préalablement que leurs communications avec le helpdesk peuvent être enregistrées ?</t>
  </si>
  <si>
    <t xml:space="preserve">Risque juridique si l’utilisateur n’est pas informé de l’enregistrement.</t>
  </si>
  <si>
    <t xml:space="preserve">Risque de mauvaise communication ou absence d’information préalable sur l’enregistrement, pouvant nuire à la confiance des utilisateurs.</t>
  </si>
  <si>
    <t xml:space="preserve">Des enquêtes de satisfaction sont-elles réalisées régulièrement (après chaque ticket ou au moins trimestriellement) ?</t>
  </si>
  <si>
    <t xml:space="preserve">Aucune visibilité sur la satisfaction sans enquêtes régulières.</t>
  </si>
  <si>
    <t xml:space="preserve">Risque de faible fréquence d’enquêtes de satisfaction, limitant la capacité à améliorer la qualité du support.</t>
  </si>
  <si>
    <t xml:space="preserve">Le taux de participation aux enquêtes de satisfaction atteint-il au moins 25% ?</t>
  </si>
  <si>
    <t xml:space="preserve">Rapports générés par l'outil d'enquête indiquant le nombre d'enquêtes envoyées et le nombre de réponses reçues sur une période donnée.</t>
  </si>
  <si>
    <t xml:space="preserve">Résultats biaisés si le taux de participation est trop bas.</t>
  </si>
  <si>
    <t xml:space="preserve">Risque de faible taux de participation aux enquêtes, réduisant la représentativité des résultats.</t>
  </si>
  <si>
    <t xml:space="preserve">Tableau de bord (dashboard) de suivi des KPIs incluant le taux de participation aux enquêtes.</t>
  </si>
  <si>
    <t xml:space="preserve">Les questions des enquêtes de satisfaction sont-elles alignées avec les objectifs de service du helpdesk ?</t>
  </si>
  <si>
    <t xml:space="preserve">Amélioration mal ciblée si les questions ne sont pas pertinentes.</t>
  </si>
  <si>
    <t xml:space="preserve">Risque de questions mal adaptées ou peu pertinentes, limitant la valeur des retours.</t>
  </si>
  <si>
    <t xml:space="preserve">Un processus d'analyse et de suivi des résultats des enquêtes de satisfaction est-il formalisé ?</t>
  </si>
  <si>
    <t xml:space="preserve">Décisions inefficaces sans analyse approfondie des résultats.</t>
  </si>
  <si>
    <t xml:space="preserve">Risque d’absence d’un processus d’analyse et de suivi des résultats, empêchant la mise en œuvre d’améliorations concrètes.</t>
  </si>
  <si>
    <t xml:space="preserve">Des actions d'amélioration basées sur les retours des enquêtes de satisfaction sont-elles mises en œuvre ?</t>
  </si>
  <si>
    <t xml:space="preserve">Service stagnant sans prise en compte des retours utilisateurs.</t>
  </si>
  <si>
    <t xml:space="preserve">Risque de non-application des actions d’amélioration suite aux retours utilisateurs, limitant la progression de la qualité.</t>
  </si>
  <si>
    <t xml:space="preserve">Une grille d'évaluation des compétences techniques et relationnelles de l'équipe helpdesk existe-t-elle ?</t>
  </si>
  <si>
    <t xml:space="preserve">Écarts de performance non identifiés sans grille d’évaluation.</t>
  </si>
  <si>
    <t xml:space="preserve">Risque d’une grille d’évaluation des compétences non adaptée ou mal utilisée, impactant la fiabilité des évaluations.</t>
  </si>
  <si>
    <t xml:space="preserve">Des évaluations individuelles et collectives de l'équipe helpdesk sont-elles réalisées au moins annuellement ?</t>
  </si>
  <si>
    <t xml:space="preserve">Évolution des compétences non suivie sans évaluations fréquentes.</t>
  </si>
  <si>
    <t xml:space="preserve">Risque de fréquence d’évaluation insuffisante, empêchant le suivi précis des progrès.</t>
  </si>
  <si>
    <t xml:space="preserve">Des indicateurs de performance clés (KPIs) sont-ils intégrés dans les contrats des prestataires externes ?</t>
  </si>
  <si>
    <t xml:space="preserve">Risque que les KPIs de performance ne soient pas intégrés dans les contrats, limitant leur suivi et leur contrôle.</t>
  </si>
  <si>
    <t xml:space="preserve">Compétences non actualisées sans tests réguliers.</t>
  </si>
  <si>
    <t xml:space="preserve">Risque de tests de connaissance peu fréquents ou mal conçus, réduisant l’efficacité de la formation.</t>
  </si>
  <si>
    <t xml:space="preserve">Développement individuel non ciblé sans suivi structuré.</t>
  </si>
  <si>
    <t xml:space="preserve">Risque de suivi insuffisant des plans de développement, ce qui limite la progression individuelle.</t>
  </si>
  <si>
    <t xml:space="preserve">Au moins 40% du personnel technique est-il certifié selon les standards requis (ITIL, etc.) ?</t>
  </si>
  <si>
    <t xml:space="preserve">Manque de compétences certifiées nuisant à la qualité de service.</t>
  </si>
  <si>
    <t xml:space="preserve">Risque d’un faible pourcentage de personnel certifié, impactant la compétence globale de l’équipe.</t>
  </si>
  <si>
    <t xml:space="preserve">Un budget annuel est-il spécifiquement alloué à la formation et aux certifications ?</t>
  </si>
  <si>
    <t xml:space="preserve">Absence de montée en compétence sans budget alloué.</t>
  </si>
  <si>
    <t xml:space="preserve">Risque d’un budget de formation insuffisant ou mal alloué, limitant l’accès aux certifications.</t>
  </si>
  <si>
    <t xml:space="preserve">Des mécanismes d'incitation à l'obtention de certifications (primes, évolution de carrière) sont-ils en place ?</t>
  </si>
  <si>
    <t xml:space="preserve">Désintérêt pour la certification sans système d’encouragement.</t>
  </si>
  <si>
    <t xml:space="preserve">Risque d’absence d’incitations à la certification, ce qui peut réduire la motivation.</t>
  </si>
  <si>
    <t xml:space="preserve">Les exigences de certification sont-elles formellement intégrées dans les descriptions de postes ?</t>
  </si>
  <si>
    <t xml:space="preserve">Postes mal calibrés si les certifications ne sont pas prises en compte.</t>
  </si>
  <si>
    <t xml:space="preserve">Risque que les certifications ne soient pas intégrées dans les profils de poste, limitant leur valorisation.</t>
  </si>
  <si>
    <t xml:space="preserve">Incohérence dans les parcours de formation sans plan pluriannuel.</t>
  </si>
  <si>
    <t xml:space="preserve">Risque d’un plan de formation non structuré ou non budgété, entraînant un manque de cohérence.</t>
  </si>
  <si>
    <t xml:space="preserve">Plan de formation annuel détaillé (actions, participants, coûts, dates).</t>
  </si>
  <si>
    <t xml:space="preserve">Formation non assurée si aucun plan structuré et financé n’existe.</t>
  </si>
  <si>
    <t xml:space="preserve">Risque d’une offre de formation peu diversifiée, ne répondant pas aux besoins évolutifs.</t>
  </si>
  <si>
    <t xml:space="preserve">Budget de formation approuvé pour l'année en cours.</t>
  </si>
  <si>
    <t xml:space="preserve">Peu d’engagement des apprenants sans diversité pédagogique.</t>
  </si>
  <si>
    <t xml:space="preserve">Risque d’évaluation insuffisante de l’impact des formations, limitant leur amélioration.</t>
  </si>
  <si>
    <t xml:space="preserve">Des sessions de formation sont-elles organisées au moins deux fois par an pour chaque public cible ?</t>
  </si>
  <si>
    <t xml:space="preserve">Formations mal adaptées si les publics ne sont pas ciblés.</t>
  </si>
  <si>
    <t xml:space="preserve">Risque que le processus de déploiement ne soit pas documenté ou pas suivi, entraînant des erreurs ou incohérences.</t>
  </si>
  <si>
    <t xml:space="preserve">L'efficacité des formations dispensées est-elle systématiquement évaluée ?</t>
  </si>
  <si>
    <t xml:space="preserve">Investissement inutile si l’efficacité n’est pas mesurée.</t>
  </si>
  <si>
    <t xml:space="preserve">Risque d’absence d’environnements de test, augmentant le risque de défaillances en production.</t>
  </si>
  <si>
    <t xml:space="preserve">Les programmes de formation sont-ils régulièrement mis à jour en fonction des évolutions technologiques et organisationnelles ?</t>
  </si>
  <si>
    <t xml:space="preserve">Décalage entre compétences et besoins si le contenu n’évolue pas.</t>
  </si>
  <si>
    <t xml:space="preserve">Risque d’absence de critères go/no-go, pouvant entraîner des déploiements précipités ou non maîtrisés.</t>
  </si>
  <si>
    <t xml:space="preserve">Gestion du parc matériel et logiciel : audit fiabilité et sécurité</t>
  </si>
  <si>
    <t xml:space="preserve">Vérifier la procédure de déploiement des mises à jour, d’un
nouveau logiciel</t>
  </si>
  <si>
    <t xml:space="preserve">Existence d'un processus documenté pour les déploiements</t>
  </si>
  <si>
    <t xml:space="preserve">Existe-t-il un processus documenté et approuvé pour le déploiement des mises à jour et des nouveaux logiciels ?</t>
  </si>
  <si>
    <t xml:space="preserve">Déploiement non maîtrisé en l'absence de processus documenté.</t>
  </si>
  <si>
    <t xml:space="preserve">Risque d’une communication insuffisante ou tardive aux utilisateurs, impactant l’adoption.</t>
  </si>
  <si>
    <t xml:space="preserve">Mise en place d'environnements de test préalables aux déploiements en production</t>
  </si>
  <si>
    <t xml:space="preserve">Des environnements de test sont-ils systématiquement utilisés avant les déploiements en production ?</t>
  </si>
  <si>
    <t xml:space="preserve">Risque de bugs majeurs si les tests en amont sont inexistants.</t>
  </si>
  <si>
    <t xml:space="preserve">Risque de procédure de rollback non définie, ce qui peut compliquer la gestion en cas de problème.</t>
  </si>
  <si>
    <t xml:space="preserve">Définition de critères go/no-go avant déploiement généralisé</t>
  </si>
  <si>
    <t xml:space="preserve">Des critères formels de go/no-go sont-ils définis et appliqués avant chaque déploiement généralisé ?</t>
  </si>
  <si>
    <t xml:space="preserve">Modèle de plan de déploiement ou procédure de gestion des changements incluant une section dédiée aux critères Go/No-Go.</t>
  </si>
  <si>
    <t xml:space="preserve">Déploiement hasardeux sans critères de go/no-go.</t>
  </si>
  <si>
    <t xml:space="preserve">Risque d’absence de référentiel centralisé des versions logicielles, rendant difficile le suivi des déploiements.</t>
  </si>
  <si>
    <t xml:space="preserve">Exemple de compte-rendu de réunion Go/No-Go OU validation formalisée (ex: dans l'outil ITSM) des critères pour un déploiement spécifique.</t>
  </si>
  <si>
    <t xml:space="preserve">Planification des déploiements avec communication préalable aux utilisateurs</t>
  </si>
  <si>
    <t xml:space="preserve">Les déploiements sont-ils planifiés et communiqués aux utilisateurs à l'avance ?</t>
  </si>
  <si>
    <t xml:space="preserve">Impact négatif sur les utilisateurs sans communication préalable.</t>
  </si>
  <si>
    <t xml:space="preserve">Risque d’incapacité à identifier rapidement les postes nécessitant des mises à jour, retardant la maintenance.</t>
  </si>
  <si>
    <t xml:space="preserve">Procédure de rollback en cas de problème majeur post-déploiement</t>
  </si>
  <si>
    <t xml:space="preserve">Une procédure de rollback est-elle définie et testée en cas de problème majeur post-déploiement ?</t>
  </si>
  <si>
    <t xml:space="preserve">Procédure de retour arrière (rollback) formalisée et documentée.</t>
  </si>
  <si>
    <t xml:space="preserve">Blocages prolongés si le rollback n’est pas prévu.</t>
  </si>
  <si>
    <t xml:space="preserve">Risque d’automatisation insuffisante des déploiements de sécurité, augmentant les risques d’erreurs humaines.</t>
  </si>
  <si>
    <t xml:space="preserve">Plan de retour arrière spécifique inclus dans le plan de déploiement d'un changement récent OU résultats de tests de la procédure de rollback.</t>
  </si>
  <si>
    <t xml:space="preserve">Vérifier les outils mis en place pour gérer les versions des
Logiciels</t>
  </si>
  <si>
    <t xml:space="preserve">Existence d'un référentiel centralisé des versions logicielles déployées</t>
  </si>
  <si>
    <t xml:space="preserve">Un référentiel centralisé des versions logicielles déployées est-il maintenu à jour ?</t>
  </si>
  <si>
    <t xml:space="preserve">Accès ou export de l'outil d'inventaire logiciel / CMDB montrant les applications et leurs versions installées sur le parc.</t>
  </si>
  <si>
    <t xml:space="preserve">Confusion ou erreurs si les versions logicielles ne sont pas centralisées.</t>
  </si>
  <si>
    <t xml:space="preserve">Risque de compatibilité non vérifiée entre versions, pouvant provoquer des dysfonctionnements.</t>
  </si>
  <si>
    <t xml:space="preserve">Rapport de conformité logicielle ou d'inventaire généré depuis l'outil centralisé.</t>
  </si>
  <si>
    <t xml:space="preserve">Capacité à identifier les postes nécessitant des mises à jour</t>
  </si>
  <si>
    <t xml:space="preserve">L'organisation dispose-t-elle d'un mécanisme permettant d'identifier les postes nécessitant des mises à jour ?</t>
  </si>
  <si>
    <t xml:space="preserve">Rapport issu de l'outil de gestion des mises à jour (ex: WSUS, SCCM, Intune) listant les postes non conformes ou en attente de correctifs spécifiques.</t>
  </si>
  <si>
    <t xml:space="preserve">Retard ou oubli de mises à jour sur certains postes.</t>
  </si>
  <si>
    <t xml:space="preserve">Risque de manque de traçabilité des opérations de mise à jour, limitant la conformité et la gestion des incidents.</t>
  </si>
  <si>
    <t xml:space="preserve">Tableau de bord de conformité des mises à jour (patch compliance dashboard).</t>
  </si>
  <si>
    <t xml:space="preserve">Automatisation du déploiement des mises à jour de sécurité</t>
  </si>
  <si>
    <t xml:space="preserve">Le déploiement des mises à jour de sécurité est-il automatisé ?</t>
  </si>
  <si>
    <t xml:space="preserve">Capture d'écran de la configuration des règles de déploiement automatique (ADR) ou des politiques de mise à jour dans l'outil de gestion.</t>
  </si>
  <si>
    <t xml:space="preserve">Faille de sécurité si le déploiement n’est pas automatisé.</t>
  </si>
  <si>
    <t xml:space="preserve">Risque de propagation rapide de vulnérabilités si l’automatisation des mises à jour de sécurité n’est pas correctement contrôlée, pouvant entraîner des attaques internes.</t>
  </si>
  <si>
    <t xml:space="preserve">Rapports de déploiement ou logs montrant l'exécution et le statut des déploiements automatisés de correctifs de sécurité.</t>
  </si>
  <si>
    <t xml:space="preserve">Système de validation des compatibilités entre versions logicielles</t>
  </si>
  <si>
    <t xml:space="preserve">Existe-t-il un système de validation des compatibilités entre les différentes versions logicielles ?</t>
  </si>
  <si>
    <t xml:space="preserve">Procédure de tests de non-régression ou de validation de compatibilité avant déploiement.</t>
  </si>
  <si>
    <t xml:space="preserve">Incompatibilités logicielles en production sans validation préalable.</t>
  </si>
  <si>
    <t xml:space="preserve">Risque d’incompatibilités ou de conflits entre versions logicielles non détectés, provoquant des dysfonctionnements ou interruptions de service.</t>
  </si>
  <si>
    <t xml:space="preserve">Matrice de compatibilité logicielle maintenue OU rapports de tests de compatibilité effectués pour des déploiements récents.</t>
  </si>
  <si>
    <t xml:space="preserve">Traçabilité des opérations de mise à jour dans les outils de gestion</t>
  </si>
  <si>
    <t xml:space="preserve">Les opérations de mise à jour sont-elles tracées dans les outils de gestion ?</t>
  </si>
  <si>
    <t xml:space="preserve">Journaux d'audit (audit logs) de l'outil de déploiement montrant les actions effectuées, par qui et quand.</t>
  </si>
  <si>
    <t xml:space="preserve">Absence de traçabilité des mises à jour effectuées.</t>
  </si>
  <si>
    <t xml:space="preserve">Risque de perte de traçabilité des opérations de mise à jour, compliquant les audits et la gestion des incidents.</t>
  </si>
  <si>
    <t xml:space="preserve">Historique des déploiements sur un poste de travail spécifique, extrait de l'outil de gestion.</t>
  </si>
  <si>
    <t xml:space="preserve">Vérifier les outils mis en place pour gérer le matériel
Informatique</t>
  </si>
  <si>
    <t xml:space="preserve">Existence d'un outil de gestion des actifs informatiques (CMDB)</t>
  </si>
  <si>
    <t xml:space="preserve">Un outil de gestion des actifs informatiques (CMDB) est-il implémenté ?</t>
  </si>
  <si>
    <t xml:space="preserve">Documentation fonctionnelle ou présentation de l'outil CMDB utilisé.</t>
  </si>
  <si>
    <t xml:space="preserve">Parc non maîtrisé sans outil de gestion des actifs.</t>
  </si>
  <si>
    <t xml:space="preserve">Risque d’inventaire incomplet ou obsolète des actifs informatiques, limitant la visibilité sur le parc et la gestion efficace.</t>
  </si>
  <si>
    <t xml:space="preserve">Accès en lecture à la CMDB ou captures d'écran illustrant sa structure et le type d'informations gérées (CI, relations).</t>
  </si>
  <si>
    <t xml:space="preserve">Capacité à suivre le cycle de vie complet du matériel (achat, déploiement, maintenance, fin de vie)</t>
  </si>
  <si>
    <t xml:space="preserve">L'outil permet-il de suivre le cycle de vie complet du matériel (achat, déploiement, maintenance, fin de vie) ?</t>
  </si>
  <si>
    <t xml:space="preserve">Politique ou procédure de gestion du cycle de vie des actifs matériels.</t>
  </si>
  <si>
    <t xml:space="preserve">Perte de visibilité sur l’évolution du matériel.</t>
  </si>
  <si>
    <t xml:space="preserve">Risque de suivi insuffisant du cycle de vie du matériel, entraînant des coûts inutiles ou des risques de panne non anticipés.</t>
  </si>
  <si>
    <t xml:space="preserve">Exemples d'enregistrements d'actifs dans la CMDB/outil d'inventaire montrant les différents statuts (en stock, déployé, en réparation, retiré) et dates associées.</t>
  </si>
  <si>
    <t xml:space="preserve">Intégration de la gestion des actifs avec les processus d'inventaire financier</t>
  </si>
  <si>
    <t xml:space="preserve">La gestion des actifs informatiques est-elle intégrée avec les processus d'inventaire financier ?</t>
  </si>
  <si>
    <t xml:space="preserve">Description du processus de réconciliation entre l'inventaire IT (CMDB) et l'inventaire comptable (registre des immobilisations).</t>
  </si>
  <si>
    <t xml:space="preserve">Non-conformité comptable sans intégration avec les inventaires.</t>
  </si>
  <si>
    <t xml:space="preserve">Risque de déconnexion entre gestion des actifs et inventaire financier, provoquant des écarts comptables et des pertes financières.</t>
  </si>
  <si>
    <t xml:space="preserve">Rapports de rapprochement ou de comparaison entre les deux systèmes.</t>
  </si>
  <si>
    <t xml:space="preserve">Fonctionnalités d'alertes sur les contrats de maintenance arrivant à échéance</t>
  </si>
  <si>
    <t xml:space="preserve">Le système de gestion du parc fournit-il des fonctionnalités d'alertes sur les contrats de maintenance arrivant à échéance ?</t>
  </si>
  <si>
    <t xml:space="preserve">Capture d'écran de la configuration des alertes ou notifications relatives aux contrats dans l'outil de gestion des actifs/contrats.</t>
  </si>
  <si>
    <t xml:space="preserve">Manque d’anticipation des renouvellements de contrats.</t>
  </si>
  <si>
    <t xml:space="preserve">Risque de non-renouvellement ou d’expiration non détectée des contrats de maintenance, impactant la disponibilité des équipements.</t>
  </si>
  <si>
    <t xml:space="preserve">Exemples de notifications d'échéance reçues OU rapport généré par l'outil listant les contrats arrivant à expiration.</t>
  </si>
  <si>
    <t xml:space="preserve">Capacité à générer des rapports sur l'état du parc matériel</t>
  </si>
  <si>
    <t xml:space="preserve">L'outil de gestion de parc permet-il de générer des rapports sur l'état (obsolescence, garantie...) du parc matériel ?</t>
  </si>
  <si>
    <t xml:space="preserve">Exemples de rapports standards produits par l'outil de gestion des actifs (ex: par type, par localisation, par âge, par statut).</t>
  </si>
  <si>
    <t xml:space="preserve">Gestion réactive du matériel sans tableaux de bord sur l’état du parc.</t>
  </si>
  <si>
    <t xml:space="preserve">Risque d’absence de rapports fiables sur l’état du parc, limitant la prise de décision et la planification.</t>
  </si>
  <si>
    <t xml:space="preserve">Capture d'écran du module de reporting de l'outil montrant les options de personnalisation ou les rapports disponibles.</t>
  </si>
  <si>
    <t xml:space="preserve">S’assurer que l'installation des PC / portables est faite à partir
d'un master (configuration minimum et standardisée)</t>
  </si>
  <si>
    <t xml:space="preserve">Existence de masters validés par type de profil utilisateur</t>
  </si>
  <si>
    <t xml:space="preserve">Existe-t-il des masters (images système standard) validés par type de profil utilisateur ?</t>
  </si>
  <si>
    <t xml:space="preserve">Inventaire des masters (images système) disponibles, précisant leur version, date de création/validation et le profil/matériel cible.</t>
  </si>
  <si>
    <t xml:space="preserve">Incohérences de configuration sans master validé.</t>
  </si>
  <si>
    <t xml:space="preserve">Risque d’utilisation de masters obsolètes ou non validés, provoquant des configurations non conformes ou vulnérables.</t>
  </si>
  <si>
    <t xml:space="preserve">Check-list de validation ou procès-verbal de recette signé pour un master spécifique.</t>
  </si>
  <si>
    <t xml:space="preserve">Procédure de mise à jour régulière des masters</t>
  </si>
  <si>
    <t xml:space="preserve">Une procédure formalisée de mise à jour régulière des masters existe-t-elle ?</t>
  </si>
  <si>
    <t xml:space="preserve">Procédure documentée décrivant la fréquence et le processus de mise à jour des masters (intégration des patchs, logiciels, etc.).</t>
  </si>
  <si>
    <t xml:space="preserve">Sécurité compromise si les masters ne sont pas à jour.</t>
  </si>
  <si>
    <t xml:space="preserve">Risque de mise à jour irrégulière des masters, entraînant des déploiements incohérents et des failles de sécurité.</t>
  </si>
  <si>
    <t xml:space="preserve">Historique des versions des masters avec dates de mise à jour.</t>
  </si>
  <si>
    <t xml:space="preserve">Taux d'équipements déployés via les masters vs. installations manuelles</t>
  </si>
  <si>
    <t xml:space="preserve">Le taux d'équipements déployés via les masters par rapport aux installations manuelles est-il suivi/mesuré ?</t>
  </si>
  <si>
    <t xml:space="preserve">Rapport généré par l'outil de déploiement (ex: SCCM, Intune) indiquant la méthode de déploiement pour les nouveaux postes sur une période donnée.</t>
  </si>
  <si>
    <t xml:space="preserve">Hétérogénéité du parc sans usage standardisé des masters.</t>
  </si>
  <si>
    <t xml:space="preserve">Risque élevé d’erreurs et de coûts supplémentaires en raison d’un taux élevé d’installations manuelles non standardisées.</t>
  </si>
  <si>
    <t xml:space="preserve">Indicateur de performance (KPI) suivant ce taux, inclus dans un tableau de bord.</t>
  </si>
  <si>
    <t xml:space="preserve">Sécurisation du processus de création et modification des masters</t>
  </si>
  <si>
    <t xml:space="preserve">Le processus de création et de modification des masters est-il sécurisé (contrôle d'accès, validation) ?</t>
  </si>
  <si>
    <t xml:space="preserve">Procédure de gestion des masters incluant les aspects sécurité (contrôles d'accès, scan de vulnérabilités, validation sécurité).</t>
  </si>
  <si>
    <t xml:space="preserve">Altération des masters sans sécurisation du processus.</t>
  </si>
  <si>
    <t xml:space="preserve">Risque de modifications non sécurisées des masters, exposant le parc à des vulnérabilités ou des configurations erronées.</t>
  </si>
  <si>
    <t xml:space="preserve">Liste des accès autorisés (ACL) pour la gestion des masters OU logs d'audit des modifications sur les masters.</t>
  </si>
  <si>
    <t xml:space="preserve">Conformité des masters avec les exigences de sécurité de l'entreprise</t>
  </si>
  <si>
    <t xml:space="preserve">Les masters sont-ils conformes aux exigences de sécurité définies par l'entreprise ?</t>
  </si>
  <si>
    <t xml:space="preserve">Politique de sécurité des postes de travail ou référentiel de durcissement (hardening guide).</t>
  </si>
  <si>
    <t xml:space="preserve">Non-respect des politiques sécurité si les masters ne sont pas conformes.</t>
  </si>
  <si>
    <t xml:space="preserve">Risque de non-conformité des masters avec les exigences de sécurité, compromettant la protection des systèmes.</t>
  </si>
  <si>
    <t xml:space="preserve">Rapport d'audit de conformité ou de scan de vulnérabilités effectué sur une image master récente.</t>
  </si>
  <si>
    <t xml:space="preserve">S’assurer qu’il existe un processus spécifique pour le suivi des
mises à jour sur les portables</t>
  </si>
  <si>
    <t xml:space="preserve">Système de détection des portables non connectés au réseau depuis longtemps</t>
  </si>
  <si>
    <t xml:space="preserve">Existe-t-il un système permettant de détecter les portables non connectés au réseau de l'entreprise depuis une période définie ?</t>
  </si>
  <si>
    <t xml:space="preserve">Rapport ou requête personnalisée issue de l'outil de gestion (AD, SCCM, Intune, etc.) listant les appareils avec une date de dernière connexion/communication ancienne.</t>
  </si>
  <si>
    <t xml:space="preserve">Risque d’obsolescence critique des postes inactifs.</t>
  </si>
  <si>
    <t xml:space="preserve">Risque de non-détection des portables non connectés depuis longtemps, facilitant la perte ou l’usage non autorisé.</t>
  </si>
  <si>
    <t xml:space="preserve">Configuration de la tâche automatisée</t>
  </si>
  <si>
    <t xml:space="preserve">Mécanisme de mise à jour lors des reconnexions au réseau d'entreprise</t>
  </si>
  <si>
    <t xml:space="preserve">Un mécanisme de mise à jour automatique (OS, applications, sécurité) est-il en place lors des reconnexions des équipements nomades au réseau d'entreprise ?</t>
  </si>
  <si>
    <t xml:space="preserve">Configuration des politiques de mise à jour automatique (ex. GPO ou scripts)</t>
  </si>
  <si>
    <t xml:space="preserve">Mise à jour manquée lors de la reconnexion d’un poste nomade.</t>
  </si>
  <si>
    <t xml:space="preserve">Risque de mises à jour non appliquées automatiquement lors des reconnexions, laissant des failles ouvertes.</t>
  </si>
  <si>
    <t xml:space="preserve">Logs des reconnexions et mises à jour effectuées</t>
  </si>
  <si>
    <t xml:space="preserve">Politique de mises à jour obligatoires avec délai de grâce</t>
  </si>
  <si>
    <t xml:space="preserve">Une politique définissant les mises à jour obligatoires avec un délai de grâce existe-t-elle pour les nomades ?</t>
  </si>
  <si>
    <t xml:space="preserve">Document de politique de mise à jour (incluant délai de grâce)</t>
  </si>
  <si>
    <t xml:space="preserve">Failles de sécurité si les mises à jour ne sont pas obligatoires.</t>
  </si>
  <si>
    <t xml:space="preserve">Risque d’absence ou d’inefficacité de la politique de mises à jour obligatoires, retardant la correction des vulnérabilités.</t>
  </si>
  <si>
    <t xml:space="preserve">Registre des exceptions accordées</t>
  </si>
  <si>
    <t xml:space="preserve">Reporting sur l'état des mises à jour des équipements nomades</t>
  </si>
  <si>
    <t xml:space="preserve">Un reporting sur l'état des mises à jour (patchs, antivirus...) des équipements nomades est-il produit et suivi ?</t>
  </si>
  <si>
    <t xml:space="preserve">Rapport d’inventaire des mises à jour (ex. via outil MDM)</t>
  </si>
  <si>
    <t xml:space="preserve">Manque de visibilité sur la conformité des équipements.</t>
  </si>
  <si>
    <t xml:space="preserve">Risque de reporting incomplet sur l’état des mises à jour des équipements nomades, limitant la visibilité et le contrôle.</t>
  </si>
  <si>
    <t xml:space="preserve">Tableau de bord des statuts de conformité des équipements</t>
  </si>
  <si>
    <t xml:space="preserve">Procédure d'alerte pour les portables critiquement obsolètes</t>
  </si>
  <si>
    <t xml:space="preserve">Une procédure d'alerte est-elle en place pour les portables nomades identifiés comme critiquement obsolètes ou non conformes ?</t>
  </si>
  <si>
    <t xml:space="preserve">Procédure documentée d’identification et d’alerte</t>
  </si>
  <si>
    <t xml:space="preserve">Utilisation de matériels à risque sans alerte.</t>
  </si>
  <si>
    <t xml:space="preserve">Risque d’absence d’alerte sur les portables obsolètes, augmentant les risques de sécurité et de non-conformité.</t>
  </si>
  <si>
    <t xml:space="preserve">Historique des notifications envoyées</t>
  </si>
  <si>
    <t xml:space="preserve">S’assurer que le déploiement de nouveaux logiciels ou mises à
jour est possible à distance (utile pour les utilisateurs nomades)</t>
  </si>
  <si>
    <t xml:space="preserve">Disponibilité d'une solution de déploiement à distance fonctionnelle</t>
  </si>
  <si>
    <t xml:space="preserve">Une solution de déploiement à distance (logiciels, configurations) est-elle disponible et fonctionnelle ?</t>
  </si>
  <si>
    <t xml:space="preserve">Documentation technique de la solution de déploiement (ex. SCCM, Intune)</t>
  </si>
  <si>
    <t xml:space="preserve">Déploiements impossibles à distance si la solution est défaillante.</t>
  </si>
  <si>
    <t xml:space="preserve">Risque d’indisponibilité ou de dysfonctionnement de la solution de déploiement à distance, ralentissant les mises à jour.</t>
  </si>
  <si>
    <t xml:space="preserve">Résultats des tests de déploiement à distance</t>
  </si>
  <si>
    <t xml:space="preserve">Taux de couverture des déploiements à distance pour les utilisateurs nomades</t>
  </si>
  <si>
    <t xml:space="preserve">Le taux de couverture des déploiements à distance pour les utilisateurs nomades est-il mesuré ou estimé ?</t>
  </si>
  <si>
    <t xml:space="preserve">Rapport de couverture des déploiements (statistiques par utilisateur)</t>
  </si>
  <si>
    <t xml:space="preserve">Exposition à des risques si une partie des nomades n’est pas couverte.</t>
  </si>
  <si>
    <t xml:space="preserve">Risque de couverture insuffisante des déploiements à distance, laissant des équipements vulnérables.</t>
  </si>
  <si>
    <t xml:space="preserve">Liste des équipements non couverts avec justification</t>
  </si>
  <si>
    <t xml:space="preserve">Mécanismes de gestion de la bande passante pour les déploiements via VPN</t>
  </si>
  <si>
    <t xml:space="preserve">Des mécanismes de gestion de la bande passante sont-ils en place pour optimiser les déploiements via VPN ?</t>
  </si>
  <si>
    <t xml:space="preserve">Configuration des outils de gestion de bande passante (ex. QoS)</t>
  </si>
  <si>
    <t xml:space="preserve">Ralentissements réseau si la bande passante n’est pas gérée.</t>
  </si>
  <si>
    <t xml:space="preserve">Risque de saturation ou mauvaise gestion de la bande passante lors des déploiements via VPN, impactant les performances réseau.</t>
  </si>
  <si>
    <t xml:space="preserve">Documentation des paramètres VPN pour déploiements</t>
  </si>
  <si>
    <t xml:space="preserve">Capacité à planifier des installations différées</t>
  </si>
  <si>
    <t xml:space="preserve">La solution de déploiement permet-elle de planifier des installations différées (ex: hors heures ouvrées) ?</t>
  </si>
  <si>
    <t xml:space="preserve">Planification des déploiements (calendrier ou outil de scheduling)</t>
  </si>
  <si>
    <t xml:space="preserve">Perturbations utilisateur sans possibilité d’installation différée.</t>
  </si>
  <si>
    <t xml:space="preserve">Risque d’incapacité à planifier des installations différées, réduisant la flexibilité opérationnelle.</t>
  </si>
  <si>
    <t xml:space="preserve">Configuration des options de différé dans l’outil de déploiement</t>
  </si>
  <si>
    <t xml:space="preserve">Procédure de notification et validation utilisateur avant déploiement à distance</t>
  </si>
  <si>
    <t xml:space="preserve">Une procédure de notification et de validation par l'utilisateur existe-t-elle avant un déploiement à distance impactant ?</t>
  </si>
  <si>
    <t xml:space="preserve">Modèle de notification envoyé aux utilisateurs</t>
  </si>
  <si>
    <t xml:space="preserve">Déploiement refusé ou mal compris sans notification préalable.</t>
  </si>
  <si>
    <t xml:space="preserve">Risque d’absence de notification ou validation utilisateur avant déploiement, provoquant des interruptions ou mécontentements.</t>
  </si>
  <si>
    <t xml:space="preserve">Registre des validations utilisateur reçues</t>
  </si>
  <si>
    <t xml:space="preserve">Vérifier qu’il est possible pour le HD de prendre la main à
distance, si oui, en vérifier la procédure</t>
  </si>
  <si>
    <t xml:space="preserve">Existence d'un outil de prise en main à distance fonctionnel</t>
  </si>
  <si>
    <t xml:space="preserve">Un outil de prise en main à distance sécurisé et fonctionnel est-il utilisé par le support ?</t>
  </si>
  <si>
    <t xml:space="preserve">Documentation de l’outil de prise en main (ex. TeamViewer, VNC)</t>
  </si>
  <si>
    <t xml:space="preserve">Temps d’intervention long si l’outil de prise en main est non fonctionnel.</t>
  </si>
  <si>
    <t xml:space="preserve">Risque d’absence ou de non-fonctionnalité de l’outil de prise en main à distance, limitant le support efficace.</t>
  </si>
  <si>
    <t xml:space="preserve">Rapports de tests fonctionnels de l’outil</t>
  </si>
  <si>
    <t xml:space="preserve">Documentation de la procédure d'autorisation préalable de l'utilisateur</t>
  </si>
  <si>
    <t xml:space="preserve">La procédure d'autorisation préalable de l'utilisateur avant une prise en main à distance est-elle documentée et appliquée ?</t>
  </si>
  <si>
    <t xml:space="preserve">Procédure écrite d’autorisation pour prise en main</t>
  </si>
  <si>
    <t xml:space="preserve">Non-conformité RGPD sans consentement de l’utilisateur.</t>
  </si>
  <si>
    <t xml:space="preserve">Risque d’absence de documentation claire sur la procédure d’autorisation préalable, compromettant la conformité et la sécurité.</t>
  </si>
  <si>
    <t xml:space="preserve">Formulaires ou logs d’autorisation utilisateur</t>
  </si>
  <si>
    <t xml:space="preserve">Capacité à enregistrer les sessions de prise en main à des fins de traçabilité</t>
  </si>
  <si>
    <t xml:space="preserve">L'outil permet-il d'enregistrer les sessions de prise en main à des fins de traçabilité ou d'audit ?</t>
  </si>
  <si>
    <t xml:space="preserve">Configuration de l’outil pour l’enregistrement des sessions</t>
  </si>
  <si>
    <t xml:space="preserve">Manque de transparence sans enregistrement des sessions critiques.</t>
  </si>
  <si>
    <t xml:space="preserve">Risque d’absence d’enregistrement des sessions de prise en main, réduisant la traçabilité et la responsabilité.</t>
  </si>
  <si>
    <t xml:space="preserve">Archivage des enregistrements (politique de conservation)</t>
  </si>
  <si>
    <t xml:space="preserve">Compatibilité de la solution avec les différentes configurations réseau des utilisateurs</t>
  </si>
  <si>
    <t xml:space="preserve">La solution de prise en main à distance est-elle compatible avec les différentes configurations réseau potentielles des utilisateurs (VPN, domicile...) ?</t>
  </si>
  <si>
    <t xml:space="preserve">Rapport de tests de compatibilité réseau</t>
  </si>
  <si>
    <t xml:space="preserve">Support à distance non fonctionnel selon l’environnement réseau.</t>
  </si>
  <si>
    <t xml:space="preserve">Risque d’incompatibilité de la solution avec certaines configurations réseau, limitant son usage.</t>
  </si>
  <si>
    <t xml:space="preserve">Documentation des configurations réseau supportées</t>
  </si>
  <si>
    <t xml:space="preserve">Conformité de la prise en main à distance avec la politique de sécurité</t>
  </si>
  <si>
    <t xml:space="preserve">L'utilisation de la prise en main à distance est-elle conforme à la politique de sécurité de l'entreprise ?</t>
  </si>
  <si>
    <t xml:space="preserve">Audit de conformité de l’outil de prise en main</t>
  </si>
  <si>
    <t xml:space="preserve">Risque de fuite de données ou non-conformité sans respect des politiques de sécurité.</t>
  </si>
  <si>
    <t xml:space="preserve">Risque de non-conformité de la prise en main à distance avec la politique de sécurité, exposant à des failles.</t>
  </si>
  <si>
    <t xml:space="preserve">Politique de sécurité IT (section prise en main à distance)</t>
  </si>
  <si>
    <t xml:space="preserve">Vérifier comment est géré le parc informatique, quel type de
machine, et quels outils y sont déployés</t>
  </si>
  <si>
    <t xml:space="preserve">Existence d'une stratégie documentée de gestion du parc</t>
  </si>
  <si>
    <t xml:space="preserve">Existe-t-il une stratégie documentée de gestion du cycle de vie du parc informatique ?</t>
  </si>
  <si>
    <t xml:space="preserve">Plan de gestion du parc informatique</t>
  </si>
  <si>
    <t xml:space="preserve">Gestion du parc informatique non alignée avec les objectifs de l’organisation</t>
  </si>
  <si>
    <t xml:space="preserve">Risque d’absence ou d’obsolescence de la stratégie de gestion du parc, entraînant une gestion inefficace.</t>
  </si>
  <si>
    <t xml:space="preserve">Inventaire actualisé des équipements</t>
  </si>
  <si>
    <t xml:space="preserve">Degré de standardisation des configurations matérielles</t>
  </si>
  <si>
    <t xml:space="preserve">Un degré de standardisation des configurations matérielles est-il défini et appliqué ?</t>
  </si>
  <si>
    <t xml:space="preserve">Liste des configurations matérielles standardisées</t>
  </si>
  <si>
    <t xml:space="preserve">Hétérogénéité des configurations entraînant des surcoûts et des problèmes de compatibilité</t>
  </si>
  <si>
    <t xml:space="preserve">Risque de faible standardisation des configurations matérielles, générant des coûts et complexités supplémentaires.</t>
  </si>
  <si>
    <t xml:space="preserve">Rapport d’audit des écarts de standardisation</t>
  </si>
  <si>
    <t xml:space="preserve">Définition de configurations types par profil d'utilisateur</t>
  </si>
  <si>
    <t xml:space="preserve">Des configurations matérielles types sont-elles définies par profil d'utilisateur ?</t>
  </si>
  <si>
    <t xml:space="preserve">Catalogue des configurations par profil (ex. commercial, technique)</t>
  </si>
  <si>
    <t xml:space="preserve">Inadéquation des équipements avec les besoins utilisateurs</t>
  </si>
  <si>
    <t xml:space="preserve">Risque d’absence ou d’inadéquation des configurations types par profil utilisateur, impactant la productivité.</t>
  </si>
  <si>
    <t xml:space="preserve">Matrice de correspondance profil-équipement</t>
  </si>
  <si>
    <t xml:space="preserve">Politique de renouvellement du matériel avec critères objectifs</t>
  </si>
  <si>
    <t xml:space="preserve">Une politique de renouvellement du matériel basée sur des critères objectifs (âge, performance, garantie) existe-t-elle ?</t>
  </si>
  <si>
    <t xml:space="preserve">Obsolescence du matériel en production</t>
  </si>
  <si>
    <t xml:space="preserve">Risque d’absence de politique claire de renouvellement, provoquant un vieillissement du parc et des pannes accrues.</t>
  </si>
  <si>
    <t xml:space="preserve">Existence d'un catalogue d'outils standards déployés sur les postes</t>
  </si>
  <si>
    <t xml:space="preserve">Existe-t-il un catalogue d'outils logiciels standards autorisés et déployés sur les postes de travail ?</t>
  </si>
  <si>
    <t xml:space="preserve">Catalogue des outils standards</t>
  </si>
  <si>
    <t xml:space="preserve">Multiplication d’outils non standardisés augmentant la charge de support</t>
  </si>
  <si>
    <t xml:space="preserve">Risque d’absence ou d’inadéquation du catalogue d’outils standards, compliquant la gestion et la maintenance.</t>
  </si>
  <si>
    <t xml:space="preserve">Politique de standardisation des postes de travail</t>
  </si>
  <si>
    <t xml:space="preserve">S’assurer que l'inventaire du parc informatique comprend la
localisation des machines</t>
  </si>
  <si>
    <t xml:space="preserve">Présence du champ "localisation" dans la base de données des actifs</t>
  </si>
  <si>
    <t xml:space="preserve">La base de données des actifs informatiques (CMDB ou inventaire) inclut-elle un champ "localisation" ?</t>
  </si>
  <si>
    <t xml:space="preserve">Schéma de la base de données des actifs</t>
  </si>
  <si>
    <t xml:space="preserve">Impossibilité de localiser précisément les équipements</t>
  </si>
  <si>
    <t xml:space="preserve">Risque d’absence ou d’incomplétude du champ "localisation" dans la base des actifs, limitant le suivi et la gestion.</t>
  </si>
  <si>
    <t xml:space="preserve">Manuel utilisateur de l’outil de gestion des actifs</t>
  </si>
  <si>
    <t xml:space="preserve">Taux de renseignement du champ localisation dans l'inventaire</t>
  </si>
  <si>
    <t xml:space="preserve">Le taux de renseignement du champ "localisation" dans l'inventaire est-il suivi/mesuré ?</t>
  </si>
  <si>
    <t xml:space="preserve">Rapport d’extraction de l’inventaire</t>
  </si>
  <si>
    <t xml:space="preserve">Données d’inventaire inexactes ou obsolètes</t>
  </si>
  <si>
    <t xml:space="preserve">Risque de faible taux de renseignement du champ localisation, compromettant la fiabilité des données.</t>
  </si>
  <si>
    <t xml:space="preserve">Procédure de contrôle de complétude des données</t>
  </si>
  <si>
    <t xml:space="preserve">Processus de mise à jour de la localisation lors des mouvements d'équipements</t>
  </si>
  <si>
    <t xml:space="preserve">Un processus est-il en place pour mettre à jour la localisation des équipements lors des mouvements ?</t>
  </si>
  <si>
    <t xml:space="preserve">Procédure de gestion des mouvements d’équipements</t>
  </si>
  <si>
    <t xml:space="preserve">Traçabilité faible des mouvements de matériel</t>
  </si>
  <si>
    <t xml:space="preserve">Risque d’absence de mise à jour de la localisation lors des mouvements, entraînant des erreurs dans l’inventaire.</t>
  </si>
  <si>
    <t xml:space="preserve">Formulaire de suivi des mouvements</t>
  </si>
  <si>
    <t xml:space="preserve">Capacité à générer des rapports par site/localisation</t>
  </si>
  <si>
    <t xml:space="preserve">L'outil d'inventaire permet-il de générer des rapports par site ou localisation géographique ?</t>
  </si>
  <si>
    <t xml:space="preserve">Exemple de rapport par site/localisation</t>
  </si>
  <si>
    <t xml:space="preserve">Pilotage inefficace par site ou entité</t>
  </si>
  <si>
    <t xml:space="preserve">Risque d’incapacité à générer des rapports fiables par site ou localisation, limitant la prise de décision.</t>
  </si>
  <si>
    <t xml:space="preserve">Guide de génération de rapports</t>
  </si>
  <si>
    <t xml:space="preserve">Fréquence des inventaires physiques pour validation des données</t>
  </si>
  <si>
    <t xml:space="preserve">Des inventaires physiques sont-ils réalisés à une fréquence définie pour valider les données de l'outil ?</t>
  </si>
  <si>
    <t xml:space="preserve">Planning des inventaires physiques</t>
  </si>
  <si>
    <t xml:space="preserve">Écarts non détectés entre base d’actifs et réalité terrain</t>
  </si>
  <si>
    <t xml:space="preserve">Risque de fréquence insuffisante des inventaires physiques, entraînant des écarts non détectés dans les données.</t>
  </si>
  <si>
    <t xml:space="preserve">Rapport d’inventaire physique</t>
  </si>
  <si>
    <t xml:space="preserve">Vérifier que les utilisateurs sont sensibilisés à la sécurité
informatique, notamment à l'installation de logiciel "non officiel"</t>
  </si>
  <si>
    <t xml:space="preserve">Existence d'un programme de sensibilisation à la sécurité informatique</t>
  </si>
  <si>
    <t xml:space="preserve">Un programme de sensibilisation régulière des utilisateurs à la sécurité informatique existe-t-il ?</t>
  </si>
  <si>
    <t xml:space="preserve">Programme de sensibilisation</t>
  </si>
  <si>
    <t xml:space="preserve">Faible culture sécurité des utilisateurs</t>
  </si>
  <si>
    <t xml:space="preserve">Risque d’absence ou d’inefficacité du programme de sensibilisation à la sécurité informatique, augmentant les risques humains.</t>
  </si>
  <si>
    <t xml:space="preserve">Support de formation</t>
  </si>
  <si>
    <t xml:space="preserve">Fréquence des actions de communication sur les risques liés aux logiciels non autorisés</t>
  </si>
  <si>
    <t xml:space="preserve">Des actions de communication spécifiques sur les risques liés à l'installation de logiciels non autorisés sont-elles menées ?</t>
  </si>
  <si>
    <t xml:space="preserve">Plan de communication</t>
  </si>
  <si>
    <t xml:space="preserve">Utilisation de logiciels non autorisés et potentiellement malveillants</t>
  </si>
  <si>
    <t xml:space="preserve">Risque de communication insuffisante sur les risques liés aux logiciels non autorisés, favorisant leur utilisation.</t>
  </si>
  <si>
    <t xml:space="preserve">Exemple de communication</t>
  </si>
  <si>
    <t xml:space="preserve">Inclusion des règles de sécurité dans la charte informatique signée par les utilisateurs</t>
  </si>
  <si>
    <t xml:space="preserve">Les règles de sécurité concernant l'installation de logiciels sont-elles incluses dans la charte informatique signée par les utilisateurs ?</t>
  </si>
  <si>
    <t xml:space="preserve">Charte informatique</t>
  </si>
  <si>
    <t xml:space="preserve">Manque de cadre formel sur les usages IT</t>
  </si>
  <si>
    <t xml:space="preserve">Risque de non-intégration des règles de sécurité dans la charte informatique, réduisant leur portée et respect.</t>
  </si>
  <si>
    <t xml:space="preserve">Registre des signatures</t>
  </si>
  <si>
    <t xml:space="preserve">Taux de participation aux sessions de sensibilisation obligatoires</t>
  </si>
  <si>
    <t xml:space="preserve">Le taux de participation aux sessions de sensibilisation obligatoires (si existantes) est-il suivi ?</t>
  </si>
  <si>
    <t xml:space="preserve">Rapport de participation</t>
  </si>
  <si>
    <t xml:space="preserve">Sensibilisation incomplète aux risques informatiques</t>
  </si>
  <si>
    <t xml:space="preserve">Risque de faible taux de participation aux sessions de sensibilisation obligatoires, limitant l’impact.</t>
  </si>
  <si>
    <t xml:space="preserve">Convocations aux sessions</t>
  </si>
  <si>
    <t xml:space="preserve">Mise en place de contrôles techniques empêchant l'installation de logiciels non autorisés</t>
  </si>
  <si>
    <t xml:space="preserve">Des contrôles techniques (ex: droits restreints, liste blanche/noire) sont-ils en place pour empêcher ou limiter l'installation de logiciels non autorisés par les utilisateurs ?</t>
  </si>
  <si>
    <t xml:space="preserve">Rapport de configuration des contrôles</t>
  </si>
  <si>
    <t xml:space="preserve">Absence de blocages techniques contre les logiciels interdits</t>
  </si>
  <si>
    <t xml:space="preserve">Risque d’absence ou d’inefficacité des contrôles techniques empêchant l’installation de logiciels non autorisés.</t>
  </si>
  <si>
    <t xml:space="preserve">Résultats de tests de contrôle</t>
  </si>
  <si>
    <t xml:space="preserve">Gestion du parc matériel et logiciel : audit d'efficacité et de
Performance</t>
  </si>
  <si>
    <t xml:space="preserve">Vérifier comment est effectué l'inventaire des licences (logiciel,
version, date de mise en production, nombre d'utilisateurs)</t>
  </si>
  <si>
    <t xml:space="preserve">Existence d'un outil centralisé de gestion des licences logicielles</t>
  </si>
  <si>
    <t xml:space="preserve">Existe-t-il un outil ou un référentiel centralisé pour la gestion des licences logicielles ?</t>
  </si>
  <si>
    <t xml:space="preserve">Documentation de l’outil SAM</t>
  </si>
  <si>
    <t xml:space="preserve">Risque de non-conformité aux audits éditeurs</t>
  </si>
  <si>
    <t xml:space="preserve">Risque d’absence d’outil centralisé de gestion des licences, compliquant la maîtrise des licences.</t>
  </si>
  <si>
    <t xml:space="preserve">Preuve de déploiement</t>
  </si>
  <si>
    <t xml:space="preserve">Complétude des informations enregistrées pour chaque licence (éditeur, version, type de licence, nombre d'utilisateurs autorisés, date d'expiration)</t>
  </si>
  <si>
    <t xml:space="preserve">Les informations enregistrées pour chaque licence (éditeur, version, type, quantité, date d'expiration...) sont-elles complètes ?</t>
  </si>
  <si>
    <t xml:space="preserve">Exemple d’enregistrement de licence</t>
  </si>
  <si>
    <t xml:space="preserve">Surconsommation ou sous-utilisation de licences logicielles</t>
  </si>
  <si>
    <t xml:space="preserve">Risque d’informations incomplètes ou erronées sur les licences, générant des risques de non-conformité.</t>
  </si>
  <si>
    <t xml:space="preserve">Modèle de saisie des licences</t>
  </si>
  <si>
    <t xml:space="preserve">Fréquence de mise à jour de l'inventaire des licences</t>
  </si>
  <si>
    <t xml:space="preserve">L'inventaire des licences est-il mis à jour à une fréquence définie ou lors de chaque acquisition/retrait ?</t>
  </si>
  <si>
    <t xml:space="preserve">Planning de mise à jour</t>
  </si>
  <si>
    <t xml:space="preserve">Absence de visibilité sur la conformité logicielle globale</t>
  </si>
  <si>
    <t xml:space="preserve">Risque de mise à jour insuffisante de l’inventaire des licences, entraînant des erreurs de gestion.</t>
  </si>
  <si>
    <t xml:space="preserve">Capacité à réconcilier les licences acquises avec les déploiements effectifs</t>
  </si>
  <si>
    <t xml:space="preserve">L'outil ou le processus permet-il de réconcilier les licences acquises avec les logiciels effectivement déployés/utilisés ?</t>
  </si>
  <si>
    <t xml:space="preserve">Rapport de réconciliation</t>
  </si>
  <si>
    <t xml:space="preserve">Pertes financières en cas d’audit inopiné</t>
  </si>
  <si>
    <t xml:space="preserve">Risque d’incapacité à réconcilier licences acquises et déploiements, provoquant des surcoûts ou pénuries.</t>
  </si>
  <si>
    <t xml:space="preserve">Procédure de réconciliation</t>
  </si>
  <si>
    <t xml:space="preserve">Existence d'un processus de vérification de la conformité entre licences acquises et utilisations réelles</t>
  </si>
  <si>
    <t xml:space="preserve">Un processus de vérification périodique de la conformité entre les licences acquises et les utilisations réelles est-il en place ?</t>
  </si>
  <si>
    <t xml:space="preserve">Procédure de vérification de conformité</t>
  </si>
  <si>
    <t xml:space="preserve">Faible anticipation des renouvellements de licences critiques</t>
  </si>
  <si>
    <t xml:space="preserve">Risque d’absence de processus de vérification de conformité entre licences et usages réels, exposant à des sanctions.</t>
  </si>
  <si>
    <t xml:space="preserve">Rapport de conformité</t>
  </si>
  <si>
    <t xml:space="preserve">S’assurer que les outils de type SAM (Software Asset
Management) sont déployés</t>
  </si>
  <si>
    <t xml:space="preserve">Présence d'une solution SAM adaptée à la taille et aux besoins de l'organisation</t>
  </si>
  <si>
    <t xml:space="preserve">Une solution SAM (Software Asset Management) adaptée à la taille et aux besoins de l'organisation est-elle déployée ?</t>
  </si>
  <si>
    <t xml:space="preserve">Fiche technique de la solution SAM</t>
  </si>
  <si>
    <t xml:space="preserve">Manque de coordination entre les services impliqués (DSI, achats, juridique)</t>
  </si>
  <si>
    <t xml:space="preserve">Risque d’inadaptation de la solution SAM à la taille et besoins de l’organisation, réduisant son efficacité.</t>
  </si>
  <si>
    <t xml:space="preserve">Contrat ou preuve d’acquisition de la solution SAM</t>
  </si>
  <si>
    <t xml:space="preserve">Niveau d'intégration du SAM avec les autres outils de gestion (CMDB, déploiement, inventaire)</t>
  </si>
  <si>
    <t xml:space="preserve">Le niveau d'intégration de l'outil SAM avec les autres outils de gestion (CMDB, déploiement, inventaire matériel) est-il effectif ?</t>
  </si>
  <si>
    <t xml:space="preserve">Schéma d’intégration des outils</t>
  </si>
  <si>
    <t xml:space="preserve">Non-intégration des outils SAM dans les processus IT globaux</t>
  </si>
  <si>
    <t xml:space="preserve">Risque de faible intégration du SAM avec les autres outils de gestion, limitant la cohérence des données.</t>
  </si>
  <si>
    <t xml:space="preserve">Documentation des interfaces SAM</t>
  </si>
  <si>
    <t xml:space="preserve">Couverture fonctionnelle de l'outil SAM (inventaire, conformité, optimisation, reporting)</t>
  </si>
  <si>
    <t xml:space="preserve">La couverture fonctionnelle de l'outil SAM (inventaire, conformité, optimisation, reporting) est-elle jugée adéquate ?</t>
  </si>
  <si>
    <t xml:space="preserve">Liste des fonctionnalités de l’outil SAM</t>
  </si>
  <si>
    <t xml:space="preserve">CMDB incomplète ou non mise à jour</t>
  </si>
  <si>
    <t xml:space="preserve">Risque de couverture fonctionnelle insuffisante de l’outil SAM, impactant la gestion et l’optimisation des licences.</t>
  </si>
  <si>
    <t xml:space="preserve">Rapport d’évaluation de la couverture fonctionnelle</t>
  </si>
  <si>
    <t xml:space="preserve">Désignation de responsables formés à l'utilisation des outils SAM</t>
  </si>
  <si>
    <t xml:space="preserve">Des responsables formés à l'utilisation et à l'administration des outils SAM ont-ils été désignés ?</t>
  </si>
  <si>
    <t xml:space="preserve">Liste des responsables désignés</t>
  </si>
  <si>
    <t xml:space="preserve">Relations entre les éléments de configuration mal documentées</t>
  </si>
  <si>
    <t xml:space="preserve">Risque d’absence de responsables formés à l’utilisation des outils SAM, compromettant leur exploitation optimale.</t>
  </si>
  <si>
    <t xml:space="preserve">Certificats ou attestations de formation</t>
  </si>
  <si>
    <t xml:space="preserve">Production régulière de rapports de conformité issus de l'outil SAM</t>
  </si>
  <si>
    <t xml:space="preserve">Des rapports de conformité des licences sont-ils produits régulièrement à partir de l'outil SAM ?</t>
  </si>
  <si>
    <t xml:space="preserve">Exemple de rapport de conformité</t>
  </si>
  <si>
    <t xml:space="preserve">Impact sur les processus ITIL liés (incidents, problèmes, changements)</t>
  </si>
  <si>
    <t xml:space="preserve">Risque de non-détection des non-conformités, entraînant des risques juridiques et financiers.</t>
  </si>
  <si>
    <t xml:space="preserve">Planning de production des rapports</t>
  </si>
  <si>
    <t xml:space="preserve">S’assurer qu’il existe des revues régulières des licences</t>
  </si>
  <si>
    <t xml:space="preserve">Existence d'un calendrier formalisé de revue des licences</t>
  </si>
  <si>
    <t xml:space="preserve">Existe-t-il un calendrier formalisé pour la revue périodique de l'état des licences logicielles ?</t>
  </si>
  <si>
    <t xml:space="preserve">Calendrier de revue des licences</t>
  </si>
  <si>
    <t xml:space="preserve">Absence de politique logicielle formalisée</t>
  </si>
  <si>
    <t xml:space="preserve">Risque de revue des licences non planifiée ou irrégulière, conduisant à une gestion réactive plutôt que proactive.</t>
  </si>
  <si>
    <t xml:space="preserve">Procédure de revue des licences</t>
  </si>
  <si>
    <t xml:space="preserve">Implication des parties prenantes clés dans le processus de revue (DSI, achats, juridique)</t>
  </si>
  <si>
    <t xml:space="preserve">Les parties prenantes clés (DSI, achats, juridique) sont-elles impliquées dans le processus de revue des licences ?</t>
  </si>
  <si>
    <t xml:space="preserve">Liste des parties prenantes</t>
  </si>
  <si>
    <t xml:space="preserve">Méconnaissance ou non-respect des règles d’utilisation des logiciels</t>
  </si>
  <si>
    <t xml:space="preserve">Risque de décisions non éclairées en l'absence d'implication des parties prenantes clés, pouvant conduire à des choix suboptimaux.</t>
  </si>
  <si>
    <t xml:space="preserve">Compte-rendu de réunion de revue</t>
  </si>
  <si>
    <t xml:space="preserve">Documentation des actions correctives suite aux revues</t>
  </si>
  <si>
    <t xml:space="preserve">Les actions correctives décidées suite aux revues de licences sont-elles documentées ?</t>
  </si>
  <si>
    <t xml:space="preserve">Risques juridiques liés à la non-conformité</t>
  </si>
  <si>
    <t xml:space="preserve">Risque de non-application des actions correctives identifiées, compromettant la conformité et l'optimisation des coûts.</t>
  </si>
  <si>
    <t xml:space="preserve">Plan de remédiation</t>
  </si>
  <si>
    <t xml:space="preserve">Suivi des métriques d'optimisation des licences (taux d'utilisation, économies réalisées)</t>
  </si>
  <si>
    <t xml:space="preserve">Des métriques d'optimisation des licences (ex: taux d'utilisation, économies) sont-elles suivies ?</t>
  </si>
  <si>
    <t xml:space="preserve">Rapport des métriques d’optimisation</t>
  </si>
  <si>
    <t xml:space="preserve">Documentation insuffisante en cas de contrôle éditeur</t>
  </si>
  <si>
    <t xml:space="preserve">Risque de non-optimisation des licences, entraînant des coûts inutiles.</t>
  </si>
  <si>
    <t xml:space="preserve">Tableau de bord des indicateurs</t>
  </si>
  <si>
    <t xml:space="preserve">Anticipation des renouvellements de licences avec un préavis suffisant</t>
  </si>
  <si>
    <t xml:space="preserve">Les renouvellements de licences sont-ils anticipés avec un préavis jugé suffisant ?</t>
  </si>
  <si>
    <t xml:space="preserve">Planning des renouvellements</t>
  </si>
  <si>
    <t xml:space="preserve">Recommandations d’audit non suivies d’effets</t>
  </si>
  <si>
    <t xml:space="preserve">Risque de coûts imprévus liés aux renouvellements tardifs et d’un manque de marge de négociation.</t>
  </si>
  <si>
    <t xml:space="preserve">Notifications ou alertes de renouvellement</t>
  </si>
  <si>
    <t xml:space="preserve">S’assurer qu’il existe une base de données de gestion de
configuration de type CMDB (Configuration Management Data Base)</t>
  </si>
  <si>
    <t xml:space="preserve">Existence d'une CMDB structurée et adaptée aux besoins de l'organisation</t>
  </si>
  <si>
    <t xml:space="preserve">Existe-t-il une CMDB (Configuration Management Database) structurée et jugée adaptée aux besoins de l'organisation ?</t>
  </si>
  <si>
    <t xml:space="preserve">Schéma de la CMDB</t>
  </si>
  <si>
    <t xml:space="preserve">Absence de stratégie proactive de gestion du risque logiciel</t>
  </si>
  <si>
    <t xml:space="preserve">Risque d'une CMDB inefficace, limitant la capacité à gérer les actifs et à identifier les problèmes.</t>
  </si>
  <si>
    <t xml:space="preserve">Documentation de configuration de la CMDB</t>
  </si>
  <si>
    <t xml:space="preserve">Couverture des CI (Configuration Items) essentiels dans la CMDB</t>
  </si>
  <si>
    <t xml:space="preserve">La CMDB couvre-t-elle les CI (Configuration Items) considérés comme essentiels ?</t>
  </si>
  <si>
    <t xml:space="preserve">Liste des CI couverts</t>
  </si>
  <si>
    <t xml:space="preserve">Risque de visibilité incomplète sur les actifs, pouvant entraîner des erreurs ou omissions dans la gestion.</t>
  </si>
  <si>
    <t xml:space="preserve">Rapport d’exhaustivité des CI</t>
  </si>
  <si>
    <t xml:space="preserve">Documentation des relations entre les différents CI dans la CMDB</t>
  </si>
  <si>
    <t xml:space="preserve">Les relations entre les différents CI sont-elles documentées dans la CMDB ?</t>
  </si>
  <si>
    <t xml:space="preserve">Schéma des relations entre CI</t>
  </si>
  <si>
    <t xml:space="preserve">Risque d'une CMDB non intégrée aux autres processus ITIL, limitant son utilisation et sa valeur.</t>
  </si>
  <si>
    <t xml:space="preserve">Manuel de gestion des relations CI</t>
  </si>
  <si>
    <t xml:space="preserve">Processus de mise à jour automatique et manuelle de la CMDB</t>
  </si>
  <si>
    <t xml:space="preserve">Un processus défini de mise à jour (automatique et/ou manuelle) de la CMDB existe-t-il ?</t>
  </si>
  <si>
    <t xml:space="preserve">Procédure de mise à jour de la CMDB</t>
  </si>
  <si>
    <t xml:space="preserve">Risque d'une CMDB non mise à jour, pouvant induire en erreur et générer des incidents.</t>
  </si>
  <si>
    <t xml:space="preserve">Intégration de la CMDB avec les autres processus ITIL (gestion des incidents, gestion des problèmes, gestion des changements)</t>
  </si>
  <si>
    <t xml:space="preserve">La CMDB est-elle intégrée avec d'autres processus ITIL clés (incidents, problèmes, changements) ?</t>
  </si>
  <si>
    <t xml:space="preserve">Documentation des intégrations ITIL</t>
  </si>
  <si>
    <t xml:space="preserve">Risque de décisions erronées en raison d'une vision partielle et non intégrée des actifs.</t>
  </si>
  <si>
    <t xml:space="preserve">Rapport de test d’intégration</t>
  </si>
  <si>
    <t xml:space="preserve">S’assurer que la DSI est sensibilisée aux enjeux de la maîtrise
des licences ? (notamment en cas de contrôle)</t>
  </si>
  <si>
    <t xml:space="preserve">Existence de sessions de sensibilisation aux risques liés à la non-conformité des licences</t>
  </si>
  <si>
    <t xml:space="preserve">Des sessions de sensibilisation spécifiques aux risques liés à la non-conformité des licences sont-elles organisées ?</t>
  </si>
  <si>
    <t xml:space="preserve">Programme de sensibilisation aux licences</t>
  </si>
  <si>
    <t xml:space="preserve">Risque de sensibilisation insuffisante aux risques liés à la non-conformité des licences, favorisant les comportements à risque.</t>
  </si>
  <si>
    <t xml:space="preserve">Support de sensibilisation</t>
  </si>
  <si>
    <t xml:space="preserve">Connaissance par les responsables DSI des conséquences financières potentielles d'un audit éditeur</t>
  </si>
  <si>
    <t xml:space="preserve">Les conséquences financières potentielles d'un audit éditeur ont-elles été communiquées aux responsables DSI concernés ?</t>
  </si>
  <si>
    <t xml:space="preserve">Support de formation sur les audits éditeurs</t>
  </si>
  <si>
    <t xml:space="preserve">Risque de mauvaise anticipation des conséquences financières, ce qui limite la capacité à prendre les mesures appropriées.</t>
  </si>
  <si>
    <t xml:space="preserve">Compte-rendu de réunion avec la DSI</t>
  </si>
  <si>
    <t xml:space="preserve">Inclusion des risques liés aux licences dans la cartographie des risques informatiques</t>
  </si>
  <si>
    <t xml:space="preserve">Les risques liés aux licences logicielles sont-ils inclus dans la cartographie globale des risques informatiques ?</t>
  </si>
  <si>
    <t xml:space="preserve">Cartographie des risques informatiques</t>
  </si>
  <si>
    <t xml:space="preserve">Risque de sous-estimation de l'impact des licences, conduisant à une gestion non prioritaire.</t>
  </si>
  <si>
    <t xml:space="preserve">Analyse des risques liés aux licences</t>
  </si>
  <si>
    <t xml:space="preserve">Définition claire des responsabilités en matière de gestion des licences</t>
  </si>
  <si>
    <t xml:space="preserve">Les responsabilités en matière de gestion des licences sont-elles clairement définies et documentées ?</t>
  </si>
  <si>
    <t xml:space="preserve">Risque de non-respect des responsabilités, entraînant des erreurs et des non-conformités.</t>
  </si>
  <si>
    <t xml:space="preserve">RACI de gestion des licences</t>
  </si>
  <si>
    <t xml:space="preserve">Niveau de préparation documentaire en cas d'audit inopiné d'un éditeur</t>
  </si>
  <si>
    <t xml:space="preserve">Existe-t-il un dossier ou une procédure documentée préparant à un audit éditeur inopiné ?</t>
  </si>
  <si>
    <t xml:space="preserve">Dossier de préparation aux audits</t>
  </si>
  <si>
    <t xml:space="preserve">Risque de préparation insuffisante en cas d'audit éditeur, augmentant le stress et la probabilité de sanctions.</t>
  </si>
  <si>
    <t xml:space="preserve">Liste des documents requis par les éditeurs</t>
  </si>
  <si>
    <t xml:space="preserve">Vérifier que des audits sont réalisés</t>
  </si>
  <si>
    <t xml:space="preserve">Existence d'un programme d'audit interne des licences</t>
  </si>
  <si>
    <t xml:space="preserve">Un programme d'audit interne spécifique à la conformité des licences existe-t-il ?</t>
  </si>
  <si>
    <t xml:space="preserve">Programme d’audit interne</t>
  </si>
  <si>
    <t xml:space="preserve">Risque de détection tardive des non-conformités, entraînant des coûts additionnels et des sanctions.</t>
  </si>
  <si>
    <t xml:space="preserve">Procédure d’audit interne</t>
  </si>
  <si>
    <t xml:space="preserve">Fréquence des audits internes et externes</t>
  </si>
  <si>
    <t xml:space="preserve">La fréquence des audits internes et/ou externes de conformité des licences est-elle définie ?</t>
  </si>
  <si>
    <t xml:space="preserve">Planning des audits</t>
  </si>
  <si>
    <t xml:space="preserve">Risque d'audits internes et externes trop peu fréquents, augmentant le risque de non-conformité.</t>
  </si>
  <si>
    <t xml:space="preserve">Rapport d’audit interne ou externe</t>
  </si>
  <si>
    <t xml:space="preserve">Couverture des audits (périmètre fonctionnel et technique)</t>
  </si>
  <si>
    <t xml:space="preserve">Le périmètre (fonctionnel et technique) des audits de licences est-il clairement défini ?</t>
  </si>
  <si>
    <t xml:space="preserve">Périmètre des audits</t>
  </si>
  <si>
    <t xml:space="preserve">Risque d'audits incomplets, laissant des zones d'ombre et des risques non détectés.</t>
  </si>
  <si>
    <t xml:space="preserve">Checklist d’audit</t>
  </si>
  <si>
    <t xml:space="preserve">Suivi des actions correctives issues des recommandations d'audit</t>
  </si>
  <si>
    <t xml:space="preserve">Un suivi des actions correctives issues des recommandations d'audit de licences est-il mis en place ?</t>
  </si>
  <si>
    <t xml:space="preserve">Registre des recommandations</t>
  </si>
  <si>
    <t xml:space="preserve">Risque de non-implémentation des recommandations d'audit, ce qui annule les bénéfices de l'audit.</t>
  </si>
  <si>
    <t xml:space="preserve">Plan d’action correctif</t>
  </si>
  <si>
    <t xml:space="preserve">Implication de ressources indépendantes dans la réalisation des audits</t>
  </si>
  <si>
    <t xml:space="preserve">Des ressources indépendantes (internes ou externes) sont-elles impliquées dans la réalisation des audits de licences ?</t>
  </si>
  <si>
    <t xml:space="preserve">Contrat avec auditeurs externes</t>
  </si>
  <si>
    <t xml:space="preserve">Risque de partialité dans les audits, compromettant leur objectivité et leur efficacité.</t>
  </si>
  <si>
    <t xml:space="preserve">Liste des auditeurs indépendants</t>
  </si>
  <si>
    <t xml:space="preserve">Vérifier qu’une politique logicielle existe</t>
  </si>
  <si>
    <t xml:space="preserve">Existence d'une politique logicielle formalisée et approuvée par la direction</t>
  </si>
  <si>
    <t xml:space="preserve">Existe-t-il une politique logicielle formalisée et approuvée par la direction ?</t>
  </si>
  <si>
    <t xml:space="preserve">Politique logicielle</t>
  </si>
  <si>
    <t xml:space="preserve">Risque d'absence de cadre clair pour la gestion des logiciels, entraînant des décisions incohérentes et des coûts non maîtrisés.</t>
  </si>
  <si>
    <t xml:space="preserve">Procès-verbal d’approbation</t>
  </si>
  <si>
    <t xml:space="preserve">Couverture de la politique (acquisition, déploiement, utilisation, fin de vie)</t>
  </si>
  <si>
    <t xml:space="preserve">La politique logicielle couvre-t-elle l'ensemble du cycle de vie des logiciels (acquisition, déploiement, utilisation, fin de vie) ?</t>
  </si>
  <si>
    <t xml:space="preserve">Annexe de la politique logicielle</t>
  </si>
  <si>
    <t xml:space="preserve">Risque de non-couverture de toutes les étapes clés du cycle de vie des logiciels, limitant la maîtrise et la conformité.</t>
  </si>
  <si>
    <t xml:space="preserve">Liste des processus couverts</t>
  </si>
  <si>
    <t xml:space="preserve">Niveau de diffusion et de connaissance de la politique au sein de l'organisation</t>
  </si>
  <si>
    <t xml:space="preserve">La politique logicielle a-t-elle été diffusée au sein de l'organisation ?</t>
  </si>
  <si>
    <t xml:space="preserve">Plan de diffusion de la politique</t>
  </si>
  <si>
    <t xml:space="preserve">Risque d'une politique logicielle non diffusée et non connue, ce qui limite son application et son efficacité.</t>
  </si>
  <si>
    <t xml:space="preserve">Registre des formations à la politique</t>
  </si>
  <si>
    <t xml:space="preserve">Existence de procédures opérationnelles découlant de la politique</t>
  </si>
  <si>
    <t xml:space="preserve">Des procédures opérationnelles découlant de la politique logicielle existent-elles ?</t>
  </si>
  <si>
    <t xml:space="preserve">Procédures opérationnelles</t>
  </si>
  <si>
    <t xml:space="preserve">Risque d'un manque de procédures opérationnelles, rendant la politique difficile à appliquer au quotidien.</t>
  </si>
  <si>
    <t xml:space="preserve">Manuel d’application de la politique</t>
  </si>
  <si>
    <t xml:space="preserve">Fréquence de mise à jour de la politique logicielle</t>
  </si>
  <si>
    <t xml:space="preserve">Une fréquence de mise à jour de la politique logicielle est-elle définie ou appliquée ?</t>
  </si>
  <si>
    <t xml:space="preserve">Planning de révision de la politique</t>
  </si>
  <si>
    <t xml:space="preserve">Risque de non-prise en compte des évolutions, conduisant à une politique obsolète et inadaptée.</t>
  </si>
  <si>
    <t xml:space="preserve">Journal des révisions</t>
  </si>
  <si>
    <t xml:space="preserve">s</t>
  </si>
  <si>
    <t xml:space="preserve">AUDIT SECURITE INFORMATIQUE</t>
  </si>
  <si>
    <t xml:space="preserve">Facteurs clés de succès</t>
  </si>
  <si>
    <t xml:space="preserve">Vérifier qu’une politique de sécurité est définie et correspond à 
l'activité de l'Organisation</t>
  </si>
  <si>
    <t xml:space="preserve">Existence d'un document formalisé intitulé "Politique de Sécurité de l'Information" (ou équivalent).</t>
  </si>
  <si>
    <t xml:space="preserve">La politique de sécurité de l'information existe-t-elle sous une forme documentée ?</t>
  </si>
  <si>
    <t xml:space="preserve">Politique de Sécurité de l’Information version actuelle</t>
  </si>
  <si>
    <t xml:space="preserve">Absence de cadre directeur pour la sécurité</t>
  </si>
  <si>
    <t xml:space="preserve">Décisions de sécurité incohérentes et inefficaces.</t>
  </si>
  <si>
    <t xml:space="preserve">Établir un cadre décisionnel basé sur une analyse des risques standardisée (ISO 27001, NIST).</t>
  </si>
  <si>
    <t xml:space="preserve">Historique de validation ou création de la politique</t>
  </si>
  <si>
    <t xml:space="preserve">Difficulté à obtenir des ressources et du soutien pour les initiatives de sécurité.</t>
  </si>
  <si>
    <t xml:space="preserve">Développer un business case clair pour démontrer le ROI des initiatives de sécurité.</t>
  </si>
  <si>
    <t xml:space="preserve">Approbation formelle de la politique par la Direction Générale (ou instance équivalente).</t>
  </si>
  <si>
    <t xml:space="preserve">La politique a-t-elle été approuvée formellement par la Direction Générale ou une instance équivalente ?</t>
  </si>
  <si>
    <t xml:space="preserve">Procès-verbal de réunion de validation par la Direction</t>
  </si>
  <si>
    <t xml:space="preserve">Mesures de sécurité inadéquates ou disproportionnées</t>
  </si>
  <si>
    <t xml:space="preserve">Vulnérabilités persistantes et risques accrus d'incidents de sécurité.</t>
  </si>
  <si>
    <t xml:space="preserve">Mettre en place un programme de gestion des vulnérabilités avec scans réguliers et priorisation des correctifs.</t>
  </si>
  <si>
    <t xml:space="preserve">Document signé d’approbation officielle de la politique</t>
  </si>
  <si>
    <t xml:space="preserve">Gaspillage de ressources sur des mesures inefficaces ou inutiles.</t>
  </si>
  <si>
    <t xml:space="preserve">Évaluer les mesures existantes pour réallouer les ressources vers des solutions efficaces.</t>
  </si>
  <si>
    <t xml:space="preserve">Alignement explicite des objectifs de la politique avec les activités métier et les risques spécifiques de l'Organisation.</t>
  </si>
  <si>
    <t xml:space="preserve">Les objectifs de la politique sont-ils explicitement alignés avec les activités métier et les risques spécifiques de l'organisation ?</t>
  </si>
  <si>
    <t xml:space="preserve">Cartographie des risques métier</t>
  </si>
  <si>
    <t xml:space="preserve">Politique de sécurité obsolète et inadaptée</t>
  </si>
  <si>
    <t xml:space="preserve">Non-conformité aux exigences réglementaires et aux meilleures pratiques.</t>
  </si>
  <si>
    <t xml:space="preserve">Réaliser un audit de conformité et aligner les pratiques sur les réglementations (RGPD, PCI-DSS, etc.).</t>
  </si>
  <si>
    <t xml:space="preserve">Note de cadrage ou étude de cohérence entre politique et stratégie métier</t>
  </si>
  <si>
    <t xml:space="preserve">Protection inadéquate contre les menaces actuelles.</t>
  </si>
  <si>
    <t xml:space="preserve">Déployer des solutions de protection adaptées (pare-feu, EDR, SIEM) aux menaces actuelles.</t>
  </si>
  <si>
    <t xml:space="preserve">Couverture des domaines clés de la sécurité (accès, données, continuité, etc.) dans la politique.</t>
  </si>
  <si>
    <t xml:space="preserve">La politique couvre-t-elle les domaines clés de la sécurité (accès, données, continuité, etc.) ?</t>
  </si>
  <si>
    <t xml:space="preserve">Sommaire de la politique listant les domaines couverts</t>
  </si>
  <si>
    <t xml:space="preserve">Manque de sensibilisation et de connaissance des règles de sécurité</t>
  </si>
  <si>
    <t xml:space="preserve">Comportements à risque et erreurs des employés.</t>
  </si>
  <si>
    <t xml:space="preserve">Lancer des programmes de formation continue pour réduire les comportements à risque.</t>
  </si>
  <si>
    <t xml:space="preserve">Annexes détaillant les mesures de sécurité par domaine</t>
  </si>
  <si>
    <t xml:space="preserve">Augmentation des incidents de sécurité.</t>
  </si>
  <si>
    <t xml:space="preserve">Implémenter un système de détection et de réponse aux incidents (SOC ou MDR).</t>
  </si>
  <si>
    <t xml:space="preserve">Date de dernière révision de la politique documentée et inférieure à une période définie (ex: 1 an).</t>
  </si>
  <si>
    <t xml:space="preserve">La date de dernière révision de la politique est-elle documentée et inférieure à une période définie (ex : 1 an) ?</t>
  </si>
  <si>
    <t xml:space="preserve">Registre des révisions de la politique</t>
  </si>
  <si>
    <t xml:space="preserve">Non-application de la politique de sécurité par les employés</t>
  </si>
  <si>
    <t xml:space="preserve">Non-respect des règles et procédures de sécurité.</t>
  </si>
  <si>
    <t xml:space="preserve">Renforcer l’application des politiques via des audits internes et des sanctions claires.</t>
  </si>
  <si>
    <t xml:space="preserve">Capture d’écran ou copie du document avec la date de dernière mise à jour</t>
  </si>
  <si>
    <t xml:space="preserve">Exposition accrue aux risques.</t>
  </si>
  <si>
    <t xml:space="preserve">Effectuer une analyse de risques régulière pour identifier et prioriser les expositions.</t>
  </si>
  <si>
    <t xml:space="preserve">Vérifier qu’une démarche de mise en œuvre de la gestion de la 
sécurité est adoptée et compatible avec la culture de l'Organisation </t>
  </si>
  <si>
    <t xml:space="preserve">Existence d'un plan de mise en œuvre documenté de la politique de sécurité.</t>
  </si>
  <si>
    <t xml:space="preserve">Un plan de mise en œuvre documenté de la politique de sécurité existe-t-il ?</t>
  </si>
  <si>
    <t xml:space="preserve">Plan d’action ou feuille de route de mise en œuvre</t>
  </si>
  <si>
    <t xml:space="preserve">Absence d'une approche structurée de la sécurité</t>
  </si>
  <si>
    <t xml:space="preserve">Difficulté à gérer et à coordonner les activités de sécurité.</t>
  </si>
  <si>
    <t xml:space="preserve">Centraliser la gestion des activités de sécurité avec un outil de GRC (Gouvernance, Risque, Conformité).</t>
  </si>
  <si>
    <t xml:space="preserve">Tableau de suivi des jalons de mise en œuvre</t>
  </si>
  <si>
    <t xml:space="preserve">Inefficacité des mesures de sécurité.</t>
  </si>
  <si>
    <t xml:space="preserve">Évaluer l’efficacité des mesures via des tests de pénétration et des simulations.</t>
  </si>
  <si>
    <t xml:space="preserve">Adéquation démontrée entre les actions de sécurité planifiées et la culture (ex: niveau de formalisme, communication).</t>
  </si>
  <si>
    <t xml:space="preserve">Les actions de sécurité planifiées sont-elles adaptées à la culture de l’organisation (niveau de formalisme, communication) ?</t>
  </si>
  <si>
    <t xml:space="preserve">Rapport d’adéquation culture/sécurité</t>
  </si>
  <si>
    <t xml:space="preserve">Manque d'adhésion et de coopération des parties prenantes</t>
  </si>
  <si>
    <t xml:space="preserve">Résistance au changement et faible adoption des mesures de sécurité.</t>
  </si>
  <si>
    <t xml:space="preserve">Mener des campagnes de communication pour favoriser l’adoption des mesures de sécurité.</t>
  </si>
  <si>
    <t xml:space="preserve">Preuves de communications internes adaptées (affiches, slides, etc.)</t>
  </si>
  <si>
    <t xml:space="preserve">Difficulté à mettre en œuvre la politique de sécurité.</t>
  </si>
  <si>
    <t xml:space="preserve">Simplifier les processus de mise en œuvre des politiques avec des guides clairs.</t>
  </si>
  <si>
    <t xml:space="preserve">Présence d'indicateurs de suivi de l'adoption de la démarche de sécurité.</t>
  </si>
  <si>
    <t xml:space="preserve">Des indicateurs de suivi de l’adoption de la démarche de sécurité sont-ils en place ?</t>
  </si>
  <si>
    <t xml:space="preserve">Tableaux de bord avec indicateurs clés</t>
  </si>
  <si>
    <t xml:space="preserve">Mesures de sécurité trop restrictives ou inadaptées</t>
  </si>
  <si>
    <t xml:space="preserve">Frustration des utilisateurs et perturbation des opérations.</t>
  </si>
  <si>
    <t xml:space="preserve">Optimiser l’ergonomie des outils de sécurité pour réduire la frustration des utilisateurs.</t>
  </si>
  <si>
    <t xml:space="preserve">Rapports de suivi périodique des KPIs de sécurité</t>
  </si>
  <si>
    <t xml:space="preserve">Impact négatif sur la productivité.</t>
  </si>
  <si>
    <t xml:space="preserve">Mesurer l’impact des mesures de sécurité sur la productivité pour ajuster les priorités.</t>
  </si>
  <si>
    <t xml:space="preserve">Identification et prise en compte documentées des résistances potentielles au changement.</t>
  </si>
  <si>
    <t xml:space="preserve">Les résistances potentielles au changement ont-elles été identifiées et documentées ?</t>
  </si>
  <si>
    <t xml:space="preserve">Rapport d’analyse des risques sociaux/organisationnels</t>
  </si>
  <si>
    <t xml:space="preserve">Difficulté à évaluer l'efficacité des mesures de sécurité</t>
  </si>
  <si>
    <t xml:space="preserve">Difficulté à justifier les investissements en sécurité.</t>
  </si>
  <si>
    <t xml:space="preserve">Utiliser des métriques (KPI) pour justifier les besoins d’investissement en sécurité.</t>
  </si>
  <si>
    <t xml:space="preserve">Plan de gestion du changement ou fiche d’impact</t>
  </si>
  <si>
    <t xml:space="preserve">Manque d'indicateurs de performance pertinents.</t>
  </si>
  <si>
    <t xml:space="preserve">Définir des indicateurs de performance (ex. : taux de résolution des vulnérabilités) pour évaluer les progrès.</t>
  </si>
  <si>
    <t xml:space="preserve">Validation de la démarche par les instances représentatives du personnel (si applicable).</t>
  </si>
  <si>
    <t xml:space="preserve">La démarche a-t-elle été validée par les instances représentatives du personnel, si applicable ?</t>
  </si>
  <si>
    <t xml:space="preserve">Procès-verbal de validation par les instances représentatives</t>
  </si>
  <si>
    <t xml:space="preserve">Lacunes de sécurité dans les processus métier</t>
  </si>
  <si>
    <t xml:space="preserve">Perturbation des activités et pertes financières.</t>
  </si>
  <si>
    <t xml:space="preserve">Mettre en place un plan de continuité et de reprise d’activité (BCP/DRP).</t>
  </si>
  <si>
    <t xml:space="preserve">Courriers ou courriels d’accord officiel des représentants du personnel</t>
  </si>
  <si>
    <t xml:space="preserve">Atteinte à la réputation de l'entreprise.</t>
  </si>
  <si>
    <t xml:space="preserve">Renforcer la protection des données via le chiffrement et des sauvegardes régulières.</t>
  </si>
  <si>
    <t xml:space="preserve">Vérifier que la direction assure un soutien total et un 
engagement visible pour la sécurité</t>
  </si>
  <si>
    <t xml:space="preserve">Existence de communications régulières de la Direction sur l'importance de la sécurité.</t>
  </si>
  <si>
    <t xml:space="preserve">La Direction communique-t-elle régulièrement sur l’importance de la sécurité ?</t>
  </si>
  <si>
    <t xml:space="preserve">Courriels de la Direction traitant de sécurité</t>
  </si>
  <si>
    <t xml:space="preserve">Manque de visibilité et de soutien de la direction</t>
  </si>
  <si>
    <t xml:space="preserve">Manque d'engagement envers la sécurité.</t>
  </si>
  <si>
    <t xml:space="preserve">Intégrer des modules de sensibilisation à la sécurité dans les processus RH.</t>
  </si>
  <si>
    <t xml:space="preserve">Captures d’écrans ou archives de messages intranet/diffusions internes</t>
  </si>
  <si>
    <t xml:space="preserve">Difficulté à obtenir le soutien nécessaire pour les initiatives de sécurité.</t>
  </si>
  <si>
    <t xml:space="preserve">Effectuer des audits réguliers pour identifier les failles exploitables.</t>
  </si>
  <si>
    <t xml:space="preserve">Allocation de ressources (budgétaires, humaines) suffisantes et démontrables pour les initiatives de sécurité.</t>
  </si>
  <si>
    <t xml:space="preserve">Les ressources (budgétaires, humaines) allouées aux initiatives de sécurité sont-elles suffisantes et démontrables ?</t>
  </si>
  <si>
    <t xml:space="preserve">Budget annuel de la DSI ou sécurité</t>
  </si>
  <si>
    <t xml:space="preserve">Insuffisance des ressources allouées à la sécurité</t>
  </si>
  <si>
    <t xml:space="preserve">Budget insuffisant pour mettre en œuvre des mesures de sécurité efficaces.</t>
  </si>
  <si>
    <t xml:space="preserve">Prioriser les investissements en fonction d’une matrice de risques actualisée.</t>
  </si>
  <si>
    <t xml:space="preserve">Fiche de poste ou organigramme RH montrant l’allocation humaine</t>
  </si>
  <si>
    <t xml:space="preserve">Recours à des solutions de sécurité inadéquates.</t>
  </si>
  <si>
    <t xml:space="preserve">Mettre à jour les sources d’information pour des décisions basées sur des données fiables.</t>
  </si>
  <si>
    <t xml:space="preserve">Participation active et documentée de membres de la Direction aux comités de sécurité ou revues stratégiques.</t>
  </si>
  <si>
    <t xml:space="preserve">La participation active et documentée de membres de la Direction aux comités de sécurité ou revues stratégiques est-elle assurée ?</t>
  </si>
  <si>
    <t xml:space="preserve">Comptes-rendus de comités de sécurité</t>
  </si>
  <si>
    <t xml:space="preserve">Manque d'implication de la direction dans les décisions de sécurité</t>
  </si>
  <si>
    <t xml:space="preserve">Décisions stratégiques erronées et manque de priorisation des risques.</t>
  </si>
  <si>
    <t xml:space="preserve">Adopter une méthodologie d’analyse des risques reconnue (EBIOS, OCTAVE).</t>
  </si>
  <si>
    <t xml:space="preserve">Liste de présence des membres de la Direction aux réunions</t>
  </si>
  <si>
    <t xml:space="preserve">Exposition accrue aux menaces.</t>
  </si>
  <si>
    <t xml:space="preserve">Réévaluer les mesures de sécurité pour garantir leur pertinence face aux menaces.</t>
  </si>
  <si>
    <t xml:space="preserve">Intégration des objectifs de sécurité dans les objectifs stratégiques globaux de l'Organisation.</t>
  </si>
  <si>
    <t xml:space="preserve">Les objectifs de sécurité sont-ils intégrés dans les objectifs stratégiques globaux de l’organisation ?</t>
  </si>
  <si>
    <t xml:space="preserve">Plan stratégique de l’Organisation intégrant la sécurité</t>
  </si>
  <si>
    <t xml:space="preserve">Mauvaise gestion des incidents de sécurité</t>
  </si>
  <si>
    <t xml:space="preserve">Impact négatif sur la continuité des activités.</t>
  </si>
  <si>
    <t xml:space="preserve">Utiliser des outils d’évaluation adaptés pour des résultats fiables.</t>
  </si>
  <si>
    <t xml:space="preserve">Matrice de contribution entre objectifs sécurité et stratégie globale</t>
  </si>
  <si>
    <t xml:space="preserve">Perte de données et atteinte à la réputation.</t>
  </si>
  <si>
    <t xml:space="preserve">Développer un plan d’action basé sur une priorisation claire des risques.</t>
  </si>
  <si>
    <t xml:space="preserve">Endossement formel et visible de la politique de sécurité par la Direction Générale.</t>
  </si>
  <si>
    <t xml:space="preserve">La politique de sécurité bénéficie-t-elle d’un endossement formel et visible par la Direction Générale ?</t>
  </si>
  <si>
    <t xml:space="preserve">Note de service ou déclaration officielle signée par la Direction</t>
  </si>
  <si>
    <t xml:space="preserve">Manque de sensibilisation et de compétences en sécurité chez les employés</t>
  </si>
  <si>
    <t xml:space="preserve">Erreurs humaines et négligence en matière de sécurité.</t>
  </si>
  <si>
    <t xml:space="preserve">Accélérer la mise en œuvre des correctifs via des processus automatisés.</t>
  </si>
  <si>
    <t xml:space="preserve">Visuel interne (poster, intranet) affichant l’engagement formel</t>
  </si>
  <si>
    <t xml:space="preserve">Vulnérabilité accrue aux attaques.</t>
  </si>
  <si>
    <t xml:space="preserve">Réviser régulièrement les politiques pour réduire les incidents.</t>
  </si>
  <si>
    <t xml:space="preserve">Vérifier que les exigences de sécurité et les risques sont 
compris et évalués</t>
  </si>
  <si>
    <t xml:space="preserve">Existence d'une méthodologie formalisée d'analyse des risques de sécurité.</t>
  </si>
  <si>
    <t xml:space="preserve">Une méthodologie formalisée d’analyse des risques de sécurité existe-t-elle ?</t>
  </si>
  <si>
    <t xml:space="preserve">Document décrivant la méthode d’analyse des risques (EBIOS, ISO, etc.)</t>
  </si>
  <si>
    <t xml:space="preserve">Décisions de sécurité prises sans connaissance suffisante des risques</t>
  </si>
  <si>
    <t xml:space="preserve">Mauvaise allocation des ressources et investissements inefficaces.</t>
  </si>
  <si>
    <t xml:space="preserve">Actualiser les bases de connaissances pour des décisions alignées sur les menaces actuelles.</t>
  </si>
  <si>
    <t xml:space="preserve">Manuel de sécurité ou procédures associées à l’analyse des risques</t>
  </si>
  <si>
    <t xml:space="preserve">Décisions de sécurité basées sur des informations incomplètes.</t>
  </si>
  <si>
    <t xml:space="preserve">Intégrer des technologies modernes pour contrer les nouvelles menaces.</t>
  </si>
  <si>
    <t xml:space="preserve">Réalisation documentée d'une analyse des risques couvrant les actifs informationnels clés.</t>
  </si>
  <si>
    <t xml:space="preserve">Une analyse des risques couvrant les actifs informationnels clés a-t-elle été réalisée et documentée ?</t>
  </si>
  <si>
    <t xml:space="preserve">Rapport d’analyse de risques complet</t>
  </si>
  <si>
    <t xml:space="preserve">Analyse des risques incomplète ou biaisée</t>
  </si>
  <si>
    <t xml:space="preserve">Analyse de risques erronée et sous-estimation des menaces.</t>
  </si>
  <si>
    <t xml:space="preserve">Effectuer des analyses de risques dynamiques pour réduire les vulnérabilités.</t>
  </si>
  <si>
    <t xml:space="preserve">Inventaire des actifs critiques analysés</t>
  </si>
  <si>
    <t xml:space="preserve">Mise en place de mesures de sécurité inadéquates.</t>
  </si>
  <si>
    <t xml:space="preserve">Renforcer la surveillance pour détecter rapidement les incidents potentiels.</t>
  </si>
  <si>
    <t xml:space="preserve">Identification et documentation des exigences de sécurité légales, réglementaires et contractuelles.</t>
  </si>
  <si>
    <t xml:space="preserve">Les exigences légales, réglementaires et contractuelles sont-elles identifiées et documentées ?</t>
  </si>
  <si>
    <t xml:space="preserve">Revue réglementaire ou juridique</t>
  </si>
  <si>
    <t xml:space="preserve">Méthodologie d'analyse des risques inadéquate</t>
  </si>
  <si>
    <t xml:space="preserve">Méthodologie inappropriée et résultats peu fiables.</t>
  </si>
  <si>
    <t xml:space="preserve">Mettre en place un comité de gestion des risques pour une vision globale.</t>
  </si>
  <si>
    <t xml:space="preserve">Registre des exigences légales avec cartographie des obligations</t>
  </si>
  <si>
    <t xml:space="preserve">Difficulté à prioriser les risques et à allouer les ressources efficacement.</t>
  </si>
  <si>
    <t xml:space="preserve">Intégrer la sécurité dans l’onboarding des nouveaux employés.</t>
  </si>
  <si>
    <t xml:space="preserve">Validation des résultats de l'analyse des risques par les propriétaires métier.</t>
  </si>
  <si>
    <t xml:space="preserve">Les résultats de l’analyse des risques ont-ils été validés par les propriétaires métier ?</t>
  </si>
  <si>
    <t xml:space="preserve">Document de validation signé par les responsables métier</t>
  </si>
  <si>
    <t xml:space="preserve">Difficulté à suivre et à mettre en œuvre les mesures correctives</t>
  </si>
  <si>
    <t xml:space="preserve">Retard dans la mise en œuvre des mesures correctives.</t>
  </si>
  <si>
    <t xml:space="preserve">Diversifier les formats de sensibilisation (jeux, vidéos) pour plus d’impact.</t>
  </si>
  <si>
    <t xml:space="preserve">Compte-rendu de réunion de validation des risques</t>
  </si>
  <si>
    <t xml:space="preserve">Augmentation du risque d'incidents de sécurité.</t>
  </si>
  <si>
    <t xml:space="preserve">Justifier les programmes de sensibilisation avec des études d’impact.</t>
  </si>
  <si>
    <t xml:space="preserve">Mise à jour périodique de l'analyse des risques documentée.</t>
  </si>
  <si>
    <t xml:space="preserve">La mise à jour périodique de l’analyse des risques est-elle documentée ?</t>
  </si>
  <si>
    <t xml:space="preserve">Registre de mise à jour des analyses de risques</t>
  </si>
  <si>
    <t xml:space="preserve">L'analyse des risques devient obsolète et ne reflète plus la réalité des menaces et des vulnérabilités</t>
  </si>
  <si>
    <t xml:space="preserve">Décisions de sécurité basées sur des informations obsolètes.</t>
  </si>
  <si>
    <t xml:space="preserve">Clarifier les règles de sécurité via des communications régulières.</t>
  </si>
  <si>
    <t xml:space="preserve">Agenda ou planification des prochaines analyses</t>
  </si>
  <si>
    <t xml:space="preserve">Inefficacité des mesures de sécurité face aux nouvelles menaces.</t>
  </si>
  <si>
    <t xml:space="preserve">Améliorer la détection des incidents via des outils d’analyse comportementale.</t>
  </si>
  <si>
    <t xml:space="preserve">Vérifier que l’ensemble des responsables et des employés sont 
sensibilisés et informés</t>
  </si>
  <si>
    <t xml:space="preserve">Existence d'un programme de sensibilisation à la sécurité formalisé et planifié.</t>
  </si>
  <si>
    <t xml:space="preserve">Un programme de sensibilisation à la sécurité formalisé et planifié existe-t-il ?</t>
  </si>
  <si>
    <t xml:space="preserve">Programme annuel ou pluriannuel de sensibilisation</t>
  </si>
  <si>
    <t xml:space="preserve">Manque de sensibilisation des employés aux risques de sécurité</t>
  </si>
  <si>
    <t xml:space="preserve">Exposition accrue aux risques et vulnérabilités.</t>
  </si>
  <si>
    <t xml:space="preserve">Créer des canaux de support dédiés pour les questions de sécurité.</t>
  </si>
  <si>
    <t xml:space="preserve">Calendrier des sessions prévues</t>
  </si>
  <si>
    <t xml:space="preserve">Augmentation de la probabilité d'incidents de sécurité.</t>
  </si>
  <si>
    <t xml:space="preserve">Reconnaître les efforts des employés pour renforcer leur motivation.</t>
  </si>
  <si>
    <t xml:space="preserve">Preuves de sessions de sensibilisation régulières pour tous les employés (listes d'émargement, supports).</t>
  </si>
  <si>
    <t xml:space="preserve">Des preuves de sessions de sensibilisation régulières pour tous les employés (listes d’émargement, supports) sont-elles disponibles ?</t>
  </si>
  <si>
    <t xml:space="preserve">Listes d’émargement signées</t>
  </si>
  <si>
    <t xml:space="preserve">Les nouveaux arrivants ne sont pas conscients des risques et des bonnes pratiques de sécurité</t>
  </si>
  <si>
    <t xml:space="preserve">Risques accrus pour l'organisation.</t>
  </si>
  <si>
    <t xml:space="preserve">Centraliser les ressources de sécurité dans un portail accessible.</t>
  </si>
  <si>
    <t xml:space="preserve">Supports de présentation utilisés lors des sessions</t>
  </si>
  <si>
    <t xml:space="preserve">Difficulté à intégrer les nouveaux employés dans la culture de sécurité de l'entreprise.</t>
  </si>
  <si>
    <t xml:space="preserve">Documenter les politiques et les rendre facilement consultables.</t>
  </si>
  <si>
    <t xml:space="preserve">post-sensibilisation (quiz, etc.).</t>
  </si>
  <si>
    <t xml:space="preserve">Des évaluations post-sensibilisation (quiz, etc.) sont-elles réalisées ?</t>
  </si>
  <si>
    <t xml:space="preserve">Résultats des quiz post-formation</t>
  </si>
  <si>
    <t xml:space="preserve">Difficulté à évaluer l'efficacité des campagnes de sensibilisation</t>
  </si>
  <si>
    <t xml:space="preserve">Inefficacité des mesures de sensibilisation et persistance des comportements à risque.</t>
  </si>
  <si>
    <t xml:space="preserve">Maintenir un registre des communications pour prouver la conformité.</t>
  </si>
  <si>
    <t xml:space="preserve">Rapport d’analyse des scores ou des retours</t>
  </si>
  <si>
    <t xml:space="preserve">Difficulté à justifier les investissements dans les programmes de sensibilisation.</t>
  </si>
  <si>
    <t xml:space="preserve">Auditer régulièrement les fournisseurs pour garantir leur conformité.</t>
  </si>
  <si>
    <t xml:space="preserve">Existence de canaux de communication dédiés aux informations de sécurité (intranet, newsletter...).</t>
  </si>
  <si>
    <t xml:space="preserve">Des canaux de communication dédiés aux informations de sécurité (intranet, newsletter, etc.) existent-ils ?</t>
  </si>
  <si>
    <t xml:space="preserve">Copies de newsletters sécurité</t>
  </si>
  <si>
    <t xml:space="preserve">Incertitude quant au niveau de compréhension des enjeux de sécurité par les employés</t>
  </si>
  <si>
    <t xml:space="preserve">Comportements à risque et non-respect des règles de sécurité.</t>
  </si>
  <si>
    <t xml:space="preserve">Mettre en place des plans de réponse aux incidents impliquant les fournisseurs.</t>
  </si>
  <si>
    <t xml:space="preserve">Captures de pages intranet dédiées</t>
  </si>
  <si>
    <t xml:space="preserve">Renforcer les contrats avec des clauses de sécurité strictes.</t>
  </si>
  <si>
    <t xml:space="preserve">Contenu des actions de sensibilisation adapté aux différents profils de personnel.</t>
  </si>
  <si>
    <t xml:space="preserve">Le contenu des actions de sensibilisation est-il adapté aux différents profils de personnel ?</t>
  </si>
  <si>
    <t xml:space="preserve">Planning des actions de sensibilisation par type de personnel</t>
  </si>
  <si>
    <t xml:space="preserve">Manque de ressources disponibles pour aider les employés à comprendre et à appliquer les règles de sécurité</t>
  </si>
  <si>
    <t xml:space="preserve">Manque de soutien et de conseils pour les employés en matière de sécurité.</t>
  </si>
  <si>
    <t xml:space="preserve">Définir des mécanismes de responsabilisation (contrats, formations).</t>
  </si>
  <si>
    <t xml:space="preserve">Guides adaptés aux différents profils (RH, IT, utilisateurs, etc.)</t>
  </si>
  <si>
    <t xml:space="preserve">Frustration et démotivation des employés.</t>
  </si>
  <si>
    <t xml:space="preserve">Mettre en place des rappels réguliers pour minimiser les erreurs.</t>
  </si>
  <si>
    <t xml:space="preserve">Vérifier que les lignes directrices de la politique de sécurité et 
des normes de sécurité de l'information sont distribuées à tous les 
employés et à tous les fournisseurs </t>
  </si>
  <si>
    <t xml:space="preserve">Existence d'une procédure documentée pour la diffusion des documents de sécurité.</t>
  </si>
  <si>
    <t xml:space="preserve">Une procédure documentée pour la diffusion des documents de sécurité existe-t-elle ?</t>
  </si>
  <si>
    <t xml:space="preserve">Procédure de diffusion des documents sécurité</t>
  </si>
  <si>
    <t xml:space="preserve">Difficulté d'accès à la politique de sécurité</t>
  </si>
  <si>
    <t xml:space="preserve">Difficulté à trouver et à comprendre les informations de sécurité.</t>
  </si>
  <si>
    <t xml:space="preserve">Surveiller les indicateurs de risque pour anticiper les incidents.</t>
  </si>
  <si>
    <t xml:space="preserve">Liste de distribution officielle</t>
  </si>
  <si>
    <t xml:space="preserve">Non-respect des règles de sécurité par manque d'information.</t>
  </si>
  <si>
    <t xml:space="preserve">Adopter une approche proactive pour gérer les risques (scans, audits).</t>
  </si>
  <si>
    <t xml:space="preserve">Preuves de distribution de la politique et des normes à tous les employés (ex: accusé de réception, intranet).</t>
  </si>
  <si>
    <t xml:space="preserve">Des preuves de distribution de la politique et des normes à tous les employés (accusé de réception, intranet) sont-elles disponibles ?</t>
  </si>
  <si>
    <t xml:space="preserve">Accusés de réception des employés</t>
  </si>
  <si>
    <t xml:space="preserve">Manque de preuve de la diffusion de la politique de sécurité</t>
  </si>
  <si>
    <t xml:space="preserve">Difficulté à prouver la communication des politiques de sécurité.</t>
  </si>
  <si>
    <t xml:space="preserve">Investir dans des technologies émergentes pour rester à jour.</t>
  </si>
  <si>
    <t xml:space="preserve">Preuve d’hébergement intranet avec accès</t>
  </si>
  <si>
    <t xml:space="preserve">Risque accru de non-conformité.</t>
  </si>
  <si>
    <t xml:space="preserve">Offrir des perspectives de carrière pour motiver les équipes sécurité.</t>
  </si>
  <si>
    <t xml:space="preserve">Inclusion des exigences de sécurité dans les contrats avec les fournisseurs.</t>
  </si>
  <si>
    <t xml:space="preserve">Les exigences de sécurité sont-elles incluses dans les contrats avec les fournisseurs ?</t>
  </si>
  <si>
    <t xml:space="preserve">Clauses contractuelles types intégrant la sécurité</t>
  </si>
  <si>
    <t xml:space="preserve">Failles de sécurité introduites par les fournisseurs</t>
  </si>
  <si>
    <t xml:space="preserve">Vulnérabilités de sécurité dans les systèmes et services des fournisseurs.</t>
  </si>
  <si>
    <t xml:space="preserve">Évaluer les nouvelles menaces via une veille technologique active.</t>
  </si>
  <si>
    <t xml:space="preserve">Copie d’un contrat fournisseur incluant ces clauses</t>
  </si>
  <si>
    <t xml:space="preserve">Incidents de sécurité affectant l'organisation.</t>
  </si>
  <si>
    <t xml:space="preserve">Mesurer l’efficacité des formations pour optimiser les ressources.</t>
  </si>
  <si>
    <t xml:space="preserve">Mise à disposition des documents de sécurité dans un format accessible et compréhensible.</t>
  </si>
  <si>
    <t xml:space="preserve">Les documents de sécurité sont-ils mis à disposition dans un format accessible et compréhensible ?</t>
  </si>
  <si>
    <t xml:space="preserve">Documents en version PDF ou HTML accessibles</t>
  </si>
  <si>
    <t xml:space="preserve">Incertitude quant à la prise de connaissance effective de la politique de sécurité</t>
  </si>
  <si>
    <t xml:space="preserve">Non-application des mesures de sécurité et augmentation des risques.</t>
  </si>
  <si>
    <t xml:space="preserve">Utiliser des tableaux de bord pour visualiser les performances de sécurité.</t>
  </si>
  <si>
    <t xml:space="preserve">Traductions éventuelles ou documents en FALC</t>
  </si>
  <si>
    <t xml:space="preserve">Difficulté à responsabiliser les employés en cas de non-respect des politiques.</t>
  </si>
  <si>
    <t xml:space="preserve">Détecter les failles via des audits proactifs et des tests réguliers.</t>
  </si>
  <si>
    <t xml:space="preserve">Mécanisme de suivi de la prise de connaissance des documents par les employés et fournisseurs.</t>
  </si>
  <si>
    <t xml:space="preserve">Un mécanisme de suivi de la prise de connaissance des documents par les employés et fournisseurs est-il en place ?</t>
  </si>
  <si>
    <t xml:space="preserve">Registre des prises de connaissance</t>
  </si>
  <si>
    <t xml:space="preserve">Mauvaise compréhension des documents de sécurité par certaines populations</t>
  </si>
  <si>
    <t xml:space="preserve">Erreurs et négligences en matière de sécurité.</t>
  </si>
  <si>
    <t xml:space="preserve">Mettre en place un cycle d’amélioration continue pour corriger les erreurs.</t>
  </si>
  <si>
    <t xml:space="preserve">Captures de l’outil RH ou intranet de validation</t>
  </si>
  <si>
    <t xml:space="preserve">Augmentation des risques d'incidents.</t>
  </si>
  <si>
    <t xml:space="preserve">Présenter des rapports clairs à la direction pour obtenir leur soutien.</t>
  </si>
  <si>
    <t xml:space="preserve">Vérifier que les acteurs de la sécurité sont formés de manière 
appropriée </t>
  </si>
  <si>
    <t xml:space="preserve">Identification claire des rôles et responsabilités spécifiques en matière de sécurité (RSSI, correspondants, etc.).</t>
  </si>
  <si>
    <t xml:space="preserve">Les rôles et responsabilités spécifiques en matière de sécurité (RSSI, correspondants, etc.) sont-ils clairement identifiés ?</t>
  </si>
  <si>
    <t xml:space="preserve">Fiches de fonction mentionnant la sécurité</t>
  </si>
  <si>
    <t xml:space="preserve">Compétences insuffisantes des personnes en charge de la sécurité</t>
  </si>
  <si>
    <t xml:space="preserve">Difficulté à gérer efficacement les risques de sécurité. Augmentation de la probabilité d'incidents.</t>
  </si>
  <si>
    <t xml:space="preserve">Impliquer la direction dans les comités de sécurité pour un engagement fort.</t>
  </si>
  <si>
    <t xml:space="preserve">Organigramme ou annuaire des rôles sécurité</t>
  </si>
  <si>
    <t xml:space="preserve">Incapacité à s'adapter aux nouvelles technologies et menaces. Vulnérabilités accrues.</t>
  </si>
  <si>
    <t xml:space="preserve">Clarifier les rôles et responsabilités via une matrice RACI.</t>
  </si>
  <si>
    <t xml:space="preserve">Existence d'un plan de formation spécifique pour les acteurs de la sécurité.
</t>
  </si>
  <si>
    <t xml:space="preserve">Un plan de formation spécifique pour les acteurs de la sécurité existe-t-il ?</t>
  </si>
  <si>
    <t xml:space="preserve">Plan de formation des acteurs clés</t>
  </si>
  <si>
    <t xml:space="preserve">Compétences techniques obsolètes</t>
  </si>
  <si>
    <t xml:space="preserve">Démotivation et manque d'engagement des équipes sécurité. Difficulté à attirer et retenir les talents.</t>
  </si>
  <si>
    <t xml:space="preserve">Renforcer le leadership avec des coordinateurs sécurité dédiés.</t>
  </si>
  <si>
    <t xml:space="preserve">Référentiel des compétences visées</t>
  </si>
  <si>
    <t xml:space="preserve">Exposition accrue aux nouvelles menaces. Difficulté à mettre en place des mesures de protection adéquates.</t>
  </si>
  <si>
    <t xml:space="preserve">Documenter les écarts de conformité pour des audits externes.</t>
  </si>
  <si>
    <t xml:space="preserve">Preuves de réalisation des formations prévues pour les acteurs de la sécurité (certificats, attestations).</t>
  </si>
  <si>
    <t xml:space="preserve">Des preuves de réalisation des formations prévues pour les acteurs de la sécurité (certificats, attestations) sont-elles disponibles ?</t>
  </si>
  <si>
    <t xml:space="preserve">Attestations de présence ou certificats de formation</t>
  </si>
  <si>
    <t xml:space="preserve">Manque de reconnaissance des compétences et expertise en sécurité insuffisante</t>
  </si>
  <si>
    <t xml:space="preserve">Posture de sécurité faible et persistance des vulnérabilités. Gaspillage des ressources investies dans la formation.</t>
  </si>
  <si>
    <t xml:space="preserve">Aligner les objectifs de sécurité avec les priorités métier via des ateliers.</t>
  </si>
  <si>
    <t xml:space="preserve">Rapports de formation mensuels ou annuels</t>
  </si>
  <si>
    <t xml:space="preserve">Difficulté à mesurer l'efficacité des mesures de sécurité. Incapacité à identifier les points faibles et à améliorer la sécurité.</t>
  </si>
  <si>
    <t xml:space="preserve">Former les employés pour une meilleure application des règles.</t>
  </si>
  <si>
    <t xml:space="preserve">Adéquation du contenu des formations avec les responsabilités attribuées à chaque acteur.</t>
  </si>
  <si>
    <t xml:space="preserve">Le contenu des formations est-il adapté aux responsabilités attribuées à chaque acteur ?</t>
  </si>
  <si>
    <t xml:space="preserve">Grille d’évaluation des compétences</t>
  </si>
  <si>
    <t xml:space="preserve">Méconnaissance des nouvelles menaces et vulnérabilités</t>
  </si>
  <si>
    <t xml:space="preserve">Faiblesses de sécurité non détectées et non corrigées. Risque accru d'incidents de sécurité.</t>
  </si>
  <si>
    <t xml:space="preserve">Analyser les incidents passés pour améliorer les pratiques.</t>
  </si>
  <si>
    <t xml:space="preserve">Résultats des évaluations ou tests pratiques</t>
  </si>
  <si>
    <t xml:space="preserve">Non-amélioration des pratiques de sécurité et répétition des erreurs. Augmentation des coûts liés aux incidents.</t>
  </si>
  <si>
    <t xml:space="preserve">Encourager la participation via des programmes d’incitation.</t>
  </si>
  <si>
    <t xml:space="preserve">Évaluation régulière des compétences des acteurs de la sécurité.</t>
  </si>
  <si>
    <t xml:space="preserve">Une évaluation régulière des compétences des acteurs de la sécurité est-elle effectuée ?</t>
  </si>
  <si>
    <t xml:space="preserve">Liste des KPIs validés</t>
  </si>
  <si>
    <t xml:space="preserve">Formations inadaptées ou inefficaces, n'améliorant pas la posture de sécurité</t>
  </si>
  <si>
    <t xml:space="preserve">Manque de visibilité sur la performance de la sécurité. Difficulté à obtenir le soutien de la direction.</t>
  </si>
  <si>
    <t xml:space="preserve">Auditer l’accessibilité pour garantir la conformité aux normes.</t>
  </si>
  <si>
    <t xml:space="preserve">Document de définition des indicateurs</t>
  </si>
  <si>
    <t xml:space="preserve">Manque d'engagement de la direction envers la sécurité. Non-priorisation des initiatives de sécurité.</t>
  </si>
  <si>
    <t xml:space="preserve">Maintenir une veille active pour des informations à jour.</t>
  </si>
  <si>
    <t xml:space="preserve">Vérifier qu’un système de mesure complet est mis en place afin 
d'évaluer l'efficacité de la gestion de la sécurité de l'information et 
pour collecter les suggestions d'amélioration</t>
  </si>
  <si>
    <t xml:space="preserve">Définition d'indicateurs clés de performance (KPIs) pour la sécurité de l'information.</t>
  </si>
  <si>
    <t xml:space="preserve">Des indicateurs clés de performance (KPIs) pour la sécurité de l’information sont-ils définis ?</t>
  </si>
  <si>
    <t xml:space="preserve">Rapports trimestriels de suivi des indicateurs</t>
  </si>
  <si>
    <t xml:space="preserve">Absence de suivi des indicateurs clés de performance (KPI) liés à la sécurité</t>
  </si>
  <si>
    <t xml:space="preserve">Confusion sur les rôles et responsabilités. Difficulté à appliquer la politique de sécurité.</t>
  </si>
  <si>
    <t xml:space="preserve">Réviser les politiques pour les aligner sur les meilleures pratiques.</t>
  </si>
  <si>
    <t xml:space="preserve">Tableaux de bord issus d’un outil de BI ou Excel</t>
  </si>
  <si>
    <t xml:space="preserve">Manque de leadership et de coordination des efforts de sécurité. Inefficacité des mesures de sécurité.</t>
  </si>
  <si>
    <t xml:space="preserve">Collecte et analyse documentées et régulières des KPIs de sécurité.</t>
  </si>
  <si>
    <t xml:space="preserve">La collecte et l’analyse documentées et régulières des KPIs de sécurité sont-elles en place ?</t>
  </si>
  <si>
    <t xml:space="preserve">Tableau de bord sécurité présenté en comité</t>
  </si>
  <si>
    <t xml:space="preserve">Absence de réalisation régulière des audits internes ou externes</t>
  </si>
  <si>
    <t xml:space="preserve">Non-respect des règles de sécurité et augmentation des risques. Difficulté à prouver la conformité.</t>
  </si>
  <si>
    <t xml:space="preserve">Procès-verbal de présentation à la Direction</t>
  </si>
  <si>
    <t xml:space="preserve">Difficulté à aligner les objectifs de sécurité avec les objectifs métier. Manque d'efficacité des mesures de sécurité.</t>
  </si>
  <si>
    <t xml:space="preserve">Existence d'un tableau de bord de sécurité présenté périodiquement à la Direction.</t>
  </si>
  <si>
    <t xml:space="preserve">Un tableau de bord de sécurité est-il présenté périodiquement à la Direction ?</t>
  </si>
  <si>
    <t xml:space="preserve">Procédure de traitement des suggestions internes</t>
  </si>
  <si>
    <t xml:space="preserve">Manque de mécanisme de retour d’expérience après des incidents de sécurité</t>
  </si>
  <si>
    <t xml:space="preserve">Incompréhension et mauvaise application des règles de sécurité. Augmentation des risques d'incidents.</t>
  </si>
  <si>
    <t xml:space="preserve">Registre ou outil de suivi des suggestions reçues</t>
  </si>
  <si>
    <t xml:space="preserve">Non-prise en compte des retours d'expérience et persistance des erreurs. Difficulté à améliorer la sécurité.</t>
  </si>
  <si>
    <t xml:space="preserve">Processus formalisé pour la collecte et le traitement des suggestions d'amélioration en matière de sécurité.</t>
  </si>
  <si>
    <t xml:space="preserve">Un processus formalisé pour la collecte et le traitement des suggestions d’amélioration en matière de sécurité existe-t-il ?</t>
  </si>
  <si>
    <t xml:space="preserve">Rapport d’ajustement de stratégie</t>
  </si>
  <si>
    <t xml:space="preserve">Absence de rapport régulier sur la sécurité présenté à la direction</t>
  </si>
  <si>
    <t xml:space="preserve">Manque d'engagement et de participation des employés. Inefficacité des mesures de sécurité.</t>
  </si>
  <si>
    <t xml:space="preserve">Plan d’actions mis à jour suite aux mesures</t>
  </si>
  <si>
    <t xml:space="preserve">Exclusion et discrimination des personnes en situation de handicap. Non-conformité aux exigences d'accessibilité.</t>
  </si>
  <si>
    <t xml:space="preserve">Utilisation démontrée des mesures pour ajuster la stratégie et les actions de sécurité.</t>
  </si>
  <si>
    <t xml:space="preserve">L’utilisation des mesures issues des suggestions pour ajuster la stratégie et les actions de sécurité est-elle démontrée ?</t>
  </si>
  <si>
    <t xml:space="preserve">Plan de communication formel</t>
  </si>
  <si>
    <t xml:space="preserve">Absence de formalisation et validation de la politique de sécurité par la direction</t>
  </si>
  <si>
    <t xml:space="preserve">Informations obsolètes et inadaptées aux menaces actuelles. Augmentation des risques.</t>
  </si>
  <si>
    <t xml:space="preserve">Note interne de validation de la stratégie de communication</t>
  </si>
  <si>
    <t xml:space="preserve">Politique de sécurité inadaptée et non conforme aux meilleures pratiques. Risque accru de vulnérabilités.</t>
  </si>
  <si>
    <t xml:space="preserve">S’assurer que la communication se fait à tous les utilisateurs 
sous une forme pertinente, accessible et compréhensible au lecteur</t>
  </si>
  <si>
    <t xml:space="preserve">Existence d’un plan de communication formalisé couvrant tous les utilisateurs.</t>
  </si>
  <si>
    <t xml:space="preserve">Un plan de communication formalisé couvrant tous les utilisateurs existe-t-il ?</t>
  </si>
  <si>
    <t xml:space="preserve">Captures des supports utilisés</t>
  </si>
  <si>
    <t xml:space="preserve">Responsabilités en matière de sécurité non clairement définies dans la politique</t>
  </si>
  <si>
    <t xml:space="preserve">Manque de coordination et de cohérence dans la revue de la politique. Décisions de sécurité non optimales.</t>
  </si>
  <si>
    <t xml:space="preserve">Mettre en place un comité de revue pour assurer la cohérence des politiques.</t>
  </si>
  <si>
    <t xml:space="preserve">Comptes-rendus de réunions ou photos d’affichage</t>
  </si>
  <si>
    <t xml:space="preserve">Politique de sécurité inadaptée aux changements de l'environnement. Augmentation des risques.</t>
  </si>
  <si>
    <t xml:space="preserve">Adapter les politiques aux évolutions via des mises à jour régulières.</t>
  </si>
  <si>
    <t xml:space="preserve">Utilisation de supports variés adaptés aux profils des utilisateurs (email, intranet, réunions, affichages).</t>
  </si>
  <si>
    <t xml:space="preserve">Des supports variés adaptés aux profils des utilisateurs sont-ils utilisés (email, intranet, réunions, affichages) ?</t>
  </si>
  <si>
    <t xml:space="preserve">Exemples de communications (newsletter, guides simplifiés)</t>
  </si>
  <si>
    <t xml:space="preserve">Manque d’implication de la direction générale dans la gouvernance de la sécurité</t>
  </si>
  <si>
    <t xml:space="preserve">Difficulté à suivre l'évolution de la politique et à justifier les modifications. Manque de transparence.</t>
  </si>
  <si>
    <t xml:space="preserve">Documenter les modifications des politiques avec un système de suivi.</t>
  </si>
  <si>
    <t xml:space="preserve">Documents traduits ou en FALC (Facile À Lire et à Comprendre)</t>
  </si>
  <si>
    <t xml:space="preserve">Difficulté à restaurer des versions antérieures en cas de problème. Risque de perte d'informations importantes.</t>
  </si>
  <si>
    <t xml:space="preserve">Utiliser un outil de gestion des versions pour restaurer les politiques si besoin.</t>
  </si>
  <si>
    <t xml:space="preserve">Langage clair, sans jargon technique, et adapté aux différents niveaux de compétence.</t>
  </si>
  <si>
    <t xml:space="preserve">Le langage utilisé dans les communications est-il clair, sans jargon technique, et adapté aux différents niveaux de compétence ?</t>
  </si>
  <si>
    <t xml:space="preserve">Résultats d’enquêtes de satisfaction</t>
  </si>
  <si>
    <t xml:space="preserve">Non-diffusion ou non-affichage de la politique de sécurité aux parties prenantes</t>
  </si>
  <si>
    <t xml:space="preserve">Difficulté à identifier et à protéger tous les actifs. Risque accru de compromission des données.</t>
  </si>
  <si>
    <t xml:space="preserve">Inventorier tous les actifs avec un outil de gestion des configurations.</t>
  </si>
  <si>
    <t xml:space="preserve">Synthèse des retours utilisateurs</t>
  </si>
  <si>
    <t xml:space="preserve">Lacunes de sécurité pour les nouveaux dispositifs et technologies. Augmentation de la surface d'attaque.</t>
  </si>
  <si>
    <t xml:space="preserve">Évaluer la sécurité des nouveaux dispositifs avant leur déploiement.</t>
  </si>
  <si>
    <t xml:space="preserve">Mesure régulière de la compréhension via enquêtes ou retours utilisateurs.</t>
  </si>
  <si>
    <t xml:space="preserve">Une mesure régulière de la compréhension via enquêtes ou retours utilisateurs est-elle réalisée ?</t>
  </si>
  <si>
    <t xml:space="preserve">Documentation mentionnant les adaptations (langue, accessibilité)</t>
  </si>
  <si>
    <t xml:space="preserve">Politique de sécurité non intégrée dans la stratégie globale de l’organisation</t>
  </si>
  <si>
    <t xml:space="preserve">Vulnérabilités non détectées dans certains systèmes. Risque accru d'incidents de sécurité.</t>
  </si>
  <si>
    <t xml:space="preserve">Effectuer des scans réguliers pour détecter les vulnérabilités système.</t>
  </si>
  <si>
    <t xml:space="preserve">Audit d’accessibilité ou conformité RGAA</t>
  </si>
  <si>
    <t xml:space="preserve">Exposition accrue aux risques dans les domaines exclus</t>
  </si>
  <si>
    <t xml:space="preserve">Élargir l’analyse des risques pour inclure tous les domaines.</t>
  </si>
  <si>
    <t xml:space="preserve">Accessibilité des communications (ex : prise en compte des handicaps, traduction si nécessaire).</t>
  </si>
  <si>
    <t xml:space="preserve">Les communications sont-elles accessibles (prise en compte des handicaps, traduction si nécessaire) ?</t>
  </si>
  <si>
    <t xml:space="preserve">Planning annuel ou semestriel des revues</t>
  </si>
  <si>
    <t xml:space="preserve">Absence de supports de sensibilisation et de formation adaptés aux différents utilisateurs</t>
  </si>
  <si>
    <t xml:space="preserve">Exploitation des vulnérabilités des systèmes non traditionnels. </t>
  </si>
  <si>
    <t xml:space="preserve">Auditer les systèmes non traditionnels pour identifier les failles.</t>
  </si>
  <si>
    <t xml:space="preserve">Agenda partagé ou feuille de route</t>
  </si>
  <si>
    <t xml:space="preserve">Non-conformité et sanctions potentielles.</t>
  </si>
  <si>
    <t xml:space="preserve">Réaliser un audit de conformité pour éviter les sanctions.</t>
  </si>
  <si>
    <t xml:space="preserve">S’assurer qu’une revue régulière de la politique est réalisée afin 
de vérifier son adéquation avec </t>
  </si>
  <si>
    <t xml:space="preserve">Existence d’un calendrier formel de revue périodique de la politique de sécurité.</t>
  </si>
  <si>
    <t xml:space="preserve">Existe-t-il un calendrier documenté et suivi pour la revue périodique de la politique de sécurité ?</t>
  </si>
  <si>
    <t xml:space="preserve">Invitations aux parties prenantes</t>
  </si>
  <si>
    <t xml:space="preserve">Utilisation de canaux de communication inappropriés pour la diffusion des retours d’expérience</t>
  </si>
  <si>
    <t xml:space="preserve">Fuites d’informations sensibles  </t>
  </si>
  <si>
    <t xml:space="preserve">Chiffrer les données sensibles pour prévenir les fuites.</t>
  </si>
  <si>
    <t xml:space="preserve">Comptes-rendus de réunion de revue</t>
  </si>
  <si>
    <t xml:space="preserve">Mauvaise compréhension des leçons apprises  </t>
  </si>
  <si>
    <t xml:space="preserve">Capitaliser sur les retours d’expérience via des ateliers post-incident.</t>
  </si>
  <si>
    <t xml:space="preserve">Implication des parties prenantes clés (direction, IT, utilisateurs) dans la revue.</t>
  </si>
  <si>
    <t xml:space="preserve">Les parties prenantes clés (direction, IT, utilisateurs) sont-elles activement impliquées dans le processus de revue de la politique de sécurité ?</t>
  </si>
  <si>
    <t xml:space="preserve">Analyse d’écarts (gap analysis)</t>
  </si>
  <si>
    <t xml:space="preserve">Absence de mécanismes de retour d’information pour mesurer l’assimilation des supports de sécurité</t>
  </si>
  <si>
    <t xml:space="preserve">Non-respect des consignes de sécurité  </t>
  </si>
  <si>
    <t xml:space="preserve">Communiquer clairement les consignes de sécurité à tous les niveaux.</t>
  </si>
  <si>
    <t xml:space="preserve">Rapport comparatif entre exigences et politique</t>
  </si>
  <si>
    <t xml:space="preserve">Faiblesse dans l’application des mesures  </t>
  </si>
  <si>
    <t xml:space="preserve">Renforcer l’application des mesures par des contrôles réguliers.</t>
  </si>
  <si>
    <t xml:space="preserve">Analyse des écarts entre la politique actuelle et les exigences réglementaires ou opérationnelles.</t>
  </si>
  <si>
    <t xml:space="preserve">Une analyse des écarts entre la politique de sécurité actuelle et les exigences réglementaires ou opérationnelles est-elle réalisée et documentée ?</t>
  </si>
  <si>
    <t xml:space="preserve">Document de synthèse de la revue</t>
  </si>
  <si>
    <t xml:space="preserve">Supports de sécurité non accessibles aux personnes en situation de handicap</t>
  </si>
  <si>
    <t xml:space="preserve">Exclusion des utilisateurs concernés  </t>
  </si>
  <si>
    <t xml:space="preserve">Inclure les utilisateurs concernés dans la conception des mesures.</t>
  </si>
  <si>
    <t xml:space="preserve">Plan d’actions suite à la revue</t>
  </si>
  <si>
    <t xml:space="preserve">Non-conformité aux obligations d’accessibilité  </t>
  </si>
  <si>
    <t xml:space="preserve">Mettre en place des formations sur l’accessibilité pour assurer la conformité.</t>
  </si>
  <si>
    <t xml:space="preserve">Documentation des résultats et plan d’actions correctives.</t>
  </si>
  <si>
    <t xml:space="preserve">Les résultats des revues sont-ils documentés avec un plan d’actions correctives clairement défini ?</t>
  </si>
  <si>
    <t xml:space="preserve">Email de notification des mises à jour</t>
  </si>
  <si>
    <t xml:space="preserve">Supports de sécurité non mis à jour régulièrement</t>
  </si>
  <si>
    <t xml:space="preserve">Exposition à des menaces émergentes  </t>
  </si>
  <si>
    <t xml:space="preserve">Surveiller les menaces émergentes via une veille proactive.</t>
  </si>
  <si>
    <t xml:space="preserve">Document d’accompagnement des modifications</t>
  </si>
  <si>
    <t xml:space="preserve">Obsolescence des consignes de sécurité  </t>
  </si>
  <si>
    <t xml:space="preserve">Mettre à jour les consignes pour refléter les nouveaux risques.</t>
  </si>
  <si>
    <t xml:space="preserve">Communication des mises à jour aux utilisateurs concernés.</t>
  </si>
  <si>
    <t xml:space="preserve">Les mises à jour de la politique de sécurité sont-elles communiquées de manière claire et systématique aux utilisateurs concernés ?</t>
  </si>
  <si>
    <t xml:space="preserve">Email ou note interne annonçant les mises à jour</t>
  </si>
  <si>
    <t xml:space="preserve">Absence de calendrier annuel de révision de la politique de sécurité</t>
  </si>
  <si>
    <t xml:space="preserve">Politiques inadaptées aux nouveaux risques  </t>
  </si>
  <si>
    <t xml:space="preserve">Réviser les politiques pour intégrer les évolutions du contexte.</t>
  </si>
  <si>
    <t xml:space="preserve">Preuve de diffusion (ex : accusé de réception, annonce intranet)</t>
  </si>
  <si>
    <t xml:space="preserve">Manque de régularité dans les mises à jour  </t>
  </si>
  <si>
    <t xml:space="preserve">Planifier des mises à jour régulières des politiques de sécurité.</t>
  </si>
  <si>
    <t xml:space="preserve">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</si>
  <si>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 xml:space="preserve">Inventaire complet des équipements et systèmes (imprimantes, téléphones IP, informatique industrielle, etc.).</t>
  </si>
  <si>
    <t xml:space="preserve">Un inventaire complet et à jour des équipements et systèmes (imprimantes, téléphones IP, informatique industrielle, etc.) est-il maintenu ?</t>
  </si>
  <si>
    <t xml:space="preserve">Inventaire technique détaillé du parc matériel</t>
  </si>
  <si>
    <t xml:space="preserve">Manque de comité de pilotage sécurité dans la revue de la politique</t>
  </si>
  <si>
    <t xml:space="preserve">Décisions non alignées sur les priorités  </t>
  </si>
  <si>
    <t xml:space="preserve">Aligner les décisions sur une analyse des priorités stratégiques.</t>
  </si>
  <si>
    <t xml:space="preserve">Registre de mise à jour de l’inventaire</t>
  </si>
  <si>
    <t xml:space="preserve">Absence de validation stratégique  </t>
  </si>
  <si>
    <t xml:space="preserve">Valider les politiques via un processus d’approbation formel.</t>
  </si>
  <si>
    <t xml:space="preserve">Évaluation des risques spécifiques à chaque catégorie d’équipement.</t>
  </si>
  <si>
    <t xml:space="preserve">Les risques spécifiques à chaque catégorie d’équipement sont-ils évalués et documentés ?</t>
  </si>
  <si>
    <t xml:space="preserve">Rapport d’évaluation des risques par type d’équipement</t>
  </si>
  <si>
    <t xml:space="preserve">Changements de contexte non pris en compte dans la politique de sécurité</t>
  </si>
  <si>
    <t xml:space="preserve">Inefficacité des mesures face aux évolutions  </t>
  </si>
  <si>
    <t xml:space="preserve">Évaluer l’efficacité des mesures face aux nouveaux scénarios.</t>
  </si>
  <si>
    <t xml:space="preserve">Cartographie des risques matériels</t>
  </si>
  <si>
    <t xml:space="preserve">Exposition à des vulnérabilités non anticipées  </t>
  </si>
  <si>
    <t xml:space="preserve">Anticiper les vulnérabilités via des analyses prospectives.</t>
  </si>
  <si>
    <t xml:space="preserve">Mise en place de mesures de sécurité adaptées à tous les équipements.</t>
  </si>
  <si>
    <t xml:space="preserve">Des mesures de sécurité adaptées sont-elles mises en place pour toutes les catégories d’équipements ?</t>
  </si>
  <si>
    <t xml:space="preserve">Liste des mesures de sécurité par catégorie d’équipement</t>
  </si>
  <si>
    <t xml:space="preserve">Absence de documentation des modifications de la politique de sécurité</t>
  </si>
  <si>
    <t xml:space="preserve">Perte de traçabilité des changements  </t>
  </si>
  <si>
    <t xml:space="preserve">Maintenir un historique traçable des changements de politiques.</t>
  </si>
  <si>
    <t xml:space="preserve">Procédure de mise en œuvre des protections matérielles</t>
  </si>
  <si>
    <t xml:space="preserve">Difficulté à justifier les décisions  </t>
  </si>
  <si>
    <t xml:space="preserve">Justifier les décisions avec des rapports d’analyse clairs.</t>
  </si>
  <si>
    <t xml:space="preserve">Sensibilisation des responsables techniques aux exigences de sécurité.</t>
  </si>
  <si>
    <t xml:space="preserve">Les responsables techniques sont-ils sensibilisés aux exigences de sécurité applicables ?</t>
  </si>
  <si>
    <t xml:space="preserve">Planning ou attestation de sensibilisation des équipes techniques</t>
  </si>
  <si>
    <t xml:space="preserve">Manque d’archivage des versions précédentes de la politique de sécurité</t>
  </si>
  <si>
    <t xml:space="preserve">Incapacité à analyser l’historique  </t>
  </si>
  <si>
    <t xml:space="preserve">Archiver les versions des politiques pour analyse future.</t>
  </si>
  <si>
    <t xml:space="preserve">Supports de formation ou communication spécifique</t>
  </si>
  <si>
    <t xml:space="preserve">Problèmes lors d’audits réglementaires  </t>
  </si>
  <si>
    <t xml:space="preserve">Préparer des rapports détaillés pour faciliter les audits.</t>
  </si>
  <si>
    <t xml:space="preserve">Contrôles réguliers pour vérifier la couverture complète du dispositif de sécurité.</t>
  </si>
  <si>
    <t xml:space="preserve">Des contrôles réguliers sont-ils effectués pour vérifier la couverture complète des dispositifs de sécurité ?</t>
  </si>
  <si>
    <t xml:space="preserve">Rapports de contrôles ou audits internes sur les équipements</t>
  </si>
  <si>
    <t xml:space="preserve">Absence d’inventaire exhaustif des actifs informationnels</t>
  </si>
  <si>
    <t xml:space="preserve">Gestion inadéquate des actifs critiques  </t>
  </si>
  <si>
    <t xml:space="preserve">Utiliser un outil de GMAO pour gérer les actifs critiques.</t>
  </si>
  <si>
    <t xml:space="preserve">Check-list de vérification du dispositif de sécurité</t>
  </si>
  <si>
    <t xml:space="preserve">Exposition à des compromissions non identifiées  </t>
  </si>
  <si>
    <t xml:space="preserve">Surveiller en continu pour détecter les compromissions.</t>
  </si>
  <si>
    <t xml:space="preserve">S’assurer que la politique de sécurité est alignée sur les exigences réglementaires et normatives applicables</t>
  </si>
  <si>
    <t xml:space="preserve">Identification claire des exigences réglementaires et normatives applicables.</t>
  </si>
  <si>
    <t xml:space="preserve">Les exigences réglementaires et normatives applicables sont-elles clairement identifiées et documentées ?</t>
  </si>
  <si>
    <t xml:space="preserve">Liste des exigences légales et normatives applicables (RGPD, ISO, etc.)</t>
  </si>
  <si>
    <t xml:space="preserve">Dispositifs non traditionnels non explicitement inclus dans la politique de sécurité</t>
  </si>
  <si>
    <t xml:space="preserve">Vulnérabilités non couvertes par les politiques  </t>
  </si>
  <si>
    <t xml:space="preserve">Élargir les politiques pour couvrir toutes les vulnérabilités.</t>
  </si>
  <si>
    <t xml:space="preserve">Revue documentaire de conformité réglementaire</t>
  </si>
  <si>
    <t xml:space="preserve">Non-conformité aux normes de sécurité  </t>
  </si>
  <si>
    <t xml:space="preserve">Auditer la conformité aux normes (ISO 27001, NIST, etc.).</t>
  </si>
  <si>
    <t xml:space="preserve">Documentation démontrant l’alignement de la politique avec ces exigences.</t>
  </si>
  <si>
    <t xml:space="preserve">Une documentation démontre-t-elle l’alignement de la politique avec les exigences réglementaires et normatives ?</t>
  </si>
  <si>
    <t xml:space="preserve">Document de correspondance entre politique et exigences (matrice d’alignement)</t>
  </si>
  <si>
    <t xml:space="preserve">Audits de sécurité ne couvrant pas tous les systèmes informationnels</t>
  </si>
  <si>
    <t xml:space="preserve">Couverture partielle des systèmes critiques  </t>
  </si>
  <si>
    <t xml:space="preserve">Inventorier les systèmes critiques pour une couverture complète.</t>
  </si>
  <si>
    <t xml:space="preserve">Note explicative de mise en conformité</t>
  </si>
  <si>
    <t xml:space="preserve">Failles de sécurité non détectées  </t>
  </si>
  <si>
    <t xml:space="preserve">Effectuer des tests de pénétration pour détecter les failles.</t>
  </si>
  <si>
    <t xml:space="preserve">Mise à jour régulière de la politique en fonction des évolutions légales.</t>
  </si>
  <si>
    <t xml:space="preserve">La politique est-elle régulièrement mise à jour en fonction des évolutions légales ?</t>
  </si>
  <si>
    <t xml:space="preserve">Historique des mises à jour légales intégrées à la politique</t>
  </si>
  <si>
    <t xml:space="preserve">Plan de sécurité excluant certains domaines</t>
  </si>
  <si>
    <t xml:space="preserve">Protection insuffisante de certains actifs  </t>
  </si>
  <si>
    <t xml:space="preserve">Classer les actifs par criticité pour une protection ciblée.</t>
  </si>
  <si>
    <t xml:space="preserve">Tableau de suivi réglementaire</t>
  </si>
  <si>
    <t xml:space="preserve">Augmentation des risques d’incidents  </t>
  </si>
  <si>
    <t xml:space="preserve">Renforcer la surveillance pour réduire les risques d’incidents.</t>
  </si>
  <si>
    <t xml:space="preserve">Réalisation d’audits internes ou externes pour vérifier la conformité.</t>
  </si>
  <si>
    <t xml:space="preserve">Des audits internes ou externes sont-ils réalisés pour vérifier la conformité aux exigences ?</t>
  </si>
  <si>
    <t xml:space="preserve">Rapports d’audit de conformité (interne/externe)</t>
  </si>
  <si>
    <t xml:space="preserve">Absence de supervision continue des systèmes non traditionnels</t>
  </si>
  <si>
    <t xml:space="preserve">Compromission non détectée des systèmes  </t>
  </si>
  <si>
    <t xml:space="preserve">Déployer des outils SIEM pour détecter les compromissions.</t>
  </si>
  <si>
    <t xml:space="preserve">Plans d’action associés aux constats d’audit</t>
  </si>
  <si>
    <t xml:space="preserve">Réponse tardive aux incidents  </t>
  </si>
  <si>
    <t xml:space="preserve">Former les équipes pour une réponse rapide aux incidents.</t>
  </si>
  <si>
    <t xml:space="preserve">Existence d’un responsable dédié à la veille réglementaire</t>
  </si>
  <si>
    <t xml:space="preserve">Un responsable dédié à la veille réglementaire est-il désigné et actif ?</t>
  </si>
  <si>
    <t xml:space="preserve">Fiche de poste du responsable de veille réglementaire</t>
  </si>
  <si>
    <t xml:space="preserve">Référentiels réglementaires et normatifs non identifiés</t>
  </si>
  <si>
    <t xml:space="preserve">Non-respect des obligations légales  </t>
  </si>
  <si>
    <t xml:space="preserve">Vérifier régulièrement la conformité aux obligations légales.</t>
  </si>
  <si>
    <t xml:space="preserve">Rapport de veille réglementaire périodique</t>
  </si>
  <si>
    <t xml:space="preserve">Sanctions réglementaires  </t>
  </si>
  <si>
    <t xml:space="preserve">Mettre en place un plan de gestion des sanctions potentielles.</t>
  </si>
  <si>
    <t xml:space="preserve">Vérifier qu’il y a une attribution claire des responsabilités</t>
  </si>
  <si>
    <t xml:space="preserve">Existence d’un organigramme précisant les responsabilités en sécurité informatique.</t>
  </si>
  <si>
    <t xml:space="preserve">Un organigramme précisant les responsabilités en matière de sécurité informatique existe-t-il et est-il à jour ?</t>
  </si>
  <si>
    <t xml:space="preserve">Organigramme officiel avec fonctions sécurité identifiées</t>
  </si>
  <si>
    <t xml:space="preserve">Exigences des référentiels non intégrées dans la politique de sécurité</t>
  </si>
  <si>
    <t xml:space="preserve">Mesures de sécurité non conformes  </t>
  </si>
  <si>
    <t xml:space="preserve">Aligner les mesures sur les exigences réglementaires.</t>
  </si>
  <si>
    <t xml:space="preserve">Présentation des rôles dans le manuel de sécurité ou livret d’accueil</t>
  </si>
  <si>
    <t xml:space="preserve">Amendes ou pénalités  </t>
  </si>
  <si>
    <t xml:space="preserve">Prévoir un budget pour couvrir les amendes éventuelles.</t>
  </si>
  <si>
    <t xml:space="preserve">Communication claire des rôles à tous les acteurs concernés.</t>
  </si>
  <si>
    <t xml:space="preserve">Les rôles et responsabilités en sécurité informatique sont-ils clairement communiqués à tous les acteurs concernés ?</t>
  </si>
  <si>
    <t xml:space="preserve">Communication interne (email, intranet) sur les rôles sécurité</t>
  </si>
  <si>
    <t xml:space="preserve">Absence de mise à jour régulière de la politique de sécurité pour tenir compte des audits de conformité réguliers pour la politique de sécurité</t>
  </si>
  <si>
    <t xml:space="preserve">Politiques obsolètes face aux exigences  </t>
  </si>
  <si>
    <t xml:space="preserve">Actualiser les politiques pour répondre aux exigences actuelles.</t>
  </si>
  <si>
    <t xml:space="preserve">Réunions d’information ou sessions d’intégration</t>
  </si>
  <si>
    <t xml:space="preserve">Perte de certification  </t>
  </si>
  <si>
    <t xml:space="preserve">Renouveler les certifications via des audits périodiques.</t>
  </si>
  <si>
    <t xml:space="preserve">Formalisation des responsabilités dans les descriptions de poste.</t>
  </si>
  <si>
    <t xml:space="preserve">Les responsabilités en sécurité informatique sont-elles formalisées dans les descriptions de poste ?</t>
  </si>
  <si>
    <t xml:space="preserve">Descriptions de poste contenant les missions sécurité</t>
  </si>
  <si>
    <t xml:space="preserve">Parties prenantes non sensibilisées ou formées aux exigences réglementaires</t>
  </si>
  <si>
    <t xml:space="preserve">Non-respect des règles par ignorance  </t>
  </si>
  <si>
    <t xml:space="preserve">Sensibiliser les employés pour réduire les erreurs par ignorance.</t>
  </si>
  <si>
    <t xml:space="preserve">Référentiel RH validé ou fiches individuelles</t>
  </si>
  <si>
    <t xml:space="preserve">Augmentation des incidents évitables  </t>
  </si>
  <si>
    <t xml:space="preserve">Automatiser les contrôles pour limiter les incidents évitables.</t>
  </si>
  <si>
    <t xml:space="preserve">Suivi régulier de la prise en compte des responsabilités.</t>
  </si>
  <si>
    <t xml:space="preserve">Un suivi régulier est-il effectué pour s’assurer que les responsabilités sont prises en compte ?</t>
  </si>
  <si>
    <t xml:space="preserve">Relevés ou procès-verbaux de réunions de suivi des rôles</t>
  </si>
  <si>
    <t xml:space="preserve">Absence d’audits de conformité réguliers pour la politique de sécurité</t>
  </si>
  <si>
    <t xml:space="preserve">Sanctions pour non-conformité  </t>
  </si>
  <si>
    <t xml:space="preserve">Documenter les écarts pour éviter les sanctions.</t>
  </si>
  <si>
    <t xml:space="preserve">Rapport d’audit sur la répartition des responsabilités</t>
  </si>
  <si>
    <t xml:space="preserve">Perte de confiance des parties prenantes  </t>
  </si>
  <si>
    <t xml:space="preserve">Communiquer les succès sécurité pour renforcer la confiance.</t>
  </si>
  <si>
    <t xml:space="preserve">Sanctions ou mesures en cas de non-respect.</t>
  </si>
  <si>
    <t xml:space="preserve">Des sanctions ou mesures sont-elles prévues et appliquées en cas de non-respect des responsabilités ?</t>
  </si>
  <si>
    <t xml:space="preserve">Charte de sécurité ou règlement intérieur mentionnant sanctions</t>
  </si>
  <si>
    <t xml:space="preserve">Risque accru de non-conformité, d'erreurs humaines et d'incidents de sécurité</t>
  </si>
  <si>
    <t xml:space="preserve">Augmentation des erreurs humaines  </t>
  </si>
  <si>
    <t xml:space="preserve">Intégrer la sécurité dans les processus RH pour limiter les erreurs.</t>
  </si>
  <si>
    <t xml:space="preserve">Registre des écarts ou procédures disciplinaires</t>
  </si>
  <si>
    <t xml:space="preserve">Incidents de sécurité répétés  </t>
  </si>
  <si>
    <t xml:space="preserve">Analyser les incidents pour éviter leur répétition.</t>
  </si>
  <si>
    <t xml:space="preserve">S’assurer qu’un propriétaire est désigné, il est responsable de la 
mise en œuvre et du suivi des évolutions à apporter</t>
  </si>
  <si>
    <t xml:space="preserve">Identification formelle des propriétaires pour chaque domaine ou actif.</t>
  </si>
  <si>
    <t xml:space="preserve">Les propriétaires de chaque domaine ou actif sont-ils formellement identifiés ?</t>
  </si>
  <si>
    <t xml:space="preserve">Registre des propriétaires d’actifs ou domaines</t>
  </si>
  <si>
    <t xml:space="preserve">Manque de coordination, de supervision et de stratégie en sécurité</t>
  </si>
  <si>
    <t xml:space="preserve">Absence de direction claire  </t>
  </si>
  <si>
    <t xml:space="preserve">Définir une vision claire via un plan stratégique sécurité.</t>
  </si>
  <si>
    <t xml:space="preserve">Matrice de responsabilités (RACI ou équivalent)</t>
  </si>
  <si>
    <t xml:space="preserve">Mesures de sécurité inefficaces  </t>
  </si>
  <si>
    <t xml:space="preserve">Évaluer régulièrement l’efficacité des mesures déployées.</t>
  </si>
  <si>
    <t xml:space="preserve">Documentation des responsabilités et missions des propriétaires.</t>
  </si>
  <si>
    <t xml:space="preserve">Les responsabilités et missions des propriétaires sont-elles documentées et clairement définies ?</t>
  </si>
  <si>
    <t xml:space="preserve">Fiches de mission ou documents de délégation</t>
  </si>
  <si>
    <t xml:space="preserve">Absence de responsable pour la stratégie et la mise en œuvre de la sécurité</t>
  </si>
  <si>
    <t xml:space="preserve">Stratégie de sécurité incohérente  </t>
  </si>
  <si>
    <t xml:space="preserve">Harmoniser la stratégie avec les objectifs globaux de l’entreprise.</t>
  </si>
  <si>
    <t xml:space="preserve">Contrat d’engagement ou courrier de désignation</t>
  </si>
  <si>
    <t xml:space="preserve">Failles dans la protection des actifs  </t>
  </si>
  <si>
    <t xml:space="preserve">Renforcer la protection des actifs via des priorités claires.</t>
  </si>
  <si>
    <t xml:space="preserve">Suivi régulier des actions et évolutions sous leur responsabilité.</t>
  </si>
  <si>
    <t xml:space="preserve">Un suivi régulier des actions et évolutions sous la responsabilité des propriétaires est-il effectué ?</t>
  </si>
  <si>
    <t xml:space="preserve">Rapports périodiques de suivi des actions par domaine</t>
  </si>
  <si>
    <t xml:space="preserve">Difficulté de communication et de diffusion des bonnes pratiques</t>
  </si>
  <si>
    <t xml:space="preserve">Adoption limitée des bonnes pratiques  </t>
  </si>
  <si>
    <t xml:space="preserve">Promouvoir les bonnes pratiques par des formations ciblées.</t>
  </si>
  <si>
    <t xml:space="preserve">Tableaux de bord de suivi des responsabilités</t>
  </si>
  <si>
    <t xml:space="preserve">Inefficacité des mesures de sécurité  </t>
  </si>
  <si>
    <t xml:space="preserve">Mesurer l’impact des mesures pour optimiser leur efficacité.</t>
  </si>
  <si>
    <t xml:space="preserve">Communication des propriétaires aux équipes concernées.</t>
  </si>
  <si>
    <t xml:space="preserve">Les propriétaires sont-ils communiqués aux équipes concernées de manière claire ?</t>
  </si>
  <si>
    <t xml:space="preserve">Email ou note listant les responsables pour chaque domaine</t>
  </si>
  <si>
    <t xml:space="preserve">Confusion sur les responsabilités, lacunes dans la prise en charge des activités de sécurité</t>
  </si>
  <si>
    <t xml:space="preserve">Activités de sécurité non couvertes  </t>
  </si>
  <si>
    <t xml:space="preserve">Mettre en place un plan pour couvrir toutes les activités de sécurité non adressées.</t>
  </si>
  <si>
    <t xml:space="preserve">Organigramme fonctionnel actualisé</t>
  </si>
  <si>
    <t xml:space="preserve">Vulnérabilités persistantes  </t>
  </si>
  <si>
    <t xml:space="preserve">Lancer un programme de gestion des vulnérabilités avec scans réguliers.</t>
  </si>
  <si>
    <t xml:space="preserve">Évaluation périodique de la performance des propriétaires.</t>
  </si>
  <si>
    <t xml:space="preserve">La performance des propriétaires est-elle évaluée périodiquement ?</t>
  </si>
  <si>
    <t xml:space="preserve">Fiches d’évaluation annuelle ou auto-évaluations des propriétaires</t>
  </si>
  <si>
    <t xml:space="preserve">Difficulté à suivre les décisions et les actions, perte d'informations importantes</t>
  </si>
  <si>
    <t xml:space="preserve">Perte de suivi des actions critiques  </t>
  </si>
  <si>
    <t xml:space="preserve">Utiliser un outil de suivi pour assurer la traçabilité des actions critiques.</t>
  </si>
  <si>
    <t xml:space="preserve">Rapport de performance lié aux actifs</t>
  </si>
  <si>
    <t xml:space="preserve">Retards dans la résolution des problèmes  </t>
  </si>
  <si>
    <t xml:space="preserve">Définir des délais clairs pour la résolution des problèmes identifiés.</t>
  </si>
  <si>
    <t xml:space="preserve">S’assurer qu’il existe des procédures d'autorisation de nouveaux 
matériels ou logiciels</t>
  </si>
  <si>
    <t xml:space="preserve">Procédure formalisée d’autorisation avant acquisition ou installation.</t>
  </si>
  <si>
    <t xml:space="preserve">Une procédure formalisée d’autorisation avant acquisition ou installation d’équipements existe-t-elle ?</t>
  </si>
  <si>
    <t xml:space="preserve">Procédure écrite d’autorisation préalable</t>
  </si>
  <si>
    <t xml:space="preserve">Confusion, conflits et lacunes dans la gestion de la sécurité</t>
  </si>
  <si>
    <t xml:space="preserve">Gestion chaotique des priorités  </t>
  </si>
  <si>
    <t xml:space="preserve">Prioriser les tâches avec une matrice basée sur les risques.</t>
  </si>
  <si>
    <t xml:space="preserve">Modèle de formulaire ou fiche d’autorisation</t>
  </si>
  <si>
    <t xml:space="preserve">Exposition accrue aux menaces  </t>
  </si>
  <si>
    <t xml:space="preserve">Renforcer la surveillance pour réduire l’exposition aux menaces.</t>
  </si>
  <si>
    <t xml:space="preserve">Validation préalable par les responsables sécurité ou IT.</t>
  </si>
  <si>
    <t xml:space="preserve">Les acquisitions ou installations sont-elles validées au préalable par les responsables sécurité ou IT ?</t>
  </si>
  <si>
    <t xml:space="preserve">Liste des demandes validées (registre)</t>
  </si>
  <si>
    <t xml:space="preserve">Difficultés de coordination et de communication, responsabilités non assumées</t>
  </si>
  <si>
    <t xml:space="preserve">Absence de responsables désignés  </t>
  </si>
  <si>
    <t xml:space="preserve">Désigner des responsables pour chaque domaine de sécurité.</t>
  </si>
  <si>
    <t xml:space="preserve">PV de validation par l’IT ou le RSSI</t>
  </si>
  <si>
    <t xml:space="preserve">Retards dans les actions de sécurité  </t>
  </si>
  <si>
    <t xml:space="preserve">Automatiser les rappels pour éviter les retards dans les actions.</t>
  </si>
  <si>
    <t xml:space="preserve">Enregistrement et traçabilité des demandes et autorisations.</t>
  </si>
  <si>
    <t xml:space="preserve">Les demandes et autorisations sont-elles enregistrées et traçables ?</t>
  </si>
  <si>
    <t xml:space="preserve">Journal de suivi ou outil de traçabilité des installations</t>
  </si>
  <si>
    <t xml:space="preserve">Inadaptation des responsabilités à l'organisation et aux changements de personnel</t>
  </si>
  <si>
    <t xml:space="preserve">Non-respect des procédures établies  </t>
  </si>
  <si>
    <t xml:space="preserve">Former les équipes pour garantir le respect des procédures.</t>
  </si>
  <si>
    <t xml:space="preserve">Archivage des demandes et décisions</t>
  </si>
  <si>
    <t xml:space="preserve">Augmentation des incidents  </t>
  </si>
  <si>
    <t xml:space="preserve">Déployer un système SIEM pour détecter et réduire les incidents.</t>
  </si>
  <si>
    <t xml:space="preserve">Contrôles périodiques du respect de la procédure.</t>
  </si>
  <si>
    <t xml:space="preserve">Des contrôles périodiques sont-ils réalisés pour vérifier le respect de la procédure d’autorisation ?</t>
  </si>
  <si>
    <t xml:space="preserve">Rapport d’audit interne sur les acquisitions/installations</t>
  </si>
  <si>
    <t xml:space="preserve">Risque de non-respect des procédures et des règles de sécurité</t>
  </si>
  <si>
    <t xml:space="preserve">Processus non sécurisés  </t>
  </si>
  <si>
    <t xml:space="preserve">Sécuriser les processus via des audits réguliers.</t>
  </si>
  <si>
    <t xml:space="preserve">Fiche de contrôle qualité du processus</t>
  </si>
  <si>
    <t xml:space="preserve">Compromission des opérations  </t>
  </si>
  <si>
    <t xml:space="preserve">Renforcer les contrôles pour éviter la compromission des opérations.</t>
  </si>
  <si>
    <t xml:space="preserve">Sensibilisation des utilisateurs à l’obligation de respecter cette procédure.</t>
  </si>
  <si>
    <t xml:space="preserve">Les utilisateurs sont-ils sensibilisés à l’obligation de respecter la procédure d’autorisation ?</t>
  </si>
  <si>
    <t xml:space="preserve">Supports de sensibilisation à la procédure d’acquisition</t>
  </si>
  <si>
    <t xml:space="preserve">Manque de responsabilité et de suivi de la sécurité des processus</t>
  </si>
  <si>
    <t xml:space="preserve">Systèmes vulnérables aux attaques  </t>
  </si>
  <si>
    <t xml:space="preserve">Mettre à jour les systèmes avec des correctifs réguliers.</t>
  </si>
  <si>
    <t xml:space="preserve">Emails ou affiches diffusant les bonnes pratiques</t>
  </si>
  <si>
    <t xml:space="preserve">Pertes de données critiques  </t>
  </si>
  <si>
    <t xml:space="preserve">Chiffrer les données critiques pour prévenir leur perte.</t>
  </si>
  <si>
    <t xml:space="preserve">S’assurer qu’il existe des procédures applicables à l'accès aux 
informations de l'organisation par des tiers</t>
  </si>
  <si>
    <t xml:space="preserve">Formalisation des règles d’accès pour prestataires et partenaires externes.</t>
  </si>
  <si>
    <t xml:space="preserve">Des règles d’accès formalisées pour les prestataires et partenaires externes sont-elles en place ?</t>
  </si>
  <si>
    <t xml:space="preserve">Politique d’accès tiers formalisée</t>
  </si>
  <si>
    <t xml:space="preserve">Introduction de vulnérabilités et d'erreurs de configuration</t>
  </si>
  <si>
    <t xml:space="preserve">Perte de contrôle sur les modifications  </t>
  </si>
  <si>
    <t xml:space="preserve">Implémenter un système de gestion des changements sécurisé.</t>
  </si>
  <si>
    <t xml:space="preserve">Procédure opérationnelle d’habilitation temporaire</t>
  </si>
  <si>
    <t xml:space="preserve">Introduction de nouvelles failles  </t>
  </si>
  <si>
    <t xml:space="preserve">Effectuer des tests de pénétration pour identifier les nouvelles failles.</t>
  </si>
  <si>
    <t xml:space="preserve">Signature d’accords de confidentialité ou contrats encadrant l’accès.</t>
  </si>
  <si>
    <t xml:space="preserve">Des accords de confidentialité ou contrats encadrant l’accès des tiers sont-ils systématiquement signés ?</t>
  </si>
  <si>
    <t xml:space="preserve">Modèle de NDA ou clause de confidentialité</t>
  </si>
  <si>
    <t xml:space="preserve">Difficulté à comprendre et à gérer les changements, risque d'erreurs et d'oublis</t>
  </si>
  <si>
    <t xml:space="preserve">Mesures inadaptées aux besoins  </t>
  </si>
  <si>
    <t xml:space="preserve">Adapter les mesures aux besoins via une analyse des risques.</t>
  </si>
  <si>
    <t xml:space="preserve">Contrat-type fournisseur avec clauses de sécurité</t>
  </si>
  <si>
    <t xml:space="preserve">Analyser les incidents pour prévenir leur récurrence.</t>
  </si>
  <si>
    <t xml:space="preserve">Mise en place de contrôles d’accès spécifiques pour les tiers.</t>
  </si>
  <si>
    <t xml:space="preserve">Des contrôles d’accès spécifiques pour les tiers sont-ils mis en place et opérationnels ?</t>
  </si>
  <si>
    <t xml:space="preserve">Liste des accès tiers et justificatifs associés</t>
  </si>
  <si>
    <t xml:space="preserve">Décisions de sécurité inappropriées ou non prises en compte</t>
  </si>
  <si>
    <t xml:space="preserve">Incapacité à évaluer les performances  </t>
  </si>
  <si>
    <t xml:space="preserve">Définir des KPI pour évaluer les performances de sécurité.</t>
  </si>
  <si>
    <t xml:space="preserve">Enregistrement dans les systèmes d’accès/logs</t>
  </si>
  <si>
    <t xml:space="preserve">Failles non corrigées  </t>
  </si>
  <si>
    <t xml:space="preserve">Corriger les failles via un processus de gestion des vulnérabilités.</t>
  </si>
  <si>
    <t xml:space="preserve">Suivi et audit régulier des accès accordés.</t>
  </si>
  <si>
    <t xml:space="preserve">Les accès accordés aux tiers sont-ils suivis et audités régulièrement ?</t>
  </si>
  <si>
    <t xml:space="preserve">Rapport d’audit des accès tiers</t>
  </si>
  <si>
    <t xml:space="preserve">Difficulté à mesurer l'efficacité des mesures de sécurité et à identifier les points faibles</t>
  </si>
  <si>
    <t xml:space="preserve">Changements non maîtrisés  </t>
  </si>
  <si>
    <t xml:space="preserve">Documenter et contrôler tous les changements pour éviter les failles.</t>
  </si>
  <si>
    <t xml:space="preserve">Suivi mensuel ou trimestriel des accès</t>
  </si>
  <si>
    <t xml:space="preserve">Introduction de vulnérabilités critiques</t>
  </si>
  <si>
    <t xml:space="preserve">Effectuer des audits réguliers pour détecter les vulnérabilités critiques.</t>
  </si>
  <si>
    <t xml:space="preserve">Sensibilisation des tiers aux règles de sécurité.</t>
  </si>
  <si>
    <t xml:space="preserve">Les tiers sont-ils sensibilisés aux règles de sécurité de l’organisation ?</t>
  </si>
  <si>
    <t xml:space="preserve">Kit de sensibilisation destiné aux tiers</t>
  </si>
  <si>
    <t xml:space="preserve">Modifications non contrôlées, introduction de risques</t>
  </si>
  <si>
    <t xml:space="preserve">Mettre en place des métriques pour mesurer l’efficacité des mesures.</t>
  </si>
  <si>
    <t xml:space="preserve">Guide de sécurité pour prestataires</t>
  </si>
  <si>
    <t xml:space="preserve">Failles non corrigées</t>
  </si>
  <si>
    <t xml:space="preserve">Prioriser la correction des failles critiques identifiées.</t>
  </si>
  <si>
    <t xml:space="preserve">S’assurer que des modalités de protection de l'information 
confiée à des sous-traitants existent </t>
  </si>
  <si>
    <t xml:space="preserve">Clauses contractuelles précisant les obligations de sécurité des sous-traitants.</t>
  </si>
  <si>
    <t xml:space="preserve">Des clauses contractuelles précisant les obligations de sécurité des sous-traitants sont-elles incluses dans les contrats ?</t>
  </si>
  <si>
    <t xml:space="preserve">Modèle de clause de sécurité dans les contrats</t>
  </si>
  <si>
    <t xml:space="preserve">Autorisation d'accès à des personnes non autorisées, exploitation de vulnérabilités</t>
  </si>
  <si>
    <t xml:space="preserve">Accès non autorisés à des ressources critiques  </t>
  </si>
  <si>
    <t xml:space="preserve">Implémenter une gestion stricte des accès avec authentification forte.</t>
  </si>
  <si>
    <t xml:space="preserve">Contrat signé avec clause spécifique visible</t>
  </si>
  <si>
    <t xml:space="preserve">Compromission des données sensibles  </t>
  </si>
  <si>
    <t xml:space="preserve">Utiliser le chiffrement pour protéger les données sensibles.</t>
  </si>
  <si>
    <t xml:space="preserve">Évaluation préalable des capacités de sécurité des sous-traitants.</t>
  </si>
  <si>
    <t xml:space="preserve">Les capacités de sécurité des sous-traitants sont-elles évaluées avant la signature des contrats ?</t>
  </si>
  <si>
    <t xml:space="preserve">Grille d’évaluation sécurité des sous-traitants</t>
  </si>
  <si>
    <t xml:space="preserve">Décisions d'autorisation non éclairées, prises sans expertise sécurité</t>
  </si>
  <si>
    <t xml:space="preserve">Décisions d’accès inappropriées  </t>
  </si>
  <si>
    <t xml:space="preserve">Réévaluer les droits d’accès pour éviter les décisions inappropriées.</t>
  </si>
  <si>
    <t xml:space="preserve">Compte-rendu d’évaluation ou audit initial</t>
  </si>
  <si>
    <t xml:space="preserve">Exposition à des failles de sécurité  </t>
  </si>
  <si>
    <t xml:space="preserve">Renforcer les pare-feu pour réduire les failles de sécurité.</t>
  </si>
  <si>
    <t xml:space="preserve">Contrôles et audits réguliers chez les sous-traitants.</t>
  </si>
  <si>
    <t xml:space="preserve">Des contrôles et audits réguliers sont-ils effectués chez les sous-traitants pour vérifier leur conformité ?</t>
  </si>
  <si>
    <t xml:space="preserve">Rapports d’audit chez les sous-traitants</t>
  </si>
  <si>
    <t xml:space="preserve">Difficulté à auditer les accès et à identifier les responsables en cas d'incident</t>
  </si>
  <si>
    <t xml:space="preserve">Perte de traçabilité des accès  </t>
  </si>
  <si>
    <t xml:space="preserve">Maintenir un journal des accès pour assurer la traçabilité.</t>
  </si>
  <si>
    <t xml:space="preserve">Checklists de vérification sur site ou à distance</t>
  </si>
  <si>
    <t xml:space="preserve">Difficulté à résoudre les incidents  </t>
  </si>
  <si>
    <t xml:space="preserve">Former les équipes pour accélérer la résolution des incidents.</t>
  </si>
  <si>
    <t xml:space="preserve">Procédures de gestion des incidents impliquant les sous-traitants.</t>
  </si>
  <si>
    <t xml:space="preserve">Des procédures spécifiques de gestion des incidents impliquant des sous-traitants sont-elles en place ?</t>
  </si>
  <si>
    <t xml:space="preserve">Procédure de traitement des incidents tiers</t>
  </si>
  <si>
    <t xml:space="preserve">Difficulté à gérer les accès, risque d'accès non autorisés à des ressources obsolètes</t>
  </si>
  <si>
    <t xml:space="preserve">Gestion chaotique des autorisations  </t>
  </si>
  <si>
    <t xml:space="preserve">Centraliser la gestion des autorisations avec un outil IAM.</t>
  </si>
  <si>
    <t xml:space="preserve">Journal des incidents avec sous-traitants</t>
  </si>
  <si>
    <t xml:space="preserve">Accès obsolètes maintenus indûment  </t>
  </si>
  <si>
    <t xml:space="preserve">Supprimer les accès obsolètes via des audits réguliers.</t>
  </si>
  <si>
    <t xml:space="preserve">Documentation et suivi des mesures de protection appliquées.</t>
  </si>
  <si>
    <t xml:space="preserve">Les mesures de protection appliquées par les sous-traitants sont-elles documentées et suivies ?</t>
  </si>
  <si>
    <t xml:space="preserve">Fiches de sécurité des sous-traitants</t>
  </si>
  <si>
    <t xml:space="preserve">Risques juridiques et de non-respect des obligations de sécurité</t>
  </si>
  <si>
    <t xml:space="preserve">Préparer un plan de conformité pour éviter les sanctions.</t>
  </si>
  <si>
    <t xml:space="preserve">Registre des protections appliquées et vérifiées</t>
  </si>
  <si>
    <t xml:space="preserve">Communiquer les efforts de sécurité pour maintenir la confiance.</t>
  </si>
  <si>
    <t xml:space="preserve">Vérifier qu'il existe des modalités de réaction aux incidents de 
sécurité et aux défauts de fonctionnement</t>
  </si>
  <si>
    <t xml:space="preserve">Procédure formalisée de gestion des incidents.</t>
  </si>
  <si>
    <t xml:space="preserve">Une procédure formalisée de gestion des incidents de sécurité existe-t-elle et est-elle à jour ?</t>
  </si>
  <si>
    <t xml:space="preserve">Procédure de gestion des incidents validée</t>
  </si>
  <si>
    <t xml:space="preserve">Accès non autorisés, fuite d'informations</t>
  </si>
  <si>
    <t xml:space="preserve">Fuite d’informations confidentielles  </t>
  </si>
  <si>
    <t xml:space="preserve">Restreindre l’accès aux informations confidentielles par des contrôles.</t>
  </si>
  <si>
    <t xml:space="preserve">Organigramme de gestion de crise</t>
  </si>
  <si>
    <t xml:space="preserve">Atteinte à la réputation  </t>
  </si>
  <si>
    <t xml:space="preserve">Sensibiliser les employés pour protéger la réputation.</t>
  </si>
  <si>
    <t xml:space="preserve">Identification claire des rôles et responsabilités en cas d’incident.</t>
  </si>
  <si>
    <t xml:space="preserve">Les rôles et responsabilités en cas d’incident de sécurité sont-ils clairement identifiés ?</t>
  </si>
  <si>
    <t xml:space="preserve">Liste des responsables par type d’incident</t>
  </si>
  <si>
    <t xml:space="preserve">Accès non autorisés aux systèmes et aux données</t>
  </si>
  <si>
    <t xml:space="preserve">Intrusion dans les systèmes critiques  </t>
  </si>
  <si>
    <t xml:space="preserve">Déployer un IDS/IPS pour détecter les intrusions critiques.</t>
  </si>
  <si>
    <t xml:space="preserve">Fiches réflexes d’intervention</t>
  </si>
  <si>
    <t xml:space="preserve">Perturbation des opérations  </t>
  </si>
  <si>
    <t xml:space="preserve">Mettre en place un plan de continuité pour limiter les perturbations.</t>
  </si>
  <si>
    <t xml:space="preserve">Système de déclaration et de suivi des incidents.</t>
  </si>
  <si>
    <t xml:space="preserve">Un système de déclaration et de suivi des incidents de sécurité est-il opérationnel ?</t>
  </si>
  <si>
    <t xml:space="preserve">Journal d’incidents (outil ou fichier)</t>
  </si>
  <si>
    <t xml:space="preserve">Persistance d'accès non nécessaires ou non autorisés</t>
  </si>
  <si>
    <t xml:space="preserve">Accumulation de privilèges excessifs  </t>
  </si>
  <si>
    <t xml:space="preserve">Révoquer les privilèges excessifs via une revue périodique.</t>
  </si>
  <si>
    <t xml:space="preserve">Plateforme ou formulaire de signalement</t>
  </si>
  <si>
    <t xml:space="preserve">Augmentation des risques d’abus  </t>
  </si>
  <si>
    <t xml:space="preserve">Surveiller les abus potentiels avec des outils d’analyse comportementale.</t>
  </si>
  <si>
    <t xml:space="preserve">Analyse post-incident pour identifier causes et mesures correctives.</t>
  </si>
  <si>
    <t xml:space="preserve">Une analyse post-incident est-elle réalisée pour identifier les causes et définir des mesures correctives ?</t>
  </si>
  <si>
    <t xml:space="preserve">Rapport d’analyse post-incident</t>
  </si>
  <si>
    <t xml:space="preserve">Difficulté à détecter les accès non autorisés et les activités suspectes</t>
  </si>
  <si>
    <t xml:space="preserve">Activités malveillantes non détectées  </t>
  </si>
  <si>
    <t xml:space="preserve">Activer des alertes pour détecter les activités malveillantes.</t>
  </si>
  <si>
    <t xml:space="preserve">Plan d’actions correctives</t>
  </si>
  <si>
    <t xml:space="preserve">Dommages prolongés non identifiés  </t>
  </si>
  <si>
    <t xml:space="preserve">Analyser les incidents pour limiter les dommages prolongés.</t>
  </si>
  <si>
    <t xml:space="preserve">Formation des équipes à la gestion des incidents.</t>
  </si>
  <si>
    <t xml:space="preserve">Les équipes sont-elles formées à la gestion des incidents de sécurité ?</t>
  </si>
  <si>
    <t xml:space="preserve">Programme de formation incident/gestion de crise</t>
  </si>
  <si>
    <t xml:space="preserve">Divulgation d'informations confidentielles</t>
  </si>
  <si>
    <t xml:space="preserve">Divulgation non autorisée d’informations  </t>
  </si>
  <si>
    <t xml:space="preserve">Restreindre les partages d’informations aux canaux sécurisés.</t>
  </si>
  <si>
    <t xml:space="preserve">Attestations de participation ou planification</t>
  </si>
  <si>
    <t xml:space="preserve">Pertes financières potentielles  </t>
  </si>
  <si>
    <t xml:space="preserve">Évaluer l’impact financier des incidents pour mieux prioriser.</t>
  </si>
  <si>
    <t xml:space="preserve">S’assure qu’il existe une revue régulière de la sécurité par des 
audits aussi bien internes qu'externes</t>
  </si>
  <si>
    <t xml:space="preserve">Planification annuelle d’audits de sécurité internes et externes.</t>
  </si>
  <si>
    <t xml:space="preserve">Une planification annuelle des audits de sécurité internes et externes est-elle établie ?</t>
  </si>
  <si>
    <t xml:space="preserve">Calendrier officiel des audits</t>
  </si>
  <si>
    <t xml:space="preserve">Risque de sécurité lié aux activités des sous-traitants</t>
  </si>
  <si>
    <t xml:space="preserve">Failles de sécurité chez les sous-traitants  </t>
  </si>
  <si>
    <t xml:space="preserve">Auditer les sous-traitants pour garantir leur conformité.</t>
  </si>
  <si>
    <t xml:space="preserve">Liste des audits réalisés sur l’année en cours</t>
  </si>
  <si>
    <t xml:space="preserve">Compromission des données de l’entreprise  </t>
  </si>
  <si>
    <t xml:space="preserve">Inclure des clauses de sécurité dans les contrats tiers.</t>
  </si>
  <si>
    <t xml:space="preserve">Documentation des résultats et suivi des actions correctives.</t>
  </si>
  <si>
    <t xml:space="preserve">Les résultats des audits de sécurité sont-ils documentés avec un suivi des actions correctives ?</t>
  </si>
  <si>
    <t xml:space="preserve">Rapports d’audit (internes ou externes)</t>
  </si>
  <si>
    <t xml:space="preserve">Accès non contrôlés aux données sensibles par les sous-traitants</t>
  </si>
  <si>
    <t xml:space="preserve">Accès inappropriés par des tiers  </t>
  </si>
  <si>
    <t xml:space="preserve">Restreindre les accès tiers aux systèmes critiques.</t>
  </si>
  <si>
    <t xml:space="preserve">Plans de correction associés aux constats</t>
  </si>
  <si>
    <t xml:space="preserve">Violation des accords de confidentialité  </t>
  </si>
  <si>
    <t xml:space="preserve">Renforcer les NDA pour protéger la confidentialité.</t>
  </si>
  <si>
    <t xml:space="preserve">Implication de la direction dans la revue des résultats.</t>
  </si>
  <si>
    <t xml:space="preserve">La direction est-elle impliquée dans la revue des résultats des audits de sécurité ?</t>
  </si>
  <si>
    <t xml:space="preserve">Courriers ou PV montrant l’implication de la direction</t>
  </si>
  <si>
    <t xml:space="preserve">Compromission des données accessibles par les sous-traitants</t>
  </si>
  <si>
    <t xml:space="preserve">Données sensibles exposées  </t>
  </si>
  <si>
    <t xml:space="preserve">Chiffrer les données partagées pour limiter l’exposition.</t>
  </si>
  <si>
    <t xml:space="preserve">Présentations faites aux comités de direction</t>
  </si>
  <si>
    <t xml:space="preserve">Pertes de propriété intellectuelle  </t>
  </si>
  <si>
    <t xml:space="preserve">Protéger la propriété intellectuelle via des contrôles d’accès.</t>
  </si>
  <si>
    <t xml:space="preserve">Évaluation régulière de l’efficacité des mesures de sécurité.</t>
  </si>
  <si>
    <t xml:space="preserve">L’efficacité des mesures de sécurité est-elle évaluée régulièrement ?</t>
  </si>
  <si>
    <t xml:space="preserve">Indicateurs de performance audités régulièrement</t>
  </si>
  <si>
    <t xml:space="preserve">Non-respect des conditions d'accès, augmentation des risques</t>
  </si>
  <si>
    <t xml:space="preserve">Non-respect des politiques d’accès  </t>
  </si>
  <si>
    <t xml:space="preserve">Former les employés sur les politiques d’accès.</t>
  </si>
  <si>
    <t xml:space="preserve">Synthèse d’évaluation des dispositifs en place</t>
  </si>
  <si>
    <t xml:space="preserve">Augmentation des incidents de sécurité  </t>
  </si>
  <si>
    <t xml:space="preserve">Analyser les causes des incidents pour réduire leur fréquence.</t>
  </si>
  <si>
    <t xml:space="preserve">Mise à jour des politiques en fonction des conclusions d’audit.</t>
  </si>
  <si>
    <t xml:space="preserve">Les politiques de sécurité sont-elles mises à jour en fonction des conclusions des audits ?</t>
  </si>
  <si>
    <t xml:space="preserve">Compte-rendu des ajustements post-audit</t>
  </si>
  <si>
    <t xml:space="preserve">Difficulté à gérer les incidents de sécurité efficacement, impact accru des incidents</t>
  </si>
  <si>
    <t xml:space="preserve">Impact prolongé des incidents  </t>
  </si>
  <si>
    <t xml:space="preserve">Évaluer l’impact des incidents pour accélérer leur résolution.</t>
  </si>
  <si>
    <t xml:space="preserve">Politique mise à jour ou annotée selon les retours</t>
  </si>
  <si>
    <t xml:space="preserve">Perte de disponibilité des systèmes  </t>
  </si>
  <si>
    <t xml:space="preserve">Garantir la disponibilité via des systèmes redondants.</t>
  </si>
  <si>
    <t xml:space="preserve">Registre des actifs avec classification</t>
  </si>
  <si>
    <t xml:space="preserve">Difficulté à gérer les incidents efficacement, impact accru</t>
  </si>
  <si>
    <t xml:space="preserve">Réponse inadéquate aux incidents  </t>
  </si>
  <si>
    <t xml:space="preserve">Former les équipes à une réponse efficace aux incidents.</t>
  </si>
  <si>
    <t xml:space="preserve">Vérifier que chaque actif a fait l'objet d'une étude visant à 
déterminer son niveau de classification</t>
  </si>
  <si>
    <t xml:space="preserve">Analyse formelle de classification pour chaque actif informationnel.</t>
  </si>
  <si>
    <t xml:space="preserve">Une analyse formelle de classification est-elle réalisée pour chaque actif informationnel ?</t>
  </si>
  <si>
    <t xml:space="preserve">Fiches d’évaluation ou critères de classification</t>
  </si>
  <si>
    <t xml:space="preserve">Aggravation des conséquences  </t>
  </si>
  <si>
    <t xml:space="preserve">Prioriser les actions pour limiter l’aggravation des crises.</t>
  </si>
  <si>
    <t xml:space="preserve">Document de référence des niveaux de classification</t>
  </si>
  <si>
    <t xml:space="preserve">Retards dans la gestion des incidents, mauvaise communication</t>
  </si>
  <si>
    <t xml:space="preserve">Retards dans la résolution des crises  </t>
  </si>
  <si>
    <t xml:space="preserve">Mettre en place un plan de gestion de crise clair.</t>
  </si>
  <si>
    <t xml:space="preserve">Documentation des critères et niveaux de classification appliqués.</t>
  </si>
  <si>
    <t xml:space="preserve">Les critères et niveaux de classification appliqués aux actifs sont-ils documentés ?</t>
  </si>
  <si>
    <t xml:space="preserve">Procédure appliquée à chaque type d’actif</t>
  </si>
  <si>
    <t xml:space="preserve">Communication inefficace avec les parties prenantes  </t>
  </si>
  <si>
    <t xml:space="preserve">Communiquer de manière structurée avec les parties prenantes.</t>
  </si>
  <si>
    <t xml:space="preserve">Validation signée des classifications (RSSI, métiers)</t>
  </si>
  <si>
    <t xml:space="preserve">Confusion sur les responsabilités, manque de réactivité</t>
  </si>
  <si>
    <t xml:space="preserve">Manque de coordination lors des incidents  </t>
  </si>
  <si>
    <t xml:space="preserve">Désigner un coordinateur pour gérer les incidents.</t>
  </si>
  <si>
    <t xml:space="preserve">Validation de la classification par les responsables concernés.</t>
  </si>
  <si>
    <t xml:space="preserve">La classification des actifs est-elle validée par les responsables concernés ?</t>
  </si>
  <si>
    <t xml:space="preserve">Courrier ou procès-verbal de validation</t>
  </si>
  <si>
    <t xml:space="preserve">Erreurs dans la gestion de crise  </t>
  </si>
  <si>
    <t xml:space="preserve">Simuler des crises pour améliorer la gestion des erreurs.</t>
  </si>
  <si>
    <t xml:space="preserve">Historique des révisions de classification</t>
  </si>
  <si>
    <t xml:space="preserve">Difficulté à identifier les causes et à améliorer la sécurité</t>
  </si>
  <si>
    <t xml:space="preserve">Récurrence des failles de sécurité  </t>
  </si>
  <si>
    <t xml:space="preserve">Analyser les failles récurrentes pour les éliminer.</t>
  </si>
  <si>
    <t xml:space="preserve">Mise à jour régulière des classifications.</t>
  </si>
  <si>
    <t xml:space="preserve">Les classifications des actifs sont-elles régulièrement mises à jour ?</t>
  </si>
  <si>
    <t xml:space="preserve">Planning de réévaluation périodique</t>
  </si>
  <si>
    <t xml:space="preserve">Absence d’amélioration continue  </t>
  </si>
  <si>
    <t xml:space="preserve">Adopter un cycle PDCA pour une amélioration continue.</t>
  </si>
  <si>
    <t xml:space="preserve">Inefficacité des procédures en situation réelle</t>
  </si>
  <si>
    <t xml:space="preserve">Procédures inapplicables en situation réelle  </t>
  </si>
  <si>
    <t xml:space="preserve">Simplifier les procédures pour les rendre applicables.</t>
  </si>
  <si>
    <t xml:space="preserve">Communication des niveaux de classification aux utilisateurs concernés.</t>
  </si>
  <si>
    <t xml:space="preserve">La communication des niveaux de classification aux utilisateurs concernés est-elle effectuée de manière claire et régulière ?</t>
  </si>
  <si>
    <t xml:space="preserve">Email ou note diffusant les niveaux de classification</t>
  </si>
  <si>
    <t xml:space="preserve">Panne dans la gestion des incidents  </t>
  </si>
  <si>
    <t xml:space="preserve">Tester les plans de gestion des incidents régulièrement.</t>
  </si>
  <si>
    <t xml:space="preserve">Accusé de réception ou traçabilité de lecture</t>
  </si>
  <si>
    <t xml:space="preserve">Manque de contrôle et de suivi de la sécurité</t>
  </si>
  <si>
    <t xml:space="preserve">Effectuer des scans proactifs pour détecter les failles.</t>
  </si>
  <si>
    <t xml:space="preserve">Assurer que tous les actifs informationnels sont correctement classifiés et que des contrôles de sécurité appropriés sont mis en œuvre en fonction de leur classification</t>
  </si>
  <si>
    <t xml:space="preserve">Politique de classification des actifs clairement définie.</t>
  </si>
  <si>
    <t xml:space="preserve">Une politique de classification des actifs est-elle clairement définie et documentée ?</t>
  </si>
  <si>
    <t xml:space="preserve">Document officiel de politique de classification</t>
  </si>
  <si>
    <t xml:space="preserve">Exposition prolongée aux menaces  </t>
  </si>
  <si>
    <t xml:space="preserve">Réduire l’exposition via des correctifs rapides.</t>
  </si>
  <si>
    <t xml:space="preserve">Procédure opérationnelle liée à la classification</t>
  </si>
  <si>
    <t xml:space="preserve">Manque d'objectivité dans les audits</t>
  </si>
  <si>
    <t xml:space="preserve">Résultats d’audit biaisés  </t>
  </si>
  <si>
    <t xml:space="preserve">Utiliser des auditeurs indépendants pour des résultats fiables.</t>
  </si>
  <si>
    <t xml:space="preserve">Mesures de sécurité adaptées aux différents niveaux de classification.</t>
  </si>
  <si>
    <t xml:space="preserve">Des mesures de sécurité adaptées aux différents niveaux de classification sont-elles mises en place et opérationnelles ?</t>
  </si>
  <si>
    <t xml:space="preserve">Liste des mesures de sécurité par niveau de classification</t>
  </si>
  <si>
    <t xml:space="preserve">Fausses assurances de conformité  </t>
  </si>
  <si>
    <t xml:space="preserve">Vérifier la conformité pour éviter les fausses assurances.</t>
  </si>
  <si>
    <t xml:space="preserve">Guide de mise en œuvre adapté aux niveaux</t>
  </si>
  <si>
    <t xml:space="preserve">Absence de suivi des recommandations, persistance des faiblesses</t>
  </si>
  <si>
    <t xml:space="preserve">Vulnérabilités non corrigées  </t>
  </si>
  <si>
    <t xml:space="preserve">Prioriser la correction des vulnérabilités critiques.</t>
  </si>
  <si>
    <t xml:space="preserve">Contrôles réguliers de conformité des mesures aux classifications.</t>
  </si>
  <si>
    <t xml:space="preserve">Des contrôles réguliers sont-ils réalisés pour vérifier la conformité des mesures de sécurité avec les classifications établies ?</t>
  </si>
  <si>
    <t xml:space="preserve">Rapport d’audit de conformité aux classifications</t>
  </si>
  <si>
    <t xml:space="preserve">Persistance des risques critiques  </t>
  </si>
  <si>
    <t xml:space="preserve">Mettre à jour les plans pour réduire les risques persistants.</t>
  </si>
  <si>
    <t xml:space="preserve">Check-list de contrôle de conformité</t>
  </si>
  <si>
    <t xml:space="preserve">Inefficacité des audits, persistance des risques</t>
  </si>
  <si>
    <t xml:space="preserve">Audits inefficaces  </t>
  </si>
  <si>
    <t xml:space="preserve">Planifier des audits réguliers pour plus d’efficacité.</t>
  </si>
  <si>
    <t xml:space="preserve">Sensibilisation des utilisateurs à la gestion des actifs selon leur classification.</t>
  </si>
  <si>
    <t xml:space="preserve">Les utilisateurs sont-ils sensibilisés à la gestion des actifs en fonction de leur niveau de classification ?</t>
  </si>
  <si>
    <t xml:space="preserve">Support de formation ou sensibilisation des utilisateurs</t>
  </si>
  <si>
    <t xml:space="preserve">Gaspillage de ressources  </t>
  </si>
  <si>
    <t xml:space="preserve">Optimiser l’allocation des ressources pour les audits.</t>
  </si>
  <si>
    <t xml:space="preserve">Registre des participants ou de diffusion</t>
  </si>
  <si>
    <t xml:space="preserve">Manque de transparence, difficulté à prendre des décisions</t>
  </si>
  <si>
    <t xml:space="preserve">Manque de visibilité sur les failles  </t>
  </si>
  <si>
    <t xml:space="preserve">Cartographier les failles avec des outils de visualisation.</t>
  </si>
  <si>
    <t xml:space="preserve">Documentation des exceptions éventuelles.</t>
  </si>
  <si>
    <t xml:space="preserve">Les exceptions à la politique de classification sont-elles documentées et justifiées ?</t>
  </si>
  <si>
    <t xml:space="preserve">Liste des exceptions validées</t>
  </si>
  <si>
    <t xml:space="preserve">Décisions stratégiques inadéquates  </t>
  </si>
  <si>
    <t xml:space="preserve">Baser les décisions sur une analyse stratégique des risques.</t>
  </si>
  <si>
    <t xml:space="preserve">Procédure de gestion et justification des exceptions</t>
  </si>
  <si>
    <t xml:space="preserve">Difficulté à gérer la sécurité de tous les actifs</t>
  </si>
  <si>
    <t xml:space="preserve">Actifs non protégés adéquatement  </t>
  </si>
  <si>
    <t xml:space="preserve">Sécurité du personnel </t>
  </si>
  <si>
    <t xml:space="preserve">Vérifier que les postes et les ressources sont définis</t>
  </si>
  <si>
    <t xml:space="preserve">Identification claire des postes de travail et ressources informatiques.</t>
  </si>
  <si>
    <t xml:space="preserve">Les postes de travail et ressources informatiques sont-ils clairement identifiés dans un inventaire à jour ?</t>
  </si>
  <si>
    <t xml:space="preserve">Inventaire des postes et ressources (outil ou registre)</t>
  </si>
  <si>
    <t xml:space="preserve">Compromission non anticipée  </t>
  </si>
  <si>
    <t xml:space="preserve">Anticiper les compromissions via des scénarios de menace.</t>
  </si>
  <si>
    <t xml:space="preserve">Plan d’étiquetage ou documentation d'identification</t>
  </si>
  <si>
    <t xml:space="preserve">Difficulté à prioriser les actions de sécurité</t>
  </si>
  <si>
    <t xml:space="preserve">Mauvaise allocation des ressources  </t>
  </si>
  <si>
    <t xml:space="preserve">Réallouer les ressources vers les priorités critiques.</t>
  </si>
  <si>
    <t xml:space="preserve">Documentation des configurations standards associées.</t>
  </si>
  <si>
    <t xml:space="preserve">Les configurations standards des postes de travail et ressources informatiques sont-elles documentées et appliquées ?</t>
  </si>
  <si>
    <t xml:space="preserve">Fiche technique des configurations standards</t>
  </si>
  <si>
    <t xml:space="preserve">Protection inefficace des priorités  </t>
  </si>
  <si>
    <t xml:space="preserve">Focaliser la protection sur les actifs à haut risque.</t>
  </si>
  <si>
    <t xml:space="preserve">Référentiel approuvé des configurations</t>
  </si>
  <si>
    <t xml:space="preserve">Protection inadaptée des informations sensibles</t>
  </si>
  <si>
    <t xml:space="preserve">Données sensibles non sécurisées  </t>
  </si>
  <si>
    <t xml:space="preserve">Sécuriser les données sensibles avec des solutions DLP.</t>
  </si>
  <si>
    <t xml:space="preserve">Attribution formelle des ressources aux utilisateurs ou services.</t>
  </si>
  <si>
    <t xml:space="preserve">Les ressources informatiques sont-elles formellement attribuées aux utilisateurs ou services concernés ?</t>
  </si>
  <si>
    <t xml:space="preserve">Formulaire de demande et d’attribution signé</t>
  </si>
  <si>
    <t xml:space="preserve">Fuites d’informations critiques  </t>
  </si>
  <si>
    <t xml:space="preserve">Restreindre l’accès aux informations critiques.</t>
  </si>
  <si>
    <t xml:space="preserve">Base de données ou outil d'affectation</t>
  </si>
  <si>
    <t xml:space="preserve">Difficulté à suivre les actifs et à gérer leur sécurité</t>
  </si>
  <si>
    <t xml:space="preserve">Perte de contrôle des actifs  </t>
  </si>
  <si>
    <t xml:space="preserve">Inventorier les actifs pour un contrôle complet.</t>
  </si>
  <si>
    <t xml:space="preserve">Suivi des modifications ou évolutions des postes et ressources.</t>
  </si>
  <si>
    <t xml:space="preserve">Les modifications ou évolutions des postes de travail et ressources informatiques sont-elles suivies et enregistrées ?</t>
  </si>
  <si>
    <t xml:space="preserve">Journal de modifications ou outil de suivi de l'évolution</t>
  </si>
  <si>
    <t xml:space="preserve">Utilisation inappropriée des ressources  </t>
  </si>
  <si>
    <t xml:space="preserve">Surveiller l’utilisation des ressources pour détecter les abus.</t>
  </si>
  <si>
    <t xml:space="preserve">Rapport de gestion du cycle de vie des ressources</t>
  </si>
  <si>
    <t xml:space="preserve">Difficulté à localiser les actifs et à contrôler leur utilisation</t>
  </si>
  <si>
    <t xml:space="preserve">Actifs critiques non localisés  </t>
  </si>
  <si>
    <t xml:space="preserve">Localiser les actifs critiques avec un outil de gestion.</t>
  </si>
  <si>
    <t xml:space="preserve">Référentiel actualisé des ressources informatiques.</t>
  </si>
  <si>
    <t xml:space="preserve">Un référentiel actualisé des ressources informatiques est-il maintenu et accessible ?</t>
  </si>
  <si>
    <t xml:space="preserve">Fichier maître ou inventaire central à jour</t>
  </si>
  <si>
    <t xml:space="preserve">Exposition à des usages non autorisés  </t>
  </si>
  <si>
    <t xml:space="preserve">Bloquer les usages non autorisés par des politiques strictes.</t>
  </si>
  <si>
    <t xml:space="preserve">Historique des mises à jour</t>
  </si>
  <si>
    <t xml:space="preserve">Manque de responsabilité pour la sécurité des actifs critiques</t>
  </si>
  <si>
    <t xml:space="preserve">Absence de gestion des actifs critiques  </t>
  </si>
  <si>
    <t xml:space="preserve">Mettre en place une gouvernance claire des actifs.</t>
  </si>
  <si>
    <t xml:space="preserve">Vérifier qu’il existe un programme de formation pour tous les 
personnels</t>
  </si>
  <si>
    <t xml:space="preserve">Plan de formation couvrant tous les profils et fonctions.</t>
  </si>
  <si>
    <t xml:space="preserve">Un plan de formation couvrant tous les profils et fonctions est-il établi et suivi ?</t>
  </si>
  <si>
    <t xml:space="preserve">Plan de formation validé et diffusé</t>
  </si>
  <si>
    <t xml:space="preserve">Effectuer des audits pour détecter les failles cachées.</t>
  </si>
  <si>
    <t xml:space="preserve">Cartographie des profils couverts</t>
  </si>
  <si>
    <t xml:space="preserve">Confusion et manque de responsabilisation</t>
  </si>
  <si>
    <t xml:space="preserve">Manque de clarté dans les responsabilités  </t>
  </si>
  <si>
    <t xml:space="preserve">Clarifier les responsabilités via une matrice RACI.</t>
  </si>
  <si>
    <t xml:space="preserve">Documentation des contenus et objectifs des formations.</t>
  </si>
  <si>
    <t xml:space="preserve">Les contenus et objectifs des formations sont-ils documentés et alignés sur les besoins ?</t>
  </si>
  <si>
    <t xml:space="preserve">Programmes détaillés ou supports pédagogiques</t>
  </si>
  <si>
    <t xml:space="preserve">Négligence dans la protection des actifs  </t>
  </si>
  <si>
    <t xml:space="preserve">Former les équipes pour renforcer la protection des actifs.</t>
  </si>
  <si>
    <t xml:space="preserve">Objectifs pédagogiques formalisés</t>
  </si>
  <si>
    <t xml:space="preserve">Négligence de la sécurité des actifs</t>
  </si>
  <si>
    <t xml:space="preserve">Actifs vulnérables à des compromissions  </t>
  </si>
  <si>
    <t xml:space="preserve">Surveiller les actifs pour prévenir les compromissions.</t>
  </si>
  <si>
    <t xml:space="preserve">Planification régulière des sessions de formation.</t>
  </si>
  <si>
    <t xml:space="preserve">Des sessions de formation sont-elles planifiées régulièrement pour tous les personnels ?</t>
  </si>
  <si>
    <t xml:space="preserve">Calendrier de sessions (annuel ou semestriel)</t>
  </si>
  <si>
    <t xml:space="preserve">Pertes opérationnelles critiques  </t>
  </si>
  <si>
    <t xml:space="preserve">Évaluer l’impact des pertes pour prioriser les actions.</t>
  </si>
  <si>
    <t xml:space="preserve">Invitations ou preuves de planification</t>
  </si>
  <si>
    <t xml:space="preserve">Vulnérabilités liées aux changements non pris en compte</t>
  </si>
  <si>
    <t xml:space="preserve">Vulnérabilités non anticipées  </t>
  </si>
  <si>
    <t xml:space="preserve">Analyser les changements pour anticiper les vulnérabilités.</t>
  </si>
  <si>
    <t xml:space="preserve">Suivi de la participation et de l’assiduité.</t>
  </si>
  <si>
    <t xml:space="preserve">La participation et l’assiduité aux formations sont-elles suivies et enregistrées ?</t>
  </si>
  <si>
    <t xml:space="preserve">Feuilles d’émargement ou rapports de suivi</t>
  </si>
  <si>
    <t xml:space="preserve">Failles dues à des changements non gérés  </t>
  </si>
  <si>
    <t xml:space="preserve">Documenter les modifications pour limiter les failles.</t>
  </si>
  <si>
    <t xml:space="preserve">Registre de présence automatisé</t>
  </si>
  <si>
    <t xml:space="preserve">Manque de prise de conscience des enjeux de sécurité</t>
  </si>
  <si>
    <t xml:space="preserve">Comportements à risque non corrigés  </t>
  </si>
  <si>
    <t xml:space="preserve">Sensibiliser les employés pour corriger les comportements à risque.</t>
  </si>
  <si>
    <t xml:space="preserve">Évaluation de l’efficacité des formations.</t>
  </si>
  <si>
    <t xml:space="preserve">L’efficacité des formations est-elle évaluée à travers des indicateurs ou retours ?</t>
  </si>
  <si>
    <t xml:space="preserve">Résultats d’évaluation post-formation</t>
  </si>
  <si>
    <t xml:space="preserve">Automatiser la détection pour réduire les incidents évitables.</t>
  </si>
  <si>
    <t xml:space="preserve">Rapports d’analyse d’impact de la formation</t>
  </si>
  <si>
    <t xml:space="preserve">Manque de clarté et de cohérence dans la classification</t>
  </si>
  <si>
    <t xml:space="preserve">Gestion incohérente des données  </t>
  </si>
  <si>
    <t xml:space="preserve">Standardiser la gestion des données pour plus de cohérence.</t>
  </si>
  <si>
    <t xml:space="preserve">Vérifier que le programme de formation prenne en compte la 
spécificité des postes de travail et des profils</t>
  </si>
  <si>
    <t xml:space="preserve">Analyse des besoins de formation selon fonctions et responsabilités.</t>
  </si>
  <si>
    <t xml:space="preserve">Les besoins de formation sont-ils analysés en fonction des fonctions et responsabilités des employés ?</t>
  </si>
  <si>
    <t xml:space="preserve">Analyse des besoins par service ou fonction</t>
  </si>
  <si>
    <t xml:space="preserve">Protection inadéquate des informations  </t>
  </si>
  <si>
    <t xml:space="preserve">Mettre en place des politiques strictes pour protéger les informations.</t>
  </si>
  <si>
    <t xml:space="preserve">Comptes rendus d’entretiens ou de diagnostics internes</t>
  </si>
  <si>
    <t xml:space="preserve">Classification incorrecte des informations</t>
  </si>
  <si>
    <t xml:space="preserve">Données mal protégées  </t>
  </si>
  <si>
    <t xml:space="preserve">Chiffrer les données pour limiter les compromissions.</t>
  </si>
  <si>
    <t xml:space="preserve">Adaptation des contenus aux technologies et outils utilisés.</t>
  </si>
  <si>
    <t xml:space="preserve">Les contenus des formations sont-ils adaptés aux technologies et outils utilisés dans l’organisation ?</t>
  </si>
  <si>
    <t xml:space="preserve">Grille de correspondance contenus / outils utilisés</t>
  </si>
  <si>
    <t xml:space="preserve">Exposition à des compromissions  </t>
  </si>
  <si>
    <t xml:space="preserve">Effectuer des analyses de risques pour réduire l’exposition.</t>
  </si>
  <si>
    <t xml:space="preserve">Modules personnalisés en lien avec l’environnement technique</t>
  </si>
  <si>
    <t xml:space="preserve">Données non classifiées, risque de mauvaise protection</t>
  </si>
  <si>
    <t xml:space="preserve">Absence de classification claire  </t>
  </si>
  <si>
    <t xml:space="preserve">Classer les données selon leur criticité et sensibilité.</t>
  </si>
  <si>
    <t xml:space="preserve">Modules spécifiques pour les postes à risques ou sensibles.</t>
  </si>
  <si>
    <t xml:space="preserve">Des modules spécifiques sont-ils proposés pour les postes à risques ou sensibles ?</t>
  </si>
  <si>
    <t xml:space="preserve">Liste des modules spécialisés pour profils sensibles</t>
  </si>
  <si>
    <t xml:space="preserve">Mauvaise gestion des données sensibles  </t>
  </si>
  <si>
    <t xml:space="preserve">Restreindre l’accès aux données sensibles par des contrôles.</t>
  </si>
  <si>
    <t xml:space="preserve">Relevés de participation par poste</t>
  </si>
  <si>
    <t xml:space="preserve">Manque de formalisation et de contrôle</t>
  </si>
  <si>
    <t xml:space="preserve">Données non protégées correctement  </t>
  </si>
  <si>
    <t xml:space="preserve">Protéger les données via des solutions de sauvegarde sécurisées.</t>
  </si>
  <si>
    <t xml:space="preserve">Suivi individualisé des parcours de formation.</t>
  </si>
  <si>
    <t xml:space="preserve">Un suivi individualisé des parcours de formation est-il mis en place pour chaque employé ?</t>
  </si>
  <si>
    <t xml:space="preserve">Suivi individuel ou dossier de formation RH</t>
  </si>
  <si>
    <t xml:space="preserve">Non-conformité aux réglementations  </t>
  </si>
  <si>
    <t xml:space="preserve">Auditer la conformité des données aux réglementations.</t>
  </si>
  <si>
    <t xml:space="preserve">Rapports périodiques par collaborateur</t>
  </si>
  <si>
    <t xml:space="preserve">Inadaptation aux évolutions des données et des risques</t>
  </si>
  <si>
    <t xml:space="preserve">Classification obsolète des données  </t>
  </si>
  <si>
    <t xml:space="preserve">Mettre à jour la classification des données régulièrement.</t>
  </si>
  <si>
    <t xml:space="preserve">Actualisation régulière des programmes.</t>
  </si>
  <si>
    <t xml:space="preserve">Les programmes de formation sont-ils régulièrement actualisés en fonction des évolutions ?</t>
  </si>
  <si>
    <t xml:space="preserve">Planning de révision des programmes</t>
  </si>
  <si>
    <t xml:space="preserve">Exposition à des risques non anticipés  </t>
  </si>
  <si>
    <t xml:space="preserve">Anticiper les risques via une veille réglementaire.</t>
  </si>
  <si>
    <t xml:space="preserve">Procès-verbal des réunions pédagogiques</t>
  </si>
  <si>
    <t xml:space="preserve">Difficulté à justifier les classifications</t>
  </si>
  <si>
    <t xml:space="preserve">Incapacité à justifier les protections  </t>
  </si>
  <si>
    <t xml:space="preserve">Documenter les protections pour justifier les mesures.</t>
  </si>
  <si>
    <t xml:space="preserve">Vérifier que tous les personnels participent aux formations</t>
  </si>
  <si>
    <t xml:space="preserve">Contrôle de la couverture formation pour tous les personnels.</t>
  </si>
  <si>
    <t xml:space="preserve">La couverture des formations est-elle contrôlée pour garantir que tous les personnels sont formés ?</t>
  </si>
  <si>
    <t xml:space="preserve">Rapport global de couverture de formation</t>
  </si>
  <si>
    <t xml:space="preserve">Problèmes lors des audits  </t>
  </si>
  <si>
    <t xml:space="preserve">Préparer des rapports clairs pour les audits.</t>
  </si>
  <si>
    <t xml:space="preserve">Indicateurs de complétude par service ou entité</t>
  </si>
  <si>
    <t xml:space="preserve">Difficulté à vérifier la pertinence des classifications</t>
  </si>
  <si>
    <t xml:space="preserve">Classifications non vérifiées  </t>
  </si>
  <si>
    <t xml:space="preserve">Vérifier les classifications via des audits périodiques.</t>
  </si>
  <si>
    <t xml:space="preserve">Système de relance en cas d’absence ou retard.</t>
  </si>
  <si>
    <t xml:space="preserve">Un système de relance est-il en place pour gérer les absences ou retards aux formations ?</t>
  </si>
  <si>
    <t xml:space="preserve">Relances automatiques ou emails de rappel</t>
  </si>
  <si>
    <t xml:space="preserve">Erreurs dans la gestion des données  </t>
  </si>
  <si>
    <t xml:space="preserve">Automatiser la gestion des données pour réduire les erreurs.</t>
  </si>
  <si>
    <t xml:space="preserve">Registre des absences et retards</t>
  </si>
  <si>
    <t xml:space="preserve">Manque de connaissance métier dans la classification</t>
  </si>
  <si>
    <t xml:space="preserve">Classifications non pertinentes  </t>
  </si>
  <si>
    <t xml:space="preserve">Adapter les classifications aux besoins actuels.</t>
  </si>
  <si>
    <t xml:space="preserve">Intégration des formations dans les plans de développement individuel.</t>
  </si>
  <si>
    <t xml:space="preserve">Les formations sont-elles intégrées dans les plans de développement individuel des employés ?</t>
  </si>
  <si>
    <t xml:space="preserve">Inclusion des formations dans les entretiens individuels</t>
  </si>
  <si>
    <t xml:space="preserve">Protection inadaptée des actifs  </t>
  </si>
  <si>
    <t xml:space="preserve">Aligner la protection des actifs sur leur criticité.</t>
  </si>
  <si>
    <t xml:space="preserve">Plan de développement personnel validé</t>
  </si>
  <si>
    <t xml:space="preserve">Classification non basée sur les risques réels</t>
  </si>
  <si>
    <t xml:space="preserve">Classifications inadéquates  </t>
  </si>
  <si>
    <t xml:space="preserve">Mettre à jour les classifications des données pour refléter leur criticité.</t>
  </si>
  <si>
    <t xml:space="preserve">Suivi des formations obligatoires et optionnelles.</t>
  </si>
  <si>
    <t xml:space="preserve">Le suivi des formations obligatoires et optionnelles est-il effectué de manière rigoureuse ?</t>
  </si>
  <si>
    <t xml:space="preserve">Registre des formations obligatoires suivies</t>
  </si>
  <si>
    <t xml:space="preserve">Renforcer les contrôles pour réduire l’exposition aux failles de sécurité.</t>
  </si>
  <si>
    <t xml:space="preserve">Tableaux de bord des formations optionnelles</t>
  </si>
  <si>
    <t xml:space="preserve">Risque d'erreurs et d'inadéquation des classifications</t>
  </si>
  <si>
    <t xml:space="preserve">Incohérence dans la protection  </t>
  </si>
  <si>
    <t xml:space="preserve">Standardiser les mesures de protection pour plus de cohérence.</t>
  </si>
  <si>
    <t xml:space="preserve">Analyse des raisons d’absence et mesures correctives.</t>
  </si>
  <si>
    <t xml:space="preserve">Les raisons d’absence aux formations sont-elles analysées et suivies de mesures correctives ?</t>
  </si>
  <si>
    <t xml:space="preserve">Rapport d’analyse des absences</t>
  </si>
  <si>
    <t xml:space="preserve">Erreurs dans la manipulation des données  </t>
  </si>
  <si>
    <t xml:space="preserve">Former les employés à manipuler les données correctement.</t>
  </si>
  <si>
    <t xml:space="preserve">Plan d’actions correctives ou compensatoires</t>
  </si>
  <si>
    <t xml:space="preserve">Manque de cohérence, difficulté d'application et de contrôle</t>
  </si>
  <si>
    <t xml:space="preserve">Application inégale des règles  </t>
  </si>
  <si>
    <t xml:space="preserve">Auditer l’application des règles pour garantir leur uniformité.</t>
  </si>
  <si>
    <t xml:space="preserve">Vérifier que des évaluations « anté » et « post » formation sont 
réalisées pour évaluer l’impact de ces dernières</t>
  </si>
  <si>
    <t xml:space="preserve">Mise en place de tests ou questionnaires avant et après formation.</t>
  </si>
  <si>
    <t xml:space="preserve">Des tests ou questionnaires sont-ils réalisés avant et après les formations pour évaluer les connaissances ?</t>
  </si>
  <si>
    <t xml:space="preserve">Exemple de pré-test et post-test</t>
  </si>
  <si>
    <t xml:space="preserve">Failles dans la gestion des données  </t>
  </si>
  <si>
    <t xml:space="preserve">Utiliser un outil DLP pour combler les failles de gestion des données.</t>
  </si>
  <si>
    <t xml:space="preserve">Grille de comparaison des résultats</t>
  </si>
  <si>
    <t xml:space="preserve">Risque de mauvaise protection des données sensibles</t>
  </si>
  <si>
    <t xml:space="preserve">Données sensibles sous-protégées  </t>
  </si>
  <si>
    <t xml:space="preserve">Chiffrer les données sensibles pour une protection renforcée.</t>
  </si>
  <si>
    <t xml:space="preserve">Analyse comparative des résultats pour mesurer les progrès.</t>
  </si>
  <si>
    <t xml:space="preserve">Une analyse comparative des résultats des tests est-elle effectuée pour mesurer les progrès des participants ?</t>
  </si>
  <si>
    <t xml:space="preserve">Rapport d’analyse des écarts de résultats</t>
  </si>
  <si>
    <t xml:space="preserve">Restreindre l’accès pour prévenir les fuites d’informations critiques.</t>
  </si>
  <si>
    <t xml:space="preserve">Graphiques ou tableaux de progression</t>
  </si>
  <si>
    <t xml:space="preserve">Protection inadaptée aux niveaux de sensibilité des données</t>
  </si>
  <si>
    <t xml:space="preserve">Protection inadaptée des données  </t>
  </si>
  <si>
    <t xml:space="preserve">Adapter les mesures de protection aux besoins spécifiques des données.</t>
  </si>
  <si>
    <t xml:space="preserve">Adaptation des contenus ou méthodes pédagogiques selon résultats.</t>
  </si>
  <si>
    <t xml:space="preserve">Les contenus ou méthodes pédagogiques sont-ils adaptés en fonction des résultats des évaluations ?</t>
  </si>
  <si>
    <t xml:space="preserve">Rapport d’ajustement pédagogique</t>
  </si>
  <si>
    <t xml:space="preserve">Non-respect des normes de sécurité  </t>
  </si>
  <si>
    <t xml:space="preserve">Aligner les pratiques sur les normes de sécurité (ISO 27001, NIST).</t>
  </si>
  <si>
    <t xml:space="preserve">Actes de mise à jour des supports</t>
  </si>
  <si>
    <t xml:space="preserve">Classification obsolète, ne reflétant pas les changements</t>
  </si>
  <si>
    <t xml:space="preserve">Classifications non actualisées  </t>
  </si>
  <si>
    <t xml:space="preserve">Planifier des révisions régulières des classifications des données.</t>
  </si>
  <si>
    <t xml:space="preserve">Documentation des évaluations et résultats.</t>
  </si>
  <si>
    <t xml:space="preserve">Les évaluations et résultats des formations sont-ils documentés et archivés ?</t>
  </si>
  <si>
    <t xml:space="preserve">Archive des évaluations individuelles</t>
  </si>
  <si>
    <t xml:space="preserve">Vulnérabilités dues à des changements  </t>
  </si>
  <si>
    <t xml:space="preserve">Synthèse des résultats globaux</t>
  </si>
  <si>
    <t xml:space="preserve">Mauvaise application de la classification, erreurs de manipulation</t>
  </si>
  <si>
    <t xml:space="preserve">Erreurs dans le traitement des données  </t>
  </si>
  <si>
    <t xml:space="preserve">Automatiser le traitement des données pour minimiser les erreurs.</t>
  </si>
  <si>
    <t xml:space="preserve">Communication des résultats aux responsables hiérarchiques.</t>
  </si>
  <si>
    <t xml:space="preserve">Les résultats des évaluations sont-ils communiqués aux responsables hiérarchiques concernés ?</t>
  </si>
  <si>
    <t xml:space="preserve">Courrier aux responsables contenant les résultats</t>
  </si>
  <si>
    <t xml:space="preserve">Perte de confidentialité des informations</t>
  </si>
  <si>
    <t xml:space="preserve">Mettre en place des NDA et des contrôles pour protéger la confidentialité.</t>
  </si>
  <si>
    <t xml:space="preserve">Tableaux de répartition des performances</t>
  </si>
  <si>
    <t xml:space="preserve">Confusion des rôles, manque de responsabilisation</t>
  </si>
  <si>
    <t xml:space="preserve">Gestion chaotique des responsabilités  </t>
  </si>
  <si>
    <t xml:space="preserve">S’assurer que des sondages existent pour évaluer l’impact des 
formations dans le travail quotidien des utilisateurs</t>
  </si>
  <si>
    <t xml:space="preserve">Réalisation régulière de sondages auprès des utilisateurs formés.</t>
  </si>
  <si>
    <t xml:space="preserve">Des sondages réguliers sont-ils réalisés auprès des utilisateurs formés pour recueillir leurs retours ?</t>
  </si>
  <si>
    <t xml:space="preserve">Questionnaire de satisfaction post-formation</t>
  </si>
  <si>
    <t xml:space="preserve">Failles dans la prise en charge des tâches  </t>
  </si>
  <si>
    <t xml:space="preserve">Désigner des responsables pour chaque tâche critique.</t>
  </si>
  <si>
    <t xml:space="preserve">Synthèse des réponses collectées</t>
  </si>
  <si>
    <t xml:space="preserve">Difficulté à gérer et sécuriser les ressources</t>
  </si>
  <si>
    <t xml:space="preserve">Perte de contrôle des ressources critiques  </t>
  </si>
  <si>
    <t xml:space="preserve">Inventorier les ressources critiques pour un contrôle renforcé.</t>
  </si>
  <si>
    <t xml:space="preserve">Analyse des retours pour identifier besoins complémentaires.</t>
  </si>
  <si>
    <t xml:space="preserve">Les retours des sondages sont-ils analysés pour identifier les besoins complémentaires en formation ?</t>
  </si>
  <si>
    <t xml:space="preserve">Rapport d’analyse des retours utilisateurs</t>
  </si>
  <si>
    <t xml:space="preserve">Surveiller en continu pour limiter les compromissions.</t>
  </si>
  <si>
    <t xml:space="preserve">Proposition d’axes d’amélioration</t>
  </si>
  <si>
    <t xml:space="preserve">Lacunes dans la sécurité, conflits potentiels</t>
  </si>
  <si>
    <t xml:space="preserve">Prioriser la correction des vulnérabilités via un plan d’action.</t>
  </si>
  <si>
    <t xml:space="preserve">Intégration des résultats dans l’amélioration continue.</t>
  </si>
  <si>
    <t xml:space="preserve">Les résultats des sondages sont-ils intégrés dans un processus d’amélioration continue des formations ?</t>
  </si>
  <si>
    <t xml:space="preserve">Plan d’action établi sur la base des retours</t>
  </si>
  <si>
    <t xml:space="preserve">Conflits internes sur les priorités  </t>
  </si>
  <si>
    <t xml:space="preserve">Mettre en place un comité pour résoudre les conflits de priorités.</t>
  </si>
  <si>
    <t xml:space="preserve">Suivi de l’intégration dans les programmes</t>
  </si>
  <si>
    <t xml:space="preserve">Risque accru de fraude et d'erreurs</t>
  </si>
  <si>
    <t xml:space="preserve">Analyser les incidents pour réduire leur fréquence.</t>
  </si>
  <si>
    <t xml:space="preserve">Communication des résultats aux équipes formation et management.</t>
  </si>
  <si>
    <t xml:space="preserve">Les résultats des sondages sont-ils communiqués aux équipes de formation et au management ?</t>
  </si>
  <si>
    <t xml:space="preserve">Communication vers l’équipe pédagogique</t>
  </si>
  <si>
    <t xml:space="preserve">Pertes financières dues à la fraude  </t>
  </si>
  <si>
    <t xml:space="preserve">Renforcer les contrôles antifraude pour limiter les pertes financières.</t>
  </si>
  <si>
    <t xml:space="preserve">Présentation aux managers ou RH</t>
  </si>
  <si>
    <t xml:space="preserve">Accès non contrôlés, risques de sécurité accrus</t>
  </si>
  <si>
    <t xml:space="preserve">Accès inappropriés aux données sensibles  </t>
  </si>
  <si>
    <t xml:space="preserve">Restreindre les accès aux données sensibles via une gestion IAM.</t>
  </si>
  <si>
    <t xml:space="preserve">Mise en place d’actions correctives basées sur les retours.</t>
  </si>
  <si>
    <t xml:space="preserve">Des actions correctives sont-elles mises en place sur la base des retours des sondages ?</t>
  </si>
  <si>
    <t xml:space="preserve">Bibliothèque documentaire à jour (répertoire ou plateforme)</t>
  </si>
  <si>
    <t xml:space="preserve">Réaliser un audit de conformité pour respecter les réglementations.</t>
  </si>
  <si>
    <t xml:space="preserve">Index des documents et dates de mise à jour</t>
  </si>
  <si>
    <t xml:space="preserve">Compétences en sécurité insuffisantes, vulnérabilité aux attaques</t>
  </si>
  <si>
    <t xml:space="preserve">Mettre à jour les systèmes pour réduire leur vulnérabilité.</t>
  </si>
  <si>
    <t xml:space="preserve">Sécurité : gestion des communications et des opérations </t>
  </si>
  <si>
    <t xml:space="preserve">Vérifier que la documentation des procédures et les 
responsabilités opérationnelles existe</t>
  </si>
  <si>
    <t xml:space="preserve">Référentiel documentaire complet et à jour.</t>
  </si>
  <si>
    <t xml:space="preserve">Un référentiel documentaire complet et à jour est-il disponible pour toutes les procédures ?</t>
  </si>
  <si>
    <t xml:space="preserve">Format simplifié ou guide utilisateur des procédures</t>
  </si>
  <si>
    <t xml:space="preserve">Perturbation des opérations critiques  </t>
  </si>
  <si>
    <t xml:space="preserve">Planifier des sauvegardes pour minimiser les perturbations critiques.</t>
  </si>
  <si>
    <t xml:space="preserve">Enquête de satisfaction sur l’accessibilité</t>
  </si>
  <si>
    <t xml:space="preserve">Formation inefficace, manque d'engagement des apprenants</t>
  </si>
  <si>
    <t xml:space="preserve">Non-respect des règles de sécurité  </t>
  </si>
  <si>
    <t xml:space="preserve">Sensibiliser les employés pour améliorer le respect des règles.</t>
  </si>
  <si>
    <t xml:space="preserve">Clarté et accessibilité des procédures pour les utilisateurs.</t>
  </si>
  <si>
    <t xml:space="preserve">Les procédures sont-elles claires et facilement accessibles pour les utilisateurs concernés ?</t>
  </si>
  <si>
    <t xml:space="preserve">Mention des responsables dans les documents (en-tête, bas de page)</t>
  </si>
  <si>
    <t xml:space="preserve">Faible adoption des bonnes pratiques  </t>
  </si>
  <si>
    <t xml:space="preserve">Promouvoir les bonnes pratiques via des campagnes ciblées.</t>
  </si>
  <si>
    <t xml:space="preserve">Matrice RACI intégrée</t>
  </si>
  <si>
    <t xml:space="preserve">Difficulté à s'adapter aux différents styles d'apprentissage</t>
  </si>
  <si>
    <t xml:space="preserve">Formation inefficace pour certains employés  </t>
  </si>
  <si>
    <t xml:space="preserve">Adapter les formations aux besoins spécifiques des employés.</t>
  </si>
  <si>
    <t xml:space="preserve">Attribution formelle des responsabilités dans les documents.</t>
  </si>
  <si>
    <t xml:space="preserve">Les responsabilités sont-elles formellement attribuées dans les documents du référentiel ?</t>
  </si>
  <si>
    <t xml:space="preserve">Historique des versions et registre de modifications</t>
  </si>
  <si>
    <t xml:space="preserve">Hétérogénéité des compétences  </t>
  </si>
  <si>
    <t xml:space="preserve">Évaluer les compétences pour homogénéiser les niveaux.</t>
  </si>
  <si>
    <t xml:space="preserve">Email ou note de diffusion</t>
  </si>
  <si>
    <t xml:space="preserve">Difficulté à mesurer l'impact des formations</t>
  </si>
  <si>
    <t xml:space="preserve">Incapacité à évaluer les progrès  </t>
  </si>
  <si>
    <t xml:space="preserve">Mettre en place des métriques pour suivre les progrès.</t>
  </si>
  <si>
    <t xml:space="preserve">Suivi des mises à jour et diffusion des documents.</t>
  </si>
  <si>
    <t xml:space="preserve">Les mises à jour des documents sont-elles suivies et diffusées aux parties concernées ?</t>
  </si>
  <si>
    <t xml:space="preserve">Grille de contrôle d’application des procédures</t>
  </si>
  <si>
    <t xml:space="preserve">Gaspillage des ressources de formation  </t>
  </si>
  <si>
    <t xml:space="preserve">Optimiser les ressources en ciblant les formations essentielles.</t>
  </si>
  <si>
    <t xml:space="preserve">Rapports de vérification ponctuelle</t>
  </si>
  <si>
    <t xml:space="preserve">Contenu obsolète, inadaptation aux nouvelles menaces</t>
  </si>
  <si>
    <t xml:space="preserve">Surveiller les menaces émergentes pour adapter les contenus.</t>
  </si>
  <si>
    <t xml:space="preserve">Contrôle de l’application effective des procédures.</t>
  </si>
  <si>
    <t xml:space="preserve">Des contrôles sont-ils effectués pour vérifier l’application effective des procédures documentées ?</t>
  </si>
  <si>
    <t xml:space="preserve">Procédure formelle validée de gestion du changement</t>
  </si>
  <si>
    <t xml:space="preserve">Failles dues à des contenus dépassés  </t>
  </si>
  <si>
    <t xml:space="preserve">Actualiser les supports de formation pour plus de pertinence.</t>
  </si>
  <si>
    <t xml:space="preserve">Schéma de processus ou workflow documenté</t>
  </si>
  <si>
    <t xml:space="preserve">Formation inefficace, manque de pertinence</t>
  </si>
  <si>
    <t xml:space="preserve">Formation non pertinente  </t>
  </si>
  <si>
    <t xml:space="preserve">Concevoir des formations adaptées aux rôles des employés.</t>
  </si>
  <si>
    <t xml:space="preserve">Vérifier que le contrôle des modifications opérationnelles est 
réalisé</t>
  </si>
  <si>
    <t xml:space="preserve">Processus formalisé de gestion des modifications.</t>
  </si>
  <si>
    <t xml:space="preserve">Un processus formalisé de gestion des modifications est-il en place et documenté ?</t>
  </si>
  <si>
    <t xml:space="preserve">Registre des demandes de modification</t>
  </si>
  <si>
    <t xml:space="preserve">Perte de temps pour les employés  </t>
  </si>
  <si>
    <t xml:space="preserve">Simplifier les sessions pour maximiser l’efficacité.</t>
  </si>
  <si>
    <t xml:space="preserve">Historique des décisions et validations</t>
  </si>
  <si>
    <t xml:space="preserve">Difficultés d'apprentissage, manque d'engagement</t>
  </si>
  <si>
    <t xml:space="preserve">Faible assimilation des concepts clés  </t>
  </si>
  <si>
    <t xml:space="preserve">Utiliser des quiz pour vérifier l’assimilation des concepts.</t>
  </si>
  <si>
    <t xml:space="preserve">Enregistrement et traçabilité des demandes et validations.</t>
  </si>
  <si>
    <t xml:space="preserve">Les demandes et validations de modifications sont-elles enregistrées et traçables ?</t>
  </si>
  <si>
    <t xml:space="preserve">Fiches d’impact prévisionnel</t>
  </si>
  <si>
    <t xml:space="preserve">Comportements à risque persistants  </t>
  </si>
  <si>
    <t xml:space="preserve">Lancer des campagnes pour corriger les comportements à risque.</t>
  </si>
  <si>
    <t xml:space="preserve">Rapport de revue des impacts</t>
  </si>
  <si>
    <t xml:space="preserve">Risque accru lié aux accès sensibles</t>
  </si>
  <si>
    <t xml:space="preserve">Abus de privilèges sensibles  </t>
  </si>
  <si>
    <t xml:space="preserve">Révoquer les privilèges inutiles pour limiter les abus.</t>
  </si>
  <si>
    <t xml:space="preserve">Évaluation des impacts avant mise en œuvre.</t>
  </si>
  <si>
    <t xml:space="preserve">Les impacts des modifications sont-ils évalués avant leur mise en œuvre ?</t>
  </si>
  <si>
    <t xml:space="preserve">Procès-verbal de tests ou validations techniques</t>
  </si>
  <si>
    <t xml:space="preserve">Compromission des systèmes critiques  </t>
  </si>
  <si>
    <t xml:space="preserve">Renforcer la sécurité des systèmes critiques via des pare-feu.</t>
  </si>
  <si>
    <t xml:space="preserve">Journal de tests fonctionnels</t>
  </si>
  <si>
    <t xml:space="preserve">Formations inadaptées aux besoins</t>
  </si>
  <si>
    <t xml:space="preserve">Formation non ciblée  </t>
  </si>
  <si>
    <t xml:space="preserve">Cibler les formations sur les besoins opérationnels.</t>
  </si>
  <si>
    <t xml:space="preserve">Tests et validation post-modification.</t>
  </si>
  <si>
    <t xml:space="preserve">Des tests et une validation sont-ils réalisés après la mise en œuvre des modifications ?</t>
  </si>
  <si>
    <t xml:space="preserve">Email de communication ou note d’information</t>
  </si>
  <si>
    <t xml:space="preserve">Manque de compétences spécifiques  </t>
  </si>
  <si>
    <t xml:space="preserve">Proposer des certifications pour développer les compétences.</t>
  </si>
  <si>
    <t xml:space="preserve">Accusé de réception ou message intranet</t>
  </si>
  <si>
    <t xml:space="preserve">Difficulté à mesurer l'efficacité et le retour sur investissement</t>
  </si>
  <si>
    <t xml:space="preserve">Investissements mal orientés  </t>
  </si>
  <si>
    <t xml:space="preserve">Réorienter les investissements vers des formations à fort impact.</t>
  </si>
  <si>
    <t xml:space="preserve">Communication des changements aux équipes concernées.</t>
  </si>
  <si>
    <t xml:space="preserve">Les changements sont-ils communiqués de manière claire aux équipes concernées ?</t>
  </si>
  <si>
    <t xml:space="preserve">Procédure de gestion des incidents formalisée</t>
  </si>
  <si>
    <t xml:space="preserve">Faible retour sur les efforts  </t>
  </si>
  <si>
    <t xml:space="preserve">Mesurer le ROI des efforts de formation.</t>
  </si>
  <si>
    <t xml:space="preserve">Version validée avec date et approbation</t>
  </si>
  <si>
    <t xml:space="preserve">Difficulté à suivre les formations des employés</t>
  </si>
  <si>
    <t xml:space="preserve">Manque de suivi des apprenants  </t>
  </si>
  <si>
    <t xml:space="preserve">Suivre les apprenants avec des évaluations post-formation.</t>
  </si>
  <si>
    <t xml:space="preserve">Vérifier que des procédures de gestion des incidents existent</t>
  </si>
  <si>
    <t xml:space="preserve">Procédure documentée de gestion des incidents.</t>
  </si>
  <si>
    <t xml:space="preserve">Une procédure documentée de gestion des incidents est-elle en place et à jour ?</t>
  </si>
  <si>
    <t xml:space="preserve">Organigramme de gestion des incidents</t>
  </si>
  <si>
    <t xml:space="preserve">Non-conformité aux exigences  </t>
  </si>
  <si>
    <t xml:space="preserve">Aligner les formations sur les exigences réglementaires.</t>
  </si>
  <si>
    <t xml:space="preserve">Fiche réflexe ou manuel d’intervention</t>
  </si>
  <si>
    <t xml:space="preserve">Difficulté à identifier les points faibles et à améliorer la participation</t>
  </si>
  <si>
    <t xml:space="preserve">Participation insuffisante  </t>
  </si>
  <si>
    <t xml:space="preserve">Encourager la participation via des incitations.</t>
  </si>
  <si>
    <t xml:space="preserve">Identification claire des rôles et responsabilités.</t>
  </si>
  <si>
    <t xml:space="preserve">Les rôles et responsabilités en cas d’incident sont-ils clairement identifiés et connus ?</t>
  </si>
  <si>
    <t xml:space="preserve">Formulaire de déclaration d’incident</t>
  </si>
  <si>
    <t xml:space="preserve">Lacunes dans les compétences critiques  </t>
  </si>
  <si>
    <t xml:space="preserve">Combler les lacunes par des formations spécialisées.</t>
  </si>
  <si>
    <t xml:space="preserve">Journal des incidents (ticketing, Excel, etc.)</t>
  </si>
  <si>
    <t xml:space="preserve">Faible taux de participation, manque de compétences</t>
  </si>
  <si>
    <t xml:space="preserve">Faible maîtrise des consignes  </t>
  </si>
  <si>
    <t xml:space="preserve">Simplifier les consignes pour une meilleure maîtrise.</t>
  </si>
  <si>
    <t xml:space="preserve">Système de déclaration et suivi des incidents.</t>
  </si>
  <si>
    <t xml:space="preserve">Un système de déclaration et de suivi des incidents est-il opérationnel et utilisé ?</t>
  </si>
  <si>
    <t xml:space="preserve">Intégrer des exercices pratiques pour réduire les erreurs humaines.</t>
  </si>
  <si>
    <t xml:space="preserve">Plan d’action correctif associé</t>
  </si>
  <si>
    <t xml:space="preserve">Non-respect des exigences de sécurité</t>
  </si>
  <si>
    <t xml:space="preserve">Auditer la conformité pour éviter les sanctions.</t>
  </si>
  <si>
    <t xml:space="preserve">Analyse des incidents pour actions correctives.</t>
  </si>
  <si>
    <t xml:space="preserve">Une analyse des incidents est-elle réalisée pour identifier les causes et définir des actions correctives ?</t>
  </si>
  <si>
    <t xml:space="preserve">Sanctions réglementaires potentielles  </t>
  </si>
  <si>
    <t xml:space="preserve">Préparer un plan pour gérer les sanctions potentielles.</t>
  </si>
  <si>
    <t xml:space="preserve">Plan d’actions correctives associé</t>
  </si>
  <si>
    <t xml:space="preserve">Manque de visibilité sur la formation en sécurité</t>
  </si>
  <si>
    <t xml:space="preserve">Absence de données sur l’efficacité  </t>
  </si>
  <si>
    <t xml:space="preserve">Collecter des données sur l’efficacité des formations.</t>
  </si>
  <si>
    <t xml:space="preserve">Les équipes sont-elles régulièrement formées à la gestion des incidents de sécurité ?</t>
  </si>
  <si>
    <t xml:space="preserve">Supports de formation à la gestion des incidents</t>
  </si>
  <si>
    <t xml:space="preserve">Difficulté à justifier les budgets  </t>
  </si>
  <si>
    <t xml:space="preserve">Justifier les budgets avec des rapports d’impact.</t>
  </si>
  <si>
    <t xml:space="preserve">Liste de présence ou attestations de formation</t>
  </si>
  <si>
    <t xml:space="preserve">Difficulté à mesurer l'efficacité de la formation</t>
  </si>
  <si>
    <t xml:space="preserve">Formation non optimisée  </t>
  </si>
  <si>
    <t xml:space="preserve">Optimiser les formations via des retours d’expérience.</t>
  </si>
  <si>
    <t xml:space="preserve">Vérifier que la séparation des fonctions et des 
infrastructures existe</t>
  </si>
  <si>
    <t xml:space="preserve">Définition claire des fonctions et responsabilités distinctes.</t>
  </si>
  <si>
    <t xml:space="preserve">Les fonctions et responsabilités distinctes sont-elles clairement définies et documentées ?</t>
  </si>
  <si>
    <t xml:space="preserve">Document précisant les fonctions et responsabilités distinctes (matrice RACI, organigramme)</t>
  </si>
  <si>
    <t xml:space="preserve">Perte de ressources inutiles  </t>
  </si>
  <si>
    <t xml:space="preserve">Utiliser des contenus interactifs pour plus d’efficacité.</t>
  </si>
  <si>
    <t xml:space="preserve">Descriptions de poste détaillées</t>
  </si>
  <si>
    <t xml:space="preserve">Difficulté à identifier les axes d'amélioration des formations</t>
  </si>
  <si>
    <t xml:space="preserve">Manque d’amélioration continue  </t>
  </si>
  <si>
    <t xml:space="preserve">Évaluer les compétences avec des tests objectifs.</t>
  </si>
  <si>
    <t xml:space="preserve">Contrôles techniques pour séparer infrastructures critiques.</t>
  </si>
  <si>
    <t xml:space="preserve">Des contrôles techniques sont-ils mis en place pour assurer la séparation des infrastructures critiques ?</t>
  </si>
  <si>
    <t xml:space="preserve">Configuration des accès réseau / segmentation des infrastructures critiques</t>
  </si>
  <si>
    <t xml:space="preserve">Contenus pédagogiques inefficaces  </t>
  </si>
  <si>
    <t xml:space="preserve">Renforcer l’application des règles via des audits.</t>
  </si>
  <si>
    <t xml:space="preserve">Rapport d’audit de séparation des environnements</t>
  </si>
  <si>
    <t xml:space="preserve">Difficulté à évaluer l'impact réel des formations</t>
  </si>
  <si>
    <t xml:space="preserve">Évaluation erronée des compétences  </t>
  </si>
  <si>
    <t xml:space="preserve">Actualiser le programme pour éviter la stagnation.</t>
  </si>
  <si>
    <t xml:space="preserve">Vérification régulière du respect de la séparation.</t>
  </si>
  <si>
    <t xml:space="preserve">Le respect de la séparation des infrastructures critiques est-il vérifié régulièrement ?</t>
  </si>
  <si>
    <t xml:space="preserve">Rapport ou fiche de vérification périodique du respect de la séparation</t>
  </si>
  <si>
    <t xml:space="preserve">Failles dans la sécurité appliquée  </t>
  </si>
  <si>
    <t xml:space="preserve">Analyser les risques pour éliminer les failles évitables.</t>
  </si>
  <si>
    <t xml:space="preserve">Journal d’accès ou contrôle des privilèges</t>
  </si>
  <si>
    <t xml:space="preserve">Difficulté à mesurer l'efficacité globale du programme de sécurité</t>
  </si>
  <si>
    <t xml:space="preserve">Programme stagnant  </t>
  </si>
  <si>
    <t xml:space="preserve">Suivre les progrès avec des indicateurs clairs.</t>
  </si>
  <si>
    <t xml:space="preserve">Documentation des accès et privilèges.</t>
  </si>
  <si>
    <t xml:space="preserve">Les accès et privilèges sont-ils documentés de manière claire et à jour ?</t>
  </si>
  <si>
    <t xml:space="preserve">Registre des droits et privilèges par utilisateur ou par fonction</t>
  </si>
  <si>
    <t xml:space="preserve">Exposition à des risques évitables  </t>
  </si>
  <si>
    <t xml:space="preserve">Communiquer les succès pour renforcer la confiance.</t>
  </si>
  <si>
    <t xml:space="preserve">Historique des modifications d’accès</t>
  </si>
  <si>
    <t xml:space="preserve">Manque d'amélioration continue des programmes de formation</t>
  </si>
  <si>
    <t xml:space="preserve">Absence de progrès mesurable  </t>
  </si>
  <si>
    <t xml:space="preserve">Utiliser des évaluations indépendantes pour plus de fiabilité.</t>
  </si>
  <si>
    <t xml:space="preserve">Sensibilisation des personnels à l’importance de la séparation.</t>
  </si>
  <si>
    <t xml:space="preserve">Les personnels sont-ils sensibilisés à l’importance de la séparation des fonctions et infrastructures ?</t>
  </si>
  <si>
    <t xml:space="preserve">Campagne de sensibilisation (affiche, email, module en ligne)</t>
  </si>
  <si>
    <t xml:space="preserve">Manque de confiance dans le programme  </t>
  </si>
  <si>
    <t xml:space="preserve">Preuves de diffusion ou taux de consultation</t>
  </si>
  <si>
    <t xml:space="preserve">Difficulté à mesurer l'efficacité des formations</t>
  </si>
  <si>
    <t xml:space="preserve">Évaluations non fiables  </t>
  </si>
  <si>
    <t xml:space="preserve">Adapter les contenus aux besoins actuels.</t>
  </si>
  <si>
    <t xml:space="preserve">Vérifier qu’une étude de sécurité en cas de gestion externe des 
infrastructures a été réalisée</t>
  </si>
  <si>
    <t xml:space="preserve">Analyse des risques liée à la gestion externalisée.</t>
  </si>
  <si>
    <t xml:space="preserve">Une analyse des risques liés à la gestion externalisée est-elle réalisée et documentée ?</t>
  </si>
  <si>
    <t xml:space="preserve">Analyse de risques spécifique à l’externalisation</t>
  </si>
  <si>
    <t xml:space="preserve">Simplifier les concepts pour améliorer l’assimilation.</t>
  </si>
  <si>
    <t xml:space="preserve">Rapport de décision ou validation du recours au prestataire</t>
  </si>
  <si>
    <t xml:space="preserve">Évaluation imprécise des connaissances acquises</t>
  </si>
  <si>
    <t xml:space="preserve">Contenus non adaptés  </t>
  </si>
  <si>
    <t xml:space="preserve">Cibler les formations sur les lacunes identifiées.</t>
  </si>
  <si>
    <t xml:space="preserve">Documentation des mesures de sécurité exigées du prestataire.</t>
  </si>
  <si>
    <t xml:space="preserve">Les mesures de sécurité exigées des prestataires externes sont-elles documentées et appliquées ?</t>
  </si>
  <si>
    <t xml:space="preserve">Fiche d’exigences de sécurité à destination du prestataire</t>
  </si>
  <si>
    <t xml:space="preserve">Faible assimilation des connaissances  </t>
  </si>
  <si>
    <t xml:space="preserve">Motiver les apprenants avec des formats engageants.</t>
  </si>
  <si>
    <t xml:space="preserve">Check-list de conformité pré-intégration</t>
  </si>
  <si>
    <t xml:space="preserve">Pas d'amélioration des formations suite aux sondages</t>
  </si>
  <si>
    <t xml:space="preserve">Combler les lacunes par des sessions spécifiques.</t>
  </si>
  <si>
    <t xml:space="preserve">Contrats formalisant les obligations de sécurité.</t>
  </si>
  <si>
    <t xml:space="preserve">Les contrats avec les prestataires incluent-ils des obligations de sécurité clairement formalisées ?</t>
  </si>
  <si>
    <t xml:space="preserve">Contrat ou annexe sécurité dûment signé(e)</t>
  </si>
  <si>
    <t xml:space="preserve">Manque d’engagement des apprenants  </t>
  </si>
  <si>
    <t xml:space="preserve">Clarifier les procédures critiques pour éviter les erreurs.</t>
  </si>
  <si>
    <t xml:space="preserve">Référentiel de clauses contractuelles sécurité</t>
  </si>
  <si>
    <t xml:space="preserve">Manque d'approfondissement sur certains points</t>
  </si>
  <si>
    <t xml:space="preserve">Lacunes dans les connaissances clés  </t>
  </si>
  <si>
    <t xml:space="preserve">Former les équipes à appliquer les règles correctement.</t>
  </si>
  <si>
    <t xml:space="preserve">Suivi et audits réguliers chez le prestataire.</t>
  </si>
  <si>
    <t xml:space="preserve">Des audits et suivis réguliers sont-ils effectués chez les prestataires pour vérifier leur conformité ?</t>
  </si>
  <si>
    <t xml:space="preserve">Rapports d’audits ou de suivis réguliers chez le prestataire</t>
  </si>
  <si>
    <t xml:space="preserve">Non-respect des procédures critiques  </t>
  </si>
  <si>
    <t xml:space="preserve">Compte-rendu de réunion de suivi prestataire</t>
  </si>
  <si>
    <t xml:space="preserve">Erreurs dans l’application des règles  </t>
  </si>
  <si>
    <t xml:space="preserve">Mettre à jour la documentation pour plus de fiabilité.</t>
  </si>
  <si>
    <t xml:space="preserve">Gestion des incidents impliquant le prestataire.</t>
  </si>
  <si>
    <t xml:space="preserve">Une procédure de gestion des incidents impliquant les prestataires est-elle en place et opérationnelle ?</t>
  </si>
  <si>
    <t xml:space="preserve">Procédure de gestion des incidents prestataire</t>
  </si>
  <si>
    <t xml:space="preserve">Standardiser les processus pour une gestion cohérente.</t>
  </si>
  <si>
    <t xml:space="preserve">Rapports d'incidents ou de tests impliquant un tiers</t>
  </si>
  <si>
    <t xml:space="preserve">Risque d'erreurs et de non-conformité</t>
  </si>
  <si>
    <t xml:space="preserve">Documentation non fiable  </t>
  </si>
  <si>
    <t xml:space="preserve">Utiliser un outil de gestion pour tracer les changements.</t>
  </si>
  <si>
    <t xml:space="preserve">Vérifier que les mesures de protection contre les infections 
logiques existent</t>
  </si>
  <si>
    <t xml:space="preserve">Installation et mise à jour régulière d’antivirus et antimalwares.</t>
  </si>
  <si>
    <t xml:space="preserve">Des antivirus et antimalwares sont-ils installés et régulièrement mis à jour sur tous les systèmes ?</t>
  </si>
  <si>
    <t xml:space="preserve">Politique d’installation et de mise à jour antivirus/antimalwares</t>
  </si>
  <si>
    <t xml:space="preserve">Gestion incohérente des processus  </t>
  </si>
  <si>
    <t xml:space="preserve">Auditer les modifications pour garantir leur conformité.</t>
  </si>
  <si>
    <t xml:space="preserve">Relevé de versions et planification des mises à jour</t>
  </si>
  <si>
    <t xml:space="preserve">Difficulté à appliquer les procédures</t>
  </si>
  <si>
    <t xml:space="preserve">Vérifier l’exactitude des données utilisées.</t>
  </si>
  <si>
    <t xml:space="preserve">Mise en place de pare-feux et systèmes de détection d’intrusion.</t>
  </si>
  <si>
    <t xml:space="preserve">Des pare-feux et systèmes de détection d’intrusion sont-ils déployés et opérationnels ?</t>
  </si>
  <si>
    <t xml:space="preserve">Configuration technique des pare-feux / IDS / IPS</t>
  </si>
  <si>
    <t xml:space="preserve">Difficulté à auditer les modifications  </t>
  </si>
  <si>
    <t xml:space="preserve">Valider les informations avant toute décision.</t>
  </si>
  <si>
    <t xml:space="preserve">Rapports d’audit ou tests d’efficacité</t>
  </si>
  <si>
    <t xml:space="preserve">Documentation obsolète ou erronée</t>
  </si>
  <si>
    <t xml:space="preserve">Utilisation de données erronées  </t>
  </si>
  <si>
    <t xml:space="preserve">Tester les changements pour éviter les failles.</t>
  </si>
  <si>
    <t xml:space="preserve">Politique de gestion des droits utilisateurs.</t>
  </si>
  <si>
    <t xml:space="preserve">Une politique de gestion des droits utilisateurs est-elle formalisée et appliquée ?</t>
  </si>
  <si>
    <t xml:space="preserve">Politique formelle de gestion des droits (principe du moindre privilège, etc.)</t>
  </si>
  <si>
    <t xml:space="preserve">Décisions basées sur des informations fausses  </t>
  </si>
  <si>
    <t xml:space="preserve">Surveiller les systèmes critiques pour garantir leur stabilité.</t>
  </si>
  <si>
    <t xml:space="preserve">Base de données ou registre des droits utilisateurs</t>
  </si>
  <si>
    <t xml:space="preserve">Difficulté à suivre les modifications et à revenir à des versions antérieures</t>
  </si>
  <si>
    <t xml:space="preserve">Introduction de failles non détectées  </t>
  </si>
  <si>
    <t xml:space="preserve">Analyser les vulnérabilités pour réduire l’exposition.</t>
  </si>
  <si>
    <t xml:space="preserve">Sensibilisation des utilisateurs aux bonnes pratiques.</t>
  </si>
  <si>
    <t xml:space="preserve">Les utilisateurs sont-ils sensibilisés aux bonnes pratiques en matière de sécurité informatique ?</t>
  </si>
  <si>
    <t xml:space="preserve">Campagne de sensibilisation cybersécurité (phishing, usage pro/perso, etc.)</t>
  </si>
  <si>
    <t xml:space="preserve">Instabilité des systèmes critiques  </t>
  </si>
  <si>
    <t xml:space="preserve">Renforcer les contrôles pour éviter la compromission.</t>
  </si>
  <si>
    <t xml:space="preserve">Taux de participation ou évaluation des connaissances</t>
  </si>
  <si>
    <t xml:space="preserve">Utilisation de versions obsolètes</t>
  </si>
  <si>
    <t xml:space="preserve">Exposition à des vulnérabilités  </t>
  </si>
  <si>
    <t xml:space="preserve">Sécuriser les changements via un processus formel.</t>
  </si>
  <si>
    <t xml:space="preserve">Contrôles réguliers et audits des dispositifs de protection.</t>
  </si>
  <si>
    <t xml:space="preserve">Des contrôles réguliers et audits des dispositifs de protection sont-ils réalisés ?</t>
  </si>
  <si>
    <t xml:space="preserve">Rapports de contrôle et d’audit de sécurité (mensuel, trimestriel)</t>
  </si>
  <si>
    <t xml:space="preserve">Planifier les mises à jour pour limiter les perturbations.</t>
  </si>
  <si>
    <t xml:space="preserve">Tableau de bord synthétique des protections actives</t>
  </si>
  <si>
    <t xml:space="preserve">Modifications non contrôlées, erreurs potentielles</t>
  </si>
  <si>
    <t xml:space="preserve">Changements non sécurisés  </t>
  </si>
  <si>
    <t xml:space="preserve">Tester les déploiements pour garantir leur stabilité.</t>
  </si>
  <si>
    <t xml:space="preserve">Vérifier que les sauvegardes des données sont réalisées</t>
  </si>
  <si>
    <t xml:space="preserve">Politique formalisée de sauvegarde.</t>
  </si>
  <si>
    <t xml:space="preserve">Une politique de sauvegarde formalisée est-elle en place et respectée ?</t>
  </si>
  <si>
    <t xml:space="preserve">Politique officielle de sauvegarde approuvée</t>
  </si>
  <si>
    <t xml:space="preserve">Perturbation des processus critiques  </t>
  </si>
  <si>
    <t xml:space="preserve">Communiquer les changements pour maintenir la confiance.</t>
  </si>
  <si>
    <t xml:space="preserve">Procédure opérationnelle correspondante</t>
  </si>
  <si>
    <t xml:space="preserve">Introduction de vulnérabilités</t>
  </si>
  <si>
    <t xml:space="preserve">Instabilité des systèmes déployés  </t>
  </si>
  <si>
    <t xml:space="preserve">Documenter les évolutions pour un contrôle renforcé.</t>
  </si>
  <si>
    <t xml:space="preserve">Réalisation régulière des sauvegardes selon politique.</t>
  </si>
  <si>
    <t xml:space="preserve">Les sauvegardes sont-elles réalisées régulièrement conformément à la politique établie ?</t>
  </si>
  <si>
    <t xml:space="preserve">Rapports ou journaux de sauvegarde automatisée</t>
  </si>
  <si>
    <t xml:space="preserve">Perte de confiance des utilisateurs  </t>
  </si>
  <si>
    <t xml:space="preserve">Former les équipes pour une résolution rapide des incidents.</t>
  </si>
  <si>
    <t xml:space="preserve">Planning ou fréquence des sauvegardes</t>
  </si>
  <si>
    <t xml:space="preserve">Modifications non contrôlées et potentiellement dangereuses</t>
  </si>
  <si>
    <t xml:space="preserve">Perte de contrôle des évolutions  </t>
  </si>
  <si>
    <t xml:space="preserve">Mettre en place un plan de réponse aux incidents clair.</t>
  </si>
  <si>
    <t xml:space="preserve">Tests périodiques de restauration des données.</t>
  </si>
  <si>
    <t xml:space="preserve">Des tests périodiques de restauration des données sont-ils effectués pour vérifier leur efficacité ?</t>
  </si>
  <si>
    <t xml:space="preserve">Procès-verbaux ou fiches de tests de restauration</t>
  </si>
  <si>
    <t xml:space="preserve">Prioriser les actions pour limiter l’impact des crises.</t>
  </si>
  <si>
    <t xml:space="preserve">Compétences/attestations des techniciens en charge</t>
  </si>
  <si>
    <t xml:space="preserve">Risque d'erreurs et d'instabilité</t>
  </si>
  <si>
    <t xml:space="preserve">Désigner un coordinateur pour gérer les crises.</t>
  </si>
  <si>
    <t xml:space="preserve">Documentation des procédures et planning.</t>
  </si>
  <si>
    <t xml:space="preserve">Les procédures et le planning des sauvegardes sont-ils documentés et accessibles ?</t>
  </si>
  <si>
    <t xml:space="preserve">Documentation complète du processus de sauvegarde</t>
  </si>
  <si>
    <t xml:space="preserve">Aggravation des impacts  </t>
  </si>
  <si>
    <t xml:space="preserve">Évaluer les pertes pour optimiser la réponse.</t>
  </si>
  <si>
    <t xml:space="preserve">Calendrier/planning de sauvegarde et restauration</t>
  </si>
  <si>
    <t xml:space="preserve">Difficulté à suivre les modifications et leurs conséquences</t>
  </si>
  <si>
    <t xml:space="preserve">Gestion chaotique des crises  </t>
  </si>
  <si>
    <t xml:space="preserve">Automatiser les alertes pour accélérer la résolution.</t>
  </si>
  <si>
    <t xml:space="preserve">Sécurisation des supports de sauvegarde.</t>
  </si>
  <si>
    <t xml:space="preserve">Les supports de sauvegarde sont-ils sécurisés conformément aux exigences de sécurité ?</t>
  </si>
  <si>
    <t xml:space="preserve">Preuve de chiffrement ou sécurisation des supports (coffre, cloud sécurisé, etc.)</t>
  </si>
  <si>
    <t xml:space="preserve">Pertes opérationnelles accrues  </t>
  </si>
  <si>
    <t xml:space="preserve">Améliorer la coordination via des exercices de simulation.</t>
  </si>
  <si>
    <t xml:space="preserve">Contrat avec hébergeur ou certificat de conformité</t>
  </si>
  <si>
    <t xml:space="preserve">Difficulté à gérer les incidents efficacement</t>
  </si>
  <si>
    <t xml:space="preserve">Retards dans la résolution  </t>
  </si>
  <si>
    <t xml:space="preserve">Analyser les incidents pour réduire leur durée.</t>
  </si>
  <si>
    <t xml:space="preserve">Vérifier que les modalités de gestion des supports de 
données sont clairement définies</t>
  </si>
  <si>
    <t xml:space="preserve">Documentation des procédures de gestion des supports.</t>
  </si>
  <si>
    <t xml:space="preserve">Les procédures de gestion des supports sont-elles documentées et à jour ?</t>
  </si>
  <si>
    <t xml:space="preserve">Procédures formelles de gestion des supports (USB, disques, etc.)</t>
  </si>
  <si>
    <t xml:space="preserve">Manque de coordination efficace  </t>
  </si>
  <si>
    <t xml:space="preserve">Guide utilisateur / procédure simplifiée</t>
  </si>
  <si>
    <t xml:space="preserve">Confusion et inefficacité dans la gestion des incidents</t>
  </si>
  <si>
    <t xml:space="preserve">Corriger les failles récurrentes via un plan d’action.</t>
  </si>
  <si>
    <t xml:space="preserve">Identification et suivi des supports utilisés.</t>
  </si>
  <si>
    <t xml:space="preserve">Les supports utilisés sont-ils identifiés et suivis de manière rigoureuse ?</t>
  </si>
  <si>
    <t xml:space="preserve">Journal de suivi ou outil de traçabilité des supports</t>
  </si>
  <si>
    <t xml:space="preserve">Perte de disponibilité des services  </t>
  </si>
  <si>
    <t xml:space="preserve">Etiquetage ou référentiel de supports</t>
  </si>
  <si>
    <t xml:space="preserve">Manque de coordination et de réactivité</t>
  </si>
  <si>
    <t xml:space="preserve">Vérifier les décisions pour éviter les biais.</t>
  </si>
  <si>
    <t xml:space="preserve">Mesures de sécurité appliquées aux supports.</t>
  </si>
  <si>
    <t xml:space="preserve">Des mesures de sécurité spécifiques sont-elles appliquées aux supports de stockage ?</t>
  </si>
  <si>
    <t xml:space="preserve">Liste des mesures de sécurité appliquées (chiffrement, effacement sécurisé, etc.)</t>
  </si>
  <si>
    <t xml:space="preserve">Renforcer la protection des actifs critiques.</t>
  </si>
  <si>
    <t xml:space="preserve">Rapports de conformité</t>
  </si>
  <si>
    <t xml:space="preserve">Retards dans la gestion des incidents majeurs</t>
  </si>
  <si>
    <t xml:space="preserve">Décisions biaisées non sécurisées  </t>
  </si>
  <si>
    <t xml:space="preserve">Surveiller les abus de pouvoir avec des audits.</t>
  </si>
  <si>
    <t xml:space="preserve">Formation des personnels concernés.</t>
  </si>
  <si>
    <t xml:space="preserve">Les personnels concernés sont-ils formés à la gestion sécurisée des supports ?</t>
  </si>
  <si>
    <t xml:space="preserve">Formations ou tutoriels dédiés au personnel concerné</t>
  </si>
  <si>
    <t xml:space="preserve">Compromission des actifs critiques  </t>
  </si>
  <si>
    <t xml:space="preserve">Chiffrer les données pour prévenir les fuites.</t>
  </si>
  <si>
    <t xml:space="preserve">Registre de participation</t>
  </si>
  <si>
    <t xml:space="preserve">Difficulté à améliorer la sécurité et à prévenir les récidives</t>
  </si>
  <si>
    <t xml:space="preserve">Abus de pouvoir non détecté  </t>
  </si>
  <si>
    <t xml:space="preserve">Contenir les failles pour limiter leur propagation.</t>
  </si>
  <si>
    <t xml:space="preserve">Contrôles réguliers du respect des procédures.</t>
  </si>
  <si>
    <t xml:space="preserve">Des contrôles réguliers sont-ils effectués pour vérifier le respect des procédures de gestion des supports ?</t>
  </si>
  <si>
    <t xml:space="preserve">Rapports d’audit ou de vérification périodique</t>
  </si>
  <si>
    <t xml:space="preserve">Fuites de données sensibles  </t>
  </si>
  <si>
    <t xml:space="preserve">Planifier la reprise pour réduire les perturbations.</t>
  </si>
  <si>
    <t xml:space="preserve">Check-lists de conformité aux procédures</t>
  </si>
  <si>
    <t xml:space="preserve">Risque de conflits d'intérêts et de fraude</t>
  </si>
  <si>
    <t xml:space="preserve">Propagation des failles de sécurité  </t>
  </si>
  <si>
    <t xml:space="preserve">Restreindre les accès via une gestion stricte.</t>
  </si>
  <si>
    <t xml:space="preserve">Vérifier que les modalités de gestion des supports de 
données sont appliquées</t>
  </si>
  <si>
    <t xml:space="preserve">Contrôles et audits réguliers de conformité.</t>
  </si>
  <si>
    <t xml:space="preserve">Des contrôles et audits réguliers de conformité sont-ils réalisés sur l’ensemble des processus ?</t>
  </si>
  <si>
    <t xml:space="preserve">Rapports d’audit interne ou externe</t>
  </si>
  <si>
    <t xml:space="preserve">Rapport de non-conformité / non-respect</t>
  </si>
  <si>
    <t xml:space="preserve">Risque d'abus de privilèges et d'accès non autorisés</t>
  </si>
  <si>
    <t xml:space="preserve">Accès inappropriés aux ressources  </t>
  </si>
  <si>
    <t xml:space="preserve">Révoquer les privilèges excessifs via des revues.</t>
  </si>
  <si>
    <t xml:space="preserve">Enregistrement des incidents ou écarts.</t>
  </si>
  <si>
    <t xml:space="preserve">Les incidents ou écarts détectés lors des contrôles sont-ils enregistrés et suivis ?</t>
  </si>
  <si>
    <t xml:space="preserve">Registre des incidents ou anomalies détectées</t>
  </si>
  <si>
    <t xml:space="preserve">Non-conformité réglementaire  </t>
  </si>
  <si>
    <t xml:space="preserve">Analyser les incidents pour réduire les risques.</t>
  </si>
  <si>
    <t xml:space="preserve">Tableaux de suivi de résolution</t>
  </si>
  <si>
    <t xml:space="preserve">Risque d'erreurs et de propagation de vulnérabilités</t>
  </si>
  <si>
    <t xml:space="preserve">Privilèges excessifs non détectés  </t>
  </si>
  <si>
    <t xml:space="preserve">Mesures correctives en cas de non-conformité.</t>
  </si>
  <si>
    <t xml:space="preserve">Des mesures correctives sont-elles mises en place en cas de non-conformité identifiée ?</t>
  </si>
  <si>
    <t xml:space="preserve">Preuves de mise en œuvre de mesures correctives</t>
  </si>
  <si>
    <t xml:space="preserve">Augmentation des risques d’incidents</t>
  </si>
  <si>
    <t xml:space="preserve">Validation des corrections effectuées</t>
  </si>
  <si>
    <t xml:space="preserve">Sensibilisation continue des utilisateurs.</t>
  </si>
  <si>
    <t xml:space="preserve">Une sensibilisation continue des utilisateurs aux exigences de conformité est-elle assurée ?</t>
  </si>
  <si>
    <t xml:space="preserve">Supports de sensibilisation récurrents</t>
  </si>
  <si>
    <t xml:space="preserve">Rapports de participation ou taux de lecture</t>
  </si>
  <si>
    <t xml:space="preserve">Accumulation de droits inutiles, augmentation des risques</t>
  </si>
  <si>
    <t xml:space="preserve">Auditer les prestataires pour détecter les failles.</t>
  </si>
  <si>
    <t xml:space="preserve">Suivi des indicateurs de conformité.</t>
  </si>
  <si>
    <t xml:space="preserve">Des indicateurs de conformité sont-ils suivis et analysés régulièrement ?</t>
  </si>
  <si>
    <t xml:space="preserve">Indicateurs de conformité (tableaux de bord, KPIs)</t>
  </si>
  <si>
    <t xml:space="preserve">Chiffrer les données confiées aux prestataires.</t>
  </si>
  <si>
    <t xml:space="preserve">Rapport de synthèse annuel ou semestriel</t>
  </si>
  <si>
    <t xml:space="preserve">Manque de contrôle sur la sécurité des prestataires</t>
  </si>
  <si>
    <t xml:space="preserve">Failles de sécurité non détectées chez les prestataires  </t>
  </si>
  <si>
    <t xml:space="preserve">Imposer des normes strictes aux prestataires.</t>
  </si>
  <si>
    <t xml:space="preserve">Conformité 
</t>
  </si>
  <si>
    <t xml:space="preserve">Vérifier que les politique et procédures de sécurité internalisent 
les exigences légales et réglementaires</t>
  </si>
  <si>
    <t xml:space="preserve">Identification des exigences légales applicables.</t>
  </si>
  <si>
    <t xml:space="preserve">Les exigences légales applicables sont-elles clairement identifiées et documentées ?</t>
  </si>
  <si>
    <t xml:space="preserve">Document listant les exigences légales applicables</t>
  </si>
  <si>
    <t xml:space="preserve">Compromission des données confiées  </t>
  </si>
  <si>
    <t xml:space="preserve">Tableau de veille réglementaire</t>
  </si>
  <si>
    <t xml:space="preserve">Négligence de la sécurité par les prestataires</t>
  </si>
  <si>
    <t xml:space="preserve">Non-respect des normes par les prestataires  </t>
  </si>
  <si>
    <t xml:space="preserve">Renforcer les contrats avec des clauses de conformité.</t>
  </si>
  <si>
    <t xml:space="preserve">Intégration formelle dans les politiques et procédures.</t>
  </si>
  <si>
    <t xml:space="preserve">Les exigences légales sont-elles formellement intégrées dans les politiques et procédures de l’organisation ?</t>
  </si>
  <si>
    <t xml:space="preserve">Politique ou procédure intégrant formellement ces exigences</t>
  </si>
  <si>
    <t xml:space="preserve">Préparer un plan pour gérer les sanctions juridiques.</t>
  </si>
  <si>
    <t xml:space="preserve">Matrice de correspondance entre exigences et pratiques</t>
  </si>
  <si>
    <t xml:space="preserve">Non-respect des clauses de sécurité</t>
  </si>
  <si>
    <t xml:space="preserve">Violation des accords contractuels  </t>
  </si>
  <si>
    <t xml:space="preserve">Renforcer les contrats avec des clauses de conformité strictes.</t>
  </si>
  <si>
    <t xml:space="preserve">Mise à jour régulière selon évolutions légales.</t>
  </si>
  <si>
    <t xml:space="preserve">Les politiques et procédures sont-elles régulièrement mises à jour en fonction des évolutions légales ?</t>
  </si>
  <si>
    <t xml:space="preserve">Historique de mise à jour des politiques en fonction des lois</t>
  </si>
  <si>
    <t xml:space="preserve">Sanctions juridiques potentielles</t>
  </si>
  <si>
    <t xml:space="preserve">Préparer un plan juridique pour gérer les sanctions potentielles.</t>
  </si>
  <si>
    <t xml:space="preserve">Email de notification de mise à jour ou PV de validation</t>
  </si>
  <si>
    <t xml:space="preserve">Manque de visibilité sur la sécurité des prestataires</t>
  </si>
  <si>
    <t xml:space="preserve">Auditer régulièrement les pratiques des prestataires pour garantir leur conformité.</t>
  </si>
  <si>
    <t xml:space="preserve">Formation des équipes sur ces exigences.</t>
  </si>
  <si>
    <t xml:space="preserve">Les équipes sont-elles formées sur les exigences légales applicables à leurs fonctions ?</t>
  </si>
  <si>
    <t xml:space="preserve">Formations dédiées aux exigences légales (RGPD, LPM, etc.)</t>
  </si>
  <si>
    <t xml:space="preserve">Sanctions juridiques potentielles  </t>
  </si>
  <si>
    <t xml:space="preserve">Mettre en place des pare-feu et des systèmes de détection pour limiter les vulnérabilités externes.</t>
  </si>
  <si>
    <t xml:space="preserve">Attestations de formation ou feuilles d’émargement</t>
  </si>
  <si>
    <t xml:space="preserve">Interruption des activités critiques</t>
  </si>
  <si>
    <t xml:space="preserve">Absence de contrôle sur les pratiques des prestataires  </t>
  </si>
  <si>
    <t xml:space="preserve">Planifier des sauvegardes régulières pour minimiser les perturbations critiques.</t>
  </si>
  <si>
    <t xml:space="preserve">Audits de conformité réguliers.</t>
  </si>
  <si>
    <t xml:space="preserve">Des audits réguliers sont-ils réalisés pour vérifier la conformité aux exigences légales ?</t>
  </si>
  <si>
    <t xml:space="preserve">Rapports d’audit réglementaire</t>
  </si>
  <si>
    <t xml:space="preserve">Exposition à des vulnérabilités externes  </t>
  </si>
  <si>
    <t xml:space="preserve">Communiquer les efforts de sécurité pour maintenir la confiance des clients.</t>
  </si>
  <si>
    <t xml:space="preserve">Grille d’évaluation de conformité</t>
  </si>
  <si>
    <t xml:space="preserve">Infections par des logiciels malveillants, compromission des systèmes</t>
  </si>
  <si>
    <t xml:space="preserve">Déployer un antivirus robuste pour bloquer la propagation des malwares.</t>
  </si>
  <si>
    <t xml:space="preserve">Vérifier que la convergence vers le cadre règlementaire national 
est recherchée </t>
  </si>
  <si>
    <t xml:space="preserve">Analyse des écarts avec le cadre réglementaire national.</t>
  </si>
  <si>
    <t xml:space="preserve">Une analyse des écarts avec le cadre réglementaire national est-elle effectuée et documentée ?</t>
  </si>
  <si>
    <t xml:space="preserve">Document d’analyse d’écarts réglementaires (gap analysis)</t>
  </si>
  <si>
    <t xml:space="preserve">Perte de confiance des clients  </t>
  </si>
  <si>
    <t xml:space="preserve">Assurer la redondance des services critiques pour éviter les interruptions.</t>
  </si>
  <si>
    <t xml:space="preserve">Rapport comparatif avec le cadre légal</t>
  </si>
  <si>
    <t xml:space="preserve">Accès non autorisés au réseau, attaques externes</t>
  </si>
  <si>
    <t xml:space="preserve">Propagation de malwares dans les systèmes  </t>
  </si>
  <si>
    <t xml:space="preserve">Utiliser un IDS/IPS pour détecter les intrusions non autorisées.</t>
  </si>
  <si>
    <t xml:space="preserve">Plan d’action pour aligner les pratiques.</t>
  </si>
  <si>
    <t xml:space="preserve">Un plan d’action est-il établi pour aligner les pratiques avec le cadre réglementaire national ?</t>
  </si>
  <si>
    <t xml:space="preserve">Plan d’action associé aux écarts identifiés</t>
  </si>
  <si>
    <t xml:space="preserve">Interruption des services critiques  </t>
  </si>
  <si>
    <t xml:space="preserve">Planning de mise en œuvre et suivi</t>
  </si>
  <si>
    <t xml:space="preserve">Attaques non détectées, exploitation de vulnérabilités</t>
  </si>
  <si>
    <t xml:space="preserve">Intrusion non autorisée dans le réseau  </t>
  </si>
  <si>
    <t xml:space="preserve">Corriger les failles rapidement via un programme de gestion des vulnérabilités.</t>
  </si>
  <si>
    <t xml:space="preserve">Suivi et mise à jour régulière de la conformité.</t>
  </si>
  <si>
    <t xml:space="preserve">La conformité avec le cadre réglementaire national est-elle suivie et mise à jour régulièrement ?</t>
  </si>
  <si>
    <t xml:space="preserve">Tableau de suivi de conformité et de mise à jour</t>
  </si>
  <si>
    <t xml:space="preserve">Fuite de données sensibles  </t>
  </si>
  <si>
    <t xml:space="preserve">Évaluer l’impact financier des incidents pour prioriser les actions.</t>
  </si>
  <si>
    <t xml:space="preserve">Revue périodique de conformité par la DSI / RSSI</t>
  </si>
  <si>
    <t xml:space="preserve">Phishing, malware, accès à des contenus inappropriés</t>
  </si>
  <si>
    <t xml:space="preserve">Exploitation prolongée des failles  </t>
  </si>
  <si>
    <t xml:space="preserve">Renforcer les contrôles internes pour sécuriser les systèmes.</t>
  </si>
  <si>
    <t xml:space="preserve">Implication de la direction dans la démarche.</t>
  </si>
  <si>
    <t xml:space="preserve">La direction est-elle impliquée dans la démarche de conformité réglementaire ?</t>
  </si>
  <si>
    <t xml:space="preserve">PV de réunion ou note d’engagement de la direction</t>
  </si>
  <si>
    <t xml:space="preserve">Dommages financiers importants  </t>
  </si>
  <si>
    <t xml:space="preserve">Automatiser les tâches répétitives pour limiter la perte de productivité.</t>
  </si>
  <si>
    <t xml:space="preserve">Courriers ou notes internes d’implication stratégique</t>
  </si>
  <si>
    <t xml:space="preserve">Comportements à risque, propagation de malware</t>
  </si>
  <si>
    <t xml:space="preserve">Compromission des systèmes internes  </t>
  </si>
  <si>
    <t xml:space="preserve">Mettre à jour les antivirus pour contrer les nouvelles variantes de malwares.</t>
  </si>
  <si>
    <t xml:space="preserve">Communication interne sur les avancées.</t>
  </si>
  <si>
    <t xml:space="preserve">Les avancées en matière de conformité sont-elles communiquées en interne aux parties concernées ?</t>
  </si>
  <si>
    <t xml:space="preserve">Communication interne sur les avancées (email, intranet)</t>
  </si>
  <si>
    <t xml:space="preserve">Perte de productivité des employés  </t>
  </si>
  <si>
    <t xml:space="preserve">Lancer des campagnes de communication pour protéger la réputation.</t>
  </si>
  <si>
    <t xml:space="preserve">Rapport de communication ou taux de consultation</t>
  </si>
  <si>
    <t xml:space="preserve">Perte de données en cas d'incident</t>
  </si>
  <si>
    <t xml:space="preserve">Propagation de malwares dans l’entreprise  </t>
  </si>
  <si>
    <t xml:space="preserve">Effectuer des sauvegardes régulières et testées pour éviter la perte définitive de données.</t>
  </si>
  <si>
    <t xml:space="preserve">S’assurer qu’un document retraçant le gap entre l’état actuel 
des politiques et procédures de sécurité interne et le cadre 
réglementaire existe et est tenu à jour </t>
  </si>
  <si>
    <t xml:space="preserve">Document formel d’analyse des écarts (gap analysis).</t>
  </si>
  <si>
    <t xml:space="preserve">Un document formel d’analyse des écarts (gap analysis) est-il établi et maintenu ?</t>
  </si>
  <si>
    <t xml:space="preserve">Document formel de gap analysis</t>
  </si>
  <si>
    <t xml:space="preserve">Aligner les pratiques sur les obligations réglementaires (RGPD, ISO 27001).</t>
  </si>
  <si>
    <t xml:space="preserve">Version datée avec traçabilité des contributeurs</t>
  </si>
  <si>
    <t xml:space="preserve">Perte de données importantes</t>
  </si>
  <si>
    <t xml:space="preserve">Perte définitive de données critiques  </t>
  </si>
  <si>
    <t xml:space="preserve">Tester l’intégrité des sauvegardes pour garantir leur récupération.</t>
  </si>
  <si>
    <t xml:space="preserve">Mise à jour périodique du document.</t>
  </si>
  <si>
    <t xml:space="preserve">Le document d’analyse des écarts est-il mis à jour périodiquement ?</t>
  </si>
  <si>
    <t xml:space="preserve">Calendrier de révision ou d’actualisation</t>
  </si>
  <si>
    <t xml:space="preserve">Incapacité à respecter les obligations  </t>
  </si>
  <si>
    <t xml:space="preserve">Journal des versions</t>
  </si>
  <si>
    <t xml:space="preserve">Compromission des sauvegardes, inaccessibilité</t>
  </si>
  <si>
    <t xml:space="preserve">Données irrécupérables après incident  </t>
  </si>
  <si>
    <t xml:space="preserve">Assurer la disponibilité des données via des systèmes redondants.</t>
  </si>
  <si>
    <t xml:space="preserve">Communication aux parties prenantes concernées.</t>
  </si>
  <si>
    <t xml:space="preserve">Le document d’analyse des écarts est-il communiqué aux parties prenantes concernées ?</t>
  </si>
  <si>
    <t xml:space="preserve">Email de transmission ou publication interne</t>
  </si>
  <si>
    <t xml:space="preserve">Perturbation prolongée des activités  </t>
  </si>
  <si>
    <t xml:space="preserve">Prévoir un budget pour couvrir les pertes financières potentielles.</t>
  </si>
  <si>
    <t xml:space="preserve">Accusé de réception ou statistiques de lecture</t>
  </si>
  <si>
    <t xml:space="preserve">Difficulté à restaurer les données en cas de besoin</t>
  </si>
  <si>
    <t xml:space="preserve">Données indisponibles en cas de crise  </t>
  </si>
  <si>
    <t xml:space="preserve">Stocker les sauvegardes dans des environnements sécurisés.</t>
  </si>
  <si>
    <t xml:space="preserve">Utilisation du document pour orienter les plans d’amélioration.</t>
  </si>
  <si>
    <t xml:space="preserve">Le document d’analyse des écarts est-il utilisé pour orienter les plans d’amélioration ?</t>
  </si>
  <si>
    <t xml:space="preserve">Extrait de plan stratégique basé sur la gap analysis</t>
  </si>
  <si>
    <t xml:space="preserve">Pertes financières significatives  </t>
  </si>
  <si>
    <t xml:space="preserve">Auditer la conformité pour éviter les sanctions légales.</t>
  </si>
  <si>
    <t xml:space="preserve">Preuves d’intégration dans des chantiers d’amélioration</t>
  </si>
  <si>
    <t xml:space="preserve">Défaillance des sauvegardes non détectée</t>
  </si>
  <si>
    <t xml:space="preserve">Échec de la restauration des données  </t>
  </si>
  <si>
    <t xml:space="preserve">Planifier la reprise d’activité pour assurer la continuité opérationnelle.</t>
  </si>
  <si>
    <t xml:space="preserve">Validation par la direction des actions à mener.</t>
  </si>
  <si>
    <t xml:space="preserve">Les actions à mener identifiées dans l’analyse des écarts sont-elles validées par la direction ?</t>
  </si>
  <si>
    <t xml:space="preserve">Validation écrite ou PV de comité de direction</t>
  </si>
  <si>
    <t xml:space="preserve">Non-conformité aux exigences légales  </t>
  </si>
  <si>
    <t xml:space="preserve">Restreindre l’accès aux données sensibles via une gestion IAM stricte.</t>
  </si>
  <si>
    <t xml:space="preserve">Budget ou plan d’action alloué suite à validation</t>
  </si>
  <si>
    <t xml:space="preserve">Mauvaise gestion, perte ou vol de données</t>
  </si>
  <si>
    <t xml:space="preserve">Sauvegardes compromises ou inutilisables  </t>
  </si>
  <si>
    <t xml:space="preserve">Mettre en place des NDA pour garantir la confidentialité.</t>
  </si>
  <si>
    <t xml:space="preserve">S’assurer que tous les audits réglementaires sont réalisés</t>
  </si>
  <si>
    <t xml:space="preserve">Planification annuelle des audits réglementaires.</t>
  </si>
  <si>
    <t xml:space="preserve">Une planification annuelle des audits réglementaires est-elle établie et respectée ?</t>
  </si>
  <si>
    <t xml:space="preserve">Plan annuel d’audits réglementaires</t>
  </si>
  <si>
    <t xml:space="preserve">Perte de continuité opérationnelle  </t>
  </si>
  <si>
    <t xml:space="preserve">Surveiller les accès pour limiter l’exposition des données critiques.</t>
  </si>
  <si>
    <t xml:space="preserve">Calendrier validé par la direction</t>
  </si>
  <si>
    <t xml:space="preserve">Protection inadaptée des données sensibles</t>
  </si>
  <si>
    <t xml:space="preserve">Perte de données sensibles  </t>
  </si>
  <si>
    <t xml:space="preserve">Former les employés sur les exigences réglementaires.</t>
  </si>
  <si>
    <t xml:space="preserve">Réalisation dans les délais impartis.</t>
  </si>
  <si>
    <t xml:space="preserve">Les audits réglementaires sont-ils réalisés dans les délais impartis ?</t>
  </si>
  <si>
    <t xml:space="preserve">Rapports d’audit signés et complets</t>
  </si>
  <si>
    <t xml:space="preserve">Atteinte à la confidentialité  </t>
  </si>
  <si>
    <t xml:space="preserve">Utiliser des canaux sécurisés pour éviter les fuites d’informations.</t>
  </si>
  <si>
    <t xml:space="preserve">Check-lists utilisées lors des audits</t>
  </si>
  <si>
    <t xml:space="preserve">Vol ou perte de données</t>
  </si>
  <si>
    <t xml:space="preserve">Exposition des données critiques  </t>
  </si>
  <si>
    <t xml:space="preserve">Protéger la propriété intellectuelle via des contrôles d’accès stricts.</t>
  </si>
  <si>
    <t xml:space="preserve">Documentation complète des résultats.</t>
  </si>
  <si>
    <t xml:space="preserve">Les résultats des audits réglementaires sont-ils complètement documentés ?</t>
  </si>
  <si>
    <t xml:space="preserve">Procès-verbal ou synthèse de restitution</t>
  </si>
  <si>
    <t xml:space="preserve">Non-respect des réglementations  </t>
  </si>
  <si>
    <t xml:space="preserve">Restreindre le partage des données aux parties autorisées.</t>
  </si>
  <si>
    <t xml:space="preserve">Plan d’action correctif signé</t>
  </si>
  <si>
    <t xml:space="preserve">Accès non autorisé aux données en cas de perte ou de vol</t>
  </si>
  <si>
    <t xml:space="preserve">Documenter les obligations légales pour éviter les violations.</t>
  </si>
  <si>
    <t xml:space="preserve">Suivi rigoureux des recommandations.</t>
  </si>
  <si>
    <t xml:space="preserve">Les recommandations issues des audits réglementaires sont-elles suivies de manière rigoureuse ?</t>
  </si>
  <si>
    <t xml:space="preserve">Rapports de suivi des actions suite à audits</t>
  </si>
  <si>
    <t xml:space="preserve">Bloquer les accès non autorisés pour empêcher la récupération de données.</t>
  </si>
  <si>
    <t xml:space="preserve">Taux de réalisation des actions prévues</t>
  </si>
  <si>
    <t xml:space="preserve">Récupération de données confidentielles</t>
  </si>
  <si>
    <t xml:space="preserve">Données accessibles par des tiers  </t>
  </si>
  <si>
    <t xml:space="preserve">Publier des rapports transparents pour maintenir la réputation.</t>
  </si>
  <si>
    <t xml:space="preserve">Communication aux autorités compétentes.</t>
  </si>
  <si>
    <t xml:space="preserve">Les résultats des audits et les incidents pertinents sont-ils communiqués aux autorités compétentes dans les délais requis ?</t>
  </si>
  <si>
    <t xml:space="preserve">Rapports de communication aux autorités</t>
  </si>
  <si>
    <t xml:space="preserve">Violation des obligations légales  </t>
  </si>
  <si>
    <t xml:space="preserve">Sensibiliser les employés pour réduire les erreurs humaines.</t>
  </si>
  <si>
    <t xml:space="preserve">Preuves de transmission (accusés de réception)</t>
  </si>
  <si>
    <t xml:space="preserve">Non-respect des procédures, risques accrus</t>
  </si>
  <si>
    <t xml:space="preserve">Récupération non autorisée de données  </t>
  </si>
  <si>
    <t xml:space="preserve">Analyser les incidents pour limiter leur récurrence.</t>
  </si>
  <si>
    <t xml:space="preserve">S’assurer qu’un responsable conformité est désigné</t>
  </si>
  <si>
    <t xml:space="preserve">Identification formelle d’un responsable conformité.</t>
  </si>
  <si>
    <t xml:space="preserve">Un responsable conformité est-il formellement identifié au sein de l’organisation ?</t>
  </si>
  <si>
    <t xml:space="preserve">Contrat ou lettre de nomination du responsable</t>
  </si>
  <si>
    <t xml:space="preserve">Corriger les failles via un plan d’action structuré.</t>
  </si>
  <si>
    <t xml:space="preserve">CV ou profil du responsable conformité</t>
  </si>
  <si>
    <t xml:space="preserve">Erreurs humaines fréquentes  </t>
  </si>
  <si>
    <t xml:space="preserve">Définition claire des missions et responsabilités.</t>
  </si>
  <si>
    <t xml:space="preserve">Les missions et responsabilités du responsable conformité sont-elles clairement définies et documentées ?</t>
  </si>
  <si>
    <t xml:space="preserve">Charte des missions et responsabilités</t>
  </si>
  <si>
    <t xml:space="preserve">Chiffrer les données pour éviter leur compromission.</t>
  </si>
  <si>
    <t xml:space="preserve">Organigramme intégrant le rôle</t>
  </si>
  <si>
    <t xml:space="preserve">Mauvaise manipulation, perte ou vol</t>
  </si>
  <si>
    <t xml:space="preserve">Récurrence des failles non corrigées  </t>
  </si>
  <si>
    <t xml:space="preserve">Former les équipes à une gestion efficace des incidents.</t>
  </si>
  <si>
    <t xml:space="preserve">Communication interne sur le rôle.</t>
  </si>
  <si>
    <t xml:space="preserve">Le rôle du responsable conformité est-il clairement communiqué en interne à toutes les parties concernées ?</t>
  </si>
  <si>
    <t xml:space="preserve">Supports de communication interne (e-mails, affiches)</t>
  </si>
  <si>
    <t xml:space="preserve">Comptes-rendus de réunions d’information</t>
  </si>
  <si>
    <t xml:space="preserve">Procédure inadaptée, risques accrus</t>
  </si>
  <si>
    <t xml:space="preserve">Perte ou compromission de données  </t>
  </si>
  <si>
    <t xml:space="preserve">Suivi des actions menées.</t>
  </si>
  <si>
    <t xml:space="preserve">Les actions menées par le responsable conformité sont-elles suivies et documentées ?</t>
  </si>
  <si>
    <t xml:space="preserve">Registre des actions de conformité</t>
  </si>
  <si>
    <t xml:space="preserve">Mauvaise gestion des incidents  </t>
  </si>
  <si>
    <t xml:space="preserve">Clarifier les consignes pour garantir leur respect.</t>
  </si>
  <si>
    <t xml:space="preserve">Rapports de suivi des mesures prises</t>
  </si>
  <si>
    <t xml:space="preserve">Non-application des règles, risques accrus</t>
  </si>
  <si>
    <t xml:space="preserve">Mauvaise réponse aux incidents  </t>
  </si>
  <si>
    <t xml:space="preserve">Prioriser la correction des vulnérabilités persistantes.</t>
  </si>
  <si>
    <t xml:space="preserve">Évaluation régulière de l’efficacité.</t>
  </si>
  <si>
    <t xml:space="preserve">L’efficacité du responsable conformité est-elle évaluée régulièrement ?</t>
  </si>
  <si>
    <t xml:space="preserve">Rapports d’évaluation périodique</t>
  </si>
  <si>
    <t xml:space="preserve">Préparer un plan pour gérer les sanctions réglementaires.</t>
  </si>
  <si>
    <t xml:space="preserve">Tableaux de bord de performance conformité</t>
  </si>
  <si>
    <t xml:space="preserve">Non-conformité, risques juridiques</t>
  </si>
  <si>
    <t xml:space="preserve">Communiquer les efforts de conformité pour maintenir la confiance.</t>
  </si>
  <si>
    <t xml:space="preserve">Gestion des identifiants et des mots de passe</t>
  </si>
  <si>
    <t xml:space="preserve">Vérifier qu'il y a un seul utilisateur par identifiant </t>
  </si>
  <si>
    <t xml:space="preserve">Politique claire d’attribution d’identifiants uniques.</t>
  </si>
  <si>
    <t xml:space="preserve">Une politique claire d’attribution d’identifiants uniques est-elle formalisée et appliquée ?</t>
  </si>
  <si>
    <t xml:space="preserve">Politique de gestion des identifiants</t>
  </si>
  <si>
    <t xml:space="preserve">Auditer régulièrement pour éviter les amendes de non-conformité.</t>
  </si>
  <si>
    <t xml:space="preserve">Modèle d’attribution des identifiants</t>
  </si>
  <si>
    <t xml:space="preserve">Manque de conformité</t>
  </si>
  <si>
    <t xml:space="preserve">Contrôles réguliers pour détecter les doublons.</t>
  </si>
  <si>
    <t xml:space="preserve">Des contrôles réguliers sont-ils effectués pour détecter et gérer les doublons d’identifiants ?</t>
  </si>
  <si>
    <t xml:space="preserve">Journaux de contrôle des identifiants</t>
  </si>
  <si>
    <t xml:space="preserve">Documenter les efforts pour réduire l’exposition aux sanctions légales.</t>
  </si>
  <si>
    <t xml:space="preserve">Rapports d’audit des doublons</t>
  </si>
  <si>
    <t xml:space="preserve">Risque de non-conformité</t>
  </si>
  <si>
    <t xml:space="preserve">Amendes pour non-conformité  </t>
  </si>
  <si>
    <t xml:space="preserve">Publier des rapports pour renforcer la crédibilité.</t>
  </si>
  <si>
    <t xml:space="preserve">Procédures de suppression ou désactivation des doublons.</t>
  </si>
  <si>
    <t xml:space="preserve">Des procédures de suppression ou désactivation des identifiants en doublon sont-elles en place et suivies ?</t>
  </si>
  <si>
    <t xml:space="preserve">Procédure de gestion des identifiants</t>
  </si>
  <si>
    <t xml:space="preserve">Difficulté à obtenir des certifications  </t>
  </si>
  <si>
    <t xml:space="preserve">Mettre à jour les politiques pour respecter les lois actuelles.</t>
  </si>
  <si>
    <t xml:space="preserve">Journal des suppressions/désactivations</t>
  </si>
  <si>
    <t xml:space="preserve">Inadaptation aux évolutions réglementaires</t>
  </si>
  <si>
    <t xml:space="preserve">Exposition à des sanctions légales  </t>
  </si>
  <si>
    <t xml:space="preserve">Analyser les risques juridiques pour mieux se préparer.</t>
  </si>
  <si>
    <t xml:space="preserve">Sensibilisation des utilisateurs à l’unicité des identifiants.</t>
  </si>
  <si>
    <t xml:space="preserve">Les utilisateurs sont-ils sensibilisés à l’importance de l’unicité des identifiants ?</t>
  </si>
  <si>
    <t xml:space="preserve">Supports de formation sur les identifiants</t>
  </si>
  <si>
    <t xml:space="preserve">Perte de crédibilité sur le marché  </t>
  </si>
  <si>
    <t xml:space="preserve">Maintenir un registre pour démontrer la conformité.</t>
  </si>
  <si>
    <t xml:space="preserve">Affiches ou guides de sensibilisation</t>
  </si>
  <si>
    <t xml:space="preserve">Difficulté à prouver la conformité</t>
  </si>
  <si>
    <t xml:space="preserve">Politiques obsolètes face aux lois  </t>
  </si>
  <si>
    <t xml:space="preserve">Préparer des rapports détaillés pour les audits externes.</t>
  </si>
  <si>
    <t xml:space="preserve">Documentation des règles de gestion des identifiants.</t>
  </si>
  <si>
    <t xml:space="preserve">Les règles de gestion des identifiants sont-elles documentées et accessibles ?</t>
  </si>
  <si>
    <t xml:space="preserve">Règles écrites de gestion des identifiants</t>
  </si>
  <si>
    <t xml:space="preserve">Risques juridiques accrus  </t>
  </si>
  <si>
    <t xml:space="preserve">Vérifier la conformité aux exigences légales régulièrement.</t>
  </si>
  <si>
    <t xml:space="preserve">Registre des modifications des identifiants</t>
  </si>
  <si>
    <t xml:space="preserve">Incapacité à démontrer la conformité  </t>
  </si>
  <si>
    <t xml:space="preserve">Budgétiser les amendes pour limiter leur impact financier.</t>
  </si>
  <si>
    <t xml:space="preserve">Vérifier que les identifiants inutilisés pendant un certain délai 
sont révoqués</t>
  </si>
  <si>
    <t xml:space="preserve">Définition d’un délai d’inactivité avant révocation.</t>
  </si>
  <si>
    <t xml:space="preserve">Un délai d’inactivité avant la révocation des identifiants est-il défini et respecté ?</t>
  </si>
  <si>
    <t xml:space="preserve">Politique de gestion des identifiants inactifs</t>
  </si>
  <si>
    <t xml:space="preserve">Problèmes lors des audits externes  </t>
  </si>
  <si>
    <t xml:space="preserve">Suivre les progrès en conformité avec des indicateurs clairs.</t>
  </si>
  <si>
    <t xml:space="preserve">Configuration des seuils d’inactivité</t>
  </si>
  <si>
    <t xml:space="preserve">Pas d'amélioration de la conformité</t>
  </si>
  <si>
    <t xml:space="preserve">Non-respect des exigences légales  </t>
  </si>
  <si>
    <t xml:space="preserve">Planifier des actions pour réduire l’exposition aux sanctions.</t>
  </si>
  <si>
    <t xml:space="preserve">Processus automatique ou manuel de révocation.</t>
  </si>
  <si>
    <t xml:space="preserve">Un processus automatique ou manuel de révocation des identifiants inactifs est-il opérationnel ?</t>
  </si>
  <si>
    <t xml:space="preserve">Scripts ou logs de révocation</t>
  </si>
  <si>
    <t xml:space="preserve">Pertes financières dues aux amendes  </t>
  </si>
  <si>
    <t xml:space="preserve">Optimiser les actions correctives via des audits réguliers.</t>
  </si>
  <si>
    <t xml:space="preserve">Procédure de révocation des identifiants</t>
  </si>
  <si>
    <t xml:space="preserve">Manque d'efficacité du plan d'action</t>
  </si>
  <si>
    <t xml:space="preserve">Absence de progrès en conformité  </t>
  </si>
  <si>
    <t xml:space="preserve">Corriger les écarts réglementaires avec des plans ciblés.</t>
  </si>
  <si>
    <t xml:space="preserve">Suivi et reporting des identifiants inactifs.</t>
  </si>
  <si>
    <t xml:space="preserve">Les identifiants inactifs sont-ils suivis et rapportés régulièrement ?</t>
  </si>
  <si>
    <t xml:space="preserve">Rapports de suivi des identifiants inactifs</t>
  </si>
  <si>
    <t xml:space="preserve">Exposition continue aux sanctions  </t>
  </si>
  <si>
    <t xml:space="preserve">Réallouer les ressources vers les priorités de conformité.</t>
  </si>
  <si>
    <t xml:space="preserve">Tableaux de bord des révocations</t>
  </si>
  <si>
    <t xml:space="preserve">Difficulté à évaluer l'efficacité des actions</t>
  </si>
  <si>
    <t xml:space="preserve">Actions correctives inefficaces  </t>
  </si>
  <si>
    <t xml:space="preserve">Automatiser les corrections pour réduire les retards.</t>
  </si>
  <si>
    <t xml:space="preserve">Communication avant révocation.</t>
  </si>
  <si>
    <t xml:space="preserve">Une communication est-elle effectuée auprès des utilisateurs avant la révocation de leurs identifiants ?</t>
  </si>
  <si>
    <t xml:space="preserve">Notifications envoyées avant révocation</t>
  </si>
  <si>
    <t xml:space="preserve">Persistance des écarts réglementaires  </t>
  </si>
  <si>
    <t xml:space="preserve">Suivre les progrès avec un outil de gestion des tâches.</t>
  </si>
  <si>
    <t xml:space="preserve">Modèles de communication aux utilisateurs</t>
  </si>
  <si>
    <t xml:space="preserve">Manque de visibilité sur la progression</t>
  </si>
  <si>
    <t xml:space="preserve">Définir des objectifs de conformité mesurables.</t>
  </si>
  <si>
    <t xml:space="preserve">Contrôle de l’application effective de la procédure.</t>
  </si>
  <si>
    <t xml:space="preserve">L’application effective de la procédure de révocation est-elle contrôlée régulièrement ?</t>
  </si>
  <si>
    <t xml:space="preserve">Audits de conformité des révocations</t>
  </si>
  <si>
    <t xml:space="preserve">Retards dans les corrections  </t>
  </si>
  <si>
    <t xml:space="preserve">Prioriser la correction des failles critiques.</t>
  </si>
  <si>
    <t xml:space="preserve">Registre des révocations effectuées</t>
  </si>
  <si>
    <t xml:space="preserve">Difficulté à identifier et à corriger les écarts</t>
  </si>
  <si>
    <t xml:space="preserve">Absence de suivi des progrès  </t>
  </si>
  <si>
    <t xml:space="preserve">Vérifier que des règles de gestion de la casse des mots de passe 
existent</t>
  </si>
  <si>
    <t xml:space="preserve">Politique définissant les règles de complexité et casse.</t>
  </si>
  <si>
    <t xml:space="preserve">Une politique définissant les règles de complexité et de casse des mots de passe est-elle formalisée ?</t>
  </si>
  <si>
    <t xml:space="preserve">Politique de complexité des mots de passe</t>
  </si>
  <si>
    <t xml:space="preserve">Non-atteinte des objectifs de conformité  </t>
  </si>
  <si>
    <t xml:space="preserve">Clarifier les actions correctives pour les rendre applicables.</t>
  </si>
  <si>
    <t xml:space="preserve">Configuration des règles dans les systèmes</t>
  </si>
  <si>
    <t xml:space="preserve">Manque de précisions sur les actions à mettre en œuvre</t>
  </si>
  <si>
    <t xml:space="preserve">Failles non corrigées à temps  </t>
  </si>
  <si>
    <t xml:space="preserve">Optimiser les ressources pour éviter le gaspillage.</t>
  </si>
  <si>
    <t xml:space="preserve">Documentation claire des exigences (longueur, majuscules, minuscules, spéciaux).</t>
  </si>
  <si>
    <t xml:space="preserve">Les exigences de complexité des mots de passe (longueur, majuscules, minuscules, caractères spéciaux) sont-elles clairement documentées ?</t>
  </si>
  <si>
    <t xml:space="preserve">Guide des exigences de mots de passe</t>
  </si>
  <si>
    <t xml:space="preserve">Mettre à jour le plan d’action régulièrement.</t>
  </si>
  <si>
    <t xml:space="preserve">FAQ ou documentation utilisateur</t>
  </si>
  <si>
    <t xml:space="preserve">Manque de suivi et de mise à jour</t>
  </si>
  <si>
    <t xml:space="preserve">Actions mal définies ou inapplicables  </t>
  </si>
  <si>
    <t xml:space="preserve">Évaluer l’efficacité des mesures via des tests.</t>
  </si>
  <si>
    <t xml:space="preserve">Communication et formation des utilisateurs.</t>
  </si>
  <si>
    <t xml:space="preserve">Les utilisateurs sont-ils formés et informés des exigences de complexité des mots de passe ?</t>
  </si>
  <si>
    <t xml:space="preserve">Supports de formation sur les mots de passe</t>
  </si>
  <si>
    <t xml:space="preserve">Gaspillage de temps et de ressources  </t>
  </si>
  <si>
    <t xml:space="preserve">Vérifier l’exactitude des données de conformité.</t>
  </si>
  <si>
    <t xml:space="preserve">E-mails ou affiches de sensibilisation</t>
  </si>
  <si>
    <t xml:space="preserve">Informations obsolètes</t>
  </si>
  <si>
    <t xml:space="preserve">Plan d’action obsolète  </t>
  </si>
  <si>
    <t xml:space="preserve">Contrôles réguliers de conformité.</t>
  </si>
  <si>
    <t xml:space="preserve">Des contrôles réguliers sont-ils réalisés pour vérifier la conformité des mots de passe aux règles établies ?</t>
  </si>
  <si>
    <t xml:space="preserve">Rapports de contrôle de conformité</t>
  </si>
  <si>
    <t xml:space="preserve">Inefficacité des mesures prises  </t>
  </si>
  <si>
    <t xml:space="preserve">Publier des rapports transparents pour les parties prenantes.</t>
  </si>
  <si>
    <t xml:space="preserve">Journaux des vérifications effectuées</t>
  </si>
  <si>
    <t xml:space="preserve">Manque de transparence et de communication</t>
  </si>
  <si>
    <t xml:space="preserve">Données non fiables pour la conformité  </t>
  </si>
  <si>
    <t xml:space="preserve">Communiquer les progrès pour renforcer la confiance.</t>
  </si>
  <si>
    <t xml:space="preserve">Mise à jour des règles selon bonnes pratiques</t>
  </si>
  <si>
    <t xml:space="preserve">Les règles de complexité des mots de passe sont-elles mises à jour en fonction des bonnes pratiques ?</t>
  </si>
  <si>
    <t xml:space="preserve">Guides des bonnes pratiques actualisés</t>
  </si>
  <si>
    <t xml:space="preserve">Décisions basées sur des informations erronées  </t>
  </si>
  <si>
    <t xml:space="preserve">Historique des mises à jour des règles</t>
  </si>
  <si>
    <t xml:space="preserve">Manque de contrôle et de suivi de la conformité</t>
  </si>
  <si>
    <t xml:space="preserve">Manque de visibilité pour les parties prenantes  </t>
  </si>
  <si>
    <t xml:space="preserve">Préparer des réponses pour les audits défavorables.</t>
  </si>
  <si>
    <t xml:space="preserve">Vérifier que ces règles sont respectées</t>
  </si>
  <si>
    <t xml:space="preserve">Audit périodique des mots de passe.</t>
  </si>
  <si>
    <t xml:space="preserve">Des audits périodiques des mots de passe sont-ils réalisés pour vérifier leur robustesse ?</t>
  </si>
  <si>
    <t xml:space="preserve">Rapports d’audit des mots de passe</t>
  </si>
  <si>
    <t xml:space="preserve">Perte de confiance dans la gestion  </t>
  </si>
  <si>
    <t xml:space="preserve">Automatiser la détection des écarts réglementaires.</t>
  </si>
  <si>
    <t xml:space="preserve">Résultats des analyses de robustesse</t>
  </si>
  <si>
    <t xml:space="preserve">Retards dans les audits, risques accrus</t>
  </si>
  <si>
    <t xml:space="preserve">Non-respect des exigences de conformité  </t>
  </si>
  <si>
    <t xml:space="preserve">Analyser les non-conformités pour accélérer leur correction.</t>
  </si>
  <si>
    <t xml:space="preserve">Utilisation d’outils automatisés pour contrôle.</t>
  </si>
  <si>
    <t xml:space="preserve">Des outils automatisés sont-ils utilisés pour contrôler la conformité des mots de passe ?</t>
  </si>
  <si>
    <t xml:space="preserve">Configuration des outils de contrôle</t>
  </si>
  <si>
    <t xml:space="preserve">Exposition à des audits défavorables  </t>
  </si>
  <si>
    <t xml:space="preserve">Suivre les corrections avec un outil dédié.</t>
  </si>
  <si>
    <t xml:space="preserve">Logs des scans de mots de passe</t>
  </si>
  <si>
    <t xml:space="preserve">Difficulté à suivre les résultats et les actions correctives</t>
  </si>
  <si>
    <t xml:space="preserve">Retards dans la détection des écarts  </t>
  </si>
  <si>
    <t xml:space="preserve">Corriger les failles identifiées rapidement.</t>
  </si>
  <si>
    <t xml:space="preserve">Gestion des exceptions documentées.</t>
  </si>
  <si>
    <t xml:space="preserve">Les exceptions aux règles de mots de passe sont-elles documentées et justifiées ?</t>
  </si>
  <si>
    <t xml:space="preserve">Registre des exceptions autorisées</t>
  </si>
  <si>
    <t xml:space="preserve">Aggravation des non-conformités  </t>
  </si>
  <si>
    <t xml:space="preserve">Planifier la résolution des non-conformités.</t>
  </si>
  <si>
    <t xml:space="preserve">Justificatifs des dérogations</t>
  </si>
  <si>
    <t xml:space="preserve">Persistance des non-conformités</t>
  </si>
  <si>
    <t xml:space="preserve">Absence de suivi des corrections  </t>
  </si>
  <si>
    <t xml:space="preserve">Préparer un plan pour gérer les sanctions prolongées.</t>
  </si>
  <si>
    <t xml:space="preserve">Une sensibilisation continue des utilisateurs à l’importance de mots de passe robustes est-elle assurée ?</t>
  </si>
  <si>
    <t xml:space="preserve">Supports de sensibilisation continue</t>
  </si>
  <si>
    <t xml:space="preserve">Persistance des failles identifiées  </t>
  </si>
  <si>
    <t xml:space="preserve">Documenter les efforts pour prouver la conformité.</t>
  </si>
  <si>
    <t xml:space="preserve">Quiz ou modules de formation</t>
  </si>
  <si>
    <t xml:space="preserve">Difficulté à prouver la réalisation des audits</t>
  </si>
  <si>
    <t xml:space="preserve">Non-conformités non résolues  </t>
  </si>
  <si>
    <t xml:space="preserve">Publier des rapports pour maintenir la crédibilité.</t>
  </si>
  <si>
    <t xml:space="preserve">Sanctions en cas de non-respect.</t>
  </si>
  <si>
    <t xml:space="preserve">Des sanctions sont-elles prévues et appliquées en cas de non-respect des règles de mots de passe ?</t>
  </si>
  <si>
    <t xml:space="preserve">Politique de sanctions pour non-conformité</t>
  </si>
  <si>
    <t xml:space="preserve">Sanctions réglementaires prolongées  </t>
  </si>
  <si>
    <t xml:space="preserve">Définir une gouvernance claire pour la conformité.</t>
  </si>
  <si>
    <t xml:space="preserve">Registre des incidents liés aux mots de passe</t>
  </si>
  <si>
    <t xml:space="preserve">Manque de leadership pour la conformité</t>
  </si>
  <si>
    <t xml:space="preserve">Incapacité à prouver les efforts  </t>
  </si>
  <si>
    <t xml:space="preserve">Centraliser la gestion de la conformité avec un outil GRC.</t>
  </si>
  <si>
    <t xml:space="preserve">Vérifier que la procédure de gestion des mots de passe statue 
sur leur réinitialisation</t>
  </si>
  <si>
    <t xml:space="preserve">Procédure formalisée de réinitialisation.</t>
  </si>
  <si>
    <t xml:space="preserve">Une procédure formalisée de réinitialisation des mots de passe est-elle en place et documentée ?</t>
  </si>
  <si>
    <t xml:space="preserve">Procédure écrite de réinitialisation</t>
  </si>
  <si>
    <t xml:space="preserve">Perte de crédibilité auprès des régulateurs  </t>
  </si>
  <si>
    <t xml:space="preserve">Formulaire de demande de réinitialisation</t>
  </si>
  <si>
    <t xml:space="preserve">Confusion des rôles</t>
  </si>
  <si>
    <t xml:space="preserve">Standardiser les processus critiques pour éviter les erreurs.</t>
  </si>
  <si>
    <t xml:space="preserve">Identification et authentification avant réinitialisation.</t>
  </si>
  <si>
    <t xml:space="preserve">L’identification et l’authentification des utilisateurs sont-elles vérifiées avant toute réinitialisation de mot de passe ?</t>
  </si>
  <si>
    <t xml:space="preserve">Modèles de vérification d’identité</t>
  </si>
  <si>
    <t xml:space="preserve">Gestion chaotique de la conformité  </t>
  </si>
  <si>
    <t xml:space="preserve">Déléguer les tâches avec des instructions claires.</t>
  </si>
  <si>
    <t xml:space="preserve">Logs des authentifications effectuées</t>
  </si>
  <si>
    <t xml:space="preserve">Difficulté à remplir ses missions</t>
  </si>
  <si>
    <t xml:space="preserve">Responsabilités mal attribuées  </t>
  </si>
  <si>
    <t xml:space="preserve">Automatiser les actions de conformité pour réduire les retards.</t>
  </si>
  <si>
    <t xml:space="preserve">Documentation des étapes et responsabilités.</t>
  </si>
  <si>
    <t xml:space="preserve">Les étapes et responsabilités de la procédure de réinitialisation sont-elles clairement documentées ?</t>
  </si>
  <si>
    <t xml:space="preserve">Guide des étapes de réinitialisation</t>
  </si>
  <si>
    <t xml:space="preserve">Erreurs dans les processus critiques  </t>
  </si>
  <si>
    <t xml:space="preserve">Simplifier les rapports pour plus de clarté.</t>
  </si>
  <si>
    <t xml:space="preserve">Manque de transparence</t>
  </si>
  <si>
    <t xml:space="preserve">Incapacité à exécuter les tâches  </t>
  </si>
  <si>
    <t xml:space="preserve">Baser les décisions sur des données fiables.</t>
  </si>
  <si>
    <t xml:space="preserve">Suivi des réinitialisations effectuées.</t>
  </si>
  <si>
    <t xml:space="preserve">Les réinitialisations de mots de passe sont-elles suivies et enregistrées ?</t>
  </si>
  <si>
    <t xml:space="preserve">Journal des réinitialisations effectuées</t>
  </si>
  <si>
    <t xml:space="preserve">Retards dans les actions de conformité  </t>
  </si>
  <si>
    <t xml:space="preserve">Définir des KPI pour mesurer les performances.</t>
  </si>
  <si>
    <t xml:space="preserve">Rapports de suivi des réinitialisations</t>
  </si>
  <si>
    <t xml:space="preserve">Difficulté à mesurer l’efficacité de son travail</t>
  </si>
  <si>
    <t xml:space="preserve">Manque de clarté dans les rapports  </t>
  </si>
  <si>
    <t xml:space="preserve">Évaluer l’efficacité des efforts avec des audits.</t>
  </si>
  <si>
    <t xml:space="preserve">Communication claire de la procédure aux utilisateurs.</t>
  </si>
  <si>
    <t xml:space="preserve">La procédure de réinitialisation des mots de passe est-elle clairement communiquée aux utilisateurs ?</t>
  </si>
  <si>
    <t xml:space="preserve">Support de communication de la procédure</t>
  </si>
  <si>
    <t xml:space="preserve">Décisions mal informées  </t>
  </si>
  <si>
    <t xml:space="preserve">Surveiller les comptes pour détecter les actions malveillantes.</t>
  </si>
  <si>
    <t xml:space="preserve">FAQ ou guide utilisateur</t>
  </si>
  <si>
    <t xml:space="preserve">Comptes non autorisés ou obsolètes</t>
  </si>
  <si>
    <t xml:space="preserve">Absence de mesure des performances  </t>
  </si>
  <si>
    <t xml:space="preserve">Restreindre l’accès pour éviter le vol de données.</t>
  </si>
  <si>
    <t xml:space="preserve">Contrôle des accès</t>
  </si>
  <si>
    <t xml:space="preserve">Vérifier que la définition et la documentation de la politique de 
contrôle d'accès existent </t>
  </si>
  <si>
    <t xml:space="preserve">Politique formalisée de contrôle d’accès.</t>
  </si>
  <si>
    <t xml:space="preserve">Une politique formalisée de contrôle d’accès est-elle en place et appliquée ?</t>
  </si>
  <si>
    <t xml:space="preserve">Politique de contrôle d’accès</t>
  </si>
  <si>
    <t xml:space="preserve">Inefficacité des efforts déployés</t>
  </si>
  <si>
    <t xml:space="preserve">Mettre à jour les antivirus pour bloquer les malwares.</t>
  </si>
  <si>
    <t xml:space="preserve">Matrice des droits d’accès</t>
  </si>
  <si>
    <t xml:space="preserve">Comptes d’anciens employés actifs, risque d’accès non autorisé</t>
  </si>
  <si>
    <t xml:space="preserve">Utilisation des comptes pour mener des actions malveillantes</t>
  </si>
  <si>
    <t xml:space="preserve">Automatiser les alertes pour accélérer la réponse.</t>
  </si>
  <si>
    <t xml:space="preserve">Documentation claire des règles d’attribution et gestion des accès.</t>
  </si>
  <si>
    <t xml:space="preserve">Les règles d’attribution et de gestion des accès sont-elles clairement documentées ?</t>
  </si>
  <si>
    <t xml:space="preserve">Règles écrites de gestion des accès</t>
  </si>
  <si>
    <t xml:space="preserve">Fuite ou vol de données sensibles par des utilisateurs non autorisés</t>
  </si>
  <si>
    <t xml:space="preserve">Chiffrer les données sensibles pour limiter leur compromission.</t>
  </si>
  <si>
    <t xml:space="preserve">Registre des modifications des accès</t>
  </si>
  <si>
    <t xml:space="preserve">Détection tardive des intrusions</t>
  </si>
  <si>
    <t xml:space="preserve">Propagation prolongée de logiciels malveillants dans le système</t>
  </si>
  <si>
    <t xml:space="preserve">Planifier la reprise pour réduire les perturbations critiques.</t>
  </si>
  <si>
    <t xml:space="preserve">Les utilisateurs sont-ils formés et informés des règles de contrôle d’accès ?</t>
  </si>
  <si>
    <t xml:space="preserve">Supports de formation sur les accès</t>
  </si>
  <si>
    <t xml:space="preserve">Dommages accrus avant qu’une réponse ne soit enclenchée</t>
  </si>
  <si>
    <t xml:space="preserve">Bloquer les accès tiers non autorisés.</t>
  </si>
  <si>
    <t xml:space="preserve">Communications internes sur les règles</t>
  </si>
  <si>
    <t xml:space="preserve">Risque d’accès non autorisé</t>
  </si>
  <si>
    <t xml:space="preserve">Utiliser des canaux sécurisés pour protéger la confidentialité.</t>
  </si>
  <si>
    <t xml:space="preserve">Mise à jour régulière de la politique.</t>
  </si>
  <si>
    <t xml:space="preserve">La politique de contrôle d’accès est-elle régulièrement mise à jour en fonction des besoins et des évolutions ?</t>
  </si>
  <si>
    <t xml:space="preserve">Historique des mises à jour de la politique</t>
  </si>
  <si>
    <t xml:space="preserve">Renforcer les pare-feu pour limiter les intrusions.</t>
  </si>
  <si>
    <t xml:space="preserve">Rapports de conformité des accès</t>
  </si>
  <si>
    <t xml:space="preserve">Sessions actives non fermées, risque d’accès non autorisé</t>
  </si>
  <si>
    <t xml:space="preserve">Accès non autorisé par des tiers  </t>
  </si>
  <si>
    <t xml:space="preserve">Évaluer l’impact financier pour mieux prioriser.</t>
  </si>
  <si>
    <t xml:space="preserve">Audit de conformité au contrôle d’accès.</t>
  </si>
  <si>
    <t xml:space="preserve">Des audits de conformité aux règles de contrôle d’accès sont-ils réalisés régulièrement ?</t>
  </si>
  <si>
    <t xml:space="preserve">Rapports d’audit des droits d’accès</t>
  </si>
  <si>
    <t xml:space="preserve">Perte de confidentialité des informations  </t>
  </si>
  <si>
    <t xml:space="preserve">Garantir la disponibilité des services légitimes.</t>
  </si>
  <si>
    <t xml:space="preserve">Preuves de conformité aux règles</t>
  </si>
  <si>
    <t xml:space="preserve">Maintien d’accès non autorisés augmentant la vulnérabilité à des attaques </t>
  </si>
  <si>
    <t xml:space="preserve">Exposition accrue aux intrusions  </t>
  </si>
  <si>
    <t xml:space="preserve">Simplifier les interfaces pour réduire la frustration des utilisateurs.</t>
  </si>
  <si>
    <t xml:space="preserve">S’assurer que la gestion des accès utilisateurs est effective</t>
  </si>
  <si>
    <t xml:space="preserve">Processus d’attribution, modification et suppression des accès.</t>
  </si>
  <si>
    <t xml:space="preserve">Un processus clair d’attribution, de modification et de suppression des accès est-il en place ?</t>
  </si>
  <si>
    <t xml:space="preserve">Procédure d’attribution des accès</t>
  </si>
  <si>
    <t xml:space="preserve">Dommages financiers potentiels  </t>
  </si>
  <si>
    <t xml:space="preserve">Restreindre les accès via une gestion IAM stricte.</t>
  </si>
  <si>
    <t xml:space="preserve">Formulaires de demande d’accès</t>
  </si>
  <si>
    <t xml:space="preserve">Perturbation des opérations pour les utilisateurs légitimes bloqués sans préavis</t>
  </si>
  <si>
    <t xml:space="preserve">Interruption des activités légitimes  </t>
  </si>
  <si>
    <t xml:space="preserve">Auditer les politiques pour garantir leur respect.</t>
  </si>
  <si>
    <t xml:space="preserve">Contrôles réguliers des droits d’accès.</t>
  </si>
  <si>
    <t xml:space="preserve">Des contrôles réguliers sont-ils effectués pour vérifier la pertinence des droits d’accès ?</t>
  </si>
  <si>
    <t xml:space="preserve">Rapports de contrôle des droits</t>
  </si>
  <si>
    <t xml:space="preserve">  </t>
  </si>
  <si>
    <t xml:space="preserve">Frustration des utilisateurs impactés  </t>
  </si>
  <si>
    <t xml:space="preserve">Surveiller les activités pour détecter les comportements malveillants.</t>
  </si>
  <si>
    <t xml:space="preserve">Réactivation non contrôlée permettant des accès non autorisés  </t>
  </si>
  <si>
    <t xml:space="preserve">Accès inappropriés aux systèmes  </t>
  </si>
  <si>
    <t xml:space="preserve">Effectuer des sauvegardes pour éviter la perte de données.</t>
  </si>
  <si>
    <t xml:space="preserve">Documentation et traçabilité des accès.</t>
  </si>
  <si>
    <t xml:space="preserve">Les accès attribués sont-ils documentés et traçables ?</t>
  </si>
  <si>
    <t xml:space="preserve">Registre des accès attribués/supprimés</t>
  </si>
  <si>
    <t xml:space="preserve">Violation des politiques de sécurité  </t>
  </si>
  <si>
    <t xml:space="preserve">Renforcer les contrôles pour bloquer les intrusions.</t>
  </si>
  <si>
    <t xml:space="preserve">Historique des modifications des accès</t>
  </si>
  <si>
    <t xml:space="preserve">Impossibilité de détecter des tentatives d’accès frauduleuses  </t>
  </si>
  <si>
    <t xml:space="preserve">Communiquer les efforts pour protéger la réputation.</t>
  </si>
  <si>
    <t xml:space="preserve">Sensibilisation des utilisateurs à la gestion sécurisée.</t>
  </si>
  <si>
    <t xml:space="preserve">Les utilisateurs sont-ils sensibilisés à la gestion sécurisée des accès ?</t>
  </si>
  <si>
    <t xml:space="preserve">Supports de sensibilisation aux accès</t>
  </si>
  <si>
    <t xml:space="preserve">Guides de bonnes pratiques</t>
  </si>
  <si>
    <t xml:space="preserve">Mots de passe faibles facilitant les attaques par force brute  </t>
  </si>
  <si>
    <t xml:space="preserve">Intrusions facilitées dans les systèmes  </t>
  </si>
  <si>
    <t xml:space="preserve">Publier des rapports pour maintenir la confiance.</t>
  </si>
  <si>
    <t xml:space="preserve">Gestion des accès temporaires ou exceptionnels.</t>
  </si>
  <si>
    <t xml:space="preserve">Les accès temporaires ou exceptionnels sont-ils gérés selon une procédure spécifique ?</t>
  </si>
  <si>
    <t xml:space="preserve">Procédure de gestion des accès temporaires</t>
  </si>
  <si>
    <t xml:space="preserve">Imposer des mots de passe complexes via une politique stricte.</t>
  </si>
  <si>
    <t xml:space="preserve">Incohérence dans la gouvernance entraînant une non-conformité </t>
  </si>
  <si>
    <t xml:space="preserve">Sanctions réglementaires pour non-conformité  </t>
  </si>
  <si>
    <t xml:space="preserve">S’assurer que l'utilisation de mots de passe et de systèmes de 
déconnexion automatique est effective</t>
  </si>
  <si>
    <t xml:space="preserve">Règles d’utilisation obligatoire de mots de passe robustes.</t>
  </si>
  <si>
    <t xml:space="preserve">Une politique exigeant l’utilisation de mots de passe robustes est-elle appliquée à tous les systèmes ?</t>
  </si>
  <si>
    <t xml:space="preserve">Politique de mots de passe robustes</t>
  </si>
  <si>
    <t xml:space="preserve"> </t>
  </si>
  <si>
    <t xml:space="preserve">Centraliser la gestion des mots de passe avec un gestionnaire dédié.</t>
  </si>
  <si>
    <t xml:space="preserve">Configuration des exigences dans les systèmes</t>
  </si>
  <si>
    <t xml:space="preserve">Non-application des règles rendant les mots de passe vulnérables  </t>
  </si>
  <si>
    <t xml:space="preserve">Mots de passe facilement compromis  </t>
  </si>
  <si>
    <t xml:space="preserve">Former les employés pour réduire les erreurs opérationnelles.</t>
  </si>
  <si>
    <t xml:space="preserve">Configuration de déconnexion automatique après inactivité.</t>
  </si>
  <si>
    <t xml:space="preserve">Une configuration de déconnexion automatique après une période d’inactivité est-elle mise en place ?</t>
  </si>
  <si>
    <t xml:space="preserve">Paramètres de déconnexion automatique</t>
  </si>
  <si>
    <t xml:space="preserve">Sensibiliser les équipes pour corriger les comportements à risque.</t>
  </si>
  <si>
    <t xml:space="preserve">Logs des déconnexions effectuées</t>
  </si>
  <si>
    <t xml:space="preserve">Absence de référence claire entraînant des erreurs de gestion </t>
  </si>
  <si>
    <t xml:space="preserve">Gestion chaotique des mots de passe  </t>
  </si>
  <si>
    <t xml:space="preserve">Corriger les failles via un plan structuré.</t>
  </si>
  <si>
    <t xml:space="preserve">Contrôles réguliers de l’application de ces règles.</t>
  </si>
  <si>
    <t xml:space="preserve">Des contrôles réguliers sont-ils effectués pour vérifier l’application des règles de mots de passe et de déconnexion ?</t>
  </si>
  <si>
    <t xml:space="preserve">Rapports de contrôle des règles</t>
  </si>
  <si>
    <t xml:space="preserve">Erreurs opérationnelles fréquentes  </t>
  </si>
  <si>
    <t xml:space="preserve">Exiger des mots de passe robustes pour tous les comptes.</t>
  </si>
  <si>
    <t xml:space="preserve">Audits de conformité des paramètres</t>
  </si>
  <si>
    <t xml:space="preserve">Non-respect des règles par ignorance affaiblissant la sécurité </t>
  </si>
  <si>
    <t xml:space="preserve">Surveiller les comptes pour détecter les compromissions.</t>
  </si>
  <si>
    <t xml:space="preserve">Sensibilisation aux risques liés à l’absence de déconnexion.</t>
  </si>
  <si>
    <t xml:space="preserve">Les utilisateurs sont-ils sensibilisés aux risques liés à l’absence de déconnexion automatique ?</t>
  </si>
  <si>
    <t xml:space="preserve">Supports de sensibilisation aux risques</t>
  </si>
  <si>
    <t xml:space="preserve">Failles de sécurité non corrigées  </t>
  </si>
  <si>
    <t xml:space="preserve">Communications sur la déconnexion</t>
  </si>
  <si>
    <t xml:space="preserve">Non-détection des mots de passe non conformes augmentant les vulnérabilités </t>
  </si>
  <si>
    <t xml:space="preserve">Utilisation de mots de passe faibles  </t>
  </si>
  <si>
    <t xml:space="preserve">Analyser les menaces pour réduire l’exposition.</t>
  </si>
  <si>
    <t xml:space="preserve">Documentation des paramètres de sécurité configurés.</t>
  </si>
  <si>
    <t xml:space="preserve">Les paramètres de sécurité configurés pour les mots de passe et la déconnexion sont-ils documentés ?</t>
  </si>
  <si>
    <t xml:space="preserve">Documentation des configurations de sécurité</t>
  </si>
  <si>
    <t xml:space="preserve">Compromission des comptes utilisateurs  </t>
  </si>
  <si>
    <t xml:space="preserve">Analyser les incidents pour éviter leur récurrence.</t>
  </si>
  <si>
    <t xml:space="preserve">Registre des paramètres appliqués</t>
  </si>
  <si>
    <t xml:space="preserve">Failles de sécurité persistantes non identifiées  </t>
  </si>
  <si>
    <t xml:space="preserve">Adopter un cycle d’amélioration continue.</t>
  </si>
  <si>
    <t xml:space="preserve">Vérifier que le contrôle des accès aux réseaux est effectif </t>
  </si>
  <si>
    <t xml:space="preserve">Mécanismes d’authentification réseau (VPN, NAC).</t>
  </si>
  <si>
    <t xml:space="preserve">Des mécanismes d’authentification réseau (comme VPN ou NAC) sont-ils déployés et opérationnels ?</t>
  </si>
  <si>
    <t xml:space="preserve">Configuration des mécanismes d’authentification</t>
  </si>
  <si>
    <t xml:space="preserve">Certificats ou logs VPN/NAC</t>
  </si>
  <si>
    <t xml:space="preserve">Répétition d’incidents évitables par manque d’analyse  </t>
  </si>
  <si>
    <t xml:space="preserve">Récurrence des incidents de sécurité  </t>
  </si>
  <si>
    <t xml:space="preserve">Contrôle des accès physiques aux équipements réseau.</t>
  </si>
  <si>
    <t xml:space="preserve">Les accès physiques aux équipements réseau sont-ils contrôlés et sécurisés ?</t>
  </si>
  <si>
    <t xml:space="preserve">Registre des contrôles d’accès physiques</t>
  </si>
  <si>
    <t xml:space="preserve">Promouvoir les bonnes pratiques via des campagnes.</t>
  </si>
  <si>
    <t xml:space="preserve">Inventaire des équipements réseau</t>
  </si>
  <si>
    <t xml:space="preserve">Comportements à risque non dissuadés affaiblissant la sécurité  </t>
  </si>
  <si>
    <t xml:space="preserve">Évaluer l’efficacité des mesures avec des tests.</t>
  </si>
  <si>
    <t xml:space="preserve">Surveillance et journalisation des accès réseau.</t>
  </si>
  <si>
    <t xml:space="preserve">Les accès réseau sont-ils surveillés et journalisés de manière systématique ?</t>
  </si>
  <si>
    <t xml:space="preserve">Journaux des accès réseau</t>
  </si>
  <si>
    <t xml:space="preserve">Standardiser l’application des règles pour plus de cohérence.</t>
  </si>
  <si>
    <t xml:space="preserve">Rapports de surveillance des connexions</t>
  </si>
  <si>
    <t xml:space="preserve">Non-respect des règles par manque de sensibilisation  </t>
  </si>
  <si>
    <t xml:space="preserve">Manque d’adoption des bonnes pratiques  </t>
  </si>
  <si>
    <t xml:space="preserve">Gestion des accès invités ou temporaires.</t>
  </si>
  <si>
    <t xml:space="preserve">Les accès invités ou temporaires au réseau sont-ils gérés selon une procédure spécifique ?</t>
  </si>
  <si>
    <t xml:space="preserve">Procédure de gestion des accès invités</t>
  </si>
  <si>
    <t xml:space="preserve">Faible efficacité des mesures  </t>
  </si>
  <si>
    <t xml:space="preserve">Simplifier les consignes pour une meilleure compréhension.</t>
  </si>
  <si>
    <t xml:space="preserve">Registre des accès temporaires accordés</t>
  </si>
  <si>
    <t xml:space="preserve">Gestion incohérente des mots de passe augmentant les risques d’erreurs</t>
  </si>
  <si>
    <t xml:space="preserve">Application incohérente des règles  </t>
  </si>
  <si>
    <t xml:space="preserve">Auditer la conformité pour respecter les exigences.</t>
  </si>
  <si>
    <t xml:space="preserve">Tests réguliers des dispositifs de contrôle d’accès réseau.</t>
  </si>
  <si>
    <t xml:space="preserve">Des tests réguliers des dispositifs de contrôle d’accès réseau sont-ils réalisés pour en vérifier l’efficacité ?</t>
  </si>
  <si>
    <t xml:space="preserve">Rapports de tests des dispositifs réseau</t>
  </si>
  <si>
    <t xml:space="preserve">Exposition à des failles évitables  </t>
  </si>
  <si>
    <t xml:space="preserve">Optimiser les mesures via des retours d’expérience.</t>
  </si>
  <si>
    <t xml:space="preserve">Configuration des pare-feu et NAC</t>
  </si>
  <si>
    <t xml:space="preserve">Non-respect des règles par manque d’accès à l’information </t>
  </si>
  <si>
    <t xml:space="preserve">Mauvaise compréhension des consignes  </t>
  </si>
  <si>
    <t xml:space="preserve">Aligner les mesures sur les objectifs stratégiques.</t>
  </si>
  <si>
    <t xml:space="preserve">Vérifier que le contrôle d'accès aux systèmes d'exploitation est 
effectif</t>
  </si>
  <si>
    <t xml:space="preserve">Politiques d’authentification et gestion des comptes OS.</t>
  </si>
  <si>
    <t xml:space="preserve">Une politique d’authentification et de gestion des comptes pour les systèmes d’exploitation est-elle formalisée et appliquée ?</t>
  </si>
  <si>
    <t xml:space="preserve">Politique de gestion des comptes OS</t>
  </si>
  <si>
    <t xml:space="preserve">Mettre à jour les protections pour contrer les nouvelles attaques.</t>
  </si>
  <si>
    <t xml:space="preserve">Configuration des paramètres d’authentification</t>
  </si>
  <si>
    <t xml:space="preserve">Procédure non alignée sur les objectifs de sécurité réduisant son efficacité</t>
  </si>
  <si>
    <t xml:space="preserve">Actualiser les systèmes pour éviter l’obsolescence.</t>
  </si>
  <si>
    <t xml:space="preserve">Contrôle des droits d’accès et privilèges.</t>
  </si>
  <si>
    <t xml:space="preserve">Les droits d’accès et privilèges sur les systèmes d’exploitation sont-ils contrôlés régulièrement ?</t>
  </si>
  <si>
    <t xml:space="preserve">Matrice des droits d’accès OS</t>
  </si>
  <si>
    <t xml:space="preserve">Alignement inadéquat avec les objectifs  </t>
  </si>
  <si>
    <t xml:space="preserve">Former les équipes pour une application correcte des règles.</t>
  </si>
  <si>
    <t xml:space="preserve">Rapports de contrôle des privilèges</t>
  </si>
  <si>
    <t xml:space="preserve">Obsolescence des règles exposant à de nouvelles menaces  </t>
  </si>
  <si>
    <t xml:space="preserve">Vulnérabilités face aux nouvelles attaques  </t>
  </si>
  <si>
    <t xml:space="preserve">Renforcer la posture de sécurité via des audits.</t>
  </si>
  <si>
    <t xml:space="preserve">Journalisation des connexions et activités critiques.</t>
  </si>
  <si>
    <t xml:space="preserve">Les connexions et activités critiques sur les systèmes d’exploitation sont-elles journalisées de manière systématique ?</t>
  </si>
  <si>
    <t xml:space="preserve">Journaux des connexions OS</t>
  </si>
  <si>
    <t xml:space="preserve">Obsolescence des protections  </t>
  </si>
  <si>
    <t xml:space="preserve">Utiliser des générateurs pour créer des mots de passe robustes.</t>
  </si>
  <si>
    <t xml:space="preserve">Logs des activités critiques</t>
  </si>
  <si>
    <t xml:space="preserve">Application incorrecte des règles par manque de formation </t>
  </si>
  <si>
    <t xml:space="preserve">Surveiller les systèmes critiques pour éviter leur compromission.</t>
  </si>
  <si>
    <t xml:space="preserve">Mise à jour régulière des correctifs de sécurité.</t>
  </si>
  <si>
    <t xml:space="preserve">Les correctifs de sécurité des systèmes d’exploitation sont-ils appliqués régulièrement et dans les délais ?</t>
  </si>
  <si>
    <t xml:space="preserve">Registre des correctifs appliqués</t>
  </si>
  <si>
    <t xml:space="preserve">Faiblesse dans la posture de sécurité  </t>
  </si>
  <si>
    <t xml:space="preserve">Implémenter des restrictions strictes pour limiter les abus.</t>
  </si>
  <si>
    <t xml:space="preserve">Rapports de mise à jour des systèmes</t>
  </si>
  <si>
    <t xml:space="preserve">Réutilisation prématurée de mots de passe facilitant les attaques </t>
  </si>
  <si>
    <t xml:space="preserve">Mots de passe facilement devinés  </t>
  </si>
  <si>
    <t xml:space="preserve">Révoquer les accès inutiles pour réduire les risques.</t>
  </si>
  <si>
    <t xml:space="preserve">Audit périodique des comptes et accès.</t>
  </si>
  <si>
    <t xml:space="preserve">Des audits périodiques des comptes et des accès aux systèmes d’exploitation sont-ils réalisés ?</t>
  </si>
  <si>
    <t xml:space="preserve">Rapports d’audit des comptes OS</t>
  </si>
  <si>
    <t xml:space="preserve">Bloquer la réutilisation des mots de passe via des contrôles.</t>
  </si>
  <si>
    <t xml:space="preserve">Inventaire des accès actifs</t>
  </si>
  <si>
    <t xml:space="preserve">Non-application des restrictions affaiblissant la sécurité  </t>
  </si>
  <si>
    <t xml:space="preserve">Absence de restrictions efficaces  </t>
  </si>
  <si>
    <t xml:space="preserve">Corriger les failles persistantes via un plan d’action.</t>
  </si>
  <si>
    <t xml:space="preserve">Vérifier que le contrôle d'accès aux applications est effectif </t>
  </si>
  <si>
    <t xml:space="preserve">Authentification spécifique pour applications critiques.</t>
  </si>
  <si>
    <t xml:space="preserve">Une authentification spécifique est-elle requise pour accéder aux applications critiques ?</t>
  </si>
  <si>
    <t xml:space="preserve">Configuration de l’authentification applicative</t>
  </si>
  <si>
    <t xml:space="preserve">Augmentation des abus d’accès  </t>
  </si>
  <si>
    <t xml:space="preserve">Auditer la conformité pour respecter les normes.</t>
  </si>
  <si>
    <t xml:space="preserve">Procédure d’accès aux applications critiques</t>
  </si>
  <si>
    <t xml:space="preserve">Réutilisation non détectée augmentant les vulnérabilités </t>
  </si>
  <si>
    <t xml:space="preserve">Réutilisation non détectée des mots de passe  </t>
  </si>
  <si>
    <t xml:space="preserve">Centraliser la gestion des mots de passe avec un outil sécurisé.</t>
  </si>
  <si>
    <t xml:space="preserve">Gestion des droits d’accès selon rôles utilisateurs.</t>
  </si>
  <si>
    <t xml:space="preserve">Les droits d’accès aux applications critiques sont-ils gérés en fonction des rôles des utilisateurs ?</t>
  </si>
  <si>
    <t xml:space="preserve">Matrice des rôles et droits d’accès</t>
  </si>
  <si>
    <t xml:space="preserve">Failles de sécurité persistantes  </t>
  </si>
  <si>
    <t xml:space="preserve">Former les équipes pour une application correcte des consignes.</t>
  </si>
  <si>
    <t xml:space="preserve">Registre des attributions de rôles</t>
  </si>
  <si>
    <t xml:space="preserve">Absence de clarté entraînant des erreurs de conformité </t>
  </si>
  <si>
    <t xml:space="preserve">Non-respect des normes de conformité  </t>
  </si>
  <si>
    <t xml:space="preserve">Sensibiliser les employés pour réduire les comportements à risque.</t>
  </si>
  <si>
    <t xml:space="preserve">Journalisation des accès et actions.</t>
  </si>
  <si>
    <t xml:space="preserve">Les accès et actions dans les applications critiques sont-ils journalisés de manière détaillée ?</t>
  </si>
  <si>
    <t xml:space="preserve">Journaux des accès applicatifs</t>
  </si>
  <si>
    <t xml:space="preserve">Gestion incohérente des mots de passe  </t>
  </si>
  <si>
    <t xml:space="preserve">Chiffrer les données pour éviter les fuites d’informations sensibles.</t>
  </si>
  <si>
    <t xml:space="preserve">Logs des actions effectuées</t>
  </si>
  <si>
    <t xml:space="preserve">Non-respect des règles par ignorance des utilisateurs</t>
  </si>
  <si>
    <t xml:space="preserve">Mauvaise application des consignes  </t>
  </si>
  <si>
    <t xml:space="preserve">Restreindre l’accès pour garantir la confidentialité des données.</t>
  </si>
  <si>
    <t xml:space="preserve">Contrôle des accès aux interfaces d’administration.</t>
  </si>
  <si>
    <t xml:space="preserve">Les accès aux interfaces d’administration des applications critiques sont-ils strictement contrôlés ?</t>
  </si>
  <si>
    <t xml:space="preserve">Configuration des interfaces d’administration</t>
  </si>
  <si>
    <t xml:space="preserve">Comportements à risque accrus  </t>
  </si>
  <si>
    <t xml:space="preserve">Surveiller les comptes pour bloquer les accès non autorisés.</t>
  </si>
  <si>
    <t xml:space="preserve">Rapports de contrôle des accès admin</t>
  </si>
  <si>
    <t xml:space="preserve">Stockage inapproprié exposant les mots de passe à des fuites  </t>
  </si>
  <si>
    <t xml:space="preserve">Fuite d’informations sensibles  </t>
  </si>
  <si>
    <t xml:space="preserve">Évaluer l’impact financier des intrusions pour prioriser les actions.</t>
  </si>
  <si>
    <t xml:space="preserve">Tests réguliers des dispositifs de contrôle d’accès applicatif.</t>
  </si>
  <si>
    <t xml:space="preserve">Des tests réguliers des dispositifs de contrôle d’accès applicatif sont-ils effectués ?</t>
  </si>
  <si>
    <t xml:space="preserve">Rapports de tests des contrôles d’accès</t>
  </si>
  <si>
    <t xml:space="preserve">Perte de confidentialité des données  </t>
  </si>
  <si>
    <t xml:space="preserve">Renforcer les pare-feu pour protéger les systèmes des cyberattaques.</t>
  </si>
  <si>
    <t xml:space="preserve">Procédures de validation des dispositifs</t>
  </si>
  <si>
    <t xml:space="preserve">Stockage en clair facilitant les compromissions  </t>
  </si>
  <si>
    <t xml:space="preserve">Accès non autorisé aux mots de passe  </t>
  </si>
  <si>
    <t xml:space="preserve">Planifier la reprise pour limiter les perturbations des services critiques.</t>
  </si>
  <si>
    <t xml:space="preserve">Vérifier que la surveillance des accès aux systèmes et leur 
utilisation sont effectives</t>
  </si>
  <si>
    <t xml:space="preserve">Systèmes de journalisation et monitoring des accès.</t>
  </si>
  <si>
    <t xml:space="preserve">Des systèmes de journalisation et de monitoring des accès sont-ils en place et opérationnels ?</t>
  </si>
  <si>
    <t xml:space="preserve">Configuration des systèmes de journalisation</t>
  </si>
  <si>
    <t xml:space="preserve">Pertes financières dues à des intrusions  </t>
  </si>
  <si>
    <t xml:space="preserve">Déployer un SIEM pour détecter les compromissions non identifiées.</t>
  </si>
  <si>
    <t xml:space="preserve">Rapports de monitoring des accès</t>
  </si>
  <si>
    <t xml:space="preserve">Systèmes de stockage vulnérables augmentant les risques de piratage </t>
  </si>
  <si>
    <t xml:space="preserve">Systèmes exposés aux cyberattaques  </t>
  </si>
  <si>
    <t xml:space="preserve">Analyse régulière des logs pour anomalies.</t>
  </si>
  <si>
    <t xml:space="preserve">Les logs sont-ils analysés régulièrement pour détecter d’éventuelles anomalies ?</t>
  </si>
  <si>
    <t xml:space="preserve">Rapports d’analyse des logs</t>
  </si>
  <si>
    <t xml:space="preserve">Perturbation des services critiques  </t>
  </si>
  <si>
    <t xml:space="preserve">Standardiser les pratiques de gestion pour plus de cohérence.</t>
  </si>
  <si>
    <t xml:space="preserve">Failles de stockage non détectées compromettant la sécurité</t>
  </si>
  <si>
    <t xml:space="preserve">Compromission non détectée  </t>
  </si>
  <si>
    <t xml:space="preserve">Maintenir un journal des mots de passe pour assurer la traçabilité.</t>
  </si>
  <si>
    <t xml:space="preserve">Mise en place d’alertes en cas d’accès suspects.</t>
  </si>
  <si>
    <t xml:space="preserve">Des alertes sont-elles configurées pour signaler les accès suspects ou non autorisés ?</t>
  </si>
  <si>
    <t xml:space="preserve">Configuration des alertes de sécurité</t>
  </si>
  <si>
    <t xml:space="preserve">Dommages prolongés aux systèmes  </t>
  </si>
  <si>
    <t xml:space="preserve">Bloquer l’interception des mots de passe avec des protocoles sécurisés.</t>
  </si>
  <si>
    <t xml:space="preserve">Journal des alertes déclenchées</t>
  </si>
  <si>
    <t xml:space="preserve">Absence de documentation entraînant une gestion incohérente </t>
  </si>
  <si>
    <t xml:space="preserve">Pratiques incohérentes de gestion  </t>
  </si>
  <si>
    <t xml:space="preserve">Chiffrer les données confidentielles pour éviter les violations.</t>
  </si>
  <si>
    <t xml:space="preserve">Conservation sécurisée des logs selon exigences.</t>
  </si>
  <si>
    <t xml:space="preserve">Les logs sont-ils conservés de manière sécurisée et conforme aux exigences réglementaires ?</t>
  </si>
  <si>
    <t xml:space="preserve">Perte de traçabilité des mots de passe  </t>
  </si>
  <si>
    <t xml:space="preserve">Utiliser des canaux sécurisés pour protéger les communications.</t>
  </si>
  <si>
    <t xml:space="preserve">Preuves de stockage sécurisé</t>
  </si>
  <si>
    <t xml:space="preserve">Diffusion non sécurisée exposant les mots de passe à l’interception  </t>
  </si>
  <si>
    <t xml:space="preserve">Mots de passe interceptés par des tiers  </t>
  </si>
  <si>
    <t xml:space="preserve">Revue périodique des droits d’accès selon usages.</t>
  </si>
  <si>
    <t xml:space="preserve">Les droits d’accès sont-ils revus périodiquement en fonction des usages réels ?</t>
  </si>
  <si>
    <t xml:space="preserve">Rapports de revue des droits d’accès</t>
  </si>
  <si>
    <t xml:space="preserve">Violation des données confidentielles  </t>
  </si>
  <si>
    <t xml:space="preserve">Sécuriser les mots de passe pour éviter leur interception.</t>
  </si>
  <si>
    <t xml:space="preserve">Registre des modifications d’accès</t>
  </si>
  <si>
    <t xml:space="preserve">Transmission par canaux non sécurisés augmentant les risques de fuite  </t>
  </si>
  <si>
    <t xml:space="preserve">Fuites dues à des canaux non sécurisés  </t>
  </si>
  <si>
    <t xml:space="preserve">Restreindre les accès pour bloquer les intrusions non autorisées.</t>
  </si>
  <si>
    <t xml:space="preserve">Vérifier que la gestion de l'informatique mobile est prise en 
compte</t>
  </si>
  <si>
    <t xml:space="preserve">Politique formalisée de gestion des appareils mobiles (BYOD, entreprise).</t>
  </si>
  <si>
    <t xml:space="preserve">Une politique formalisée de gestion des appareils mobiles (BYOD ou entreprise) est-elle en place ?</t>
  </si>
  <si>
    <t xml:space="preserve">Politique de gestion des appareils mobiles</t>
  </si>
  <si>
    <t xml:space="preserve">Standardiser l’application des consignes pour plus de cohérence.</t>
  </si>
  <si>
    <t xml:space="preserve">Registre des appareils autorisés</t>
  </si>
  <si>
    <t xml:space="preserve">Absence de méthodes sécurisées facilitant l’interception des mots de passe  </t>
  </si>
  <si>
    <t xml:space="preserve">Interception des mots de passe  </t>
  </si>
  <si>
    <t xml:space="preserve">Centraliser la gestion des mots de passe pour combler les failles.</t>
  </si>
  <si>
    <t xml:space="preserve">Solutions de sécurité adaptées (MDM, chiffrement).</t>
  </si>
  <si>
    <t xml:space="preserve">Des solutions de sécurité adaptées (MDM, chiffrement) sont-elles déployées pour les appareils mobiles ?</t>
  </si>
  <si>
    <t xml:space="preserve">Configuration des solutions MDM</t>
  </si>
  <si>
    <t xml:space="preserve">Accès non autorisé aux systèmes  </t>
  </si>
  <si>
    <t xml:space="preserve">Clarifier les règles de diffusion pour garantir leur respect.</t>
  </si>
  <si>
    <t xml:space="preserve">Certificats de chiffrement des appareils</t>
  </si>
  <si>
    <t xml:space="preserve">Non-documentation des règles entraînant des pratiques incohérentes </t>
  </si>
  <si>
    <t xml:space="preserve">Application inégale des consignes  </t>
  </si>
  <si>
    <t xml:space="preserve">Surveiller les systèmes pour limiter les compromissions.</t>
  </si>
  <si>
    <t xml:space="preserve">Contrôle des accès et données sur appareils mobiles.</t>
  </si>
  <si>
    <t xml:space="preserve">Les accès et données sur les appareils mobiles sont-ils contrôlés et sécurisés ?</t>
  </si>
  <si>
    <t xml:space="preserve">Rapports de contrôle des accès mobiles</t>
  </si>
  <si>
    <t xml:space="preserve">Failles dans la gestion des mots de passe  </t>
  </si>
  <si>
    <t xml:space="preserve">Mettre en place des processus sécurisés pour les réinitialisations de mots de passe.</t>
  </si>
  <si>
    <t xml:space="preserve">Logs des données accédées</t>
  </si>
  <si>
    <t xml:space="preserve">Non-respect des règles de diffusion par manque de formation  </t>
  </si>
  <si>
    <t xml:space="preserve">Non-respect des règles de diffusion  </t>
  </si>
  <si>
    <t xml:space="preserve">Renforcer les politiques de diffusion avec des contrôles stricts.</t>
  </si>
  <si>
    <t xml:space="preserve">Sensibilisation aux risques liés à la mobilité.</t>
  </si>
  <si>
    <t xml:space="preserve">Les utilisateurs sont-ils sensibilisés aux risques liés à l’utilisation des appareils mobiles ?</t>
  </si>
  <si>
    <t xml:space="preserve">Supports de sensibilisation à la mobilité</t>
  </si>
  <si>
    <t xml:space="preserve">Exposition accrue aux compromissions  </t>
  </si>
  <si>
    <t xml:space="preserve">Mettre en place des protocoles sécurisés pour limiter les compromissions.</t>
  </si>
  <si>
    <t xml:space="preserve">Processus de réinitialisation mal défini augmentant les risques d’accès non autorisés</t>
  </si>
  <si>
    <t xml:space="preserve">Réinitialisations non sécurisées  </t>
  </si>
  <si>
    <t xml:space="preserve">Sécuriser les réinitialisations avec une authentification multifactorielle.</t>
  </si>
  <si>
    <t xml:space="preserve">Procédures en cas de perte ou vol d’appareil.</t>
  </si>
  <si>
    <t xml:space="preserve">Des procédures spécifiques sont-elles en place pour gérer la perte ou le vol d’un appareil mobile ?</t>
  </si>
  <si>
    <t xml:space="preserve">Procédure en cas de perte/vol</t>
  </si>
  <si>
    <t xml:space="preserve">Usurpation d’identité facilitée</t>
  </si>
  <si>
    <t xml:space="preserve">Surveiller les comptes pour détecter les tentatives d’usurpation d’identité.</t>
  </si>
  <si>
    <t xml:space="preserve">Registre des incidents liés aux appareils</t>
  </si>
  <si>
    <t xml:space="preserve">Rôles mal définis entraînant des réinitialisations non autorisées ou chaotiques</t>
  </si>
  <si>
    <t xml:space="preserve">Perte de contrôle sur les accès et modifications non autorisées</t>
  </si>
  <si>
    <t xml:space="preserve">Implémenter une gestion IAM pour contrôler les accès et modifications.</t>
  </si>
  <si>
    <t xml:space="preserve">Vérifier que des suites sont systématiquement données aux 
incidents</t>
  </si>
  <si>
    <t xml:space="preserve">Enregistrement systématique des incidents et actions.</t>
  </si>
  <si>
    <t xml:space="preserve">Tous les incidents de sécurité et les actions associées sont-ils enregistrés systématiquement ?</t>
  </si>
  <si>
    <t xml:space="preserve">Registre des incidents de sécurité</t>
  </si>
  <si>
    <t xml:space="preserve">Risque accru de sabotage ou d’erreurs humaines graves</t>
  </si>
  <si>
    <t xml:space="preserve">Former les employés pour réduire les risques de sabotage ou d’erreurs.</t>
  </si>
  <si>
    <t xml:space="preserve">Rapports d’actions correctives</t>
  </si>
  <si>
    <t xml:space="preserve">Méthodes d’authentification faibles facilitant l’usurpation d’identité  </t>
  </si>
  <si>
    <t xml:space="preserve">Vol d'identité avec accès à des ressources critiques</t>
  </si>
  <si>
    <t xml:space="preserve">Restreindre l’accès aux ressources critiques pour prévenir le vol d’identité.</t>
  </si>
  <si>
    <t xml:space="preserve">Analyse des causes racines des incidents.</t>
  </si>
  <si>
    <t xml:space="preserve">Une analyse des causes racines est-elle réalisée pour chaque incident de sécurité ?</t>
  </si>
  <si>
    <t xml:space="preserve">Rapports d’analyse des causes racines</t>
  </si>
  <si>
    <t xml:space="preserve">Compromission de données sensibles ou stratégiques</t>
  </si>
  <si>
    <t xml:space="preserve">Chiffrer les données sensibles pour éviter leur compromission.</t>
  </si>
  <si>
    <t xml:space="preserve">Documentation des leçons apprises</t>
  </si>
  <si>
    <t xml:space="preserve">Absence de suivi des réinitialisations permettant des abus non détectés </t>
  </si>
  <si>
    <t xml:space="preserve">Multiplication d'abus sans possibilité de les détecter</t>
  </si>
  <si>
    <t xml:space="preserve">Auditer les activités pour détecter les abus rapidement.</t>
  </si>
  <si>
    <t xml:space="preserve">Mise en place de mesures préventives.</t>
  </si>
  <si>
    <t xml:space="preserve">Des mesures préventives sont-elles mises en place à la suite des analyses d’incidents ?</t>
  </si>
  <si>
    <t xml:space="preserve">Plan de mesures préventives</t>
  </si>
  <si>
    <t xml:space="preserve">Absence de preuves en cas d'incident de sécurité</t>
  </si>
  <si>
    <t xml:space="preserve">Maintenir un journal des événements pour conserver des preuves d’incidents.</t>
  </si>
  <si>
    <t xml:space="preserve">Registre des actions déployées</t>
  </si>
  <si>
    <t xml:space="preserve">Processus non documenté augmentant les erreurs et les incohérences </t>
  </si>
  <si>
    <t xml:space="preserve">Erreurs fréquentes lors des interventions sur les accès</t>
  </si>
  <si>
    <t xml:space="preserve">Standardiser les interventions sur les accès pour réduire les erreurs.</t>
  </si>
  <si>
    <t xml:space="preserve">Communication des suites aux parties prenantes.</t>
  </si>
  <si>
    <t xml:space="preserve">Les suites données aux incidents sont-elles communiquées aux parties prenantes concernées ?</t>
  </si>
  <si>
    <t xml:space="preserve">Communications post-incident</t>
  </si>
  <si>
    <t xml:space="preserve">Incohérences entre les pratiques des différents intervenants</t>
  </si>
  <si>
    <t xml:space="preserve">Harmoniser les pratiques via un référentiel commun.</t>
  </si>
  <si>
    <t xml:space="preserve">Comptes-rendus aux parties prenantes</t>
  </si>
  <si>
    <t xml:space="preserve">Processus non documenté augmentant les erreurs et les incohérences  </t>
  </si>
  <si>
    <t xml:space="preserve">Documenter les processus d’accès pour minimiser les erreurs fréquentes.</t>
  </si>
  <si>
    <t xml:space="preserve">Suivi de l’efficacité des actions correctives.</t>
  </si>
  <si>
    <t xml:space="preserve">L’efficacité des actions correctives mises en place après un incident est-elle suivie ?</t>
  </si>
  <si>
    <t xml:space="preserve">Rapports de suivi des mesures</t>
  </si>
  <si>
    <t xml:space="preserve">Perte de temps due à l'absence de référentiel clair</t>
  </si>
  <si>
    <t xml:space="preserve">Créer un référentiel clair pour optimiser le temps de gestion des accès.</t>
  </si>
  <si>
    <t xml:space="preserve">Tableaux de bord d’efficacité</t>
  </si>
  <si>
    <t xml:space="preserve">Absence de politique formalisée entraînant une gestion anarchique des accès  </t>
  </si>
  <si>
    <t xml:space="preserve">Accès attribués de façon aléatoire ou excessive</t>
  </si>
  <si>
    <t xml:space="preserve">Réviser les accès pour éviter les attributions excessives ou aléatoires.</t>
  </si>
  <si>
    <t xml:space="preserve">Développement et maintenance des systèmes</t>
  </si>
  <si>
    <t xml:space="preserve">S’assurer que les exigences de sécurité des systèmes existent</t>
  </si>
  <si>
    <t xml:space="preserve">Définition claire des exigences de sécurité par système.</t>
  </si>
  <si>
    <t xml:space="preserve">Des exigences de sécurité spécifiques sont-elles clairement définies pour chaque système ?</t>
  </si>
  <si>
    <t xml:space="preserve">Cahiers des charges de sécurité</t>
  </si>
  <si>
    <t xml:space="preserve">Impossibilité d’auditer les changements d’accès</t>
  </si>
  <si>
    <t xml:space="preserve">Mettre en place un système de traçabilité pour auditer les changements d’accès.</t>
  </si>
  <si>
    <t xml:space="preserve">Exigences de sécurité par système</t>
  </si>
  <si>
    <t xml:space="preserve">Objectifs flous réduisant l’efficacité des contrôles d’accès  </t>
  </si>
  <si>
    <t xml:space="preserve">Implémentation inefficace des restrictions</t>
  </si>
  <si>
    <t xml:space="preserve">Appliquer des restrictions via des politiques de moindre privilège.</t>
  </si>
  <si>
    <t xml:space="preserve">Documentation des exigences dans cahiers des charges.</t>
  </si>
  <si>
    <t xml:space="preserve">Les exigences de sécurité sont-elles documentées dans les cahiers des charges des systèmes ?</t>
  </si>
  <si>
    <t xml:space="preserve">Documentation des spécifications</t>
  </si>
  <si>
    <t xml:space="preserve">Difficulté à garantir un niveau de sécurité adapté</t>
  </si>
  <si>
    <t xml:space="preserve">Définir des niveaux de sécurité adaptés à chaque rôle.</t>
  </si>
  <si>
    <t xml:space="preserve">Registre des mises à jour des exigences</t>
  </si>
  <si>
    <t xml:space="preserve">Responsabilités ambiguës permettant des erreurs ou abus de pouvoir  </t>
  </si>
  <si>
    <t xml:space="preserve">Confusion dans les responsabilités de gestion</t>
  </si>
  <si>
    <t xml:space="preserve">Clarifier les responsabilités avec une matrice RACI.</t>
  </si>
  <si>
    <t xml:space="preserve">Validation des exigences par parties prenantes.</t>
  </si>
  <si>
    <t xml:space="preserve">Les exigences de sécurité sont-elles validées par les parties prenantes concernées ?</t>
  </si>
  <si>
    <t xml:space="preserve">Actes de validation des exigences</t>
  </si>
  <si>
    <t xml:space="preserve">Impunité en cas de mauvaise manipulation</t>
  </si>
  <si>
    <t xml:space="preserve">Sanctionner les manipulations incorrectes pour garantir la conformité.</t>
  </si>
  <si>
    <t xml:space="preserve">Comptes-rendus des réunions</t>
  </si>
  <si>
    <t xml:space="preserve">Méthodes non définies affaiblissant la sécurité des accès  </t>
  </si>
  <si>
    <t xml:space="preserve">Failles non comblées dans la gestion des utilisateurs</t>
  </si>
  <si>
    <t xml:space="preserve">Combler les failles dans la gestion des utilisateurs via des audits réguliers.</t>
  </si>
  <si>
    <t xml:space="preserve">Mise à jour selon évolutions technologiques.</t>
  </si>
  <si>
    <t xml:space="preserve">Les exigences de sécurité sont-elles mises à jour en fonction des évolutions technologiques ?</t>
  </si>
  <si>
    <t xml:space="preserve">Historique des évolutions technologiques</t>
  </si>
  <si>
    <t xml:space="preserve">Réactions tardives en cas d’incident</t>
  </si>
  <si>
    <t xml:space="preserve">Automatiser les alertes pour une réaction rapide aux incidents.</t>
  </si>
  <si>
    <t xml:space="preserve">Rapports de conformité des exigences</t>
  </si>
  <si>
    <t xml:space="preserve">Politique obsolète exposant à de nouvelles vulnérabilités  </t>
  </si>
  <si>
    <t xml:space="preserve">Non-conformité aux exigences actuelles de cybersécurité</t>
  </si>
  <si>
    <t xml:space="preserve">Aligner les pratiques sur les normes actuelles de cybersécurité (NIST, ISO 27001).</t>
  </si>
  <si>
    <t xml:space="preserve">Contrôle de la prise en compte lors développements/acquisitions.</t>
  </si>
  <si>
    <t xml:space="preserve">La prise en compte des exigences de sécurité est-elle contrôlée lors des développements ou acquisitions ?</t>
  </si>
  <si>
    <t xml:space="preserve">Audits de conformité des développements</t>
  </si>
  <si>
    <t xml:space="preserve">Exposition accrue aux nouvelles formes d’attaques</t>
  </si>
  <si>
    <t xml:space="preserve">Analyser les nouvelles attaques pour adapter les défenses.</t>
  </si>
  <si>
    <t xml:space="preserve">Preuves de prise en compte des exigences</t>
  </si>
  <si>
    <t xml:space="preserve">Processus non formalisé entraînant des accès inappropriés  </t>
  </si>
  <si>
    <t xml:space="preserve">Accès accordés sans justification ou validation</t>
  </si>
  <si>
    <t xml:space="preserve">Justifier chaque accès avec un processus de validation formel.</t>
  </si>
  <si>
    <t xml:space="preserve">S’assurer que la sécurité des systèmes d'application est 
effective</t>
  </si>
  <si>
    <t xml:space="preserve">Contrôles d’accès et authentification sur applications.</t>
  </si>
  <si>
    <t xml:space="preserve">Des contrôles d’accès et des mécanismes d’authentification sont-ils appliqués aux applications ?</t>
  </si>
  <si>
    <t xml:space="preserve">Configuration des contrôles d’accès applicatifs</t>
  </si>
  <si>
    <t xml:space="preserve">Violation de la confidentialité ou de l'intégrité des données</t>
  </si>
  <si>
    <t xml:space="preserve">Protéger la confidentialité et l’intégrité via le chiffrement.</t>
  </si>
  <si>
    <t xml:space="preserve">Logs des authentifications</t>
  </si>
  <si>
    <t xml:space="preserve">Contrôles irréguliers permettant la persistance d’accès non autorisés </t>
  </si>
  <si>
    <t xml:space="preserve">Maintien d’accès pour d’anciens employés ou rôles obsolètes</t>
  </si>
  <si>
    <t xml:space="preserve">Supprimer les accès obsolètes via des revues périodiques.</t>
  </si>
  <si>
    <t xml:space="preserve">Tests de sécurité réguliers (intrusion, audits).</t>
  </si>
  <si>
    <t xml:space="preserve">Des tests de sécurité réguliers (tests d’intrusion, audits) sont-ils réalisés sur les applications ?</t>
  </si>
  <si>
    <t xml:space="preserve">Rapports de tests de sécurité</t>
  </si>
  <si>
    <t xml:space="preserve">Escalade de privilèges non détectée</t>
  </si>
  <si>
    <t xml:space="preserve">Surveiller les privilèges pour détecter les escalades non autorisées.</t>
  </si>
  <si>
    <t xml:space="preserve">Résultats des audits d’intrusion</t>
  </si>
  <si>
    <t xml:space="preserve">Non-respect du moindre privilège augmentant l’impact des compromissions  </t>
  </si>
  <si>
    <t xml:space="preserve">Impact élevé en cas de compromission de compte</t>
  </si>
  <si>
    <t xml:space="preserve">Renforcer la sécurité des comptes pour limiter l’impact des compromissions.</t>
  </si>
  <si>
    <t xml:space="preserve">Mise à jour et correctifs rapides.</t>
  </si>
  <si>
    <t xml:space="preserve">Les mises à jour et correctifs de sécurité des applications sont-ils appliqués rapidement ?</t>
  </si>
  <si>
    <t xml:space="preserve">Propagation facile de logiciels malveillants</t>
  </si>
  <si>
    <t xml:space="preserve">Déployer un antivirus pour bloquer la propagation des malwares.</t>
  </si>
  <si>
    <t xml:space="preserve">Preuves de déploiement rapide</t>
  </si>
  <si>
    <t xml:space="preserve">Anomalies non détectées facilitant les attaques internes ou externes  </t>
  </si>
  <si>
    <t xml:space="preserve">Intrusions internes ou externes prolongées sans détection</t>
  </si>
  <si>
    <t xml:space="preserve">Utiliser un SIEM pour détecter les intrusions prolongées.</t>
  </si>
  <si>
    <t xml:space="preserve">Journalisation des actions critiques.</t>
  </si>
  <si>
    <t xml:space="preserve">Les actions critiques dans les applications sont-elles journalisées de manière systématique ?</t>
  </si>
  <si>
    <t xml:space="preserve">Journaux des actions critiques</t>
  </si>
  <si>
    <t xml:space="preserve">Atteinte à l’intégrité des systèmes et des données</t>
  </si>
  <si>
    <t xml:space="preserve">Vérifier l’intégrité des systèmes avec des scans réguliers.</t>
  </si>
  <si>
    <t xml:space="preserve">Rapports de monitoring applicatif</t>
  </si>
  <si>
    <t xml:space="preserve">Droits non revus permettant l’accumulation d’accès excessifs  </t>
  </si>
  <si>
    <t xml:space="preserve">Accumulation d’autorisations non nécessaires</t>
  </si>
  <si>
    <t xml:space="preserve">Révoquer les autorisations inutiles pour réduire les accumulations.</t>
  </si>
  <si>
    <t xml:space="preserve">Sensibilisation aux bonnes pratiques d’utilisation.</t>
  </si>
  <si>
    <t xml:space="preserve">Les utilisateurs sont-ils sensibilisés aux bonnes pratiques d’utilisation des applications ?</t>
  </si>
  <si>
    <t xml:space="preserve">Supports de sensibilisation aux pratiques</t>
  </si>
  <si>
    <t xml:space="preserve">Risque de fuites ou de modifications malveillantes</t>
  </si>
  <si>
    <t xml:space="preserve">Surveiller les modifications pour prévenir les fuites malveillantes.</t>
  </si>
  <si>
    <t xml:space="preserve">Guides d’utilisation sécurisée</t>
  </si>
  <si>
    <t xml:space="preserve">Absence de mots de passe exposant les systèmes à des accès non autorisés  </t>
  </si>
  <si>
    <t xml:space="preserve">Accès non autorisé via comptes sans mot de passe</t>
  </si>
  <si>
    <t xml:space="preserve">Exiger des mots de passe pour tous les comptes sensibles.</t>
  </si>
  <si>
    <t xml:space="preserve">S’assurer qu’un protocole de recette existe </t>
  </si>
  <si>
    <t xml:space="preserve">Protocole formalisé de recette pour systèmes et applications.</t>
  </si>
  <si>
    <t xml:space="preserve">Un protocole formalisé de recette pour les systèmes et applications est-il en place ?</t>
  </si>
  <si>
    <t xml:space="preserve">Protocole de recette des systèmes</t>
  </si>
  <si>
    <t xml:space="preserve">Possibilité d’utilisation de scripts automatisés malveillants</t>
  </si>
  <si>
    <t xml:space="preserve">Bloquer les scripts malveillants avec des pare-feu applicatifs.</t>
  </si>
  <si>
    <t xml:space="preserve">Critères de validation documentés</t>
  </si>
  <si>
    <t xml:space="preserve">Sessions ouvertes indéfiniment facilitant l’accès par des tiers non autorisés  </t>
  </si>
  <si>
    <t xml:space="preserve">Usurpation de session facilitée par la persistance</t>
  </si>
  <si>
    <t xml:space="preserve">Mettre en place une déconnexion automatique pour limiter l’usurpation de session.</t>
  </si>
  <si>
    <t xml:space="preserve">Documentation claire des étapes et critères de validation.</t>
  </si>
  <si>
    <t xml:space="preserve">Les étapes et critères de validation de la recette sont-ils clairement documentés ?</t>
  </si>
  <si>
    <t xml:space="preserve">Documentation des étapes de recette</t>
  </si>
  <si>
    <t xml:space="preserve">Vol d’informations sensibles à l’insu de l’utilisateur</t>
  </si>
  <si>
    <t xml:space="preserve">Restreindre l’accès aux informations sensibles via des contrôles stricts.</t>
  </si>
  <si>
    <t xml:space="preserve">Modèles de rapports de recette</t>
  </si>
  <si>
    <t xml:space="preserve">Non-surveillance des règles permettant des violations non détectées  </t>
  </si>
  <si>
    <t xml:space="preserve">Dérogations non détectées aux règles établies</t>
  </si>
  <si>
    <t xml:space="preserve">Auditer les dérogations pour garantir le respect des règles.</t>
  </si>
  <si>
    <t xml:space="preserve">Implication des utilisateurs dans la recette.</t>
  </si>
  <si>
    <t xml:space="preserve">Les utilisateurs concernés sont-ils impliqués dans le processus de recette ?</t>
  </si>
  <si>
    <t xml:space="preserve">Comptes-rendus d’implication utilisateur</t>
  </si>
  <si>
    <t xml:space="preserve">Affaiblissement global de la posture de sécurité</t>
  </si>
  <si>
    <t xml:space="preserve">Renforcer la posture de sécurité avec des audits proactifs.</t>
  </si>
  <si>
    <t xml:space="preserve">Retours des tests utilisateurs</t>
  </si>
  <si>
    <t xml:space="preserve">Manque de sensibilisation entraînant des comportements à risque </t>
  </si>
  <si>
    <t xml:space="preserve">Mauvaises pratiques répétées par ignorance</t>
  </si>
  <si>
    <t xml:space="preserve">Sensibiliser les employés pour éliminer les mauvaises pratiques.</t>
  </si>
  <si>
    <t xml:space="preserve">Validation formelle avant mise en production.</t>
  </si>
  <si>
    <t xml:space="preserve">Une validation formelle est-elle effectuée avant la mise en production des systèmes ou applications ?</t>
  </si>
  <si>
    <t xml:space="preserve">Actes de validation avant production</t>
  </si>
  <si>
    <t xml:space="preserve">Introduction involontaire de logiciels malveillants</t>
  </si>
  <si>
    <t xml:space="preserve">Vérifier les logiciels installés pour éviter l’introduction de malwares.</t>
  </si>
  <si>
    <t xml:space="preserve">Signatures des parties prenantes</t>
  </si>
  <si>
    <t xml:space="preserve">Règles non documentées entraînant une application incohérente </t>
  </si>
  <si>
    <t xml:space="preserve">Décisions contradictoires ou injustifiées</t>
  </si>
  <si>
    <t xml:space="preserve">Harmoniser les décisions via un comité de gouvernance.</t>
  </si>
  <si>
    <t xml:space="preserve">Archivage des résultats de recette.</t>
  </si>
  <si>
    <t xml:space="preserve">Les résultats de la recette sont-ils archivés pour référence future ?</t>
  </si>
  <si>
    <t xml:space="preserve">Registre des résultats de recette</t>
  </si>
  <si>
    <t xml:space="preserve">Désorganisation dans la mise en œuvre des mesures</t>
  </si>
  <si>
    <t xml:space="preserve">Centraliser la mise en œuvre des mesures avec un plan clair.</t>
  </si>
  <si>
    <t xml:space="preserve">Archives des validations effectuées</t>
  </si>
  <si>
    <t xml:space="preserve">Absence de pare-feu exposant le réseau à des intrusions  </t>
  </si>
  <si>
    <t xml:space="preserve">Ouverture à des connexions extérieures non filtrées</t>
  </si>
  <si>
    <t xml:space="preserve">Filtrer les connexions externes avec des pare-feu avancés.</t>
  </si>
  <si>
    <t xml:space="preserve">S’assurer que le protocole de recette a été testé</t>
  </si>
  <si>
    <t xml:space="preserve">Réalisation effective des tests conformément au protocole.</t>
  </si>
  <si>
    <t xml:space="preserve">Les tests prévus dans le protocole de recette sont-ils réalisés conformément aux exigences ?</t>
  </si>
  <si>
    <t xml:space="preserve">Rapports de tests effectués</t>
  </si>
  <si>
    <t xml:space="preserve">Accès facilité aux ressources internes par des attaquants</t>
  </si>
  <si>
    <t xml:space="preserve">Restreindre l’accès interne via une segmentation du réseau.</t>
  </si>
  <si>
    <t xml:space="preserve">Preuves de conformité au protocole</t>
  </si>
  <si>
    <t xml:space="preserve">Ports ouverts inutilement augmentant les points d’entrée pour les attaquants</t>
  </si>
  <si>
    <t xml:space="preserve">Exploitation de services non nécessaires</t>
  </si>
  <si>
    <t xml:space="preserve">Désactiver les services inutiles pour réduire la surface d’attaque.</t>
  </si>
  <si>
    <t xml:space="preserve">Documentation des résultats et anomalies.</t>
  </si>
  <si>
    <t xml:space="preserve">Les résultats des tests et les anomalies détectées sont-ils documentés de manière détaillée ?</t>
  </si>
  <si>
    <t xml:space="preserve">Documentation des anomalies détectées</t>
  </si>
  <si>
    <t xml:space="preserve">Complexification de la surface d’attaque</t>
  </si>
  <si>
    <t xml:space="preserve">Simplifier l’architecture réseau pour limiter les vulnérabilités.</t>
  </si>
  <si>
    <t xml:space="preserve">Registre des corrections appliquées</t>
  </si>
  <si>
    <t xml:space="preserve">Trafic non surveillé masquant des activités malveillantes  </t>
  </si>
  <si>
    <t xml:space="preserve">Implantation de malwares sans détection</t>
  </si>
  <si>
    <t xml:space="preserve">Déployer un EDR pour détecter les implantations de malwares.</t>
  </si>
  <si>
    <t xml:space="preserve">Correction des anomalies avant mise en production.</t>
  </si>
  <si>
    <t xml:space="preserve">Les anomalies identifiées lors des tests sont-elles corrigées avant la mise en production ?</t>
  </si>
  <si>
    <t xml:space="preserve">Rapports de correction des anomalies</t>
  </si>
  <si>
    <t xml:space="preserve">Communication dissimulée avec des serveurs de contrôle</t>
  </si>
  <si>
    <t xml:space="preserve">Surveiller les communications pour bloquer les serveurs de contrôle.</t>
  </si>
  <si>
    <t xml:space="preserve">Preuves de résolution</t>
  </si>
  <si>
    <t xml:space="preserve">Accès réseau non authentifié permettant des intrusions faciles  </t>
  </si>
  <si>
    <t xml:space="preserve">Utilisation du réseau par des personnes non autorisées</t>
  </si>
  <si>
    <t xml:space="preserve">Restreindre l’accès réseau aux utilisateurs autorisés uniquement.</t>
  </si>
  <si>
    <t xml:space="preserve">Validation finale par parties prenantes.</t>
  </si>
  <si>
    <t xml:space="preserve">Une validation finale par les parties prenantes est-elle effectuée après correction des anomalies ?</t>
  </si>
  <si>
    <t xml:space="preserve">Actes de validation finale</t>
  </si>
  <si>
    <t xml:space="preserve">Propagation rapide d'attaques à travers les systèmes</t>
  </si>
  <si>
    <t xml:space="preserve">Segmenter le réseau pour limiter la propagation des attaques.</t>
  </si>
  <si>
    <t xml:space="preserve">Comptes-rendus des parties prenantes</t>
  </si>
  <si>
    <t xml:space="preserve">Réseau non segmenté amplifiant l’impact des compromissions </t>
  </si>
  <si>
    <t xml:space="preserve">Déplacement latéral facilité à travers le réseau</t>
  </si>
  <si>
    <t xml:space="preserve">Bloquer les déplacements latéraux avec des contrôles d’accès stricts.</t>
  </si>
  <si>
    <t xml:space="preserve">Suivi des tests complémentaires si nécessaire.</t>
  </si>
  <si>
    <t xml:space="preserve">Des tests complémentaires sont-ils suivis si nécessaire après la correction des anomalies ?</t>
  </si>
  <si>
    <t xml:space="preserve">Rapports de tests complémentaires</t>
  </si>
  <si>
    <t xml:space="preserve">Perte de données à grande échelle en cas d’attaque</t>
  </si>
  <si>
    <t xml:space="preserve">Effectuer des sauvegardes pour éviter la perte de données à grande échelle.</t>
  </si>
  <si>
    <t xml:space="preserve">Registre des suivis effectués</t>
  </si>
  <si>
    <t xml:space="preserve">Authentification faible facilitant l’accès non autorisé aux systèmes </t>
  </si>
  <si>
    <t xml:space="preserve">Accès non détecté à des applications sensibles</t>
  </si>
  <si>
    <t xml:space="preserve">Surveiller les applications sensibles pour détecter les accès non autorisés.</t>
  </si>
  <si>
    <t xml:space="preserve">S’assurer que la sécurité des fichiers est prise en compte</t>
  </si>
  <si>
    <t xml:space="preserve">Contrôles d’accès aux fichiers sensibles.</t>
  </si>
  <si>
    <t xml:space="preserve">Des contrôles d’accès spécifiques sont-ils appliqués aux fichiers sensibles ?</t>
  </si>
  <si>
    <t xml:space="preserve">Matrice des accès aux fichiers sensibles</t>
  </si>
  <si>
    <t xml:space="preserve">Risque d’escalade de privilèges non contrôlée</t>
  </si>
  <si>
    <t xml:space="preserve">Limiter les privilèges pour prévenir les escalades non contrôlées.</t>
  </si>
  <si>
    <t xml:space="preserve">Configuration des droits d’accès</t>
  </si>
  <si>
    <t xml:space="preserve">Droits mal gérés exposant les fichiers à des modifications non autorisées  </t>
  </si>
  <si>
    <t xml:space="preserve">Fichiers altérés ou supprimés sans trace</t>
  </si>
  <si>
    <t xml:space="preserve">Maintenir un journal des modifications pour tracer les altérations.</t>
  </si>
  <si>
    <t xml:space="preserve">Mécanismes de chiffrement des fichiers.</t>
  </si>
  <si>
    <t xml:space="preserve">Des mécanismes de chiffrement sont-ils utilisés pour protéger les fichiers sensibles ?</t>
  </si>
  <si>
    <t xml:space="preserve">Configuration du chiffrement des fichiers</t>
  </si>
  <si>
    <t xml:space="preserve">Fuites de données confidentielles</t>
  </si>
  <si>
    <t xml:space="preserve">Chiffrer les données confidentielles pour éviter les fuites.</t>
  </si>
  <si>
    <t xml:space="preserve">Certificats ou clés de chiffrement</t>
  </si>
  <si>
    <t xml:space="preserve">Activités non surveillées masquant des comportements suspects  </t>
  </si>
  <si>
    <t xml:space="preserve">Activité malveillante passée inaperçue</t>
  </si>
  <si>
    <t xml:space="preserve">Analyser les activités pour détecter les comportements malveillants.</t>
  </si>
  <si>
    <t xml:space="preserve">Sauvegarde sécurisée des fichiers critiques.</t>
  </si>
  <si>
    <t xml:space="preserve">Des sauvegardes sécurisées des fichiers critiques sont-elles réalisées régulièrement ?</t>
  </si>
  <si>
    <t xml:space="preserve">Politiques de sauvegarde des fichiers</t>
  </si>
  <si>
    <t xml:space="preserve">Impossibilité de répondre rapidement à une attaque</t>
  </si>
  <si>
    <t xml:space="preserve">Automatiser les alertes pour une réponse rapide aux attaques.</t>
  </si>
  <si>
    <t xml:space="preserve">Registre des sauvegardes effectuées</t>
  </si>
  <si>
    <t xml:space="preserve">Configurations non sécurisées augmentant les vulnérabilités exploitées  </t>
  </si>
  <si>
    <t xml:space="preserve">Exploitation facilitée par des erreurs de configuration</t>
  </si>
  <si>
    <t xml:space="preserve">Corriger les erreurs de configuration via des audits réguliers.</t>
  </si>
  <si>
    <t xml:space="preserve">Journalisation des accès et modifications.</t>
  </si>
  <si>
    <t xml:space="preserve">Les accès et modifications des fichiers sensibles sont-ils journalisés de manière systématique ?</t>
  </si>
  <si>
    <t xml:space="preserve">Journaux des accès aux fichiers</t>
  </si>
  <si>
    <t xml:space="preserve">Systèmes devenus des cibles prioritaires</t>
  </si>
  <si>
    <t xml:space="preserve">Renforcer les systèmes critiques pour éviter les attaques ciblées.</t>
  </si>
  <si>
    <t xml:space="preserve">Logs des modifications effectuées</t>
  </si>
  <si>
    <t xml:space="preserve">Systèmes non mis à jour exposés à des failles connues  </t>
  </si>
  <si>
    <t xml:space="preserve">Attaques réussies via des failles déjà connues</t>
  </si>
  <si>
    <t xml:space="preserve">Appliquer les correctifs pour combler les failles connues.</t>
  </si>
  <si>
    <t xml:space="preserve">Sensibilisation à la gestion sécurisée des fichiers.</t>
  </si>
  <si>
    <t xml:space="preserve">Les utilisateurs sont-ils sensibilisés à la gestion sécurisée des fichiers sensibles ?</t>
  </si>
  <si>
    <t xml:space="preserve">Supports de sensibilisation aux fichiers</t>
  </si>
  <si>
    <t xml:space="preserve">Incapacité à résister aux menaces modernes</t>
  </si>
  <si>
    <t xml:space="preserve">Mettre à jour les défenses pour contrer les menaces modernes.</t>
  </si>
  <si>
    <t xml:space="preserve">Guides de gestion sécurisée</t>
  </si>
  <si>
    <t xml:space="preserve">Objectifs de Contrôle</t>
  </si>
  <si>
    <t xml:space="preserve">Critères d’Évaluation</t>
  </si>
  <si>
    <t xml:space="preserve">Questions d'évaluation</t>
  </si>
  <si>
    <t xml:space="preserve">Reponses</t>
  </si>
  <si>
    <t xml:space="preserve">Criticité</t>
  </si>
  <si>
    <t xml:space="preserve">Environnement de Contrôle</t>
  </si>
  <si>
    <t xml:space="preserve">Engagement envers l’intégrité et les valeurs éthiques</t>
  </si>
  <si>
    <t xml:space="preserve">S’assurer que l'organisation dispose d'une charte éthique formelle
 qui couvre l'ensemble des pratiques professionnelles et des
 interactions au sein de l'organisation, y compris les activités liées
 aux systèmes d'information</t>
  </si>
  <si>
    <t xml:space="preserve">La charte existe et couvre tous les aspects des interactions professionnelles et des systèmes d'information</t>
  </si>
  <si>
    <t xml:space="preserve">Existe-t-il une charte couvrant tous les aspects des interactions professionnelles et des systèmes d'information?</t>
  </si>
  <si>
    <t xml:space="preserve">Charte éthique et de bonne conduite</t>
  </si>
  <si>
    <t xml:space="preserve">Non-respect des principes éthiques par manque de sensibilisation.</t>
  </si>
  <si>
    <t xml:space="preserve">Manque d’implication des employés dans l’éthique de l’entreprise.</t>
  </si>
  <si>
    <t xml:space="preserve">Renforcer la sensibilisation et l’engagement des employés à l’éthique de l’entreprise</t>
  </si>
  <si>
    <t xml:space="preserve">Politique d’utilisation des systèmes d’information</t>
  </si>
  <si>
    <t xml:space="preserve">Usage inapproprié des outils informatiques.</t>
  </si>
  <si>
    <t xml:space="preserve">Augmentation des risques de fraude et de cybersécurité.</t>
  </si>
  <si>
    <t xml:space="preserve">Mettre en place des contrôles renforcés pour limiter les fraudes et améliorer la cybersécurité</t>
  </si>
  <si>
    <t xml:space="preserve">La charte éthique est officiellement validée et mise à disposition de tous les employés</t>
  </si>
  <si>
    <t xml:space="preserve">La charte éthique est-elle officiellement validée et mise à disposition de tous les employés?</t>
  </si>
  <si>
    <t xml:space="preserve">Absence de traçabilité des validations,</t>
  </si>
  <si>
    <t xml:space="preserve">Remise en cause de la légitimité de la charte éthique.</t>
  </si>
  <si>
    <t xml:space="preserve">Communiquer régulièrement sur la charte éthique et impliquer les employés dans son élaboration</t>
  </si>
  <si>
    <t xml:space="preserve">Procès-verbal de validation de la charte éthique</t>
  </si>
  <si>
    <t xml:space="preserve">Non-prise en compte des mises à jour réglementaires, .</t>
  </si>
  <si>
    <t xml:space="preserve">Non-conformité aux réglementations et aux normes internes.</t>
  </si>
  <si>
    <t xml:space="preserve">Effectuer des audits de conformité réguliers et assurer une veille réglementaire</t>
  </si>
  <si>
    <t xml:space="preserve">La charte éthique est mise à jour régulièrement en fonction des évolutions réglementaires et organisationnelle</t>
  </si>
  <si>
    <t xml:space="preserve">La charte éthique est-elle mise à jour régulièrement en fonction des évolutions réglementaires et organisationnelle?</t>
  </si>
  <si>
    <t xml:space="preserve">Plan de mise à jour des documents internes</t>
  </si>
  <si>
    <t xml:space="preserve">Confusion entre les différentes versions,</t>
  </si>
  <si>
    <t xml:space="preserve">Confusion dans l’application des règles éthiques.</t>
  </si>
  <si>
    <t xml:space="preserve">Clarifier les règles éthiques à travers des guides pratiques et des formations adaptées</t>
  </si>
  <si>
    <t xml:space="preserve">Historique des versions de la charte éthique</t>
  </si>
  <si>
    <t xml:space="preserve">Non-preuve d’adhésion aux règles éthiques en cas de litige.</t>
  </si>
  <si>
    <t xml:space="preserve">Impossibilité de prouver l’adhésion aux principes éthiques.</t>
  </si>
  <si>
    <t xml:space="preserve">Instaurer un système de documentation pour prouver l’adhésion aux principes éthiques</t>
  </si>
  <si>
    <t xml:space="preserve">Les employés signent un engagement attestant qu'ils ont lu et compris la charte éthique</t>
  </si>
  <si>
    <t xml:space="preserve">Les employés signent-ils un engagement attestant qu'ils ont lu et compris la charte éthique?</t>
  </si>
  <si>
    <t xml:space="preserve">Registre des engagements signés par les employés</t>
  </si>
  <si>
    <t xml:space="preserve">Falsification des signatures ou absence d’engagement formel.</t>
  </si>
  <si>
    <t xml:space="preserve">Risque juridique en cas de litige sur l’engagement éthique.</t>
  </si>
  <si>
    <t xml:space="preserve">S’assurer de la traçabilité des engagements éthiques pour limiter les risques juridiques</t>
  </si>
  <si>
    <t xml:space="preserve">Formulaire d’adhésion aux règles éthiques</t>
  </si>
  <si>
    <t xml:space="preserve">Manque de clarté sur les missions du comité,.</t>
  </si>
  <si>
    <t xml:space="preserve">Inefficacité du comité d’éthique et perte de crédibilité.</t>
  </si>
  <si>
    <t xml:space="preserve">Définir des rôles clairs et assurer l’indépendance du comité d’éthique</t>
  </si>
  <si>
    <t xml:space="preserve">Un comité d'éthique est chargé de l'application des termes de son application et de son amélioration continue</t>
  </si>
  <si>
    <t xml:space="preserve">Existe-t-il un comité d'éthique chargé de l'application des termes de son application et de son amélioration continue?</t>
  </si>
  <si>
    <t xml:space="preserve">Charte de gouvernance du comité d’éthique</t>
  </si>
  <si>
    <t xml:space="preserve">Omission d’incidents éthiques</t>
  </si>
  <si>
    <t xml:space="preserve">Vision faussée de l’état de l’éthique dans l’entreprise.</t>
  </si>
  <si>
    <t xml:space="preserve">Réaliser des enquêtes internes pour évaluer la perception de l’éthique dans l’entreprise</t>
  </si>
  <si>
    <t xml:space="preserve">Rapport annuel du comité d’éthique</t>
  </si>
  <si>
    <t xml:space="preserve">Couverture insuffisante des risques éthiques</t>
  </si>
  <si>
    <t xml:space="preserve">Risques de fraudes non détectés à temps.</t>
  </si>
  <si>
    <t xml:space="preserve">Déployer des outils de détection précoce des fraudes et renforcer les contrôles internes</t>
  </si>
  <si>
    <t xml:space="preserve">Vérifier que des mécanismes existent pour garantir que tous les
 acteurs (employés, partenaires, prestataires) respectent cette charte
 éthique dans leurs activités professionnelles, y compris dans leur
 utilisation des systèmes d'information</t>
  </si>
  <si>
    <t xml:space="preserve">Des contrôles réguliers sont effectués pour vérifier le respect des règles éthiques</t>
  </si>
  <si>
    <t xml:space="preserve">Des contrôles réguliers sont-ils effectués pour vérifier le respect des règles éthiques?</t>
  </si>
  <si>
    <t xml:space="preserve">Plan d’audit éthique</t>
  </si>
  <si>
    <t xml:space="preserve">Manipulation des résultats</t>
  </si>
  <si>
    <t xml:space="preserve">Absence d’amélioration des pratiques éthiques.</t>
  </si>
  <si>
    <t xml:space="preserve">Évaluer et ajuster périodiquement les pratiques éthiques de l’entreprise</t>
  </si>
  <si>
    <t xml:space="preserve">Rapports d’audit interne sur l’éthique</t>
  </si>
  <si>
    <t xml:space="preserve">Sanctions inappropriées,</t>
  </si>
  <si>
    <t xml:space="preserve">Climat de travail détérioré et tensions internes.</t>
  </si>
  <si>
    <t xml:space="preserve">Mettre en place un dispositif de médiation et encourager le dialogue interne</t>
  </si>
  <si>
    <t xml:space="preserve">Un processus de sanction est défini et appliqué en cas de non-respect des règles</t>
  </si>
  <si>
    <t xml:space="preserve">Un processus de sanction est-il défini et appliqué en cas de non-respect des règles?</t>
  </si>
  <si>
    <t xml:space="preserve">Règlement disciplinaire</t>
  </si>
  <si>
    <t xml:space="preserve">Violation de la confidentialité des données des employés sanctionnés.</t>
  </si>
  <si>
    <t xml:space="preserve">Problèmes de confidentialité et de conformité juridique.</t>
  </si>
  <si>
    <t xml:space="preserve">Garantir la protection des données et la conformité aux réglementations en vigueur</t>
  </si>
  <si>
    <t xml:space="preserve">Registre des sanctions disciplinaires</t>
  </si>
  <si>
    <t xml:space="preserve">Conflits d’intérêts si les référents ne sont pas indépendants.</t>
  </si>
  <si>
    <t xml:space="preserve">Méconnaissance ou mauvaise interprétation des règles éthiques.</t>
  </si>
  <si>
    <t xml:space="preserve">Proposer des formations interactives pour éviter toute mauvaise interprétation des règles éthiques</t>
  </si>
  <si>
    <t xml:space="preserve">Les collaborateurs ont un référent éthique à qui poser leurs questions en cas de doute</t>
  </si>
  <si>
    <t xml:space="preserve">Les collaborateurs ont-ils un référent éthique à qui poser leurs questions en cas de doute ?</t>
  </si>
  <si>
    <t xml:space="preserve">Charte éthique</t>
  </si>
  <si>
    <t xml:space="preserve">Indicateurs mal définis</t>
  </si>
  <si>
    <t xml:space="preserve">Absence de relais efficaces pour traiter les problématiques éthiques.</t>
  </si>
  <si>
    <t xml:space="preserve">Créer un réseau de référents éthiques pour mieux traiter les problématiques internes</t>
  </si>
  <si>
    <t xml:space="preserve">Liste des référents éthiques</t>
  </si>
  <si>
    <t xml:space="preserve">Rapports incomplets</t>
  </si>
  <si>
    <t xml:space="preserve">Incapacité à mesurer l’évolution des pratiques éthiques.</t>
  </si>
  <si>
    <t xml:space="preserve">Développer des indicateurs de suivi pour mesurer l’évolution des pratiques éthiques</t>
  </si>
  <si>
    <t xml:space="preserve">Des indicateurs de performance mesurent l'application de la charte dans les activités courantes</t>
  </si>
  <si>
    <t xml:space="preserve">Des indicateurs de performance mesurent-ils l'application de la charte dans les activités courantes?</t>
  </si>
  <si>
    <t xml:space="preserve">Tableau de bord des indicateurs éthiques</t>
  </si>
  <si>
    <t xml:space="preserve">Sensibilisation insuffisante aux valeurs éthiques dès l’arrivée.</t>
  </si>
  <si>
    <t xml:space="preserve">Manque de crédibilité des audits internes.</t>
  </si>
  <si>
    <t xml:space="preserve">Améliorer la transparence et l’indépendance des audits internes</t>
  </si>
  <si>
    <t xml:space="preserve">Contenu inadapté ou dépassé,</t>
  </si>
  <si>
    <t xml:space="preserve">Faible culture éthique chez les nouveaux employés.</t>
  </si>
  <si>
    <t xml:space="preserve">Intégrer une formation éthique obligatoire pour les nouveaux employés</t>
  </si>
  <si>
    <t xml:space="preserve">Les nouvelles recrues reçoivent une formation spécifique sur la charte éthique</t>
  </si>
  <si>
    <t xml:space="preserve">Les nouvelles recrues reçoivent-ils une formation spécifique sur la charte éthique ?</t>
  </si>
  <si>
    <t xml:space="preserve">Programme d’intégration des nouvelles recrues</t>
  </si>
  <si>
    <t xml:space="preserve">Inégalités dans l’accès à la formation,</t>
  </si>
  <si>
    <t xml:space="preserve">Formation inefficace, ne répondant pas aux attentes.</t>
  </si>
  <si>
    <t xml:space="preserve">Adapter les formations aux enjeux réels rencontrés par les employés</t>
  </si>
  <si>
    <t xml:space="preserve">Matériel de formation sur l’éthique</t>
  </si>
  <si>
    <t xml:space="preserve">Non-respect des échéances,</t>
  </si>
  <si>
    <t xml:space="preserve">Employés insuffisamment formés aux questions éthiques.</t>
  </si>
  <si>
    <t xml:space="preserve">Augmenter la fréquence et la qualité des formations éthiques</t>
  </si>
  <si>
    <t xml:space="preserve">S’assurer que des actions de sensibilisation, telles que des
 formations régulières, sont mises en place pour garantir que tous les
 employés et intervenants comprennent et appliquent les principes
 éthiques dans leurs interactions avec les systèmes d'information</t>
  </si>
  <si>
    <t xml:space="preserve">Un programme de formation éthique est défini avec une fréquence obligatoire</t>
  </si>
  <si>
    <t xml:space="preserve">Un programme de formation éthique est-il défini avec une fréquence obligatoire?</t>
  </si>
  <si>
    <t xml:space="preserve">Plan de formation éthique</t>
  </si>
  <si>
    <t xml:space="preserve">Absence de suivi des employés formés et non formés.</t>
  </si>
  <si>
    <t xml:space="preserve">Désengagement des employés face aux formations.</t>
  </si>
  <si>
    <t xml:space="preserve">Rendre les formations plus engageantes et adaptées aux attentes des employés</t>
  </si>
  <si>
    <t xml:space="preserve">Calendrier des sessions de formation</t>
  </si>
  <si>
    <t xml:space="preserve">Falsification ou non-reconnaissance officielle des certifications.</t>
  </si>
  <si>
    <t xml:space="preserve">Absence de suivi sur l’évolution des compétences éthiques.</t>
  </si>
  <si>
    <t xml:space="preserve">Mettre en place un suivi régulier de l’évolution des compétences éthiques</t>
  </si>
  <si>
    <t xml:space="preserve">Tous les employés suivent une session de formation annuelle sur l'éthique</t>
  </si>
  <si>
    <t xml:space="preserve">Tous les employés suivent-ils une session de formation annuelle sur l'éthique?</t>
  </si>
  <si>
    <t xml:space="preserve">Registre des participants aux formations</t>
  </si>
  <si>
    <t xml:space="preserve">Scénarios non représentatifs des défis éthiques réels.</t>
  </si>
  <si>
    <t xml:space="preserve">Détournement ou falsification des certificats de formation.</t>
  </si>
  <si>
    <t xml:space="preserve">Renforcer la sécurité et l’authenticité des certificats de formation</t>
  </si>
  <si>
    <t xml:space="preserve">Certificats de formation des employés</t>
  </si>
  <si>
    <t xml:space="preserve">Exemples obsolètes,</t>
  </si>
  <si>
    <t xml:space="preserve">Sensibiliser les employés à la gestion des dilemmes éthiques à travers des cas pratiques</t>
  </si>
  <si>
    <t xml:space="preserve">Des mises en situation et études de cas pour illustrer les principes éthiques</t>
  </si>
  <si>
    <t xml:space="preserve">Y a-t'il des mises en situation et études de cas pour illustrer les principes éthiques ?</t>
  </si>
  <si>
    <t xml:space="preserve">Supports pédagogiques des mises en situation</t>
  </si>
  <si>
    <t xml:space="preserve">Réponses biaisées</t>
  </si>
  <si>
    <t xml:space="preserve">Manque de préparation aux dilemmes éthiques réels.</t>
  </si>
  <si>
    <t xml:space="preserve">Organiser des mises en situation pour améliorer la compréhension des enjeux éthiques</t>
  </si>
  <si>
    <t xml:space="preserve">Études de cas utilisées en formation</t>
  </si>
  <si>
    <t xml:space="preserve">Mauvaise interprétation des performances des employés formés.</t>
  </si>
  <si>
    <t xml:space="preserve">Mauvaise compréhension des enjeux éthiques dans les situations concrètes.</t>
  </si>
  <si>
    <t xml:space="preserve">Établir des indicateurs objectifs pour évaluer l’impact réel des formations</t>
  </si>
  <si>
    <t xml:space="preserve">Les sessions incluent des tests d'évaluation pour mesurer la compréhension des employés</t>
  </si>
  <si>
    <t xml:space="preserve">Les sessions incluent-elles des tests d'évaluation pour mesurer la compréhension des employés?</t>
  </si>
  <si>
    <t xml:space="preserve">Questionnaires d’évaluation post-formation</t>
  </si>
  <si>
    <t xml:space="preserve">Discrimination si l’accès à la formation est inégalement réparti.</t>
  </si>
  <si>
    <t xml:space="preserve">Évaluation biaisée de l’impact de la formation.</t>
  </si>
  <si>
    <t xml:space="preserve">Clarifier les critères d’évaluation et assurer la transparence des résultats</t>
  </si>
  <si>
    <t xml:space="preserve">Rapports d’analyse des résultats des tests</t>
  </si>
  <si>
    <t xml:space="preserve">Non-conformité en cas d’absence de contrôle strict des formations suivies.</t>
  </si>
  <si>
    <t xml:space="preserve">Mauvaise interprétation des résultats d’évaluation.</t>
  </si>
  <si>
    <t xml:space="preserve">Garantir une égalité de formation pour éviter les injustices perçues</t>
  </si>
  <si>
    <t xml:space="preserve">Un suivi des formations est réalisé pour identifier les personnes non formées</t>
  </si>
  <si>
    <t xml:space="preserve">Un suivi des formations est-il réalisé pour identifier les personnes non formées?</t>
  </si>
  <si>
    <t xml:space="preserve">Liste des employés formés et non formés</t>
  </si>
  <si>
    <t xml:space="preserve">Faible utilisation en raison de la peur des représailles.</t>
  </si>
  <si>
    <t xml:space="preserve">Injustice perçue entre employés formés et non formés.</t>
  </si>
  <si>
    <t xml:space="preserve">Instaurer un contrôle strict du respect des obligations de formation éthique</t>
  </si>
  <si>
    <t xml:space="preserve">Rapport de suivi des formations obligatoires</t>
  </si>
  <si>
    <t xml:space="preserve">. Incompréhension des procédures,</t>
  </si>
  <si>
    <t xml:space="preserve">Manque de conformité aux exigences de formation obligatoire.</t>
  </si>
  <si>
    <t xml:space="preserve">Encourager activement le signalement des infractions en garantissant l’anonymat</t>
  </si>
  <si>
    <t xml:space="preserve">S’assurer que l'organisation dispose d'un mécanisme de suivi et de
 gestion des violations éthiques, permettant de détecter, traiter et
 sanctionner tout comportement contraire à la charte éthique, y
 compris dans le cadre des activités liées aux systèmes
 d'information</t>
  </si>
  <si>
    <t xml:space="preserve">Un processus clair est défini pour signalé pour traiter les violations éthiques</t>
  </si>
  <si>
    <t xml:space="preserve">Un processus clair est-il défini pour signaler et pour traiter les violations éthiques ?</t>
  </si>
  <si>
    <t xml:space="preserve">Procédure de signalement des violations éthiques</t>
  </si>
  <si>
    <t xml:space="preserve">Gouvernance mal définie,</t>
  </si>
  <si>
    <t xml:space="preserve">Faible taux de signalement des infractions éthiques.</t>
  </si>
  <si>
    <t xml:space="preserve">Former les employés aux protocoles de signalement pour éviter les abus</t>
  </si>
  <si>
    <t xml:space="preserve">Guide des bonnes pratiques en matière de signalement</t>
  </si>
  <si>
    <t xml:space="preserve">Informations incomplètes ou occultées,</t>
  </si>
  <si>
    <t xml:space="preserve">Non-respect des protocoles de signalement, entraînant des abus.</t>
  </si>
  <si>
    <t xml:space="preserve">Structurer et renforcer le rôle du comité d’éthique pour améliorer sa prise de décision</t>
  </si>
  <si>
    <t xml:space="preserve">Un comité d'éthique analyse toutes infractions signalées</t>
  </si>
  <si>
    <t xml:space="preserve">Existe-t-il un comité d'éthique analysant toutes infractions signalées ?</t>
  </si>
  <si>
    <t xml:space="preserve">Charte du comité d’éthique</t>
  </si>
  <si>
    <t xml:space="preserve">Application inégale des sanctions, nuisant à la cohérence disciplinaire.</t>
  </si>
  <si>
    <t xml:space="preserve">Dysfonctionnement du comité d’éthique et décisions inefficaces.</t>
  </si>
  <si>
    <t xml:space="preserve">Mettre en place un processus clair et coordonné pour le traitement des cas éthiques</t>
  </si>
  <si>
    <t xml:space="preserve">Rapports des réunions du comité d’éthique</t>
  </si>
  <si>
    <t xml:space="preserve">Sous-déclaration des incidents,</t>
  </si>
  <si>
    <t xml:space="preserve">Manque de coordination dans le traitement des cas éthiques.</t>
  </si>
  <si>
    <t xml:space="preserve">Appliquer des sanctions proportionnées pour dissuader les comportements non éthiques</t>
  </si>
  <si>
    <t xml:space="preserve">Des sanctions cohérentes et proportionées sont appliquées aux contrevenants</t>
  </si>
  <si>
    <t xml:space="preserve">Des sanctions cohérentes et proportionées sont-elles appliquées aux contrevenants?</t>
  </si>
  <si>
    <t xml:space="preserve">Mesures inefficaces ou non appliquées,</t>
  </si>
  <si>
    <t xml:space="preserve">Sentiment d’impunité favorisant les comportements non éthiques.</t>
  </si>
  <si>
    <t xml:space="preserve">Clarifier les processus de gestion des infractions et assurer un suivi efficace</t>
  </si>
  <si>
    <t xml:space="preserve">Politique de gestion des infractions éthiques</t>
  </si>
  <si>
    <t xml:space="preserve">Manque d’engagement des employés si les actions correctives sont mal suivies.</t>
  </si>
  <si>
    <t xml:space="preserve">Flou dans la gestion des infractions, réduisant l’efficacité des sanctions.</t>
  </si>
  <si>
    <t xml:space="preserve">Suivre les infractions de manière stricte pour éviter les récidives</t>
  </si>
  <si>
    <t xml:space="preserve">Un rapport annuel sur les violations et actions correctives est disponible</t>
  </si>
  <si>
    <t xml:space="preserve">Un rapport annuel sur les violations et actions correctives estil disponible ?</t>
  </si>
  <si>
    <t xml:space="preserve">Rapport annuel sur les infractions éthiques</t>
  </si>
  <si>
    <t xml:space="preserve">Absence de communication efficace sur les infractions et mesures préventives.</t>
  </si>
  <si>
    <t xml:space="preserve">Récidive des infractions et manque d’amélioration des pratiques.</t>
  </si>
  <si>
    <t xml:space="preserve">Réviser régulièrement le plan d’action pour s’assurer de son efficacité</t>
  </si>
  <si>
    <t xml:space="preserve">Plan d’action correctif des violations éthiques</t>
  </si>
  <si>
    <t xml:space="preserve">Faible participation des employés,</t>
  </si>
  <si>
    <t xml:space="preserve">Plan d’action inefficace, laissant persister les problèmes.</t>
  </si>
  <si>
    <t xml:space="preserve">Renforcer la sensibilisation à travers des campagnes interactives</t>
  </si>
  <si>
    <t xml:space="preserve">Des mesures de prévention sont mises en place pour éviter la récurrence des infractions</t>
  </si>
  <si>
    <t xml:space="preserve">Des mesures de prévention sont-elles mises en place pour éviter la récurrence des infractions?</t>
  </si>
  <si>
    <t xml:space="preserve">Programme de sensibilisation à la prévention des infractions</t>
  </si>
  <si>
    <t xml:space="preserve">Obsolescence du programme si les actions de sensibilisation ne sont pas renouvelées.</t>
  </si>
  <si>
    <t xml:space="preserve">Sensibilisation insuffisante, augmentant les infractions.</t>
  </si>
  <si>
    <t xml:space="preserve">Mettre en place un cadre strict pour la détection et la prévention des fraudes</t>
  </si>
  <si>
    <t xml:space="preserve">Rapports d’analyse des tendances des infractions</t>
  </si>
  <si>
    <t xml:space="preserve">Manque d’anticipation des tendances des infractions</t>
  </si>
  <si>
    <t xml:space="preserve">Augmentation du risque de fraudes et d’infractions</t>
  </si>
  <si>
    <t xml:space="preserve">Protéger et encourager les lanceurs d’alerte pour garantir un meilleur signalement</t>
  </si>
  <si>
    <t xml:space="preserve">Vérifier que des procédures existent pour signaler anonymement et en toute sécurité les violations des principes éthiques.</t>
  </si>
  <si>
    <t xml:space="preserve">Un canal de signalement anonyme est disponible</t>
  </si>
  <si>
    <t xml:space="preserve">Un canal de signalement anonyme est-il disponible ?</t>
  </si>
  <si>
    <t xml:space="preserve">Procédure de gestion des signalements anonymes</t>
  </si>
  <si>
    <t xml:space="preserve">Anonymat des lanceurs d’alerte mal protégé</t>
  </si>
  <si>
    <t xml:space="preserve">Réduction du nombre de signalements par crainte de représailles</t>
  </si>
  <si>
    <t xml:space="preserve">Favoriser la communication transparente sur les signalements et leurs traitements</t>
  </si>
  <si>
    <t xml:space="preserve">Documentation du canal de signalement</t>
  </si>
  <si>
    <t xml:space="preserve">Canaux de signalement inaccessibles ou non sécurisés</t>
  </si>
  <si>
    <t xml:space="preserve">Perte de confiance des employés et parties prenantes</t>
  </si>
  <si>
    <t xml:space="preserve">Créer un environnement de travail qui encourage la prévention des fraudes</t>
  </si>
  <si>
    <t xml:space="preserve">Le signalements sont analysés rapidement , avec des délais définis pour chaque étape</t>
  </si>
  <si>
    <t xml:space="preserve">Le signalements sont-ils analysés rapidement , avec des délais définis pour chaque étape?</t>
  </si>
  <si>
    <t xml:space="preserve">Rapport de suivi des délais de traitement des signalements</t>
  </si>
  <si>
    <t xml:space="preserve">Retards excessifs dans le traitement des signalements</t>
  </si>
  <si>
    <t xml:space="preserve">Sanctions réglementaires pour non-respect des délais de traitement</t>
  </si>
  <si>
    <t xml:space="preserve">Améliorer la traçabilité des signalements et garantir un suivi efficace</t>
  </si>
  <si>
    <t xml:space="preserve">Plan d’amélioration continue du processus de signalement</t>
  </si>
  <si>
    <t xml:space="preserve">Processus de signalement rigide et peu évolutif</t>
  </si>
  <si>
    <t xml:space="preserve">Inefficacité du système de signalement face aux nouvelles menaces</t>
  </si>
  <si>
    <t xml:space="preserve">Sanctionner les délais non respectés pour le traitement des signalements</t>
  </si>
  <si>
    <t xml:space="preserve">Le système garantit la confidentialité et l'absence des représailles pour les lanceurs d'alertes</t>
  </si>
  <si>
    <t xml:space="preserve">Le système garantit-il la confidentialité et l'absence des représailles pour les lanceurs d'alertes?</t>
  </si>
  <si>
    <t xml:space="preserve">Charte de protection des lanceurs d’alerte</t>
  </si>
  <si>
    <t xml:space="preserve">Protection des lanceurs d’alerte insuffisante</t>
  </si>
  <si>
    <t xml:space="preserve">Dissuasion des lanceurs d’alerte et faible détection des fraudes</t>
  </si>
  <si>
    <t xml:space="preserve">Intégrer une plateforme numérique pour faciliter le suivi des infractions éthiques</t>
  </si>
  <si>
    <t xml:space="preserve">Rapport d’analyse des signalements et mesures prises</t>
  </si>
  <si>
    <t xml:space="preserve">Mesures insuffisantes suite aux signalements analysés</t>
  </si>
  <si>
    <t xml:space="preserve">Récidive des infractions faute de mesures correctives adaptées</t>
  </si>
  <si>
    <t xml:space="preserve">Former régulièrement les équipes en charge du traitement des signalements</t>
  </si>
  <si>
    <t xml:space="preserve">Les employés sont informés de l'existence du canal de signalement</t>
  </si>
  <si>
    <t xml:space="preserve">Les employés sont-ils informés de l'existence du canal de signalement?</t>
  </si>
  <si>
    <t xml:space="preserve">Documentation des canaux de communication interne</t>
  </si>
  <si>
    <t xml:space="preserve">Canaux de communication interne inefficaces</t>
  </si>
  <si>
    <t xml:space="preserve">Manque de circulation de l’information sur les signalements</t>
  </si>
  <si>
    <t xml:space="preserve">Rendre les procédures d’alerte plus accessibles et compréhensibles</t>
  </si>
  <si>
    <t xml:space="preserve">Supports de sensibilisation sur le signalement</t>
  </si>
  <si>
    <t xml:space="preserve">Faible sensibilisation au signalement des infractions</t>
  </si>
  <si>
    <t xml:space="preserve">Faible implication des employés dans la prévention des fraudes</t>
  </si>
  <si>
    <t xml:space="preserve">Encourager la remontée d’informations par des incitations positives</t>
  </si>
  <si>
    <t xml:space="preserve">Chaque signalement est traité de manière impartiale</t>
  </si>
  <si>
    <t xml:space="preserve">Chaque signalement est-il traité de manière impartiale?</t>
  </si>
  <si>
    <t xml:space="preserve">Registre des signalements et décisions associées</t>
  </si>
  <si>
    <t xml:space="preserve">Traçabilité défaillante des signalements et décisions</t>
  </si>
  <si>
    <t xml:space="preserve">Perte de données et difficulté à suivre les signalements</t>
  </si>
  <si>
    <t xml:space="preserve">Mettre en place des contrôles croisés pour éviter les conflits d’intérêts</t>
  </si>
  <si>
    <t xml:space="preserve">Procédure de traitement des signalements</t>
  </si>
  <si>
    <t xml:space="preserve">Procédure de traitement des signalements mal définie</t>
  </si>
  <si>
    <t xml:space="preserve">Traitement arbitraire des signalements sans cadre défini</t>
  </si>
  <si>
    <t xml:space="preserve">Établir une procédure claire et documentée pour le traitement des signalements.</t>
  </si>
  <si>
    <t xml:space="preserve">Le Conseil fait preuve d’indépendance vis-à-vis du management</t>
  </si>
  <si>
    <t xml:space="preserve">S’assurer que le Conseil est composé de membres indépendants du
 management, avec une structure de gouvernance claire garantissant
 cette indépendance</t>
  </si>
  <si>
    <t xml:space="preserve">La majorité des membres du conseil ne détient aucun poste opérationnel au sein de l'organisation</t>
  </si>
  <si>
    <t xml:space="preserve">La majorité des membres du conseil ne détient-elle aucun poste opérationnel au sein de l'organisation?</t>
  </si>
  <si>
    <t xml:space="preserve">Liste des membres du conseil et de leurs fonctions</t>
  </si>
  <si>
    <t xml:space="preserve">Manque de transparence sur la composition du conseil</t>
  </si>
  <si>
    <t xml:space="preserve">Suspicion de favoritisme ou de conflits d’intérêts</t>
  </si>
  <si>
    <t xml:space="preserve">Mettre en place un comité indépendant pour examiner les conflits d’intérêts et garantir l’équité.</t>
  </si>
  <si>
    <t xml:space="preserve">Statuts de l’organisation</t>
  </si>
  <si>
    <t xml:space="preserve">Statuts non conformes aux réglementations en vigueur</t>
  </si>
  <si>
    <t xml:space="preserve">Risques juridiques liés à la non-conformité des statuts</t>
  </si>
  <si>
    <t xml:space="preserve">Effectuer des contrôles réguliers pour assurer la conformité des statuts aux réglementations en vigueur.</t>
  </si>
  <si>
    <t xml:space="preserve">La sélection des membres du Conseil se fait par un comité indépendant</t>
  </si>
  <si>
    <t xml:space="preserve">La sélection des membres du Conseil se fait-elle par un comité indépendant?</t>
  </si>
  <si>
    <t xml:space="preserve">Procédure de nomination des membres du conseil</t>
  </si>
  <si>
    <t xml:space="preserve">Processus de nomination des membres du conseil biaisé</t>
  </si>
  <si>
    <t xml:space="preserve">Désignation de membres incompétents ou influencés</t>
  </si>
  <si>
    <t xml:space="preserve">Définir des critères de sélection objectifs et transparents pour les membres du conseil.</t>
  </si>
  <si>
    <t xml:space="preserve">Rapport d’activité du comité de sélection</t>
  </si>
  <si>
    <t xml:space="preserve">Sélection des membres du conseil non documentée</t>
  </si>
  <si>
    <t xml:space="preserve">Manque de légitimité du processus de sélection du conseil</t>
  </si>
  <si>
    <t xml:space="preserve">Rendre public le processus de sélection des membres du conseil et assurer son impartialité.</t>
  </si>
  <si>
    <t xml:space="preserve">Les membres du Conseil signent une déclaration annuelle d'indépendance</t>
  </si>
  <si>
    <t xml:space="preserve">Les membres du Conseil signent-ils une déclaration annuelle d'indépendance?</t>
  </si>
  <si>
    <t xml:space="preserve">Déclarations annuelles d’indépendance signées</t>
  </si>
  <si>
    <t xml:space="preserve">Conflits d’intérêts non détectés</t>
  </si>
  <si>
    <t xml:space="preserve">Décisions biaisées par des intérêts personnels</t>
  </si>
  <si>
    <t xml:space="preserve">Élaborer un cadre éthique rigoureux pour éviter toute influence indue dans la prise de décision.</t>
  </si>
  <si>
    <t xml:space="preserve">Registre des engagements d’indépendance</t>
  </si>
  <si>
    <t xml:space="preserve">Indépendance des membres du conseil non garantie</t>
  </si>
  <si>
    <t xml:space="preserve">Perte d’indépendance du conseil et manque d’objectivité</t>
  </si>
  <si>
    <t xml:space="preserve">Mettre en place des règles garantissant l’indépendance et l’objectivité des membres du conseil.</t>
  </si>
  <si>
    <t xml:space="preserve">Les conflits d'intérêts potentiels sont déclarés et documentés</t>
  </si>
  <si>
    <t xml:space="preserve">Les conflits d'intérêts potentiels sont-ils déclarés et documentés?</t>
  </si>
  <si>
    <t xml:space="preserve">Registre des conflits d’intérêts déclarés</t>
  </si>
  <si>
    <t xml:space="preserve">Engagements d’indépendance non respectés</t>
  </si>
  <si>
    <t xml:space="preserve">Remise en question de la crédibilité des décisions du conseil</t>
  </si>
  <si>
    <t xml:space="preserve">Renforcer la transparence des décisions du conseil en publiant des rapports détaillés.</t>
  </si>
  <si>
    <t xml:space="preserve">Procédure de gestion des conflits d’intérêts</t>
  </si>
  <si>
    <t xml:space="preserve">Conflits d’intérêts non déclarés ou mal gérés</t>
  </si>
  <si>
    <t xml:space="preserve">Prise de décisions non éthiques et atteinte à la réputation</t>
  </si>
  <si>
    <t xml:space="preserve">Mettre en place un programme de formation sur l’éthique pour les décideurs de l’entreprise.</t>
  </si>
  <si>
    <t xml:space="preserve">Une charte de gouvernance définit les critères d'indépendance des membres du conseil</t>
  </si>
  <si>
    <t xml:space="preserve">Une charte de gouvernance définit-elle les critères d'indépendance des membres du conseil?</t>
  </si>
  <si>
    <t xml:space="preserve">Charte de gouvernance de l’organisation</t>
  </si>
  <si>
    <t xml:space="preserve">Gouvernance non alignée avec les meilleures pratiques</t>
  </si>
  <si>
    <t xml:space="preserve">Dysfonctionnements dans la gouvernance et gestion inefficace</t>
  </si>
  <si>
    <t xml:space="preserve">Instaurer un audit périodique de la gouvernance afin d’identifier et corriger les dysfonctionnements.</t>
  </si>
  <si>
    <t xml:space="preserve">Politique sur l’indépendance des membres du conseil</t>
  </si>
  <si>
    <t xml:space="preserve">Influence excessive de certaines parties prenantes</t>
  </si>
  <si>
    <t xml:space="preserve">Manipulation des décisions par des parties externes</t>
  </si>
  <si>
    <t xml:space="preserve">Limiter les interactions avec les parties externes susceptibles d’influencer les décisions.</t>
  </si>
  <si>
    <t xml:space="preserve">Vérifier que le Conseil dispose des ressources et des informations
 nécessaires pour surveiller efficacement la mise en place et le bon
 fonctionnement du dispositif de contrôle interne</t>
  </si>
  <si>
    <t xml:space="preserve">Un système de reporting structuré permet au Conseil de suivre les évolutions du coontrôle interne</t>
  </si>
  <si>
    <t xml:space="preserve">Existe-t-il un système de reporting structuré permettant au Conseil de suivre les évolutions du coontrôle interne?</t>
  </si>
  <si>
    <t xml:space="preserve">Rapports de suivi du contrôle interne</t>
  </si>
  <si>
    <t xml:space="preserve">Absence de suivi des indicateurs de contrôle interne</t>
  </si>
  <si>
    <t xml:space="preserve">Faible capacité à anticiper et gérer les risques</t>
  </si>
  <si>
    <t xml:space="preserve">Créer une cartographie des risques et mettre en place des plans d’action préventifs.</t>
  </si>
  <si>
    <t xml:space="preserve">Tableaux de bord des indicateurs de contrôle interne</t>
  </si>
  <si>
    <t xml:space="preserve">Identification et gestion des risques internes déficientes</t>
  </si>
  <si>
    <t xml:space="preserve">Multiplication des erreurs et des pertes financières</t>
  </si>
  <si>
    <t xml:space="preserve">Améliorer les processus de contrôle interne pour limiter les erreurs et les pertes financières.</t>
  </si>
  <si>
    <t xml:space="preserve">Un accès diret aux rapports d'audit interne et externe est garanti pour tous les membres du conseil</t>
  </si>
  <si>
    <t xml:space="preserve">Un accès diret aux rapports d'audit interne et externe est-il garanti pour tous les membres du conseil?</t>
  </si>
  <si>
    <t xml:space="preserve">Rapports d’audit interne</t>
  </si>
  <si>
    <t xml:space="preserve">Audits internes non conformes aux standards</t>
  </si>
  <si>
    <t xml:space="preserve">Audits inefficaces, fausses évaluations des risques</t>
  </si>
  <si>
    <t xml:space="preserve">Utiliser des auditeurs indépendants et des méthodologies rigoureuses pour garantir la qualité des audits</t>
  </si>
  <si>
    <t xml:space="preserve">Rapports d’audit externe</t>
  </si>
  <si>
    <t xml:space="preserve">Audits externes non impartiaux ou mal réalisés</t>
  </si>
  <si>
    <t xml:space="preserve">Manque de fiabilité des audits, risque d’amendes</t>
  </si>
  <si>
    <t xml:space="preserve">Établir un contrôle externe pour garantir l’objectivité et la fiabilité des audits.</t>
  </si>
  <si>
    <t xml:space="preserve">Des réunions régulières avec les responsables du contrôle interne sont organisées</t>
  </si>
  <si>
    <t xml:space="preserve">Des réunions régulières avec les responsables du contrôle interne sont-elles organisées ?</t>
  </si>
  <si>
    <t xml:space="preserve">Procès-verbaux des réunions du Conseil</t>
  </si>
  <si>
    <t xml:space="preserve">Prises de décisions stratégiques mal documentées</t>
  </si>
  <si>
    <t xml:space="preserve">Stratégies mal définies et décisions non fondées sur des faits</t>
  </si>
  <si>
    <t xml:space="preserve">Définir des objectifs stratégiques précis en s’appuyant sur des données analytiques fiables.</t>
  </si>
  <si>
    <t xml:space="preserve">Calendrier des réunions du Conseil avec les responsables du contrôle interne</t>
  </si>
  <si>
    <t xml:space="preserve">Coordination insuffisante entre le conseil et le contrôle interne</t>
  </si>
  <si>
    <t xml:space="preserve">Manque de coordination et inefficacité des contrôles.</t>
  </si>
  <si>
    <t xml:space="preserve">Renforcer la collaboration entre les différentes instances de contrôle pour améliorer la coordination.</t>
  </si>
  <si>
    <t xml:space="preserve">Un budget spécifique est alloué pour la formation des membres du Conseil sur les risques et le contrôle interne</t>
  </si>
  <si>
    <t xml:space="preserve">Un budget spécifique est-il alloué pour la formation des membres du Conseil sur les risques et le contrôle interne?</t>
  </si>
  <si>
    <t xml:space="preserve">Budget prévisionnel du Conseil</t>
  </si>
  <si>
    <t xml:space="preserve">Budget du conseil inadapté aux objectifs stratégiques</t>
  </si>
  <si>
    <t xml:space="preserve">Incapacité à mener à bien les actions prévues.</t>
  </si>
  <si>
    <t xml:space="preserve">Suivre les actions engagées à l’aide d’indicateurs de performance clairs et mesurables.</t>
  </si>
  <si>
    <t xml:space="preserve">Plan de formation des membres du Conseil</t>
  </si>
  <si>
    <t xml:space="preserve">Niveau de formation des membres du conseil inadéquat</t>
  </si>
  <si>
    <t xml:space="preserve">Manque de compétences et mauvaise gouvernance.</t>
  </si>
  <si>
    <t xml:space="preserve">Développer un programme de formation continue pour améliorer les compétences en gouvernance.</t>
  </si>
  <si>
    <t xml:space="preserve">Le conseil dispose d'un accès indépendant aux experts et consultants externes</t>
  </si>
  <si>
    <t xml:space="preserve">Le conseil dispose-t-il d'un accès indépendant aux experts et consultants externes?</t>
  </si>
  <si>
    <t xml:space="preserve">Liste des experts et consultants accessibles au Conseil</t>
  </si>
  <si>
    <t xml:space="preserve">Manque d’accès à des experts et consultants qualifiés</t>
  </si>
  <si>
    <t xml:space="preserve">Manque d’expertise pour la prise de décisions.</t>
  </si>
  <si>
    <t xml:space="preserve">Mettre en place un processus de sélection rigoureux des prestataires avec des critères objectifs</t>
  </si>
  <si>
    <t xml:space="preserve">Contrats et accords avec des consultants externes</t>
  </si>
  <si>
    <t xml:space="preserve">Engagement avec des consultants externes à risque</t>
  </si>
  <si>
    <t xml:space="preserve">Prestataires externes inadaptés ou conflits d’intérêts cachés.</t>
  </si>
  <si>
    <t xml:space="preserve">Adopter une politique de sélection et d’évaluation stricte des prestataires externes.</t>
  </si>
  <si>
    <t xml:space="preserve">S’assurer que le Conseil reçoit régulièrement des rapports détaillés
 sur l’efficacité du dispositif de contrôle interne et qu'il est impliqué
 dans l’évaluation des résultats des audits internes</t>
  </si>
  <si>
    <t xml:space="preserve">Une fréquence minimale de transmission des rapports d'audit interne au Conseil est définie (ex: trimestrielle)</t>
  </si>
  <si>
    <t xml:space="preserve">Une fréquence minimale de transmission des rapports d'audit interne au Conseil est-elle définie (ex: trimestrielle)?</t>
  </si>
  <si>
    <t xml:space="preserve">Procédure de transmission des rapports d’audit</t>
  </si>
  <si>
    <t xml:space="preserve">Transmission incomplète ou tardive des rapports d’audit</t>
  </si>
  <si>
    <t xml:space="preserve">Perte d’informations critiques pour le pilotage stratégique.</t>
  </si>
  <si>
    <t xml:space="preserve">Mettre en place un système centralisé pour garantir la conservation et l’accessibilité des données critiques.</t>
  </si>
  <si>
    <t xml:space="preserve">Planification des envois périodiques des rapports</t>
  </si>
  <si>
    <t xml:space="preserve">Manque de rigueur dans la planification des rapports</t>
  </si>
  <si>
    <t xml:space="preserve">Retards dans la prise de décision et risques non couverts.</t>
  </si>
  <si>
    <t xml:space="preserve">Instaurer des délais stricts pour la prise de décision et anticiper les risques associés.</t>
  </si>
  <si>
    <t xml:space="preserve">Le Conseil organise des sessions d'examen dédiées aux résultats des audits internes</t>
  </si>
  <si>
    <t xml:space="preserve">Le Conseil organise-t-il des sessions d'examen dédiées aux résultats des audits internes?</t>
  </si>
  <si>
    <t xml:space="preserve">Ordre du jour des sessions d’examen des audits</t>
  </si>
  <si>
    <t xml:space="preserve">Ordre du jour des réunions d’audit mal structuré</t>
  </si>
  <si>
    <t xml:space="preserve">Mauvaise préparation des réunions et décisions hâtives.</t>
  </si>
  <si>
    <t xml:space="preserve">Standardiser la préparation des réunions en définissant un ordre du jour détaillé et structuré.</t>
  </si>
  <si>
    <t xml:space="preserve">Rapports de synthèse des audits internes discutés en réunion</t>
  </si>
  <si>
    <t xml:space="preserve">Exploitation inefficace des audits en réunion</t>
  </si>
  <si>
    <t xml:space="preserve">Difficulté à exploiter les audits pour améliorer les contrôles.</t>
  </si>
  <si>
    <t xml:space="preserve">Suivre les recommandations issues des audits et assurer leur mise en œuvre effective</t>
  </si>
  <si>
    <t xml:space="preserve">Un suivi des recommandations et des plans d'action est effectué par le conseil</t>
  </si>
  <si>
    <t xml:space="preserve">Un suivi des recommandations et des plans d'action est-il effectué par le conseil?</t>
  </si>
  <si>
    <t xml:space="preserve">Plan de suivi des recommandations</t>
  </si>
  <si>
    <t xml:space="preserve">Recommandations d’audit non mises en application</t>
  </si>
  <si>
    <t xml:space="preserve">Répétition des erreurs et des non-conformités.</t>
  </si>
  <si>
    <t xml:space="preserve">Instaurer un système de contrôle permanent et de retour d’expérience pour éviter la récurrence des erreurs</t>
  </si>
  <si>
    <t xml:space="preserve">Registre des actions correctives mises en œuvre</t>
  </si>
  <si>
    <t xml:space="preserve">Absence de suivi des actions correctives</t>
  </si>
  <si>
    <t xml:space="preserve">Absence d’amélioration continue des dispositifs internes.</t>
  </si>
  <si>
    <t xml:space="preserve">Mettre en œuvre une démarche d’amélioration continue avec des revues régulières des processus internes</t>
  </si>
  <si>
    <t xml:space="preserve">Les conclusions des audits sont intégrées dans les décisions stratégiques du conseil</t>
  </si>
  <si>
    <t xml:space="preserve">Les conclusions des audits sont-elles intégrées dans les décisions stratégiques du conseil?</t>
  </si>
  <si>
    <t xml:space="preserve">Rapports stratégiques intégrant les résultats des audits</t>
  </si>
  <si>
    <t xml:space="preserve">Résultats d’audit non pris en compte dans la stratégie</t>
  </si>
  <si>
    <t xml:space="preserve">Décisions stratégiques basées sur des données obsolètes.</t>
  </si>
  <si>
    <t xml:space="preserve">Automatiser la mise à jour des données et garantir l’accès à des informations en temps réel</t>
  </si>
  <si>
    <t xml:space="preserve">Documentation des décisions stratégiques du Conseil</t>
  </si>
  <si>
    <t xml:space="preserve">Documentation incomplète des décisions stratégiques</t>
  </si>
  <si>
    <t xml:space="preserve">Difficulté à suivre et justifier les décisions prises.</t>
  </si>
  <si>
    <t xml:space="preserve">Documenter systématiquement les décisions stratégiques avec des critères et des justifications claires</t>
  </si>
  <si>
    <t xml:space="preserve">Les membres du Conseil ont la possibilité d'interroger directement les auditeurs internes sur leurs conclusions</t>
  </si>
  <si>
    <t xml:space="preserve">Les membres du Conseil ont-ils la possibilité d'interroger directement les auditeurs internes sur leurs conclusions ?</t>
  </si>
  <si>
    <t xml:space="preserve">Procédure d’interrogation des auditeurs internes</t>
  </si>
  <si>
    <t xml:space="preserve">Manque d’efficacité dans l’interrogation des auditeurs internes</t>
  </si>
  <si>
    <t xml:space="preserve">Questions critiques non posées aux auditeurs internes.</t>
  </si>
  <si>
    <t xml:space="preserve">Définir un cadre structuré pour les audits avec des listes de questions prédéfinies et pertinentes</t>
  </si>
  <si>
    <t xml:space="preserve">Registre des questions et réponses entre le Conseil et les auditeurs</t>
  </si>
  <si>
    <t xml:space="preserve">Dialogue limité entre le conseil et les auditeurs</t>
  </si>
  <si>
    <t xml:space="preserve">Communication limitée et manque de transparence.</t>
  </si>
  <si>
    <t xml:space="preserve">Mettre en place une politique de communication interne et externe favorisant la transparence</t>
  </si>
  <si>
    <t xml:space="preserve">Vérifier que le Conseil joue un rôle actif dans la définition des
 objectifs et des critères de performance du contrôle interne, et qu’il
 veille à leur alignement avec les objectifs stratégiques de
 l’organisation</t>
  </si>
  <si>
    <t xml:space="preserve">Les objectifs de contrôle interne sont définis en lien avec les orientations stratégiques valisées par le Conseil</t>
  </si>
  <si>
    <t xml:space="preserve">Les objectifs de contrôle interne sont-ils définis en lien avec les orientations stratégiques valisées par le Conseil?</t>
  </si>
  <si>
    <t xml:space="preserve">Objectifs du contrôle interne validés par le Conseil</t>
  </si>
  <si>
    <t xml:space="preserve">Objectifs du contrôle interne mal définis ou inadaptés.</t>
  </si>
  <si>
    <t xml:space="preserve">Inefficacité du contrôle interne face aux risques majeurs.</t>
  </si>
  <si>
    <t xml:space="preserve">Renforcer le contrôle interne par des tests réguliers et des exercices de simulation des risques</t>
  </si>
  <si>
    <t xml:space="preserve">Alignement des objectifs de contrôle interne avec la stratégie de l’organisation</t>
  </si>
  <si>
    <t xml:space="preserve">Mauvais alignement entre les objectifs du contrôle interne et la stratégie globale.</t>
  </si>
  <si>
    <t xml:space="preserve">Faible intégration des contrôles internes dans la gestion stratégique.</t>
  </si>
  <si>
    <t xml:space="preserve">Associer systématiquement les contrôleurs internes aux décisions stratégiques</t>
  </si>
  <si>
    <t xml:space="preserve">Une revue annuelle des objectifs de contrôle interne est réalisée par le Conseil</t>
  </si>
  <si>
    <t xml:space="preserve">Une revue annuelle des objectifs de contrôle interne est-elle réalisée par le Conseil?</t>
  </si>
  <si>
    <t xml:space="preserve">Rapport de la revue annuelle des objectifs de contrôle interne</t>
  </si>
  <si>
    <t xml:space="preserve">Absence de mise à jour des objectifs de contrôle interne.</t>
  </si>
  <si>
    <t xml:space="preserve">Non-adaptation aux évolutions du contexte économique et réglementaire.</t>
  </si>
  <si>
    <t xml:space="preserve">Assurer une veille réglementaire et économique active et mettre à jour les stratégies en conséquence</t>
  </si>
  <si>
    <t xml:space="preserve">Compte-rendu des discussions stratégiques sur le contrôle interne</t>
  </si>
  <si>
    <t xml:space="preserve">Manque de clarté dans les discussions stratégiques sur le contrôle interne.</t>
  </si>
  <si>
    <t xml:space="preserve">Prises de décisions basées sur des informations incomplètes.</t>
  </si>
  <si>
    <t xml:space="preserve">Exiger des analyses approfondies et des études d’impact avant toute prise de décision majeure</t>
  </si>
  <si>
    <t xml:space="preserve">Le Conseil participe activement aux discussions sur l'évolution des réglementations et leur impact sur le contrôle interne</t>
  </si>
  <si>
    <t xml:space="preserve">Le Conseil participe-t-il activement aux discussions sur l'évolution des réglementations et leur impact sur le contrôle interne?</t>
  </si>
  <si>
    <t xml:space="preserve">Procès-verbaux des discussions sur les évolutions réglementaires</t>
  </si>
  <si>
    <t xml:space="preserve">Non-prise en compte des évolutions réglementaires.</t>
  </si>
  <si>
    <t xml:space="preserve">Risques de non-conformité et sanctions légales.</t>
  </si>
  <si>
    <t xml:space="preserve">Développer un programme de conformité et former les équipes aux exigences légales</t>
  </si>
  <si>
    <t xml:space="preserve">Rapports d’analyse de l’impact des réglementations sur l’organisation</t>
  </si>
  <si>
    <t xml:space="preserve">Analyse insuffisante des impacts des réglementations.</t>
  </si>
  <si>
    <t xml:space="preserve">Mauvaise anticipation des risques liés aux nouvelles réglementations.</t>
  </si>
  <si>
    <t xml:space="preserve">Mettre en place un comité de conformité chargé d’identifier et de préparer l’organisation aux changements réglementaires</t>
  </si>
  <si>
    <t xml:space="preserve">Des meécanisme de feedback entre le Conseil et les responables du contrôle interne sont en place</t>
  </si>
  <si>
    <t xml:space="preserve">Des mécanismes de feedback entre le Conseil et les responables du contrôle interne sont-ils en place?</t>
  </si>
  <si>
    <t xml:space="preserve">Documentation des échanges entre le Conseil et les responsables du contrôle interne</t>
  </si>
  <si>
    <t xml:space="preserve">Mauvaise communication entre le Conseil et les responsables du contrôle interne.</t>
  </si>
  <si>
    <t xml:space="preserve">Rupture de communication et décisions mal relayées.</t>
  </si>
  <si>
    <t xml:space="preserve">Instaurer un canal de communication interne efficace avec des comptes rendus systématiques des décisions prises</t>
  </si>
  <si>
    <t xml:space="preserve">Mécanisme de feedback structuré (ex: enquêtes, réunions dédiées)</t>
  </si>
  <si>
    <t xml:space="preserve">Manque de retour d’expérience structuré.</t>
  </si>
  <si>
    <t xml:space="preserve">Perte d’opportunités d’amélioration des processus.</t>
  </si>
  <si>
    <t xml:space="preserve">Mettre en place un processus d’évaluation continue et encourager l’innovation organisationnelle</t>
  </si>
  <si>
    <t xml:space="preserve">Les décisions stratégiques du Conseil intègrent systématiquement une analyse des risques et du contrôle interne</t>
  </si>
  <si>
    <t xml:space="preserve">Les décisions stratégiques du Conseil intègrent-elles systématiquement une analyse des risques et du contrôle interne?</t>
  </si>
  <si>
    <t xml:space="preserve">Rapports d’évaluation des décisions stratégiques</t>
  </si>
  <si>
    <t xml:space="preserve">Évaluation biaisée ou incomplète des décisions stratégiques.</t>
  </si>
  <si>
    <t xml:space="preserve">Risque de décisions inefficaces ou nuisibles.</t>
  </si>
  <si>
    <t xml:space="preserve">Soumettre les décisions stratégiques à une validation multi-niveaux avant leur mise en œuvre</t>
  </si>
  <si>
    <t xml:space="preserve">Analyses de risques intégrées aux décisions du Conseil</t>
  </si>
  <si>
    <t xml:space="preserve">Intégration partielle des analyses de risques aux décisions du Conseil.</t>
  </si>
  <si>
    <t xml:space="preserve">Manque de préparation face aux risques majeurs.</t>
  </si>
  <si>
    <t xml:space="preserve">Élaborer un plan de gestion des risques et organiser des exercices de simulation régulièrement</t>
  </si>
  <si>
    <t xml:space="preserve">S’assurer que le Conseil prend des mesures appropriées lorsque
 des dysfonctionnements ou des lacunes dans le contrôle interne
 sont identifiés, y compris la mise en place de plans d’action
 correctifs</t>
  </si>
  <si>
    <t xml:space="preserve">Une évaluation de l'efficacité des mesures correctives est effectuée après leur mise en œuvre</t>
  </si>
  <si>
    <t xml:space="preserve">Une évaluation de l'efficacité des mesures correctives est-elle effectuée après leur mise en œuvre ?</t>
  </si>
  <si>
    <t xml:space="preserve">Évaluation post-mise en œuvre des mesures correctives</t>
  </si>
  <si>
    <t xml:space="preserve">Absence de suivi de l’efficacité des mesures correctives.</t>
  </si>
  <si>
    <t xml:space="preserve">Faible correction des failles identifiées.</t>
  </si>
  <si>
    <t xml:space="preserve">Établir un suivi des actions correctives avec des indicateurs de performance et des délais précis</t>
  </si>
  <si>
    <t xml:space="preserve">Rapport d’audit mesurant l’efficacité des actions correctives</t>
  </si>
  <si>
    <t xml:space="preserve">Audits inefficaces dans l’évaluation des actions correctives.</t>
  </si>
  <si>
    <t xml:space="preserve">Maintien de processus inefficaces.</t>
  </si>
  <si>
    <t xml:space="preserve">Réaliser des revues régulières des processus et favoriser une culture de remise en question des pratiques obsolètes</t>
  </si>
  <si>
    <t xml:space="preserve">Une procédure officielle est mise en place pour traiter les dysfonctionnements dans le contrôle interne</t>
  </si>
  <si>
    <t xml:space="preserve">Une procédure officielle est-elle mise en place pour traiter les dysfonctionnements dans le contrôle interne?</t>
  </si>
  <si>
    <t xml:space="preserve">Procédure officielle de gestion des dysfonctionnements</t>
  </si>
  <si>
    <t xml:space="preserve">Gestion des dysfonctionnements mal encadrée.</t>
  </si>
  <si>
    <t xml:space="preserve">Récurrence des mêmes incidents sans solution durable.</t>
  </si>
  <si>
    <t xml:space="preserve">Adopter une approche proactive de gestion des incidents avec une analyse approfondie des causes profondes</t>
  </si>
  <si>
    <t xml:space="preserve">Plan de traitement des incidents de contrôle interne</t>
  </si>
  <si>
    <t xml:space="preserve">Traitement des incidents de contrôle interne non structuré.</t>
  </si>
  <si>
    <t xml:space="preserve">Gestion des incidents peu réactive, impactant la continuité des activités.</t>
  </si>
  <si>
    <t xml:space="preserve">Mettre en place un plan de continuité des activités et des protocoles d’urgence pour garantir une réaction rapide aux incidents</t>
  </si>
  <si>
    <t xml:space="preserve">Les responsables concernés doivent rendre compte régulièrement des mesures correctives mises en place</t>
  </si>
  <si>
    <t xml:space="preserve">Les responsables concernés rendent-ils compte régulièrement des mesures correctives mises en place?</t>
  </si>
  <si>
    <t xml:space="preserve">Rapports de suivi des mesures correctives</t>
  </si>
  <si>
    <t xml:space="preserve">Suivi insuffisant des mesures correctives mises en place.</t>
  </si>
  <si>
    <t xml:space="preserve">Répétition des erreurs et failles non corrigées.</t>
  </si>
  <si>
    <t xml:space="preserve">Mettre en place un suivi rigoureux des erreurs et assurer leur correction systématique.</t>
  </si>
  <si>
    <t xml:space="preserve">Tableau de bord des actions correctives mises en œuvre</t>
  </si>
  <si>
    <t xml:space="preserve">Manque de transparence sur l’état des actions correctives.</t>
  </si>
  <si>
    <t xml:space="preserve">Manque de visibilité sur l’état des actions correctives.</t>
  </si>
  <si>
    <t xml:space="preserve">Établir des indicateurs de suivi clairs pour mesurer l’avancement des actions correctives.</t>
  </si>
  <si>
    <t xml:space="preserve">Des sanctions sont prévues en cas de manquement répété au dispositif de contrôle interne</t>
  </si>
  <si>
    <t xml:space="preserve">Des sanctions sont-elles prévues en cas de manquement répété au dispositif de contrôle interne?</t>
  </si>
  <si>
    <t xml:space="preserve">Politique de sanctions en cas de non-respect des contrôles internes</t>
  </si>
  <si>
    <t xml:space="preserve">Application incohérente des sanctions en cas de non-respect des contrôles internes.</t>
  </si>
  <si>
    <t xml:space="preserve">Risque de traitements préférentiels ou arbitraires.</t>
  </si>
  <si>
    <t xml:space="preserve">Standardiser les critères de traitement pour garantir l’équité et la transparence.</t>
  </si>
  <si>
    <t xml:space="preserve">Absence de traçabilité des sanctions appliquées.</t>
  </si>
  <si>
    <t xml:space="preserve">Incohérences dans l’application des sanctions et contestations possibles.</t>
  </si>
  <si>
    <t xml:space="preserve">Définir des règles précises pour l’application des sanctions et les faire respecter.</t>
  </si>
  <si>
    <t xml:space="preserve">Le conseil suit la mise en place des plans d'action correctifs</t>
  </si>
  <si>
    <t xml:space="preserve">Le conseil suit-il la mise en place des plans d'action correctifs?</t>
  </si>
  <si>
    <t xml:space="preserve">Rapports de suivi des plans d’action correctifs</t>
  </si>
  <si>
    <t xml:space="preserve">Plans d’action correctifs non suivis ou mal exécutés.</t>
  </si>
  <si>
    <t xml:space="preserve">Échec des mesures de redressement et persistance des problèmes.</t>
  </si>
  <si>
    <t xml:space="preserve">Effectuer des audits réguliers pour évaluer l’efficacité des mesures de redressement.</t>
  </si>
  <si>
    <t xml:space="preserve">Procès-verbaux des réunions du Conseil sur les actions correctives</t>
  </si>
  <si>
    <t xml:space="preserve">Manque d’implication du Conseil dans le suivi des actions correctives.</t>
  </si>
  <si>
    <t xml:space="preserve">Affaiblissement du contrôle exercé par le Conseil.</t>
  </si>
  <si>
    <t xml:space="preserve">Renforcer l’implication du Conseil dans le suivi des mesures correctives.</t>
  </si>
  <si>
    <t xml:space="preserve">Vérifier que le Conseil évalue régulièrement la performance des
 responsables du contrôle interne et veille à ce que leurs actions
 soient indépendantes et objectives</t>
  </si>
  <si>
    <t xml:space="preserve">Une évaluation périodique des responsables du contrôle interne est réalisé par le Conseil</t>
  </si>
  <si>
    <t xml:space="preserve">Une évaluation périodique des responsables du contrôle interne est-elle réalisé par le Conseil?</t>
  </si>
  <si>
    <t xml:space="preserve">Évaluations annuelles des responsables du contrôle interne</t>
  </si>
  <si>
    <t xml:space="preserve">Évaluations annuelles des responsables du contrôle interne partielles ou subjectives.</t>
  </si>
  <si>
    <t xml:space="preserve">Performance des responsables du contrôle interne mal évaluée.</t>
  </si>
  <si>
    <t xml:space="preserve">Instaurer un système d’évaluation des performances des responsables du contrôle interne.</t>
  </si>
  <si>
    <t xml:space="preserve">Critères d’évaluation des performances des responsables du contrôle interne</t>
  </si>
  <si>
    <t xml:space="preserve">Critères d’évaluation des responsables mal définis.</t>
  </si>
  <si>
    <t xml:space="preserve">Promotion ou maintien de responsables inefficaces.</t>
  </si>
  <si>
    <t xml:space="preserve">Mettre en place des critères de promotion basés sur la compétence et les résultats.</t>
  </si>
  <si>
    <t xml:space="preserve">Le Conseil veille à la mise en place de formations continues pour garantir l'expertise des responsables du contrôle interne</t>
  </si>
  <si>
    <t xml:space="preserve">Le Conseil veille-t-il à la mise en place de formations continues pour garantir l'expertise des responsables du contrôle interne ?</t>
  </si>
  <si>
    <t xml:space="preserve">Plan de formation continue pour les responsables du contrôle interne</t>
  </si>
  <si>
    <t xml:space="preserve">Formation continue des responsables du contrôle interne insuffisante.</t>
  </si>
  <si>
    <t xml:space="preserve">Manque de compétences et adaptation insuffisante aux nouvelles exigences.</t>
  </si>
  <si>
    <t xml:space="preserve">Organiser des formations continues pour renforcer les compétences des responsables.</t>
  </si>
  <si>
    <t xml:space="preserve">Rapports de suivi des formations suivies</t>
  </si>
  <si>
    <t xml:space="preserve">Suivi des formations suivi de manière irrégulière.</t>
  </si>
  <si>
    <t xml:space="preserve">Suivi des compétences non assuré, impactant l’efficacité des formations.</t>
  </si>
  <si>
    <t xml:space="preserve">Mettre en place un suivi des formations pour garantir leur efficacité et leur pertinence.</t>
  </si>
  <si>
    <t xml:space="preserve">Des critères d'indépendance et d'objectivité sont définis pour ces responsables</t>
  </si>
  <si>
    <t xml:space="preserve">Des critères d'indépendance et d'objectivité sont-ils définis pour ces responsables?</t>
  </si>
  <si>
    <t xml:space="preserve">Charte d’indépendance et d’objectivité</t>
  </si>
  <si>
    <t xml:space="preserve">Manque d’indépendance et d’objectivité dans la gestion du contrôle interne.</t>
  </si>
  <si>
    <t xml:space="preserve">Contrôle interne influencé par des décisions biaisées.</t>
  </si>
  <si>
    <t xml:space="preserve">Élaborer une charte d’éthique pour encadrer les décisions du contrôle interne.</t>
  </si>
  <si>
    <t xml:space="preserve">Liste des critères d’indépendance et d’objectivité définis</t>
  </si>
  <si>
    <t xml:space="preserve">Critères d’indépendance et d’objectivité non respectés.</t>
  </si>
  <si>
    <t xml:space="preserve">Décisions prises sous influence externe, réduisant la fiabilité des contrôles.</t>
  </si>
  <si>
    <t xml:space="preserve">Renforcer les mécanismes de contrôle pour limiter l’influence des parties externes.</t>
  </si>
  <si>
    <t xml:space="preserve">Des rémunérations et incitations des responsables du contrôle interne sont structurées pour éviter tout conflit d'intérêts</t>
  </si>
  <si>
    <t xml:space="preserve">Des rémunérations et incitations des responsables du contrôle interne sont-elles structurées pour éviter tout conflit d'intérêts ?</t>
  </si>
  <si>
    <t xml:space="preserve">Politique de rémunération des responsables du contrôle interne</t>
  </si>
  <si>
    <t xml:space="preserve">Rémunération des responsables du contrôle interne influencée par des conflits d’intérêts.</t>
  </si>
  <si>
    <t xml:space="preserve">Incitations monétaires favorisant des pratiques contraires à l’éthique.</t>
  </si>
  <si>
    <t xml:space="preserve">Revoir les politiques de rémunération pour éviter les conflits d’intérêts.</t>
  </si>
  <si>
    <t xml:space="preserve">Grille d’incitation pour éviter les conflits d’intérêts</t>
  </si>
  <si>
    <t xml:space="preserve">Politique d’incitation favorisant des comportements non éthiques.</t>
  </si>
  <si>
    <t xml:space="preserve">Conflits d’intérêts nuisant à l’objectivité des contrôles.</t>
  </si>
  <si>
    <t xml:space="preserve">Mettre en place des contrôles indépendants pour assurer l’objectivité des décisions.</t>
  </si>
  <si>
    <t xml:space="preserve">Une procédure de signalement sont disponibles pour signaler toute tentative d'ingérence</t>
  </si>
  <si>
    <t xml:space="preserve">Une procédure de signalement est-elle disponible pour signaler toute tentative d'ingérence?</t>
  </si>
  <si>
    <t xml:space="preserve">Procédure de signalement des tentatives d’ingérence</t>
  </si>
  <si>
    <t xml:space="preserve">Absence d’un mécanisme efficace pour signaler les tentatives d’ingérence.</t>
  </si>
  <si>
    <t xml:space="preserve">Peur de représailles empêchant les signalements d’ingérence.</t>
  </si>
  <si>
    <t xml:space="preserve">Instaurer un canal de signalement anonyme pour encourager la remontée des alertes.</t>
  </si>
  <si>
    <t xml:space="preserve">Registre des signalements et actions correctives</t>
  </si>
  <si>
    <t xml:space="preserve">Signalements d’ingérence ignorés ou non traités.</t>
  </si>
  <si>
    <t xml:space="preserve">Maintien d’influences externes compromettant l’intégrité du contrôle interne.</t>
  </si>
  <si>
    <t xml:space="preserve">Appliquer des sanctions en cas d’ingérence avérée dans le contrôle interne.</t>
  </si>
  <si>
    <t xml:space="preserve">Structures, autorités et responsabilités</t>
  </si>
  <si>
    <t xml:space="preserve">S’assurer que la structure organisationnelle est clairement définie,
 incluant les rattachements hiérarchiques, les rôles, les
 responsabilités et les pouvoirs de chaque collaborateur</t>
  </si>
  <si>
    <t xml:space="preserve">Un organigramme officiel détaillé est disponible et mis à jourr égulièrement</t>
  </si>
  <si>
    <t xml:space="preserve">Un organigramme officiel détaillé est-il disponible et mis à jour régulièrement?</t>
  </si>
  <si>
    <t xml:space="preserve">Organigramme officiel de l’organisation</t>
  </si>
  <si>
    <t xml:space="preserve">Organigramme non mis à jour ou inexact</t>
  </si>
  <si>
    <t xml:space="preserve">Confusion sur la répartition des rôles et responsabilités</t>
  </si>
  <si>
    <t xml:space="preserve">Clarifier les rôles et responsabilités de chaque acteur du contrôle interne.</t>
  </si>
  <si>
    <t xml:space="preserve">Procédure de mise à jour de l’organigramme</t>
  </si>
  <si>
    <t xml:space="preserve">Absence de procédure claire pour la mise à jour de l’organigramme</t>
  </si>
  <si>
    <t xml:space="preserve">Désorganisation interne et perte d’efficacité</t>
  </si>
  <si>
    <t xml:space="preserve">Optimiser l’organisation interne pour améliorer la coordination et l’efficacité.</t>
  </si>
  <si>
    <t xml:space="preserve">Chaque poste dispose d'une fiche de fonction précisant les rôles et responsabilités</t>
  </si>
  <si>
    <t xml:space="preserve">Chaque poste dispose-t-il d'une fiche de fonction précisant les rôles et responsabilités?</t>
  </si>
  <si>
    <t xml:space="preserve">Fiches de fonction détaillées par poste</t>
  </si>
  <si>
    <t xml:space="preserve">Manque de clarté dans les fiches de fonction</t>
  </si>
  <si>
    <t xml:space="preserve">Conflits entre collaborateurs en raison d’un manque de clarté des fonctions</t>
  </si>
  <si>
    <t xml:space="preserve">Définir des fiches de poste précises pour limiter les conflits entre collaborateurs.</t>
  </si>
  <si>
    <t xml:space="preserve">Documentation des responsabilités associées à chaque poste</t>
  </si>
  <si>
    <t xml:space="preserve">Responsabilités mal définies ou non documentées</t>
  </si>
  <si>
    <t xml:space="preserve">Difficulté à identifier les responsabilités en cas d’erreur</t>
  </si>
  <si>
    <t xml:space="preserve">Établir un cadre formel de responsabilisation pour identifier les fautes.</t>
  </si>
  <si>
    <t xml:space="preserve">Le signalement de toute ambiguité ou incohérence dans la structure est possible</t>
  </si>
  <si>
    <t xml:space="preserve">Le signalement de toute ambiguité ou incohérence dans la structure est-il possible ?</t>
  </si>
  <si>
    <t xml:space="preserve">Procédure de signalement des incohérences organisationnelles</t>
  </si>
  <si>
    <t xml:space="preserve">Absence de mécanisme de signalement des incohérences organisationnelles</t>
  </si>
  <si>
    <t xml:space="preserve">Dysfonctionnements non détectés et persistants</t>
  </si>
  <si>
    <t xml:space="preserve">Renforcer les dispositifs de contrôle pour détecter et corriger rapidement les dysfonctionnements</t>
  </si>
  <si>
    <t xml:space="preserve">Registre des signalements et actions de correction</t>
  </si>
  <si>
    <t xml:space="preserve">Signalements d’incohérences non traités ou ignorés</t>
  </si>
  <si>
    <t xml:space="preserve">Perte de confiance des employés dans le système de signalement</t>
  </si>
  <si>
    <t xml:space="preserve">Renforcer la sensibilisation et garantir la confidentialité du système de signalement</t>
  </si>
  <si>
    <t xml:space="preserve">Les délégations de pouvoir sont documentées et validées par la direction</t>
  </si>
  <si>
    <t xml:space="preserve">Les délégations de pouvoir sont-elles documentées et validées par la direction ?</t>
  </si>
  <si>
    <t xml:space="preserve">Délégations de pouvoir mal encadrées</t>
  </si>
  <si>
    <t xml:space="preserve">Risques de prises de décision arbitraires et non conformes</t>
  </si>
  <si>
    <t xml:space="preserve">Définir des critères objectifs et transparents pour la prise de décision</t>
  </si>
  <si>
    <t xml:space="preserve">Liste des délégations validées par la direction</t>
  </si>
  <si>
    <t xml:space="preserve">Liste des délégations non validée par la direction</t>
  </si>
  <si>
    <t xml:space="preserve">Attribution illégitime de pouvoirs et prise de décisions inappropriées</t>
  </si>
  <si>
    <t xml:space="preserve">Mettre en place un cadre clair de délégation des pouvoirs</t>
  </si>
  <si>
    <t xml:space="preserve">Les employés confirment qu'ils comprennent leurs responsabilités</t>
  </si>
  <si>
    <t xml:space="preserve">Les employés confirment-ils qu'ils comprennent leurs responsabilités ?</t>
  </si>
  <si>
    <t xml:space="preserve">Formulaire de confirmation des responsabilités par les employés</t>
  </si>
  <si>
    <t xml:space="preserve">Manque de confirmation formelle des responsabilités par les employés</t>
  </si>
  <si>
    <t xml:space="preserve">Ambiguïté dans la répartition des tâches et des responsabilités</t>
  </si>
  <si>
    <t xml:space="preserve">Clarifier et documenter la répartition des responsabilités</t>
  </si>
  <si>
    <t xml:space="preserve">Enquête annuelle sur la compréhension des responsabilités</t>
  </si>
  <si>
    <t xml:space="preserve">Faible compréhension des responsabilités au sein de l’organisation</t>
  </si>
  <si>
    <t xml:space="preserve">Erreurs fréquentes et perte de productivité</t>
  </si>
  <si>
    <t xml:space="preserve">Instaurer des contrôles qualité pour réduire les erreurs et améliorer la productivité</t>
  </si>
  <si>
    <t xml:space="preserve">Vérifier que les responsabilités et les pouvoirs sont attribués de
 manière appropriée, en fonction des compétences et des objectifs
 stratégiques de l’organisation</t>
  </si>
  <si>
    <t xml:space="preserve">Les responsabilités sont alignées avec les descriptions de poste et les compétences requises</t>
  </si>
  <si>
    <t xml:space="preserve">Les responsabilités sont-elles alignées avec les descriptions de poste et les compétences requises ?</t>
  </si>
  <si>
    <t xml:space="preserve">Matrice d’alignement entre compétences et responsabilités</t>
  </si>
  <si>
    <t xml:space="preserve">Désalignement entre compétences et responsabilités</t>
  </si>
  <si>
    <t xml:space="preserve">Affectation inefficace des ressources humaines</t>
  </si>
  <si>
    <t xml:space="preserve">Optimiser la gestion des ressources humaines selon les besoins organisationnels</t>
  </si>
  <si>
    <t xml:space="preserve">Rapport de validation des compétences requises</t>
  </si>
  <si>
    <t xml:space="preserve">Validation des compétences incomplète ou erronée</t>
  </si>
  <si>
    <t xml:space="preserve">Manque de personnel compétent pour certains postes clés</t>
  </si>
  <si>
    <t xml:space="preserve">Renforcer la formation et le recrutement pour combler les postes clés</t>
  </si>
  <si>
    <t xml:space="preserve">Une évaluation périodique de l'adéquation entre les compétences et les responsabilités est effectuée</t>
  </si>
  <si>
    <t xml:space="preserve">Une évaluation périodique de l'adéquation entre les compétences et les responsabilités est-elle effectuée?</t>
  </si>
  <si>
    <t xml:space="preserve">Évaluation périodique de l’adéquation compétences-responsabilités</t>
  </si>
  <si>
    <t xml:space="preserve">Absence d’évaluation régulière de l’adéquation compétences-responsabilités</t>
  </si>
  <si>
    <t xml:space="preserve">Faibles performances et incohérence dans l’exécution des tâches</t>
  </si>
  <si>
    <t xml:space="preserve">Mettre en place un système d’évaluation continue des performances</t>
  </si>
  <si>
    <t xml:space="preserve">Compte-rendu des ajustements effectués suite aux évaluations</t>
  </si>
  <si>
    <t xml:space="preserve">Manque d’ajustements suite aux évaluations des compétences</t>
  </si>
  <si>
    <t xml:space="preserve">Inefficacité des ajustements organisationnels</t>
  </si>
  <si>
    <t xml:space="preserve">Assurer un suivi rigoureux des ajustements organisationnels</t>
  </si>
  <si>
    <t xml:space="preserve">Un suivi est réalisé pour éviter toute accumulation excessive de pouvoirs</t>
  </si>
  <si>
    <t xml:space="preserve">Un suivi est-il réalisé pour éviter toute accumulation excessive de pouvoirs?</t>
  </si>
  <si>
    <t xml:space="preserve">Registre des cumuls de pouvoirs excessifs</t>
  </si>
  <si>
    <t xml:space="preserve">Accumulation excessive de pouvoirs non contrôlée</t>
  </si>
  <si>
    <t xml:space="preserve">Risque d’abus de pouvoir et de fraudes internes</t>
  </si>
  <si>
    <t xml:space="preserve">Mettre en place un dispositif de contrôle pour prévenir les abus de pouvoir</t>
  </si>
  <si>
    <t xml:space="preserve">Plan de mitigation des risques liés à l’accumulation de pouvoirs</t>
  </si>
  <si>
    <t xml:space="preserve">Absence de plan de mitigation des risques liés à l’accumulation de pouvoirs</t>
  </si>
  <si>
    <t xml:space="preserve">Faible contrôle sur la concentration des pouvoirs</t>
  </si>
  <si>
    <t xml:space="preserve">Limiter la concentration des pouvoirs par des mécanismes de surveillance</t>
  </si>
  <si>
    <t xml:space="preserve">Un processus formel d'évaluation des compétences est mis en place pour les promotions et nominatons</t>
  </si>
  <si>
    <t xml:space="preserve">Un processus formel d'évaluation des compétences est-il mis en place pour les promotions et nominatons?</t>
  </si>
  <si>
    <t xml:space="preserve">Processus d’évaluation des compétences pour promotions et nominations</t>
  </si>
  <si>
    <t xml:space="preserve">Processus d’évaluation des promotions et nominations inadapté</t>
  </si>
  <si>
    <t xml:space="preserve">Promotions attribuées sur des critères non objectifs</t>
  </si>
  <si>
    <t xml:space="preserve">Définir des critères objectifs et transparents pour les promotions</t>
  </si>
  <si>
    <t xml:space="preserve">Documentation des décisions de promotion</t>
  </si>
  <si>
    <t xml:space="preserve">Décisions de promotion non documentées</t>
  </si>
  <si>
    <t xml:space="preserve">Manque de transparence dans la gestion des carrières</t>
  </si>
  <si>
    <t xml:space="preserve">Assurer une gestion des carrières basée sur des processus équitables</t>
  </si>
  <si>
    <t xml:space="preserve">Les décisions importantes sont validées par des niveaux hiérarchiques appropriés</t>
  </si>
  <si>
    <t xml:space="preserve">Les décisions importantes sont-elles validées par des niveaux hiérarchiques appropriés?</t>
  </si>
  <si>
    <t xml:space="preserve">Procédure de validation des décisions importantes par la hiérarchie</t>
  </si>
  <si>
    <t xml:space="preserve">Absence de validation hiérarchique des décisions importantes</t>
  </si>
  <si>
    <t xml:space="preserve">Décisions non validées et risques de dérives</t>
  </si>
  <si>
    <t xml:space="preserve">Valider systématiquement les décisions importantes avant leur application</t>
  </si>
  <si>
    <t xml:space="preserve">Registre des décisions validées</t>
  </si>
  <si>
    <t xml:space="preserve">Liste des décisions validées incomplète ou erronée</t>
  </si>
  <si>
    <t xml:space="preserve">Incohérences dans la gouvernance et pertes de contrôle</t>
  </si>
  <si>
    <t xml:space="preserve">Améliorer la gouvernance en clarifiant les processus décisionnels</t>
  </si>
  <si>
    <t xml:space="preserve">S’assurer que la structure organisationnelle est régulièrement revue
 et mise à jour pour tenir compte des changements dans
 l’environnement interne ou externe de l’organisation</t>
  </si>
  <si>
    <t xml:space="preserve">Une mise à jour régulière de la structure organisationnelle est effectuée</t>
  </si>
  <si>
    <t xml:space="preserve">Une mise à jour régulière de la structure organisationnelle est-elle effectuée ?</t>
  </si>
  <si>
    <t xml:space="preserve">Plan de mise à jour de la structure organisationnelle</t>
  </si>
  <si>
    <t xml:space="preserve">Mise à jour de la structure organisationnelle non planifiée</t>
  </si>
  <si>
    <t xml:space="preserve">Organisation rigide et difficile à adapter aux évolutions</t>
  </si>
  <si>
    <t xml:space="preserve">Rendre l’organisation plus flexible et adaptable aux évolutions du marché</t>
  </si>
  <si>
    <t xml:space="preserve">Rapports de suivi des mises à jour</t>
  </si>
  <si>
    <t xml:space="preserve">Suivi insuffisant des mises à jour organisationnelles</t>
  </si>
  <si>
    <t xml:space="preserve">Mauvaise anticipation des impacts des réorganisations</t>
  </si>
  <si>
    <t xml:space="preserve">Évaluer systématiquement les impacts des réorganisations avant mise en œuvre</t>
  </si>
  <si>
    <t xml:space="preserve">Les changements organisationnels sont soumis à une validation par la direction et/ou le Conseil</t>
  </si>
  <si>
    <t xml:space="preserve">Les changements organisationnels sont-ils soumis à une validation par la direction et/ou le Conseil?</t>
  </si>
  <si>
    <t xml:space="preserve">Procédure de validation des changements organisationnels</t>
  </si>
  <si>
    <t xml:space="preserve">Changements organisationnels non validés par la direction</t>
  </si>
  <si>
    <t xml:space="preserve">Changements non conformes aux orientations stratégiques</t>
  </si>
  <si>
    <t xml:space="preserve">Aligner les changements avec la stratégie globale de l’organisation</t>
  </si>
  <si>
    <t xml:space="preserve">Liste des changements validés par la direction et/ou le Conseil</t>
  </si>
  <si>
    <t xml:space="preserve">Absence de traçabilité des changements validés</t>
  </si>
  <si>
    <t xml:space="preserve">Perte de traçabilité des évolutions structurelles</t>
  </si>
  <si>
    <t xml:space="preserve">Mettre en place un suivi détaillé des évolutions structurelles</t>
  </si>
  <si>
    <t xml:space="preserve">Une veille stratégique est menée pour adapter la structure aux évolutions réglementaires et économiques</t>
  </si>
  <si>
    <t xml:space="preserve">Une veille stratégique est-elle menée pour adapter la structure aux évolutions réglementaires et économiques?</t>
  </si>
  <si>
    <t xml:space="preserve">Veille stratégique sur les évolutions réglementaires et économiques</t>
  </si>
  <si>
    <t xml:space="preserve">Manque de veille sur les évolutions réglementaires et économiques</t>
  </si>
  <si>
    <t xml:space="preserve">Mauvaise anticipation des risques liés aux nouvelles réglementations</t>
  </si>
  <si>
    <t xml:space="preserve">Mettre en place un dispositif de veille réglementaire pour anticiper les risques</t>
  </si>
  <si>
    <t xml:space="preserve">Rapports d’analyse d’impact des évolutions sur l’organisation</t>
  </si>
  <si>
    <t xml:space="preserve">Analyse d’impact des évolutions non réalisée ou insuffisante</t>
  </si>
  <si>
    <t xml:space="preserve">Non-conformité légale et risques juridiques</t>
  </si>
  <si>
    <t xml:space="preserve">Assurer une conformité continue aux exigences légales et réglementaires</t>
  </si>
  <si>
    <t xml:space="preserve">Les collaborateurs sont informés rapidement des changements dans la structure</t>
  </si>
  <si>
    <t xml:space="preserve">Les collaborateurs sont-ils informés rapidement des changements dans la structure?</t>
  </si>
  <si>
    <t xml:space="preserve">Procédure de communication des changements aux collaborateurs</t>
  </si>
  <si>
    <t xml:space="preserve">Communication des changements aux collaborateurs inefficace</t>
  </si>
  <si>
    <t xml:space="preserve">Résistance des employés face aux changements</t>
  </si>
  <si>
    <t xml:space="preserve">Accompagner les employés dans le changement avec des formations adaptées</t>
  </si>
  <si>
    <t xml:space="preserve">Rapports de diffusion des informations sur les changements</t>
  </si>
  <si>
    <t xml:space="preserve">Diffusion des informations sur les changements incomplète ou retardée</t>
  </si>
  <si>
    <t xml:space="preserve">Communication inefficace entraînant des rumeurs et incertitudes</t>
  </si>
  <si>
    <t xml:space="preserve">Mettre en place une communication proactive et transparente sur les changements</t>
  </si>
  <si>
    <t xml:space="preserve">Des évaluations post-changement mesurent l'impact de ceux-ci sur l'efficacité organisationnelle</t>
  </si>
  <si>
    <t xml:space="preserve">Des évaluations post-changement mesurent-elles l'impact de ceux-ci sur l'efficacité organisationnelle?</t>
  </si>
  <si>
    <t xml:space="preserve">Évaluations post-changement des impacts organisationnels</t>
  </si>
  <si>
    <t xml:space="preserve">Évaluation post-changement inexistante ou inadaptée</t>
  </si>
  <si>
    <t xml:space="preserve">Impact négatif des changements sur la productivité et la cohésion</t>
  </si>
  <si>
    <t xml:space="preserve">Évaluer les impacts des changements sur la productivité et la cohésion</t>
  </si>
  <si>
    <t xml:space="preserve">Rapports d’analyse des performances après changement</t>
  </si>
  <si>
    <t xml:space="preserve">Absence d’analyse des performances après un changement</t>
  </si>
  <si>
    <t xml:space="preserve">Faible réactivité en cas d’échec d’un changement</t>
  </si>
  <si>
    <t xml:space="preserve">Mettre en place un plan de gestion des échecs pour réagir rapidement</t>
  </si>
  <si>
    <t xml:space="preserve">Vérifier que le management reçoit l’approbation du Conseil pour les
 modifications de la structure organisationnelle, afin d’assurer une
 supervision adéquate des changements importants</t>
  </si>
  <si>
    <t xml:space="preserve">Toute modification de la structure fait l'objet d'une présentation officielle au Conseil</t>
  </si>
  <si>
    <t xml:space="preserve">Toute modification de la structure fait-elle l'objet d'une présentation officielle au Conseil?</t>
  </si>
  <si>
    <t xml:space="preserve">Présentation officielle des modifications organisationnelles au Conseil</t>
  </si>
  <si>
    <t xml:space="preserve">Modifications organisationnelles non présentées au Conseil</t>
  </si>
  <si>
    <t xml:space="preserve">Manque de transparence envers le Conseil d’administration</t>
  </si>
  <si>
    <t xml:space="preserve">Renforcer la transparence et le reporting envers le Conseil d’administration</t>
  </si>
  <si>
    <t xml:space="preserve">Compte-rendu des discussions du Conseil sur les changements</t>
  </si>
  <si>
    <t xml:space="preserve">Discussions du Conseil sur les changements non documentées</t>
  </si>
  <si>
    <t xml:space="preserve">Perte d’informations essentielles pour la prise de décision stratégique</t>
  </si>
  <si>
    <t xml:space="preserve">Centraliser et sécuriser l’accès aux informations stratégiques</t>
  </si>
  <si>
    <t xml:space="preserve">Une liste des changements approuvés est tenue et mise à jour</t>
  </si>
  <si>
    <t xml:space="preserve">Une liste des changements approuvés est-elle tenue et mise à jour?</t>
  </si>
  <si>
    <t xml:space="preserve">Liste actualisée des changements approuvés</t>
  </si>
  <si>
    <t xml:space="preserve">Liste des changements approuvés incomplète ou erronée</t>
  </si>
  <si>
    <t xml:space="preserve">Désalignement entre les changements réalisés et les décisions validées</t>
  </si>
  <si>
    <t xml:space="preserve">Aligner les décisions stratégiques avec les changements réalisés</t>
  </si>
  <si>
    <t xml:space="preserve">Registre des modifications organisationnelles</t>
  </si>
  <si>
    <t xml:space="preserve">Registre des modifications organisationnelles non mis à jour</t>
  </si>
  <si>
    <t xml:space="preserve">Perte d’historique des évolutions organisationnelles</t>
  </si>
  <si>
    <t xml:space="preserve">Assurer un archivage structuré et accessible des évolutions organisationnelles</t>
  </si>
  <si>
    <t xml:space="preserve">Un mécanisme de justification des modifications est en place avant l'approbation</t>
  </si>
  <si>
    <t xml:space="preserve">Un mécanisme de justification des modifications est-il en place avant l'approbation?</t>
  </si>
  <si>
    <t xml:space="preserve">Mécanisme de justification des modifications organisationnelles</t>
  </si>
  <si>
    <t xml:space="preserve">Justification des modifications organisationnelles absente ou insuffisante</t>
  </si>
  <si>
    <t xml:space="preserve">Modifications non justifiées pouvant fragiliser l’organisation</t>
  </si>
  <si>
    <t xml:space="preserve">Justifier chaque modification structurelle par des analyses précises</t>
  </si>
  <si>
    <t xml:space="preserve">Documentation des justifications des changements avant validation</t>
  </si>
  <si>
    <t xml:space="preserve">Documentation des justifications incomplète ou inexistante</t>
  </si>
  <si>
    <t xml:space="preserve">Risques accrus d’arbitraire dans les décisions</t>
  </si>
  <si>
    <t xml:space="preserve">Renforcer les mécanismes de contrôle des décisions</t>
  </si>
  <si>
    <t xml:space="preserve">le Conseil dispose d'un accès direct aux documents justifiants l'évolution organisationnelle</t>
  </si>
  <si>
    <t xml:space="preserve">le Conseil dispose-t-il d'un accès direct aux documents justifiants l'évolution organisationnelle?</t>
  </si>
  <si>
    <t xml:space="preserve">Accès direct du Conseil aux documents de justification des changements</t>
  </si>
  <si>
    <t xml:space="preserve">Accès limité du Conseil aux documents de justification des changements</t>
  </si>
  <si>
    <t xml:space="preserve">Manque de contrôle et de surveillance par le Conseil</t>
  </si>
  <si>
    <t xml:space="preserve">Mettre en place un système de surveillance des décisions du Conseil</t>
  </si>
  <si>
    <t xml:space="preserve">Procédure d’archivage et d’accès aux documents justifiant les évolutions</t>
  </si>
  <si>
    <t xml:space="preserve">Absence de procédure d’archivage des documents de justification</t>
  </si>
  <si>
    <t xml:space="preserve">Détérioration de la traçabilité des décisions organisationnelles</t>
  </si>
  <si>
    <t xml:space="preserve">Renforcer la traçabilité des décisions organisationnelles</t>
  </si>
  <si>
    <t xml:space="preserve">Des indicateurs de performance évaluent les impacts des changements effectués</t>
  </si>
  <si>
    <t xml:space="preserve">Des indicateurs de performance évaluent-ils les impacts des changements effectués?</t>
  </si>
  <si>
    <t xml:space="preserve">Indicateurs de performance des changements organisationnels</t>
  </si>
  <si>
    <t xml:space="preserve">Indicateurs de performance des changements non définis</t>
  </si>
  <si>
    <t xml:space="preserve">Absence d’évaluation de la pertinence des changements</t>
  </si>
  <si>
    <t xml:space="preserve">Évaluer systématiquement la pertinence des changements avant leur mise en œuvre</t>
  </si>
  <si>
    <t xml:space="preserve">Tableaux de bord des impacts des changements sur la performance</t>
  </si>
  <si>
    <t xml:space="preserve">Suivi des impacts des changements sur la performance insuffisant</t>
  </si>
  <si>
    <t xml:space="preserve">Difficulté à mesurer l’efficacité des nouvelles structures</t>
  </si>
  <si>
    <t xml:space="preserve">Développer des indicateurs pour mesurer l’efficacité des nouvelles structures</t>
  </si>
  <si>
    <t xml:space="preserve">S’assurer que des mécanismes sont en place pour communiquer la
 structure organisationnelle à tous les collaborateurs, afin qu'ils
 comprennent clairement leurs rôles et leurs responsabilités</t>
  </si>
  <si>
    <t xml:space="preserve">L'organigramme de la structure organisationnelle est accessible à tous les collaborateurs via un portail interne ou tout autre support officiel</t>
  </si>
  <si>
    <t xml:space="preserve">L'organigramme de la structure organisationnelle est-elle accessible à tous les collaborateurs via un portail interne ou tout autre support officiel?</t>
  </si>
  <si>
    <t xml:space="preserve">Organigramme officiel de la structure organisationnelle</t>
  </si>
  <si>
    <t xml:space="preserve">Organigramme non mis à jour ou incohérent.</t>
  </si>
  <si>
    <t xml:space="preserve">Assurer une mise à jour régulière et précise de l’organigramme</t>
  </si>
  <si>
    <t xml:space="preserve">Portail interne ou support officiel contenant l’organigramme</t>
  </si>
  <si>
    <t xml:space="preserve">Portail interne ne reflétant pas la structure actuelle.</t>
  </si>
  <si>
    <t xml:space="preserve">Veiller à ce que le portail interne reflète fidèlement la structure actuelle</t>
  </si>
  <si>
    <t xml:space="preserve">Une communication interne est diffusée à chaque mise à jour de la structure organisationnelle</t>
  </si>
  <si>
    <t xml:space="preserve">Une communication interne est-elle diffusée à chaque mise à jour de la structure organisationnelle?</t>
  </si>
  <si>
    <t xml:space="preserve">Procédure de communication interne des mises à jour organisationnelles</t>
  </si>
  <si>
    <t xml:space="preserve">Communication interne des mises à jour organisationnelles inefficace.</t>
  </si>
  <si>
    <t xml:space="preserve">Améliorer les canaux de communication pour diffuser les mises à jour organisationnelles</t>
  </si>
  <si>
    <t xml:space="preserve">Exemples de communications internes diffusées lors des changements</t>
  </si>
  <si>
    <t xml:space="preserve">Messages de communication interne inadaptés ou mal diffusés.</t>
  </si>
  <si>
    <t xml:space="preserve">Adapter les messages de communication interne aux différents publics</t>
  </si>
  <si>
    <t xml:space="preserve">Des sessions de sensibilisation sont organisées pour expliquer les changements et responsabilités</t>
  </si>
  <si>
    <t xml:space="preserve">Des sessions de sensibilisation sont-elles organisées pour expliquer les changements et responsabilités?</t>
  </si>
  <si>
    <t xml:space="preserve">Programme des sessions de sensibilisation sur les changements organisationnels</t>
  </si>
  <si>
    <t xml:space="preserve">Sensibilisation aux changements organisationnels insuffisante.</t>
  </si>
  <si>
    <t xml:space="preserve">Renforcer les campagnes de sensibilisation sur les changements organisationnels</t>
  </si>
  <si>
    <t xml:space="preserve">Rapports de participation aux sessions de sensibilisation</t>
  </si>
  <si>
    <t xml:space="preserve">Faible participation aux sessions de sensibilisation.</t>
  </si>
  <si>
    <t xml:space="preserve">Augmenter l’attractivité des sessions de sensibilisation pour garantir la participation</t>
  </si>
  <si>
    <t xml:space="preserve">Un référent RH est désigné pour répondre aux questions sur la structure organisationnelle</t>
  </si>
  <si>
    <t xml:space="preserve">Un référent RH est-il désigné pour répondre aux questions sur la structure organisationnelle ?</t>
  </si>
  <si>
    <t xml:space="preserve">Liste des référents RH désignés pour la structure organisationnelle</t>
  </si>
  <si>
    <t xml:space="preserve">Manque de clarté sur les rôles des référents RH.</t>
  </si>
  <si>
    <t xml:space="preserve">Clarifier les missions et les responsabilités des référents RH</t>
  </si>
  <si>
    <t xml:space="preserve">Politique interne définissant le rôle des référents RH</t>
  </si>
  <si>
    <t xml:space="preserve">Politique RH non alignée avec les besoins organisationnels.</t>
  </si>
  <si>
    <t xml:space="preserve">Aligner la politique RH avec la stratégie et les évolutions organisationnelles</t>
  </si>
  <si>
    <t xml:space="preserve">La clarté de la communication sur la structure est réalisée</t>
  </si>
  <si>
    <t xml:space="preserve">La clarté de la communication sur la structure est-elle réalisée?</t>
  </si>
  <si>
    <t xml:space="preserve">Plan de communication interne sur la structure organisationnelle</t>
  </si>
  <si>
    <t xml:space="preserve">Plan de communication interne mal structuré.</t>
  </si>
  <si>
    <t xml:space="preserve">Structurer un plan de communication interne cohérent et efficace</t>
  </si>
  <si>
    <t xml:space="preserve">Audit de la clarté et de l’efficacité des communications organisationnelles</t>
  </si>
  <si>
    <t xml:space="preserve">Communications organisationnelles peu efficaces ou ambiguës.</t>
  </si>
  <si>
    <t xml:space="preserve">Optimiser les supports et méthodes de communication organisationnelle</t>
  </si>
  <si>
    <t xml:space="preserve">Vérifier que les structures, les rattachements et les responsabilités
 sont clairement documentés et accessibles pour consultation,
 garantissant une traçabilité des décisions organisationnelles</t>
  </si>
  <si>
    <t xml:space="preserve">Les documents organisationnels sont centralisés et accessibles</t>
  </si>
  <si>
    <t xml:space="preserve">Les documents organisationnels sont-ils centralisés et accessibles ?</t>
  </si>
  <si>
    <t xml:space="preserve">Référentiel des documents organisationnels centralisés</t>
  </si>
  <si>
    <t xml:space="preserve">Documents organisationnels mal centralisés ou dispersés.</t>
  </si>
  <si>
    <t xml:space="preserve">Centraliser et organiser efficacement les documents organisationnels</t>
  </si>
  <si>
    <t xml:space="preserve">Procédure d’accès aux documents organisationnels</t>
  </si>
  <si>
    <t xml:space="preserve">Accès aux documents organisationnels restreint ou non encadré.</t>
  </si>
  <si>
    <t xml:space="preserve">Établir un accès sécurisé et encadré aux documents organisationnels</t>
  </si>
  <si>
    <t xml:space="preserve">Toute modification est archivée avec les motifs et décisions associées</t>
  </si>
  <si>
    <t xml:space="preserve">Toute modification est-elle archivée avec les motifs et décisions associées ?</t>
  </si>
  <si>
    <t xml:space="preserve">Registre des modifications structurelles archivées</t>
  </si>
  <si>
    <t xml:space="preserve">Historique des modifications structurelles mal tenu.</t>
  </si>
  <si>
    <t xml:space="preserve">Mettre en place un suivi rigoureux des modifications structurelles</t>
  </si>
  <si>
    <t xml:space="preserve">Documentation des motifs et décisions associées aux modifications</t>
  </si>
  <si>
    <t xml:space="preserve">Décisions de modification de structure non justifiées.</t>
  </si>
  <si>
    <t xml:space="preserve">Justifier et documenter chaque décision de modification structurelle</t>
  </si>
  <si>
    <t xml:space="preserve">Une politique de conservation des documents organisationnels est définie et appliquée</t>
  </si>
  <si>
    <t xml:space="preserve">Une politique de conservation des documents organisationnels est-elle définie et appliquée?</t>
  </si>
  <si>
    <t xml:space="preserve">Politique de conservation des documents organisationnels</t>
  </si>
  <si>
    <t xml:space="preserve">Conservation des documents organisationnels non maîtrisée.</t>
  </si>
  <si>
    <t xml:space="preserve">Définir une politique claire et rigoureuse de conservation des documents</t>
  </si>
  <si>
    <t xml:space="preserve">Procédure de gestion et d’archivage des documents</t>
  </si>
  <si>
    <t xml:space="preserve">Archivage des documents mal géré ou non conforme.</t>
  </si>
  <si>
    <t xml:space="preserve">Instaurer un système d’archivage conforme aux normes en vigueur</t>
  </si>
  <si>
    <t xml:space="preserve">Des contrôles réguliers sont effectués pour s'assurer que les documents sont à jour</t>
  </si>
  <si>
    <t xml:space="preserve">Des contrôles réguliers sont-ils effectués pour s'assurer que les documents sont à jour ?</t>
  </si>
  <si>
    <t xml:space="preserve">Plan de contrôle régulier des documents organisationnels</t>
  </si>
  <si>
    <t xml:space="preserve">Contrôle des documents organisationnels insuffisant.</t>
  </si>
  <si>
    <t xml:space="preserve">Renforcer le contrôle des documents organisationnels pour garantir leur fiabilité</t>
  </si>
  <si>
    <t xml:space="preserve">Rapports de conformité sur la mise à jour des documents</t>
  </si>
  <si>
    <t xml:space="preserve">Non-respect des délais de mise à jour des documents.</t>
  </si>
  <si>
    <t xml:space="preserve">Mettre en place un calendrier strict de mise à jour des documents</t>
  </si>
  <si>
    <t xml:space="preserve">Les modifications de structure sont notifiées aux parties prenantes concernées</t>
  </si>
  <si>
    <t xml:space="preserve">Les modifications de structure sont-elles notifiées aux parties prenantes concernées?</t>
  </si>
  <si>
    <t xml:space="preserve">Procédure de notification des modifications de structure aux parties prenantes</t>
  </si>
  <si>
    <t xml:space="preserve">Notification des modifications aux parties prenantes défaillante.</t>
  </si>
  <si>
    <t xml:space="preserve">Assurer une notification systématique des modifications aux parties prenantes</t>
  </si>
  <si>
    <t xml:space="preserve">Liste des parties prenantes informées lors des modifications</t>
  </si>
  <si>
    <t xml:space="preserve">Liste des parties prenantes informées incomplète ou erronée.</t>
  </si>
  <si>
    <t xml:space="preserve">Maintenir une liste à jour et fiable des parties prenantes concernées</t>
  </si>
  <si>
    <t xml:space="preserve">Compétences des individus</t>
  </si>
  <si>
    <t xml:space="preserve">S’assurer que l’organisation dispose de processus clairs et
 formalisés pour attirer des talents qualifiés dans les domaines
 nécessaires à son fonctionnement, y compris pour les systèmes
 d’information</t>
  </si>
  <si>
    <t xml:space="preserve">L’organisation dispose d’une politique de recrutement officielle précisant les critères de sélection des candidats.</t>
  </si>
  <si>
    <t xml:space="preserve">L’organisation dispose-elle d’une politique de recrutement officielle précisant les critères de sélection des candidats?</t>
  </si>
  <si>
    <t xml:space="preserve">Politique de recrutement officielle</t>
  </si>
  <si>
    <t xml:space="preserve">Politique de recrutement inadaptée ou obsolète.</t>
  </si>
  <si>
    <t xml:space="preserve">Réviser et adapter régulièrement la politique de recrutement aux besoins réels</t>
  </si>
  <si>
    <t xml:space="preserve">Documentation précisant les critères de sélection des candidats</t>
  </si>
  <si>
    <t xml:space="preserve">Critères de sélection des candidats mal définis.</t>
  </si>
  <si>
    <t xml:space="preserve">Définir des critères clairs et objectifs pour la sélection des candidats</t>
  </si>
  <si>
    <t xml:space="preserve">Chaque recrutement suit un processus standardisé incluant des évaluations de compétences et des entretiens structurés.</t>
  </si>
  <si>
    <t xml:space="preserve">Chaque recrutement suit-il un processus standardisé incluant des évaluations de compétences et des entretiens structurés?</t>
  </si>
  <si>
    <t xml:space="preserve">Processus standardisé de recrutement</t>
  </si>
  <si>
    <t xml:space="preserve">Processus de recrutement non standardisé ou inégalitaire.</t>
  </si>
  <si>
    <t xml:space="preserve">Standardiser et encadrer les processus de recrutement</t>
  </si>
  <si>
    <t xml:space="preserve">Grille d’évaluation des compétences et guide des entretiens</t>
  </si>
  <si>
    <t xml:space="preserve">Évaluation des compétences des candidats non fiable.</t>
  </si>
  <si>
    <t xml:space="preserve">Mettre en place une méthodologie rigoureuse pour évaluer les compétences des candidats</t>
  </si>
  <si>
    <t xml:space="preserve">Des partenariats existent avec des établissements de formation ou des plateformes spécialisées pour attirer les talents.</t>
  </si>
  <si>
    <t xml:space="preserve">Des partenariats existent-ils avec des établissements de formation ou des plateformes spécialisées pour attirer les talents?</t>
  </si>
  <si>
    <t xml:space="preserve">Liste des partenariats avec des établissements de formation et plateformes de recrutement</t>
  </si>
  <si>
    <t xml:space="preserve">Manque de partenariats stratégiques pour le recrutement.</t>
  </si>
  <si>
    <t xml:space="preserve">Développer des partenariats stratégiques pour élargir les opportunités de recrutement</t>
  </si>
  <si>
    <t xml:space="preserve">Convention ou accord cadre avec les partenaires de recrutement</t>
  </si>
  <si>
    <t xml:space="preserve">Absence d’accords formels avec les partenaires de recrutement.</t>
  </si>
  <si>
    <t xml:space="preserve">Formaliser des accords avec les partenaires pour structurer les recrutements</t>
  </si>
  <si>
    <t xml:space="preserve">Le processus de recrutement est documenté et audité régulièrement pour garantir son efficacité.</t>
  </si>
  <si>
    <t xml:space="preserve">Le processus de recrutement est-il documenté et audité régulièrement pour garantir son efficacité?</t>
  </si>
  <si>
    <t xml:space="preserve">Processus documenté d’audit du recrutement</t>
  </si>
  <si>
    <t xml:space="preserve">Audit du processus de recrutement inexistant ou inefficace.</t>
  </si>
  <si>
    <t xml:space="preserve">Réaliser régulièrement des audits sur l’efficacité du processus de recrutement</t>
  </si>
  <si>
    <t xml:space="preserve">Rapports d’évaluation de l’efficacité du recrutement</t>
  </si>
  <si>
    <t xml:space="preserve">Évaluation de l’efficacité du recrutement absente ou insuffisante.</t>
  </si>
  <si>
    <t xml:space="preserve">Définir des indicateurs de performance pour évaluer la qualité du recrutement</t>
  </si>
  <si>
    <t xml:space="preserve">Un suivi est réalisé sur la qualité des nouvelles recrues en termes de performance et d’adéquation avec les besoins de l’organisation.</t>
  </si>
  <si>
    <t xml:space="preserve">Un suivi est-il réalisé sur la qualité des nouvelles recrues en termes de performance et d’adéquation avec les besoins de l’organisation?</t>
  </si>
  <si>
    <t xml:space="preserve">Suivi de la qualité des nouvelles recrues</t>
  </si>
  <si>
    <t xml:space="preserve">Suivi de l’intégration des nouvelles recrues déficient.</t>
  </si>
  <si>
    <t xml:space="preserve">Suivre et accompagner les nouvelles recrues pour garantir leur intégration</t>
  </si>
  <si>
    <t xml:space="preserve">Indicateurs de performance des nouvelles recrues</t>
  </si>
  <si>
    <t xml:space="preserve">Indicateurs de performance des nouvelles recrues inexistants ou inexploitables.</t>
  </si>
  <si>
    <t xml:space="preserve">Développer des KPIs pour mesurer la performance des nouvelles recrues</t>
  </si>
  <si>
    <t xml:space="preserve">Vérifier que l’organisation met en place des programmes de
 formation continue pour ses collaborateurs, en particulier dans les
 domaines stratégiques comme la gestion des systèmes
 d'information et la cybersécurité</t>
  </si>
  <si>
    <t xml:space="preserve">Un plan de formation annuel est défini et validé par la direction en fonction des besoins stratégiques.</t>
  </si>
  <si>
    <t xml:space="preserve">Un plan de formation annuel est-il défini et validé par la direction en fonction des besoins stratégiques?</t>
  </si>
  <si>
    <t xml:space="preserve">Plan de formation annuel validé par la direction</t>
  </si>
  <si>
    <t xml:space="preserve">Plan de formation non aligné avec la stratégie de l’organisation.</t>
  </si>
  <si>
    <t xml:space="preserve">Faible montée en compétence des employés.</t>
  </si>
  <si>
    <t xml:space="preserve">Mettre en place des plans de formation adaptés aux besoins des employés</t>
  </si>
  <si>
    <t xml:space="preserve">Liste des formations stratégiques alignées sur les objectifs de l’organisation</t>
  </si>
  <si>
    <t xml:space="preserve">Liste des formations stratégiques incomplète ou obsolète.</t>
  </si>
  <si>
    <t xml:space="preserve">Désalignement entre formation et besoins stratégiques.</t>
  </si>
  <si>
    <t xml:space="preserve">Aligner les formations avec les objectifs stratégiques de l’organisation</t>
  </si>
  <si>
    <t xml:space="preserve">Les formations obligatoires sont identifiées et suivies par l’ensemble des collaborateurs concernés.</t>
  </si>
  <si>
    <t xml:space="preserve">Les formations obligatoires sont-elles identifiées et suivies par l’ensemble des collaborateurs concernés?</t>
  </si>
  <si>
    <t xml:space="preserve">Catalogue des formations obligatoires</t>
  </si>
  <si>
    <t xml:space="preserve">Catalogue des formations obligatoires mal défini ou non mis à jour.</t>
  </si>
  <si>
    <t xml:space="preserve">Non-respect des obligations légales en matière de formation.</t>
  </si>
  <si>
    <t xml:space="preserve">Assurer une conformité stricte aux obligations légales en matière de formation</t>
  </si>
  <si>
    <t xml:space="preserve">Outil de suivi des formations obligatoires par collaborateur</t>
  </si>
  <si>
    <t xml:space="preserve">Outil de suivi des formations inefficace ou non utilisé.</t>
  </si>
  <si>
    <t xml:space="preserve">Suivi des formations difficile ou erroné.</t>
  </si>
  <si>
    <t xml:space="preserve">Mettre en place un suivi rigoureux pour évaluer l’impact des formations</t>
  </si>
  <si>
    <t xml:space="preserve">Les collaborateurs ont accès à des formations adaptées à leur poste via des plateformes en ligne ou en présentiel.</t>
  </si>
  <si>
    <t xml:space="preserve">Les collaborateurs ont-ils accès à des formations adaptées à leur poste via des plateformes en ligne ou en présentiel?</t>
  </si>
  <si>
    <t xml:space="preserve">Plateforme de formation en ligne et en présentiel</t>
  </si>
  <si>
    <t xml:space="preserve">Dysfonctionnements ou accessibilité limitée de la plateforme de formation.</t>
  </si>
  <si>
    <t xml:space="preserve">Difficultés d’accès à la formation pour les employés.</t>
  </si>
  <si>
    <t xml:space="preserve">Faciliter l’accès aux formations pour garantir l’égalité des chances</t>
  </si>
  <si>
    <t xml:space="preserve">Guide d’accès aux formations disponibles</t>
  </si>
  <si>
    <t xml:space="preserve">Guide d’accès aux formations non mis à jour ou mal communiqué.</t>
  </si>
  <si>
    <t xml:space="preserve">Confusion sur l’offre de formation disponible.</t>
  </si>
  <si>
    <t xml:space="preserve">Clarifier et communiquer régulièrement sur l’offre de formation disponible</t>
  </si>
  <si>
    <t xml:space="preserve">La participation aux formations est suivie et des attestations sont délivrées pour garantir la conformité.</t>
  </si>
  <si>
    <t xml:space="preserve">La participation aux formations est-elle suivie et des attestations sont délivrées pour garantir la conformité?</t>
  </si>
  <si>
    <t xml:space="preserve">Registre de suivi des participations aux formations</t>
  </si>
  <si>
    <t xml:space="preserve">Registre des participations aux formations inexact ou incomplet.</t>
  </si>
  <si>
    <t xml:space="preserve">Manque de visibilité sur l’historique des formations suivies.</t>
  </si>
  <si>
    <t xml:space="preserve">Mettre en place un système de suivi des formations centralisé et accessible</t>
  </si>
  <si>
    <t xml:space="preserve">Modèle d’attestation délivrée aux participants</t>
  </si>
  <si>
    <t xml:space="preserve">Modèle d’attestation non standardisé ou mal délivré.</t>
  </si>
  <si>
    <t xml:space="preserve">Attestations non conformes aux standards professionnels.</t>
  </si>
  <si>
    <t xml:space="preserve">Garantir la conformité des attestations aux standards professionnels</t>
  </si>
  <si>
    <t xml:space="preserve">Des évaluations post-formation sont réalisées pour mesurer l’impact des formations sur les compétences des employés.</t>
  </si>
  <si>
    <t xml:space="preserve">Des évaluations post-formation sont-elles réalisées pour mesurer l’impact des formations sur les compétences des employés?</t>
  </si>
  <si>
    <t xml:space="preserve">Rapports d’évaluation post-formation</t>
  </si>
  <si>
    <t xml:space="preserve">Rapports d’évaluation post-formation non exploités.</t>
  </si>
  <si>
    <t xml:space="preserve">Investissement en formation sans mesure d’impact.</t>
  </si>
  <si>
    <t xml:space="preserve">Définir des indicateurs d’évaluation pour mesurer l’impact des formations</t>
  </si>
  <si>
    <t xml:space="preserve">Analyse des impacts des formations sur les compétences</t>
  </si>
  <si>
    <t xml:space="preserve">Analyse des impacts des formations sur les compétences inexistante ou insuffisante.</t>
  </si>
  <si>
    <t xml:space="preserve">Difficulté à identifier les améliorations nécessaires.</t>
  </si>
  <si>
    <t xml:space="preserve">Établir un processus d’analyse continue des besoins en formation</t>
  </si>
  <si>
    <t xml:space="preserve">S’assurer que des mécanismes de fidélisation des talents sont en
 place, tels que des parcours de carrière, des avantages compétitifs
 et des opportunités de développement personnel, pour encourager
 les collaborateurs à rester au sein de l’organisation</t>
  </si>
  <si>
    <t xml:space="preserve">Un plan de développement de carrière est défini pour chaque employé et mis à jour régulièrement.</t>
  </si>
  <si>
    <t xml:space="preserve">Un plan de développement de carrière est-il défini pour chaque employé et mis à jour régulièrement?</t>
  </si>
  <si>
    <t xml:space="preserve">Plan de développement de carrière des employés</t>
  </si>
  <si>
    <t xml:space="preserve">Plan de développement de carrière non structuré ou inégalement appliqué.</t>
  </si>
  <si>
    <t xml:space="preserve">Stagnation professionnelle des employés.</t>
  </si>
  <si>
    <t xml:space="preserve">Mettre en place des parcours de formation favorisant l’évolution professionnelle</t>
  </si>
  <si>
    <t xml:space="preserve">Procédure de mise à jour des plans de carrière</t>
  </si>
  <si>
    <t xml:space="preserve">Procédure de mise à jour des plans de carrière mal définie.</t>
  </si>
  <si>
    <t xml:space="preserve">Insatisfaction des collaborateurs face aux perspectives de carrière.</t>
  </si>
  <si>
    <t xml:space="preserve">Aligner les opportunités de carrière avec les attentes des collaborateurs</t>
  </si>
  <si>
    <t xml:space="preserve">Des dispositifs de reconnaissance (primes, promotions, avantages) existent et sont accessibles selon des critères transparents.</t>
  </si>
  <si>
    <t xml:space="preserve">Des dispositifs de reconnaissance (primes, promotions, avantages) existent-ils et sont-ils accessibles selon des critères transparents?</t>
  </si>
  <si>
    <t xml:space="preserve">Politique de reconnaissance des employés</t>
  </si>
  <si>
    <t xml:space="preserve">Politique de reconnaissance des employés inéquitable ou mal communiquée.</t>
  </si>
  <si>
    <t xml:space="preserve">Démotivation et baisse de l’engagement des employés.</t>
  </si>
  <si>
    <t xml:space="preserve">Renforcer la motivation par des actions de reconnaissance et d’engagement</t>
  </si>
  <si>
    <t xml:space="preserve">Grille des critères pour l’attribution des primes et promotions</t>
  </si>
  <si>
    <t xml:space="preserve">Critères d’attribution des primes et promotions peu transparents.</t>
  </si>
  <si>
    <t xml:space="preserve">Frustration due à un manque de reconnaissance.</t>
  </si>
  <si>
    <t xml:space="preserve">Valoriser les réussites et contributions des employés de manière formelle</t>
  </si>
  <si>
    <t xml:space="preserve">L’organisation réalise des enquêtes de satisfaction et d’engagement des employés pour ajuster ses politiques RH.</t>
  </si>
  <si>
    <t xml:space="preserve">L’organisation réalise-t-elle des enquêtes de satisfaction et d’engagement des employés pour ajuster ses politiques RH?</t>
  </si>
  <si>
    <t xml:space="preserve">Résultats des enquêtes de satisfaction et d’engagement des employés</t>
  </si>
  <si>
    <t xml:space="preserve">Enquêtes de satisfaction et d’engagement des employés mal réalisées ou biaisées.</t>
  </si>
  <si>
    <t xml:space="preserve">Perte de confiance des employés dans la gestion RH.</t>
  </si>
  <si>
    <t xml:space="preserve">Améliorer la transparence et la communication sur les actions RH</t>
  </si>
  <si>
    <t xml:space="preserve">Plan d’action RH basé sur les retours des enquêtes</t>
  </si>
  <si>
    <t xml:space="preserve">Plan d’action RH basé sur des retours d’enquête insuffisants ou mal interprétés.</t>
  </si>
  <si>
    <t xml:space="preserve">Plans d’action RH inefficaces ou inadaptés.</t>
  </si>
  <si>
    <t xml:space="preserve">Adapter les plans d’action RH aux besoins réels des employés et de l’entreprise</t>
  </si>
  <si>
    <t xml:space="preserve">Un suivi des taux de turnover est effectué et analysé afin d’identifier les causes des départs.</t>
  </si>
  <si>
    <t xml:space="preserve">Un suivi des taux de turnover est-il effectué et analysé afin d’identifier les causes des départs?</t>
  </si>
  <si>
    <t xml:space="preserve">Suivi et analyse du taux de turnover</t>
  </si>
  <si>
    <t xml:space="preserve">Suivi du taux de turnover inexact ou insuffisamment analysé.</t>
  </si>
  <si>
    <t xml:space="preserve">Augmentation du taux de départs non anticipé.</t>
  </si>
  <si>
    <t xml:space="preserve">Mettre en place une stratégie proactive pour anticiper et limiter les départs</t>
  </si>
  <si>
    <t xml:space="preserve">Rapports d’analyse des causes des départs</t>
  </si>
  <si>
    <t xml:space="preserve">Analyse des causes des départs des employés incomplète ou ignorée.</t>
  </si>
  <si>
    <t xml:space="preserve">Difficulté à retenir les talents clés.</t>
  </si>
  <si>
    <t xml:space="preserve">Développer des programmes de rétention pour les talents clés</t>
  </si>
  <si>
    <t xml:space="preserve">Les collaborateurs bénéficient d’opportunités de mobilité interne et d’évolution professionnelle</t>
  </si>
  <si>
    <t xml:space="preserve">Les collaborateurs bénéficient-ils d’opportunités de mobilité interne et d’évolution professionnelle?</t>
  </si>
  <si>
    <t xml:space="preserve">Processus de mobilité interne</t>
  </si>
  <si>
    <t xml:space="preserve">Processus de mobilité interne mal défini ou peu accessible.</t>
  </si>
  <si>
    <t xml:space="preserve">Mobilité interne limitée, freinant l’évolution des talents.</t>
  </si>
  <si>
    <t xml:space="preserve">Encourager et faciliter la mobilité interne par des parcours structurés</t>
  </si>
  <si>
    <t xml:space="preserve">Liste des opportunités d’évolution professionnelle disponibles</t>
  </si>
  <si>
    <t xml:space="preserve">Opportunités d’évolution professionnelle non communiquées ou limitées.</t>
  </si>
  <si>
    <t xml:space="preserve">Opportunités professionnelles méconnues ou sous-exploitées.</t>
  </si>
  <si>
    <t xml:space="preserve">Améliorer la communication interne sur les opportunités de carrière</t>
  </si>
  <si>
    <t xml:space="preserve">Vérifier que des évaluations régulières de la performance des
 collaborateurs sont menées, avec des retours constructifs et des
 opportunités de développement, afin d’assurer leur progression
 professionnelle</t>
  </si>
  <si>
    <t xml:space="preserve">Des entretiens d’évaluation de la performance sont réalisés au moins une fois par an.</t>
  </si>
  <si>
    <t xml:space="preserve">Des entretiens d’évaluation de la performance sont-ils réalisés au moins une fois par an?</t>
  </si>
  <si>
    <t xml:space="preserve">Rapport annuel des entretiens d’évaluation</t>
  </si>
  <si>
    <t xml:space="preserve">Rapport annuel des entretiens d’évaluation mal consolidé.</t>
  </si>
  <si>
    <t xml:space="preserve">Prise de décision RH mal éclairée sur les évaluations annuelles.</t>
  </si>
  <si>
    <t xml:space="preserve">Utiliser des données objectives pour guider les décisions RH</t>
  </si>
  <si>
    <t xml:space="preserve">Modèle de formulaire d’évaluation de la performance</t>
  </si>
  <si>
    <t xml:space="preserve">Formulaire d’évaluation de la performance mal conçu ou subjectif.</t>
  </si>
  <si>
    <t xml:space="preserve">Évaluations perçues comme injustes ou subjectives.</t>
  </si>
  <si>
    <t xml:space="preserve">Établir des critères d’évaluation clairs et partagés pour garantir l’équité</t>
  </si>
  <si>
    <t xml:space="preserve">Les critères d’évaluation sont définis et communiqués aux collaborateurs pour assurer la transparence.</t>
  </si>
  <si>
    <t xml:space="preserve">Les critères d’évaluation sont-ils définis et communiqués aux collaborateurs pour assurer la transparence?</t>
  </si>
  <si>
    <t xml:space="preserve">Grille des critères d’évaluation de la performance</t>
  </si>
  <si>
    <t xml:space="preserve">Grille des critères d’évaluation non objective ou mal appliquée.</t>
  </si>
  <si>
    <t xml:space="preserve">Critères de performance jugés incohérents ou peu adaptés.</t>
  </si>
  <si>
    <t xml:space="preserve">Définir des indicateurs de performance alignés avec les attentes stratégiques</t>
  </si>
  <si>
    <t xml:space="preserve">Communication interne sur les critères d’évaluation</t>
  </si>
  <si>
    <t xml:space="preserve">Communication interne sur les critères d’évaluation insuffisante ou ambiguë.</t>
  </si>
  <si>
    <t xml:space="preserve">Mauvaise compréhension des attentes en termes de performance.</t>
  </si>
  <si>
    <t xml:space="preserve">Clarifier les attentes en matière de performance pour chaque poste</t>
  </si>
  <si>
    <t xml:space="preserve">Chaque évaluation inclut un plan de développement personnalisé pour aider les collaborateurs à progresser.</t>
  </si>
  <si>
    <t xml:space="preserve">Chaque évaluation inclut-elle un plan de développement personnalisé pour aider les collaborateurs à progresser?</t>
  </si>
  <si>
    <t xml:space="preserve">Modèle de plan de développement personnalisé</t>
  </si>
  <si>
    <t xml:space="preserve">Plan de développement personnalisé mal adapté aux besoins individuels.</t>
  </si>
  <si>
    <t xml:space="preserve">Plans de développement mal adaptés aux besoins individuels.</t>
  </si>
  <si>
    <t xml:space="preserve">Personnaliser les plans de développement en fonction des besoins individuels</t>
  </si>
  <si>
    <t xml:space="preserve">Processus documenté de suivi des plans de développement</t>
  </si>
  <si>
    <t xml:space="preserve">Processus de suivi des plans de développement inefficace ou inexistant.</t>
  </si>
  <si>
    <t xml:space="preserve">Difficulté à suivre l’évolution des collaborateurs.</t>
  </si>
  <si>
    <t xml:space="preserve">Mettre en place un suivi continu et individualisé des collaborateurs</t>
  </si>
  <si>
    <t xml:space="preserve">Un système de notation ou de feedback est mis en place pour suivre l’évolution des performances individuelles.</t>
  </si>
  <si>
    <t xml:space="preserve">Un système de notation ou de feedback est-il mis en place pour suivre l’évolution des performances individuelles?</t>
  </si>
  <si>
    <t xml:space="preserve">Système de notation ou feedback des performances</t>
  </si>
  <si>
    <t xml:space="preserve">Système de notation des performances biaisé ou non standardisé.</t>
  </si>
  <si>
    <t xml:space="preserve">Évaluations biaisées menant à des décisions injustes.</t>
  </si>
  <si>
    <t xml:space="preserve">Former les évaluateurs à des méthodes objectives et transparentes</t>
  </si>
  <si>
    <t xml:space="preserve">Outil de suivi des performances individuelles</t>
  </si>
  <si>
    <t xml:space="preserve">Outil de suivi des performances individuelles non exploité ou mal conçu.</t>
  </si>
  <si>
    <t xml:space="preserve">Stratégie de formation et d’évolution mal ajustée.</t>
  </si>
  <si>
    <t xml:space="preserve">Aligner la stratégie RH avec les besoins réels de développement des talents</t>
  </si>
  <si>
    <t xml:space="preserve">Les résultats des évaluations sont utilisés pour ajuster les formations et les opportunités de carrière.</t>
  </si>
  <si>
    <t xml:space="preserve">Les résultats des évaluations sont-ils utilisés pour ajuster les formations et les opportunités de carrière?</t>
  </si>
  <si>
    <t xml:space="preserve">Analyse des résultats des évaluations de performance</t>
  </si>
  <si>
    <t xml:space="preserve">Résultats des évaluations de performance mal analysés ou non pris en compte.</t>
  </si>
  <si>
    <t xml:space="preserve">Inefficacité des actions de formation et d’accompagnement.</t>
  </si>
  <si>
    <t xml:space="preserve">Adapter les formations et accompagnements aux évolutions du marché</t>
  </si>
  <si>
    <t xml:space="preserve">Plan d’ajustement des formations et opportunités de carrière</t>
  </si>
  <si>
    <t xml:space="preserve">Plan d’ajustement des formations et carrières basé sur des données erronées.</t>
  </si>
  <si>
    <t xml:space="preserve">Stratégie RH mal perçue par les employés et la direction.</t>
  </si>
  <si>
    <t xml:space="preserve">Renforcer la communication interne sur la stratégie RH et ses objectifs</t>
  </si>
  <si>
    <t xml:space="preserve">S’assurer que les processus d’attraction, de formation et de
 fidélisation des talents sont alignés avec les objectifs stratégiques de
 l’organisation, en garantissant qu'ils contribuent à la performance
 globale</t>
  </si>
  <si>
    <t xml:space="preserve">Une stratégie RH globale est définie et alignée avec la vision et les objectifs de l’organisation.</t>
  </si>
  <si>
    <t xml:space="preserve">Une stratégie RH globale est-elle définie et alignée avec la vision et les objectifs de l’organisation?</t>
  </si>
  <si>
    <t xml:space="preserve">Stratégie RH globale validée par la direction</t>
  </si>
  <si>
    <t xml:space="preserve">Stratégie RH globale non alignée avec les besoins réels de l’organisation.</t>
  </si>
  <si>
    <t xml:space="preserve">Difficulté à atteindre les objectifs stratégiques de l’organisation.</t>
  </si>
  <si>
    <t xml:space="preserve">Aligner les pratiques RH avec la vision et les objectifs de l’organisation</t>
  </si>
  <si>
    <t xml:space="preserve">Documentation des objectifs RH alignés avec la vision de l’organisation</t>
  </si>
  <si>
    <t xml:space="preserve">Des indicateurs de performance (KPI) sont mis en place pour mesurer l’impact des politiques RH.</t>
  </si>
  <si>
    <t xml:space="preserve">Des indicateurs de performance (KPI) sont-ils mis en place pour mesurer l’impact des politiques RH?</t>
  </si>
  <si>
    <t xml:space="preserve">Liste des indicateurs de performance RH (KPI)</t>
  </si>
  <si>
    <t xml:space="preserve">Indicateurs de performance RH non représentatifs des besoins réels</t>
  </si>
  <si>
    <t xml:space="preserve">Mauvaise prise de décision RH due à des indicateurs non pertinents</t>
  </si>
  <si>
    <t xml:space="preserve">Définir des indicateurs RH pertinents et alignés avec les besoins stratégiques</t>
  </si>
  <si>
    <t xml:space="preserve">Tableau de bord de suivi des KPI RH</t>
  </si>
  <si>
    <t xml:space="preserve">Tableau de bord RH mal conçu ou mal mis à jour</t>
  </si>
  <si>
    <t xml:space="preserve">Pilotage inefficace des performances RH</t>
  </si>
  <si>
    <t xml:space="preserve">Optimiser les outils de suivi des performances RH pour une meilleure gestion</t>
  </si>
  <si>
    <t xml:space="preserve">La gestion des talents est régulièrement revue et adaptée en fonction des évolutions du marché et des besoins internes.</t>
  </si>
  <si>
    <t xml:space="preserve">La gestion des talents est-elle régulièrement revue et adaptée en fonction des évolutions du marché et des besoins internes?</t>
  </si>
  <si>
    <t xml:space="preserve">Rapport d’analyse de la gestion des talents</t>
  </si>
  <si>
    <t xml:space="preserve">Rapport d’analyse des talents incomplet ou biaisé</t>
  </si>
  <si>
    <t xml:space="preserve">Gestion des talents inadéquate, entraînant des pertes de compétences</t>
  </si>
  <si>
    <t xml:space="preserve">Mettre en place une gestion des talents proactive pour anticiper les besoins</t>
  </si>
  <si>
    <t xml:space="preserve">Étude des évolutions du marché et besoins internes</t>
  </si>
  <si>
    <t xml:space="preserve">Étude des évolutions du marché RH inexploitée ou inexacte</t>
  </si>
  <si>
    <t xml:space="preserve">Décisions RH non adaptées aux évolutions du marché</t>
  </si>
  <si>
    <t xml:space="preserve">Adapter les politiques RH aux évolutions du marché et aux tendances sectorielles</t>
  </si>
  <si>
    <t xml:space="preserve">Le Conseil d’Administration est impliqué dans la validation des stratégies de gestion des talents.</t>
  </si>
  <si>
    <t xml:space="preserve">Le Conseil d’Administration est-il impliqué dans la validation des stratégies de gestion des talents?</t>
  </si>
  <si>
    <t xml:space="preserve">Comptes rendus des réunions du Conseil d’Administration sur la gestion des talents</t>
  </si>
  <si>
    <t xml:space="preserve">Manque d’implication du Conseil d’Administration dans la gestion des talents</t>
  </si>
  <si>
    <t xml:space="preserve">Faible engagement du Conseil dans les questions stratégiques RH</t>
  </si>
  <si>
    <t xml:space="preserve">Sensibiliser et impliquer davantage le Conseil dans les décisions RH</t>
  </si>
  <si>
    <t xml:space="preserve">Documents validant l’implication du Conseil dans la gestion des talents</t>
  </si>
  <si>
    <t xml:space="preserve">Veille RH inefficace ou non intégrée dans les décisions stratégiques</t>
  </si>
  <si>
    <t xml:space="preserve">Perte d’opportunités d’optimisation des pratiques RH</t>
  </si>
  <si>
    <t xml:space="preserve">Mettre en place des audits RH réguliers pour identifier les axes d’optimisation</t>
  </si>
  <si>
    <t xml:space="preserve">Une veille est réalisée sur les meilleures pratiques du secteur pour assurer l’adéquation des politiques RH.</t>
  </si>
  <si>
    <t xml:space="preserve">Une veille est-elle réalisée sur les meilleures pratiques du secteur pour assurer l’adéquation des politiques RH?</t>
  </si>
  <si>
    <t xml:space="preserve">Rapports de veille RH sur les meilleures pratiques du secteur</t>
  </si>
  <si>
    <t xml:space="preserve">Politique RH non ajustée aux évolutions du secteur</t>
  </si>
  <si>
    <t xml:space="preserve">Décalage entre la politique RH et les réalités du secteur</t>
  </si>
  <si>
    <t xml:space="preserve">Réaligner la politique RH avec les réalités du marché et les attentes des employés</t>
  </si>
  <si>
    <t xml:space="preserve">Documentation des ajustements des politiques RH en fonction des évolutions du secteur</t>
  </si>
  <si>
    <t xml:space="preserve">Organigramme fonctionnel mal défini ou obsolète</t>
  </si>
  <si>
    <t xml:space="preserve">Confusion sur les rôles et responsabilités en contrôle interne</t>
  </si>
  <si>
    <t xml:space="preserve">Clarifier et formaliser les rôles et responsabilités en contrôle interne</t>
  </si>
  <si>
    <t xml:space="preserve">Évaluation des Risques</t>
  </si>
  <si>
    <t xml:space="preserve">Spécification des objectifs appropriés</t>
  </si>
  <si>
    <t xml:space="preserve">S’assurer que les responsabilités de chaque collaborateur en
 matière de contrôle interne sont clairement définies, documentées
 et communiquées à l’ensemble de l’organisation</t>
  </si>
  <si>
    <t xml:space="preserve">Un organigramme fonctionnel précisant les rôles et responsabilités en matière de contrôle interne est disponible et accessible à tous.</t>
  </si>
  <si>
    <t xml:space="preserve">Un organigramme fonctionnel précisant les rôles et responsabilités en matière de contrôle interne est-il disponible et accessible à tous?</t>
  </si>
  <si>
    <t xml:space="preserve">Organigramme fonctionnel des rôles et responsabilités en contrôle interne</t>
  </si>
  <si>
    <t xml:space="preserve">Portail interne peu accessible ou contenant des informations erronées</t>
  </si>
  <si>
    <t xml:space="preserve">Difficulté d’accès aux informations sur le contrôle interne</t>
  </si>
  <si>
    <t xml:space="preserve">Faciliter l’accès aux informations de contrôle interne par un portail centralisé</t>
  </si>
  <si>
    <t xml:space="preserve">Portail interne avec accès aux responsabilités en contrôle interne</t>
  </si>
  <si>
    <t xml:space="preserve">Fiches de fonction en contrôle interne incomplètes ou mal définies</t>
  </si>
  <si>
    <t xml:space="preserve">Manque de clarté dans l’attribution des responsabilités de contrôle</t>
  </si>
  <si>
    <t xml:space="preserve">Établir des fiches de responsabilité détaillées pour chaque acteur du contrôle</t>
  </si>
  <si>
    <t xml:space="preserve">Chaque poste dispose d’une fiche de fonction détaillant ses responsabilités en matière de contrôle interne.</t>
  </si>
  <si>
    <t xml:space="preserve">Chaque poste dispose-t-il d’une fiche de fonction détaillant ses responsabilités en matière de contrôle interne?</t>
  </si>
  <si>
    <t xml:space="preserve">Fiches de fonction incluant les responsabilités en contrôle interne</t>
  </si>
  <si>
    <t xml:space="preserve">Manuel des procédures de contrôle interne non mis à jour</t>
  </si>
  <si>
    <t xml:space="preserve">Non-respect des processus de contrôle interne</t>
  </si>
  <si>
    <t xml:space="preserve">Renforcer la formation et le suivi sur l’application des processus de contrôle</t>
  </si>
  <si>
    <t xml:space="preserve">Manuel des procédures précisant les rôles de contrôle interne</t>
  </si>
  <si>
    <t xml:space="preserve">Contrats de travail ne précisant pas clairement les responsabilités de contrôle interne</t>
  </si>
  <si>
    <t xml:space="preserve">Ambiguïtés contractuelles entraînant des litiges</t>
  </si>
  <si>
    <t xml:space="preserve">Rédiger des contrats précis pour éviter toute ambiguïté et limiter les litiges</t>
  </si>
  <si>
    <t xml:space="preserve">Les responsabilités de contrôle interne sont incluses dans les contrats de travail ou dans le règlement intérieur.</t>
  </si>
  <si>
    <t xml:space="preserve">Les responsabilités de contrôle interne sont-elles incluses dans les contrats de travail ou dans le règlement intérieur?</t>
  </si>
  <si>
    <t xml:space="preserve">Modèle de contrat de travail incluant les responsabilités en contrôle interne</t>
  </si>
  <si>
    <t xml:space="preserve">Règlement intérieur ne prenant pas en compte les exigences de contrôle interne</t>
  </si>
  <si>
    <t xml:space="preserve">Non-conformité du règlement intérieur aux exigences réglementaires</t>
  </si>
  <si>
    <t xml:space="preserve">Mettre à jour le règlement intérieur pour assurer sa conformité réglementaire</t>
  </si>
  <si>
    <t xml:space="preserve">Règlement intérieur intégrant les exigences en contrôle interne</t>
  </si>
  <si>
    <t xml:space="preserve">Absence de processus formel de mise à jour des responsabilités de contrôle interne</t>
  </si>
  <si>
    <t xml:space="preserve">Absence de suivi des responsabilités, entraînant des erreurs de contrôle</t>
  </si>
  <si>
    <t xml:space="preserve">Établir un suivi rigoureux des responsabilités pour éviter les erreurs de contrôle</t>
  </si>
  <si>
    <t xml:space="preserve">Une procédure formelle de mise à jour des rôles et responsabilités en matière de contrôle interne est en place.</t>
  </si>
  <si>
    <t xml:space="preserve">Une procédure formelle de mise à jour des rôles et responsabilités en matière de contrôle interne est-elle en place?</t>
  </si>
  <si>
    <t xml:space="preserve">Procédure formelle de mise à jour des responsabilités de contrôle interne</t>
  </si>
  <si>
    <t xml:space="preserve">Historique des mises à jour des rôles inexistant ou mal suivi</t>
  </si>
  <si>
    <t xml:space="preserve">Perte d’historique des ajustements organisationnels</t>
  </si>
  <si>
    <t xml:space="preserve">Mettre en place un archivage structuré des ajustements organisationnels</t>
  </si>
  <si>
    <t xml:space="preserve">Historique des mises à jour des rôles et responsabilités</t>
  </si>
  <si>
    <t xml:space="preserve">Communication interne insuffisante sur les rôles de contrôle interne</t>
  </si>
  <si>
    <t xml:space="preserve">Manque de communication sur les attentes en matière de contrôle interne</t>
  </si>
  <si>
    <t xml:space="preserve">Établir un plan de communication clair sur les attentes en matière de contrôle interne</t>
  </si>
  <si>
    <t xml:space="preserve">Des communications régulières (réunions, notes de service) rappellent les responsabilités des collaborateurs en matière de contrôle interne.</t>
  </si>
  <si>
    <t xml:space="preserve">Des communications régulières (réunions, notes de service) rappellent-elles les responsabilités des collaborateurs en matière de contrôle interne?</t>
  </si>
  <si>
    <t xml:space="preserve">Notes de service et procès-verbaux des réunions sur les responsabilités en contrôle interne</t>
  </si>
  <si>
    <t xml:space="preserve">Absence d’un suivi efficace du contrôle interne via un tableau de bord</t>
  </si>
  <si>
    <t xml:space="preserve">Absence de visibilité sur l’efficacité des contrôles internes</t>
  </si>
  <si>
    <t xml:space="preserve">Définir des indicateurs de suivi pour mesurer l’efficacité des contrôles internes</t>
  </si>
  <si>
    <t xml:space="preserve">Plan de communication interne sur le contrôle interne</t>
  </si>
  <si>
    <t xml:space="preserve">Rapports d’analyse des activités de contrôle interne non exploités</t>
  </si>
  <si>
    <t xml:space="preserve">Non-détection des dysfonctionnements en temps voulu</t>
  </si>
  <si>
    <t xml:space="preserve">Renforcer la surveillance proactive des processus pour détecter rapidement les dysfonctionnements</t>
  </si>
  <si>
    <t xml:space="preserve">Vérifier que des mécanismes de suivi sont mis en place pour
 s’assurer que les responsables respectent leurs responsabilités en
 matière de contrôle interne et rendent compte de leur gestion</t>
  </si>
  <si>
    <t xml:space="preserve">Un tableau de bord de suivi des activités de contrôle interne est mis en place et suivi régulièrement.</t>
  </si>
  <si>
    <t xml:space="preserve">Un tableau de bord de suivi des activités de contrôle interne est-il mis en place et suivi régulièrement?</t>
  </si>
  <si>
    <t xml:space="preserve">Tableau de bord de suivi du contrôle interne</t>
  </si>
  <si>
    <t xml:space="preserve">Réunions entre responsables et direction inefficaces ou sans suivi structuré</t>
  </si>
  <si>
    <t xml:space="preserve">Réunions non productives, impactant la réactivité aux risques</t>
  </si>
  <si>
    <t xml:space="preserve">Optimiser la préparation des réunions avec des ordres du jour précis et des objectifs clairs</t>
  </si>
  <si>
    <t xml:space="preserve">Rapports périodiques d’analyse des activités de contrôle interne</t>
  </si>
  <si>
    <t xml:space="preserve">Plan d’actions correctives non appliqué ou mal documenté</t>
  </si>
  <si>
    <t xml:space="preserve">Échec dans l’application des actions correctives nécessaires</t>
  </si>
  <si>
    <t xml:space="preserve">Assurer un suivi rigoureux de l’application des actions correctives</t>
  </si>
  <si>
    <t xml:space="preserve">Des réunions périodiques sont organisées entre les responsables et la direction pour examiner l’état du contrôle interne.</t>
  </si>
  <si>
    <t xml:space="preserve">Des réunions périodiques sont-elles organisées entre les responsables et la direction pour examiner l’état du contrôle interne?</t>
  </si>
  <si>
    <t xml:space="preserve">Comptes rendus des réunions entre responsables et direction sur le contrôle interne</t>
  </si>
  <si>
    <t xml:space="preserve">Indicateurs de conformité mal définis ou inexploitables</t>
  </si>
  <si>
    <t xml:space="preserve">Difficulté à garantir la conformité aux réglementations</t>
  </si>
  <si>
    <t xml:space="preserve">Mettre en place un cadre formalisé pour garantir la conformité aux réglementations</t>
  </si>
  <si>
    <t xml:space="preserve">Plan d’actions correctives discuté en réunion</t>
  </si>
  <si>
    <t xml:space="preserve">Rapports de suivi des indicateurs de conformité non disponibles ou inexacts</t>
  </si>
  <si>
    <t xml:space="preserve">Suivi insuffisant des mesures de conformité</t>
  </si>
  <si>
    <t xml:space="preserve">Créer un dispositif de contrôle continu des mesures de conformité</t>
  </si>
  <si>
    <t xml:space="preserve">Des indicateurs de conformité (taux de respect des procédures, nombre de contrôles réalisés) sont définis et suivis.</t>
  </si>
  <si>
    <t xml:space="preserve">Des indicateurs de conformité (taux de respect des procédures, nombre de contrôles réalisés) sont-ils définis et suivis?</t>
  </si>
  <si>
    <t xml:space="preserve">Liste des indicateurs de conformité en contrôle interne</t>
  </si>
  <si>
    <t xml:space="preserve">Reporting obligatoire mal structuré ou non respecté</t>
  </si>
  <si>
    <t xml:space="preserve">Reporting incomplet ou retardé, impactant la prise de décision</t>
  </si>
  <si>
    <t xml:space="preserve">Automatiser et structurer le reporting pour éviter les retards et incompréhensions</t>
  </si>
  <si>
    <t xml:space="preserve">Rapports de suivi des indicateurs de conformité</t>
  </si>
  <si>
    <t xml:space="preserve">Absence de standardisation dans les rapports d’avancement des contrôles</t>
  </si>
  <si>
    <t xml:space="preserve">Manque de transparence et d’homogénéité dans les rapports de contrôle</t>
  </si>
  <si>
    <t xml:space="preserve">Standardiser les formats de rapports pour garantir la clarté et la transparence</t>
  </si>
  <si>
    <t xml:space="preserve">Un processus de reporting obligatoire est en place pour documenter l’état d’avancement des contrôles et actions correctives.</t>
  </si>
  <si>
    <t xml:space="preserve">Un processus de reporting obligatoire est-il en place pour documenter l’état d’avancement des contrôles et actions correctives?</t>
  </si>
  <si>
    <t xml:space="preserve">Processus documenté de reporting obligatoire</t>
  </si>
  <si>
    <t xml:space="preserve">Équipe de supervision du contrôle interne mal définie ou insuffisamment qualifiée</t>
  </si>
  <si>
    <t xml:space="preserve">Supervision inefficace du contrôle interne</t>
  </si>
  <si>
    <t xml:space="preserve">Renforcer les mécanismes de supervision du contrôle interne</t>
  </si>
  <si>
    <t xml:space="preserve">Exemples de rapports d’avancement des contrôles et actions correctives</t>
  </si>
  <si>
    <t xml:space="preserve">Missions de l’équipe de supervision mal documentées ou non respectées</t>
  </si>
  <si>
    <t xml:space="preserve">Équipe de supervision peu performante ou non responsabilisée</t>
  </si>
  <si>
    <t xml:space="preserve">Responsabiliser l’équipe de supervision par des objectifs clairs et un suivi régulier</t>
  </si>
  <si>
    <t xml:space="preserve">Une équipe de supervision est chargée de veiller à la mise en œuvre effective des responsabilités en matière de contrôle interne.</t>
  </si>
  <si>
    <t xml:space="preserve">Une équipe de supervision est-elle chargée de veiller à la mise en œuvre effective des responsabilités en matière de contrôle interne?</t>
  </si>
  <si>
    <t xml:space="preserve">Liste des membres de l’équipe de supervision du contrôle interne</t>
  </si>
  <si>
    <t xml:space="preserve">Modèle de reporting non appliqué de manière homogène</t>
  </si>
  <si>
    <t xml:space="preserve">Mauvaise anticipation des risques internes</t>
  </si>
  <si>
    <t xml:space="preserve">Mettre en place un dispositif d’alerte précoce pour anticiper les risques internes</t>
  </si>
  <si>
    <t xml:space="preserve">Procédure détaillant les missions de l’équipe de supervision</t>
  </si>
  <si>
    <t xml:space="preserve">Indicateurs de performance en contrôle interne mal suivis</t>
  </si>
  <si>
    <t xml:space="preserve">Suivi des performances de contrôle interne défaillant</t>
  </si>
  <si>
    <t xml:space="preserve">Développer un tableau de bord de suivi des performances du contrôle interne</t>
  </si>
  <si>
    <t xml:space="preserve">S’assurer que des processus de reporting sont en place pour
 permettre à chaque responsable de rendre compte de
 l’accomplissement de ses tâches liées au contrôle interne, avec des
 indicateurs de performance définis</t>
  </si>
  <si>
    <t xml:space="preserve">Un format standardisé de reporting sur le contrôle interne est défini et appliqué à tous les niveaux de l’organisation.</t>
  </si>
  <si>
    <t xml:space="preserve">Un format standardisé de reporting sur le contrôle interne est-il défini et appliqué à tous les niveaux de l’organisation?</t>
  </si>
  <si>
    <t xml:space="preserve">Modèle de reporting standardisé en contrôle interne</t>
  </si>
  <si>
    <t xml:space="preserve">Procédures de mise à jour des indicateurs de performance inexistantes</t>
  </si>
  <si>
    <t xml:space="preserve">Dysfonctionnements du SI entraînant des lacunes dans le reporting</t>
  </si>
  <si>
    <t xml:space="preserve">Moderniser le SI et renforcer les contrôles techniques pour assurer la fiabilité du reporting</t>
  </si>
  <si>
    <t xml:space="preserve">Documentation de l’application du format standardisé</t>
  </si>
  <si>
    <t xml:space="preserve">Dysfonctionnements du SI impactant la remontée des rapports de contrôle interne</t>
  </si>
  <si>
    <t xml:space="preserve">Exploitation limitée des données issues du contrôle interne</t>
  </si>
  <si>
    <t xml:space="preserve">Exploiter les données du contrôle interne grâce à des outils analytiques avancés</t>
  </si>
  <si>
    <t xml:space="preserve">Les indicateurs de performance en matière de contrôle interne sont documentés et mis à jour régulièrement.</t>
  </si>
  <si>
    <t xml:space="preserve">Les indicateurs de performance en matière de contrôle interne sont-ils documentés et mis à jour régulièrement?</t>
  </si>
  <si>
    <t xml:space="preserve">Registre des indicateurs de performance en contrôle interne</t>
  </si>
  <si>
    <t xml:space="preserve">Procédures d’analyse des rapports via le SI mal définies ou inefficaces</t>
  </si>
  <si>
    <t xml:space="preserve">Retards dans la transmission des informations critiques</t>
  </si>
  <si>
    <t xml:space="preserve">Optimiser la transmission des informations critiques par des procédures de communication claires</t>
  </si>
  <si>
    <t xml:space="preserve">Procédures de mise à jour des indicateurs de performance</t>
  </si>
  <si>
    <t xml:space="preserve">Transmission des rapports hors délais ou non respectée</t>
  </si>
  <si>
    <t xml:space="preserve">Absence de mise à jour des processus de reporting</t>
  </si>
  <si>
    <t xml:space="preserve">Mettre en place un processus de mise à jour périodique des procédures de reporting</t>
  </si>
  <si>
    <t xml:space="preserve">Un système d’information permet la remontée et l’analyse des rapports de contrôle interne.</t>
  </si>
  <si>
    <t xml:space="preserve">Le SI permet-il la remontée et l’analyse des rapports de contrôle interne?</t>
  </si>
  <si>
    <t xml:space="preserve">Documentation du SI permettant la remontée des rapports de contrôle interne</t>
  </si>
  <si>
    <t xml:space="preserve">Évaluations des processus de reporting non effectuées régulièrement</t>
  </si>
  <si>
    <t xml:space="preserve">Informations de contrôle interne peu fiables ou incomplètes</t>
  </si>
  <si>
    <t xml:space="preserve">Fiabiliser les informations du contrôle interne par des audits réguliers</t>
  </si>
  <si>
    <t xml:space="preserve">Procédures d’analyse des rapports via le SI</t>
  </si>
  <si>
    <t xml:space="preserve">Qualité des informations remontées dans les rapports insuffisante</t>
  </si>
  <si>
    <t xml:space="preserve">Contrôles internes inefficaces en raison d’une évaluation inadaptée</t>
  </si>
  <si>
    <t xml:space="preserve">Revoir les méthodologies d’évaluation pour garantir l’efficacité des contrôles internes</t>
  </si>
  <si>
    <t xml:space="preserve">Des délais de transmission des rapports sont établis et respectés par les responsables concernés.</t>
  </si>
  <si>
    <t xml:space="preserve">Des délais de transmission des rapports sont-ils établis et respectés par les responsables concernés?</t>
  </si>
  <si>
    <t xml:space="preserve">Plan de transmission des rapports avec délais définis</t>
  </si>
  <si>
    <t xml:space="preserve">Grille d’évaluation des contrôles internes mal appliquée ou obsolète</t>
  </si>
  <si>
    <t xml:space="preserve">Mauvaise application des critères d’évaluation du contrôle interne</t>
  </si>
  <si>
    <t xml:space="preserve">Clarifier et appliquer rigoureusement les critères d’évaluation du contrôle interne</t>
  </si>
  <si>
    <t xml:space="preserve">Suivi du respect des délais de transmission des rapports</t>
  </si>
  <si>
    <t xml:space="preserve">Documentation sur l’application de la grille d’évaluation insuffisante</t>
  </si>
  <si>
    <t xml:space="preserve">Perte de réactivité face aux évolutions réglementaires</t>
  </si>
  <si>
    <t xml:space="preserve">Assurer une veille réglementaire active pour s’adapter rapidement aux évolutions</t>
  </si>
  <si>
    <t xml:space="preserve">Des évaluations périodiques du reporting sont effectuées pour améliorer la qualité des informations remontées.</t>
  </si>
  <si>
    <t xml:space="preserve">Des évaluations périodiques du reporting sont-elles effectuées pour améliorer la qualité des informations remontées?</t>
  </si>
  <si>
    <t xml:space="preserve">Évaluations des processus de reporting en contrôle interne</t>
  </si>
  <si>
    <t xml:space="preserve">Revue des pratiques de contrôle interne non réalisée régulièrement</t>
  </si>
  <si>
    <t xml:space="preserve">Risques accrus de non-conformité et de sanctions réglementaires</t>
  </si>
  <si>
    <t xml:space="preserve">Mettre en place un dispositif de contrôle renforcé pour limiter les risques de non-conformité</t>
  </si>
  <si>
    <t xml:space="preserve">Rapports d’amélioration de la qualité des informations remontées</t>
  </si>
  <si>
    <t xml:space="preserve">Rapports d’amélioration de la qualité des informations remontées imprécis ou inexploités</t>
  </si>
  <si>
    <t xml:space="preserve">Informations remontées imprécises ou inexploitées</t>
  </si>
  <si>
    <t xml:space="preserve">Mettre en place des mécanismes de validation et de vérification des informations remontées</t>
  </si>
  <si>
    <t xml:space="preserve">Vérifier que des procédures de contrôle sont en place pour évaluer
 la conformité des actions des responsables avec les normes de
 contrôle interne, et pour identifier les non-conformités ou les écarts</t>
  </si>
  <si>
    <t xml:space="preserve">Une grille d’évaluation des contrôles internes est mise en place pour vérifier le respect des procédures.</t>
  </si>
  <si>
    <t xml:space="preserve">Une grille d’évaluation des contrôles internes est-elle mise en place pour vérifier le respect des procédures?</t>
  </si>
  <si>
    <t xml:space="preserve">Grille d’évaluation des contrôles internes</t>
  </si>
  <si>
    <t xml:space="preserve">Grille d’évaluation des contrôles internes obsolète ou mal appliquée</t>
  </si>
  <si>
    <t xml:space="preserve">Décisions basées sur des données erronées ou incomplètes</t>
  </si>
  <si>
    <t xml:space="preserve">Renforcer les contrôles qualité des données utilisées pour la prise de décision</t>
  </si>
  <si>
    <t xml:space="preserve">Documentation sur l’application de la grille d’évaluation</t>
  </si>
  <si>
    <t xml:space="preserve">Évaluation inefficace des dispositifs de contrôle interne</t>
  </si>
  <si>
    <t xml:space="preserve">Établir un cadre d’évaluation structuré et standardisé pour le contrôle interne</t>
  </si>
  <si>
    <t xml:space="preserve">Des revues périodiques sont réalisées pour s’assurer de la conformité des pratiques aux normes établies.</t>
  </si>
  <si>
    <t xml:space="preserve">Des revues périodiques sont-elles réalisées pour s’assurer de la conformité des pratiques aux normes établies?</t>
  </si>
  <si>
    <t xml:space="preserve">Planning des revues périodiques des pratiques de contrôle interne</t>
  </si>
  <si>
    <t xml:space="preserve">Planning des revues de contrôle interne non respecté</t>
  </si>
  <si>
    <t xml:space="preserve">Mauvaise compréhension et application inégale des critères d’évaluation</t>
  </si>
  <si>
    <t xml:space="preserve">Former les équipes à une application homogène des critères d’évaluation</t>
  </si>
  <si>
    <t xml:space="preserve">Rapports des revues de conformité aux normes établies</t>
  </si>
  <si>
    <t xml:space="preserve">Rapports des revues de conformité aux normes incomplets ou non conformes</t>
  </si>
  <si>
    <t xml:space="preserve">Retard dans l’identification et la correction des faiblesses du contrôle interne</t>
  </si>
  <si>
    <t xml:space="preserve">Mettre en place un système d’alerte et de suivi des faiblesses du contrôle interne</t>
  </si>
  <si>
    <t xml:space="preserve">Un registre des non-conformités est tenu et mis à jour après chaque contrôle.</t>
  </si>
  <si>
    <t xml:space="preserve">Un registre des non-conformités est-il tenu et mis à jour après chaque contrôle?</t>
  </si>
  <si>
    <t xml:space="preserve">Registre des non-conformités documentées</t>
  </si>
  <si>
    <t xml:space="preserve">Registre des non-conformités mal tenu ou non mis à jour</t>
  </si>
  <si>
    <t xml:space="preserve">Non-détection des écarts de conformité pouvant entraîner des sanctions</t>
  </si>
  <si>
    <t xml:space="preserve">Automatiser la détection des écarts de conformité pour prévenir les sanctions</t>
  </si>
  <si>
    <t xml:space="preserve">Historique des mises à jour du registre des non-conformités</t>
  </si>
  <si>
    <t xml:space="preserve">Historique des mises à jour des non-conformités inexistant ou erroné</t>
  </si>
  <si>
    <t xml:space="preserve">Difficulté à suivre les incidents et à assurer leur correction efficace</t>
  </si>
  <si>
    <t xml:space="preserve">Créer un registre de suivi des incidents et des mesures correctives mises en place</t>
  </si>
  <si>
    <t xml:space="preserve">Des plans d’action correctifs sont systématiquement élaborés et suivis en cas de détection d’écarts.</t>
  </si>
  <si>
    <t xml:space="preserve">Des plans d’action correctifs sont-ils systématiquement élaborés et suivis en cas de détection d’écarts?</t>
  </si>
  <si>
    <t xml:space="preserve">Modèles de plans d’action correctifs</t>
  </si>
  <si>
    <t xml:space="preserve">Modèles de plans d’action correctifs non adaptés aux risques réels</t>
  </si>
  <si>
    <t xml:space="preserve">Absence de traçabilité et de suivi des mesures correctives prises</t>
  </si>
  <si>
    <t xml:space="preserve">Formaliser un système de traçabilité et de validation des actions correctives</t>
  </si>
  <si>
    <t xml:space="preserve">Rapports de suivi des actions correctives mises en place</t>
  </si>
  <si>
    <t xml:space="preserve">Rapports de suivi des actions correctives mal documentés</t>
  </si>
  <si>
    <t xml:space="preserve">Correction inefficace des faiblesses identifiées</t>
  </si>
  <si>
    <t xml:space="preserve">Renforcer le suivi des actions correctives et évaluer leur impact régulièrement</t>
  </si>
  <si>
    <t xml:space="preserve">Les résultats des contrôles sont communiqués à la direction et au Conseil d’Administration pour assurer un suivi efficace.</t>
  </si>
  <si>
    <t xml:space="preserve">Les résultats des contrôles sont-ils communiqués à la direction et au Conseil d’Administration pour assurer un suivi efficace?</t>
  </si>
  <si>
    <t xml:space="preserve">Comptes rendus de communication des résultats des contrôles à la direction</t>
  </si>
  <si>
    <t xml:space="preserve">Communication des résultats des contrôles à la direction inefficace</t>
  </si>
  <si>
    <t xml:space="preserve">Difficulté à évaluer l’efficacité des actions mises en place</t>
  </si>
  <si>
    <t xml:space="preserve">Mettre en place des indicateurs de performance pour mesurer l’efficacité des actions mises en place</t>
  </si>
  <si>
    <t xml:space="preserve">Présentations des résultats des contrôles au Conseil d’Administration</t>
  </si>
  <si>
    <t xml:space="preserve">Présentations au Conseil d’Administration insuffisantes ou incomplètes</t>
  </si>
  <si>
    <t xml:space="preserve">Mauvaise prise de décision en raison d’un manque de visibilité</t>
  </si>
  <si>
    <t xml:space="preserve">Développer des tableaux de bord pour améliorer la visibilité sur les données de contrôle interne</t>
  </si>
  <si>
    <t xml:space="preserve">S’assurer que des actions correctives sont mises en place lorsque
 des responsables ne respectent pas leurs responsabilités en
 matière de contrôle interne, avec des mesures de soutien ou de
 discipline appropriées</t>
  </si>
  <si>
    <t xml:space="preserve">Une procédure formelle de gestion des écarts de conformité est définie et appliquée.</t>
  </si>
  <si>
    <t xml:space="preserve">Une procédure formelle de gestion des écarts de conformité est-elle définie et appliquée?</t>
  </si>
  <si>
    <t xml:space="preserve">Procédure de gestion des écarts de conformité</t>
  </si>
  <si>
    <t xml:space="preserve">Procédure de gestion des écarts de conformité inexistante ou inadaptée</t>
  </si>
  <si>
    <t xml:space="preserve">Absence de pilotage stratégique adéquat des risques</t>
  </si>
  <si>
    <t xml:space="preserve">Établir un cadre de gouvernance des risques avec des responsabilités clairement définies</t>
  </si>
  <si>
    <t xml:space="preserve">Registre des écarts et actions correctives</t>
  </si>
  <si>
    <t xml:space="preserve">Registre des écarts mal structuré ou non suivi</t>
  </si>
  <si>
    <t xml:space="preserve">Non-traitement rapide et efficace des écarts identifiés</t>
  </si>
  <si>
    <t xml:space="preserve">Créer un processus de traitement rapide et structuré des écarts identifiés</t>
  </si>
  <si>
    <t xml:space="preserve">Un dispositif d’alerte permet de signaler les manquements aux responsabilités de contrôle interne.</t>
  </si>
  <si>
    <t xml:space="preserve">Existe-t-il un dispositif d’alerte permettant de signaler les manquements aux responsabilités de contrôle interne?</t>
  </si>
  <si>
    <t xml:space="preserve">Dispositif d’alerte interne sur les manquements</t>
  </si>
  <si>
    <t xml:space="preserve">Dispositif d’alerte interne inefficace ou inexistant</t>
  </si>
  <si>
    <t xml:space="preserve">Accumulation d’anomalies non corrigées pouvant impacter la conformité</t>
  </si>
  <si>
    <t xml:space="preserve">Mettre en place un suivi rigoureux des anomalies et accélérer leur correction</t>
  </si>
  <si>
    <t xml:space="preserve">Procédure de signalement des manquements en contrôle interne</t>
  </si>
  <si>
    <t xml:space="preserve">Signalement des manquements en contrôle interne mal encadré</t>
  </si>
  <si>
    <t xml:space="preserve">Détection tardive des incidents et des fraudes internes</t>
  </si>
  <si>
    <t xml:space="preserve">Renforcer les mécanismes de détection des incidents et fraudes internes par des contrôles renforcés</t>
  </si>
  <si>
    <t xml:space="preserve">Des formations ou accompagnements sont proposés aux responsables identifiés comme ayant des lacunes en contrôle interne.</t>
  </si>
  <si>
    <t xml:space="preserve">Des formations ou accompagnements sont-elles proposés aux responsables identifiés comme ayant des lacunes en contrôle interne?</t>
  </si>
  <si>
    <t xml:space="preserve">Programme de formation et accompagnement en contrôle interne</t>
  </si>
  <si>
    <t xml:space="preserve">Programme de formation en contrôle interne insuffisant ou non adapté</t>
  </si>
  <si>
    <t xml:space="preserve">Climat de méfiance et réticence des employés à signaler des anomalies</t>
  </si>
  <si>
    <t xml:space="preserve">Sensibiliser les employés à l’importance du signalement et instaurer un climat de confiance</t>
  </si>
  <si>
    <t xml:space="preserve">Liste des formations suivies par les responsables concernés</t>
  </si>
  <si>
    <t xml:space="preserve">Liste des formations suivies mal tenue ou obsolète</t>
  </si>
  <si>
    <t xml:space="preserve">Manque de compétences des employés pour appliquer les contrôles internes</t>
  </si>
  <si>
    <t xml:space="preserve">Former régulièrement les employés aux contrôles internes et à leur application efficace</t>
  </si>
  <si>
    <t xml:space="preserve">Un processus disciplinaire est prévu en cas de non-respect grave ou répété des responsabilités de contrôle interne.</t>
  </si>
  <si>
    <t xml:space="preserve">Un processus disciplinaire est-il prévu en cas de non-respect grave ou répété des responsabilités de contrôle interne?</t>
  </si>
  <si>
    <t xml:space="preserve">Procédure disciplinaire en cas de non-respect des responsabilités</t>
  </si>
  <si>
    <t xml:space="preserve">Procédure disciplinaire en cas de manquements non appliquée ou floue</t>
  </si>
  <si>
    <t xml:space="preserve">Absence de suivi efficace des compétences acquises et des besoins en formation</t>
  </si>
  <si>
    <t xml:space="preserve">Mettre en place un plan de suivi des compétences et des formations continues</t>
  </si>
  <si>
    <t xml:space="preserve">Historique des mesures disciplinaires appliquées</t>
  </si>
  <si>
    <t xml:space="preserve">Historique des mesures disciplinaires inexistant ou mal documenté</t>
  </si>
  <si>
    <t xml:space="preserve">Implication limitée des employés dans le respect des procédures de contrôle</t>
  </si>
  <si>
    <t xml:space="preserve">Encourager la culture du contrôle interne par des actions de sensibilisation et d’engagement des employés</t>
  </si>
  <si>
    <t xml:space="preserve">Les actions correctives mises en place sont suivies et évaluées dans le temps pour en mesurer l’efficacité.</t>
  </si>
  <si>
    <t xml:space="preserve">Les actions correctives mises en place sont-elles suivies et évaluées dans le temps pour en mesurer l’efficacité?</t>
  </si>
  <si>
    <t xml:space="preserve">Plan de suivi des actions correctives</t>
  </si>
  <si>
    <t xml:space="preserve">Plan de suivi des actions correctives non mis à jour ou inefficace</t>
  </si>
  <si>
    <t xml:space="preserve">Absence de référence pour garantir une application équitable des sanctions</t>
  </si>
  <si>
    <t xml:space="preserve">Définir un cadre précis pour l’application des sanctions et assurer son respect équitable</t>
  </si>
  <si>
    <t xml:space="preserve">Rapports d’évaluation des mesures correctives</t>
  </si>
  <si>
    <t xml:space="preserve">Rapports d’évaluation des mesures correctives non réalisés ou mal exploités</t>
  </si>
  <si>
    <t xml:space="preserve">Récurrence des mêmes erreurs et absence d’amélioration continue</t>
  </si>
  <si>
    <t xml:space="preserve">Mettre en place un processus d’amélioration continue basé sur l’analyse des erreurs récurrentes</t>
  </si>
  <si>
    <t xml:space="preserve">Vérifier que des mécanismes de formation et de sensibilisation sont
 mis en place pour renforcer la compréhension et l'engagement de
 chaque collaborateur vis-à-vis de ses responsabilités en matière de
 contrôle interne</t>
  </si>
  <si>
    <t xml:space="preserve">Un programme de formation sur le contrôle interne est mis en place et suivi par les collaborateurs.</t>
  </si>
  <si>
    <t xml:space="preserve">Un programme de formation sur le contrôle interne est-il mis en place et suivi par les collaborateurs?</t>
  </si>
  <si>
    <t xml:space="preserve">Programme de formation en contrôle interne</t>
  </si>
  <si>
    <t xml:space="preserve">Programme de formation en contrôle interne incomplet ou indapté</t>
  </si>
  <si>
    <t xml:space="preserve">Mauvaise application des contrôles internes</t>
  </si>
  <si>
    <t xml:space="preserve">Standardiser et renforcer les contrôles internes pour garantir leur bonne application</t>
  </si>
  <si>
    <t xml:space="preserve">Suivi des formations sur le contrôle interne</t>
  </si>
  <si>
    <t xml:space="preserve">Suivi des formations en contrôle interne mal structuré</t>
  </si>
  <si>
    <t xml:space="preserve">Structurer le suivi des formations en contrôle interne par un système centralisé</t>
  </si>
  <si>
    <t xml:space="preserve">Un support documentaire (guides, procédures, FAQ) est mis à disposition pour aider à la compréhension des exigences du contrôle interne.</t>
  </si>
  <si>
    <t xml:space="preserve">Un support documentaire (guides, procédures, FAQ) est-il mis à disposition pour aider à la compréhension des exigences du contrôle interne?</t>
  </si>
  <si>
    <t xml:space="preserve">Guides et manuels de contrôle interne</t>
  </si>
  <si>
    <t xml:space="preserve">FAQ et documentation sur les procédures internes incomplètes</t>
  </si>
  <si>
    <t xml:space="preserve">Difficulté à suivre les progrès des employés et identifier les besoins en formation</t>
  </si>
  <si>
    <t xml:space="preserve">Mettre en place un outil de suivi des progrès des employés et adapter les formations en conséquence</t>
  </si>
  <si>
    <t xml:space="preserve">FAQ et documentation sur les procédures internes</t>
  </si>
  <si>
    <t xml:space="preserve">Guides et manuels de contrôle interne obsolètes ou inaccessibles</t>
  </si>
  <si>
    <t xml:space="preserve">Créer une base documentaire complète et accessible des procédures internes</t>
  </si>
  <si>
    <t xml:space="preserve">La participation aux formations sur le contrôle interne est suivie et évaluée.</t>
  </si>
  <si>
    <t xml:space="preserve">La participation aux formations sur le contrôle interne est-elle suivie et évaluée?</t>
  </si>
  <si>
    <t xml:space="preserve">Liste des participants aux formations en contrôle interne</t>
  </si>
  <si>
    <t xml:space="preserve">Liste des participants aux formations non tenue à jour</t>
  </si>
  <si>
    <t xml:space="preserve">Confusion et erreurs possibles dues à l’absence d’informations claires</t>
  </si>
  <si>
    <t xml:space="preserve">Mettre à jour régulièrement les FAQ et guides pour éviter les erreurs et la confusion</t>
  </si>
  <si>
    <t xml:space="preserve">Outil de suivi et d’évaluation des formations</t>
  </si>
  <si>
    <t xml:space="preserve">Outil de suivi et d’évaluation des formations inexistant ou mal utilisé</t>
  </si>
  <si>
    <t xml:space="preserve">Moderniser les guides et manuels de contrôle interne et les rendre facilement accessibles</t>
  </si>
  <si>
    <t xml:space="preserve">Des tests de connaissances ou évaluations sont réalisés après les formations pour mesurer leur impact.</t>
  </si>
  <si>
    <t xml:space="preserve">Des tests de connaissances ou évaluations sont-ils réalisés après les formations pour mesurer leur impact?</t>
  </si>
  <si>
    <t xml:space="preserve">Tests de connaissances post-formation</t>
  </si>
  <si>
    <t xml:space="preserve">Tests de connaissances post-formation non réalisés ou mal exploités</t>
  </si>
  <si>
    <t xml:space="preserve">Difficulté à appliquer les bonnes pratiques de contrôle interne</t>
  </si>
  <si>
    <t xml:space="preserve">Organiser des ateliers pratiques pour assurer l’application correcte des bonnes pratiques de contrôle interne</t>
  </si>
  <si>
    <t xml:space="preserve">Rapports d’analyse des tests non utilisés dans l’amélioration des formations</t>
  </si>
  <si>
    <t xml:space="preserve">Tenir une liste actualisée des participants aux formations et des compétences acquises</t>
  </si>
  <si>
    <t xml:space="preserve">Une mise à jour régulière des contenus de formation est effectuée pour tenir compte des évolutions du cadre réglementaire et des meilleures pratiques.</t>
  </si>
  <si>
    <t xml:space="preserve">Une mise à jour régulière des contenus de formation est-elle effectuée pour tenir compte des évolutions du cadre réglementaire et des meilleures pratiques?</t>
  </si>
  <si>
    <t xml:space="preserve">Plan de mise à jour des contenus de formation</t>
  </si>
  <si>
    <t xml:space="preserve">Plan de mise à jour des contenus de formation absent ou non appliqué</t>
  </si>
  <si>
    <t xml:space="preserve">Absence de visibilité sur les employés formés et leurs compétences acquises</t>
  </si>
  <si>
    <t xml:space="preserve">Mettre en place un tableau de bord de suivi des formations pour une meilleure visibilité</t>
  </si>
  <si>
    <t xml:space="preserve">Documentation des évolutions réglementaires intégrées aux formations</t>
  </si>
  <si>
    <t xml:space="preserve">Documentation des évolutions réglementaires non intégrée aux formations</t>
  </si>
  <si>
    <t xml:space="preserve">Déployer un outil de gestion et d’évaluation des formations adapté aux besoins internes</t>
  </si>
  <si>
    <t xml:space="preserve">Identification et analyse des risques</t>
  </si>
  <si>
    <t xml:space="preserve">S’assurer que l’organisation dispose d’une structure
 organisationnelle clairement définie, incluant les rôles et
 responsabilités relatifs à la gestion des systèmes d’information</t>
  </si>
  <si>
    <t xml:space="preserve">Un organigramme officiel précisant les rôles et responsabilités en matière de gestion des systèmes d’information est documenté et mis à jour régulièrement.</t>
  </si>
  <si>
    <t xml:space="preserve">Un organigramme officiel précisant les rôles et responsabilités est-il documenté et mis à jour régulièrement?</t>
  </si>
  <si>
    <t xml:space="preserve">Organigramme officiel mis à jour</t>
  </si>
  <si>
    <t xml:space="preserve">Organigramme officiel non mis à jour ou non diffusé correctement</t>
  </si>
  <si>
    <t xml:space="preserve">Incapacité à évaluer l’efficacité des formations et à ajuster les programmes</t>
  </si>
  <si>
    <t xml:space="preserve">Mettre en place un processus d’évaluation post-formation et ajuster les programmes en fonction des résultats</t>
  </si>
  <si>
    <t xml:space="preserve">Historique des modifications de l’organigramme</t>
  </si>
  <si>
    <t xml:space="preserve">Historique des modifications de l’organigramme inexistant ou mal suivi</t>
  </si>
  <si>
    <t xml:space="preserve">Des descriptions de poste détaillées sont disponibles et comprennent les attributions spécifiques liées à la gestion des risques informatiques.</t>
  </si>
  <si>
    <t xml:space="preserve">Des descriptions de poste détaillées comprennant les attributions spécifiques sont-ils disponibles?</t>
  </si>
  <si>
    <t xml:space="preserve">Descriptions de poste détaillées avec attributions spécifiques</t>
  </si>
  <si>
    <t xml:space="preserve">Descriptions de poste incomplètes ou incohérentes avec les responsabilités réelles</t>
  </si>
  <si>
    <t xml:space="preserve">Absence de mesure claire des connaissances acquises et des lacunes restantes</t>
  </si>
  <si>
    <t xml:space="preserve">Intégrer des tests de validation des connaissances après chaque formation pour mesurer l’assimilation</t>
  </si>
  <si>
    <t xml:space="preserve">Manuel des fonctions et responsabilités</t>
  </si>
  <si>
    <t xml:space="preserve">Manuel des fonctions et responsabilités non utilisé ou obsolète</t>
  </si>
  <si>
    <t xml:space="preserve">Exploiter les rapports d’analyse des tests pour adapter les formations aux besoins identifiés</t>
  </si>
  <si>
    <t xml:space="preserve">Une politique formalisée définit la structure organisationnelle et précise les lignes hiérarchiques et fonctionnelles liées aux systèmes d’information.</t>
  </si>
  <si>
    <t xml:space="preserve">Une politique formalisée définit-elle la structure organisationnelle et précise-t-elle les lignes hiérarchiques et fonctionnelles liées aux systèmes d’information?</t>
  </si>
  <si>
    <t xml:space="preserve">Politique formalisée sur la structure organisationnelle</t>
  </si>
  <si>
    <t xml:space="preserve">Politique sur la structure organisationnelle non formalisée ou inadaptée</t>
  </si>
  <si>
    <t xml:space="preserve">Manque d’amélioration continue dans les programmes de formation</t>
  </si>
  <si>
    <t xml:space="preserve">Instaurer une démarche d’amélioration continue dans la conception des formations</t>
  </si>
  <si>
    <t xml:space="preserve">Documentation sur les lignes hiérarchiques et fonctionnelles</t>
  </si>
  <si>
    <t xml:space="preserve">Documentation sur les lignes hiérarchiques et fonctionnelles imprécise ou erronée</t>
  </si>
  <si>
    <t xml:space="preserve">Établir un plan annuel de mise à jour des contenus de formation et en assurer le suivi</t>
  </si>
  <si>
    <t xml:space="preserve">Les responsabilités et l’autorité des acteurs clés en matière de gestion des systèmes d’information sont clairement définies et communiquées à l’ensemble du personnel concerné.</t>
  </si>
  <si>
    <t xml:space="preserve">Les responsabilités et l’autorité des acteurs clés en matière de gestion des systèmes d’information sont-elles clairement définies et communiquées à l’ensemble du personnel concerné?</t>
  </si>
  <si>
    <t xml:space="preserve">Grille des responsabilités des acteurs clés en gestion des SI</t>
  </si>
  <si>
    <t xml:space="preserve">Grille des responsabilités des acteurs clés en gestion des SI mal définie ou non mise à jour</t>
  </si>
  <si>
    <t xml:space="preserve">Clarifier les responsabilités des acteurs clés en gestion des SI et tenir à jour une grille des rôles</t>
  </si>
  <si>
    <t xml:space="preserve">Communication interne sur les rôles en gestion des SI</t>
  </si>
  <si>
    <t xml:space="preserve">Communication interne sur les rôles en gestion des SI insuffisante ou mal diffusée</t>
  </si>
  <si>
    <t xml:space="preserve">Améliorer la communication interne sur les rôles et responsabilités en gestion des SI par des supports clairs et accessibles</t>
  </si>
  <si>
    <t xml:space="preserve">L’organisation réalise périodiquement des revues de sa structure organisationnelle pour s’adapter aux évolutions technologiques et aux nouveaux risques.</t>
  </si>
  <si>
    <t xml:space="preserve">L’organisation réalise-t-elle périodiquement des revues de sa structure organisationnelle pour s’adapter aux évolutions technologiques et aux nouveaux risques?</t>
  </si>
  <si>
    <t xml:space="preserve">Rapports des revues périodiques de la structure organisationnelle</t>
  </si>
  <si>
    <t xml:space="preserve">Rapports des revues périodiques de la structure organisationnelle inexistants ou non exploités</t>
  </si>
  <si>
    <t xml:space="preserve">Réaliser des revues périodiques de la structure organisationnelle et exploiter leurs rapports pour améliorer l’efficacité opérationnelle</t>
  </si>
  <si>
    <t xml:space="preserve">Documentation des ajustements organisationnels liés aux évolutions technologiques</t>
  </si>
  <si>
    <t xml:space="preserve">Documentation des ajustements organisationnels liés aux évolutions technologiques incomplète</t>
  </si>
  <si>
    <t xml:space="preserve">Mettre à jour régulièrement la documentation des ajustements organisationnels liés aux évolutions technologiques et s’assurer de son exploitation</t>
  </si>
  <si>
    <t xml:space="preserve">Vérifier que les responsabilités liées à la sécurité des systèmes
 d’information et à la gestion des données sont attribuées à des
 postes spécifiques, avec des descriptions de rôle formalisées</t>
  </si>
  <si>
    <t xml:space="preserve">Un responsable de la sécurité des systèmes d’information (RSSI) est désigné et ses missions sont formellement définies.</t>
  </si>
  <si>
    <t xml:space="preserve">Un responsable de la sécurité des systèmes d’information (RSSI) est-il désigné et ses missions sont formellement définies?</t>
  </si>
  <si>
    <t xml:space="preserve">Lettre de mission du RSSI</t>
  </si>
  <si>
    <t xml:space="preserve">Lettre de mission du RSSI non alignée avec les responsabilités réelles</t>
  </si>
  <si>
    <t xml:space="preserve">Aligner la lettre de mission du RSSI avec ses responsabilités réelles et les exigences organisationnelles</t>
  </si>
  <si>
    <t xml:space="preserve">Fiche de poste détaillant les missions du RSSI</t>
  </si>
  <si>
    <t xml:space="preserve">Fiche de poste détaillant les missions du RSSI imprécise ou obsolète</t>
  </si>
  <si>
    <t xml:space="preserve">Mettre à jour la fiche de poste du RSSI pour clarifier ses missions et responsabilités</t>
  </si>
  <si>
    <t xml:space="preserve">Les responsabilités en matière de protection des données sont attribuées à un Délégué à la Protection des Données (DPO), avec une fiche de poste détaillée.</t>
  </si>
  <si>
    <t xml:space="preserve">Les responsabilités en matière de protection des données sont-elles attribuées à un Délégué à la Protection des Données (DPO), avec une fiche de poste détaillée?</t>
  </si>
  <si>
    <t xml:space="preserve">Nomination officielle du DPO</t>
  </si>
  <si>
    <t xml:space="preserve">Nomination officielle du DPO absente ou non conforme aux exigences réglementaires</t>
  </si>
  <si>
    <t xml:space="preserve">Assurer la nomination officielle du DPO en conformité avec les exigences réglementaires</t>
  </si>
  <si>
    <t xml:space="preserve">Fiche de poste du DPO précisant ses responsabilités</t>
  </si>
  <si>
    <t xml:space="preserve">Fiche de poste du DPO précisant ses responsabilités incomplète ou mal appliquée</t>
  </si>
  <si>
    <t xml:space="preserve">Réviser et compléter la fiche de poste du DPO pour garantir une application correcte de ses responsabilités</t>
  </si>
  <si>
    <t xml:space="preserve">Chaque département impliqué dans la gestion des systèmes d’information dispose de référents sécurité clairement identifiés.</t>
  </si>
  <si>
    <t xml:space="preserve">Chaque département impliqué dans la gestion des systèmes d’information dispose-t-il de référents sécurité clairement identifiés?</t>
  </si>
  <si>
    <t xml:space="preserve">Liste des référents sécurité par département</t>
  </si>
  <si>
    <t xml:space="preserve">Liste des référents sécurité par département non actualisée ou incomplète</t>
  </si>
  <si>
    <t xml:space="preserve">Actualiser régulièrement la liste des référents sécurité par département et la diffuser aux parties prenantes</t>
  </si>
  <si>
    <t xml:space="preserve">Notes de service officialisant les référents sécurité</t>
  </si>
  <si>
    <t xml:space="preserve">Notes de service officialisant les référents sécurité non diffusées ou mal comprises</t>
  </si>
  <si>
    <t xml:space="preserve">Diffuser systématiquement les notes de service sur les référents sécurité et s’assurer de leur bonne compréhension</t>
  </si>
  <si>
    <t xml:space="preserve">Une séparation claire des fonctions est mise en place pour éviter les conflits d’intérêts (exemple : séparation entre administrateurs système et auditeurs de sécurité).</t>
  </si>
  <si>
    <t xml:space="preserve">Une séparation claire des fonctions est-elle mise en place pour éviter les conflits d’intérêts?</t>
  </si>
  <si>
    <t xml:space="preserve">Politique de séparation des fonctions</t>
  </si>
  <si>
    <t xml:space="preserve">Politique de séparation des fonctions non appliquée ou insuffisante</t>
  </si>
  <si>
    <t xml:space="preserve">Appliquer rigoureusement la politique de séparation des fonctions pour limiter les conflits d’intérêts et renforcer la sécurité</t>
  </si>
  <si>
    <t xml:space="preserve">Documentation des mesures de séparation des rôles</t>
  </si>
  <si>
    <t xml:space="preserve">Documentation des mesures de séparation des rôles inexistante ou mal définie</t>
  </si>
  <si>
    <t xml:space="preserve">Élaborer et maintenir une documentation claire et accessible des mesures de séparation des rôles</t>
  </si>
  <si>
    <t xml:space="preserve">Les rôles et responsabilités en matière de gestion des incidents de sécurité sont définis et documentés.</t>
  </si>
  <si>
    <t xml:space="preserve">Les rôles et responsabilités en matière de gestion des incidents de sécurité sont-ils définis et documentés?</t>
  </si>
  <si>
    <t xml:space="preserve">Guide de gestion des incidents de sécurité</t>
  </si>
  <si>
    <t xml:space="preserve">Guide de gestion des incidents de sécurité non mis à jour ou imprécis</t>
  </si>
  <si>
    <t xml:space="preserve">Mettre à jour régulièrement le guide de gestion des incidents de sécurité pour assurer son efficacité</t>
  </si>
  <si>
    <t xml:space="preserve">Liste des responsabilités définies en gestion des incidents</t>
  </si>
  <si>
    <t xml:space="preserve">Liste des responsabilités définies en gestion des incidents incomplète ou ambiguë</t>
  </si>
  <si>
    <t xml:space="preserve">Clarifier et compléter la liste des responsabilités en gestion des incidents pour éviter toute ambiguïté</t>
  </si>
  <si>
    <t xml:space="preserve">S’assurer que les responsables des systèmes d’information, ainsi
 que les autres parties prenantes, sont dotés des ressources et des
 autorisations nécessaires pour exercer efficacement leurs
 responsabilités</t>
  </si>
  <si>
    <t xml:space="preserve">Les équipes en charge de la gestion des systèmes d’information disposent d’un budget alloué pour la sécurité informatique et la gestion des risques.</t>
  </si>
  <si>
    <t xml:space="preserve">Les équipes en charge de la gestion des systèmes d’information disposent-ils d’un budget alloué pour la sécurité informatique et la gestion des risques?</t>
  </si>
  <si>
    <t xml:space="preserve">Budget alloué à la sécurité informatique</t>
  </si>
  <si>
    <t xml:space="preserve">Budget alloué à la sécurité informatique insuffisant ou mal réparti</t>
  </si>
  <si>
    <t xml:space="preserve">Allouer un budget adapté à la sécurité informatique et optimiser sa répartition en fonction des risques identifiés</t>
  </si>
  <si>
    <t xml:space="preserve">Plan de gestion des risques informatiques</t>
  </si>
  <si>
    <t xml:space="preserve">Plan de gestion des risques informatiques non mis en œuvre ou non testé</t>
  </si>
  <si>
    <t xml:space="preserve">Déployer et tester régulièrement le plan de gestion des risques informatiques pour garantir sa pertinence</t>
  </si>
  <si>
    <t xml:space="preserve">Un accès aux outils et technologies nécessaires est garanti aux responsables de la sécurité des systèmes d’information.</t>
  </si>
  <si>
    <t xml:space="preserve">Un accès aux outils et technologies nécessaires est-il garanti aux responsables de la sécurité des systèmes d’information?</t>
  </si>
  <si>
    <t xml:space="preserve">Inventaire des outils et technologies disponibles</t>
  </si>
  <si>
    <t xml:space="preserve">Inventaire des outils et technologies disponibles mal tenu ou inexploitable</t>
  </si>
  <si>
    <t xml:space="preserve">Tenir à jour un inventaire précis et exploitable des outils et technologies disponibles</t>
  </si>
  <si>
    <t xml:space="preserve">Politique d’accès aux outils de sécurité informatique</t>
  </si>
  <si>
    <t xml:space="preserve">Politique d’accès aux outils de sécurité informatique mal définie ou non respectée</t>
  </si>
  <si>
    <t xml:space="preserve">Définir une politique d’accès claire aux outils de sécurité informatique et en contrôler l’application</t>
  </si>
  <si>
    <t xml:space="preserve">Des formations régulières sont dispensées aux parties prenantes pour assurer la montée en compétence sur les enjeux liés à la gestion des systèmes d’information.</t>
  </si>
  <si>
    <t xml:space="preserve">Des formations régulières sont-elles dispensées aux parties prenantes pour assurer la montée en compétence sur les enjeux liés à la gestion des systèmes d’information?</t>
  </si>
  <si>
    <t xml:space="preserve">Programme de formation en gestion des SI</t>
  </si>
  <si>
    <t xml:space="preserve">Programme de formation en gestion des SI inadapté aux besoins réels</t>
  </si>
  <si>
    <t xml:space="preserve">Adapter le programme de formation en gestion des SI aux besoins réels des collaborateurs</t>
  </si>
  <si>
    <t xml:space="preserve">Liste des sessions de formation et des participants</t>
  </si>
  <si>
    <t xml:space="preserve">Liste des sessions de formation et des participants non tenue à jour</t>
  </si>
  <si>
    <t xml:space="preserve">Maintenir une liste à jour des sessions de formation et des participants pour assurer un suivi efficace</t>
  </si>
  <si>
    <t xml:space="preserve">Un processus de validation des autorisations d’accès aux ressources critiques est mis en place et régulièrement revu.</t>
  </si>
  <si>
    <t xml:space="preserve">Un processus de validation des autorisations d’accès aux ressources critiques est-il mis en place et régulièrement revu?</t>
  </si>
  <si>
    <t xml:space="preserve">Procédure de validation des accès</t>
  </si>
  <si>
    <t xml:space="preserve">Procédure de validation des accès absente ou inefficace</t>
  </si>
  <si>
    <t xml:space="preserve">Établir et appliquer une procédure rigoureuse de validation des accès pour limiter les risques de sécurité</t>
  </si>
  <si>
    <t xml:space="preserve">Journal des révisions des autorisations d’accès</t>
  </si>
  <si>
    <t xml:space="preserve">Journal des révisions des autorisations d’accès non exploité ou inexistant</t>
  </si>
  <si>
    <t xml:space="preserve">Exploiter et mettre à jour régulièrement le journal des révisions des autorisations d’accès</t>
  </si>
  <si>
    <t xml:space="preserve">Les collaborateurs impliqués dans la gestion des systèmes d’information ont accès à des bases de connaissances et des référentiels internes pour assurer la conformité et l’efficacité des processus.</t>
  </si>
  <si>
    <t xml:space="preserve">Les collaborateurs impliqués dans la gestion des SI ont-ils accès à des bases de connaissances et des référentiels internes pour assurer la conformité et l’efficacité des processus?</t>
  </si>
  <si>
    <t xml:space="preserve">Référentiels internes sur la gestion des SI</t>
  </si>
  <si>
    <t xml:space="preserve">Référentiels internes sur la gestion des SI obsolètes ou non accessibles</t>
  </si>
  <si>
    <t xml:space="preserve">Mettre à jour et rendre accessibles les référentiels internes sur la gestion des S</t>
  </si>
  <si>
    <t xml:space="preserve">Base de connaissances des bonnes pratiques IT</t>
  </si>
  <si>
    <t xml:space="preserve">Base de connaissances des bonnes pratiques IT incomplète ou mal organisée</t>
  </si>
  <si>
    <t xml:space="preserve">Structurer et enrichir la base de connaissances des bonnes pratiques IT pour en faciliter l’utilisation</t>
  </si>
  <si>
    <t xml:space="preserve">Vérifier que des mécanismes de communication efficaces existent
 pour assurer une coordination fluide entre les différents
 départements et les responsables des systèmes d’information</t>
  </si>
  <si>
    <t xml:space="preserve">Un comité de gouvernance des systèmes d’information incluant les différents départements concernés se réunit périodiquement.</t>
  </si>
  <si>
    <t xml:space="preserve">Un comité de gouvernance des systèmes d’information se réunit-il périodiquement?</t>
  </si>
  <si>
    <t xml:space="preserve">Charte du comité de gouvernance des SI</t>
  </si>
  <si>
    <t xml:space="preserve">Charte du comité de gouvernance des SI non respectée ou non diffusée</t>
  </si>
  <si>
    <t xml:space="preserve">S’assurer du respect et de la diffusion de la charte du comité de gouvernance des SI</t>
  </si>
  <si>
    <t xml:space="preserve">Comptes rendus des réunions du comité</t>
  </si>
  <si>
    <t xml:space="preserve">Comptes rendus des réunions du comité absents ou non archivés correctement</t>
  </si>
  <si>
    <t xml:space="preserve">Archiver correctement les comptes rendus des réunions du comité et les rendre accessibles aux parties prenantes</t>
  </si>
  <si>
    <t xml:space="preserve">Des outils collaboratifs (ex : plateformes de gestion de projet, systèmes de ticketing) sont mis en place pour assurer une communication fluide entre les équipes IT et les autres départements.</t>
  </si>
  <si>
    <t xml:space="preserve">Des outils collaboratifs sont-ils mis en place pour assurer une communication fluide entre les équipes IT et les autres départements?</t>
  </si>
  <si>
    <t xml:space="preserve">Liste des outils collaboratifs déployés</t>
  </si>
  <si>
    <t xml:space="preserve">Liste des outils collaboratifs déployés non à jour ou mal gérée</t>
  </si>
  <si>
    <t xml:space="preserve">Tenir à jour et gérer efficacement la liste des outils collaboratifs déployés</t>
  </si>
  <si>
    <t xml:space="preserve">Politique d’utilisation des outils collaboratifs</t>
  </si>
  <si>
    <t xml:space="preserve">Politique d’utilisation des outils collaboratifs non appliquée ou mal définie</t>
  </si>
  <si>
    <t xml:space="preserve">Appliquer rigoureusement la politique d’utilisation des outils</t>
  </si>
  <si>
    <t xml:space="preserve">Une politique de communication interne définit les canaux et formats de transmission des informations relatives à la gestion des risques informatiques.</t>
  </si>
  <si>
    <t xml:space="preserve">Une politique de communication interne définit-elle les canaux et formats de transmission des informations relatives à la gestion des risques informatiques?</t>
  </si>
  <si>
    <t xml:space="preserve">Politique de communication interne sur la gestion des risques IT</t>
  </si>
  <si>
    <t xml:space="preserve">Politique de communication interne sur la gestion des risques IT non claire ou non respectée</t>
  </si>
  <si>
    <t xml:space="preserve">Clarifier et faire respecter la politique de communication interne sur la gestion des risques IT</t>
  </si>
  <si>
    <t xml:space="preserve">Guide des canaux de transmission des informations IT</t>
  </si>
  <si>
    <t xml:space="preserve">Guide des canaux de transmission des informations IT inexistant ou mal structuré</t>
  </si>
  <si>
    <t xml:space="preserve">Mauvaise circulation des informations sensibles entraînant des retards ou des erreurs de transmission</t>
  </si>
  <si>
    <t xml:space="preserve">Améliorer la circulation des informations sensibles en mettant en place des canaux sécurisés et efficaces</t>
  </si>
  <si>
    <t xml:space="preserve">Un processus formalisé permet d’informer rapidement les parties prenantes en cas d’incident de sécurité.</t>
  </si>
  <si>
    <t xml:space="preserve">Un processus formalisé permet-il d’informer rapidement les parties prenantes en cas d’incident de sécurité?</t>
  </si>
  <si>
    <t xml:space="preserve">Procédure d’alerte en cas d’incident de sécurité</t>
  </si>
  <si>
    <t xml:space="preserve">Procédure d’alerte en cas d’incident de sécurité inefficace ou non connue des employés</t>
  </si>
  <si>
    <t xml:space="preserve">Allongement du temps de réaction face aux incidents, augmentant les impacts négatifs</t>
  </si>
  <si>
    <t xml:space="preserve">Réduire le temps de réaction aux incidents en optimisant les processus de communication et d’alerte</t>
  </si>
  <si>
    <t xml:space="preserve">Plan de communication de crise IT</t>
  </si>
  <si>
    <t xml:space="preserve">Plan de communication de crise IT inexistant ou mal défini</t>
  </si>
  <si>
    <t xml:space="preserve">Réponse inefficace aux crises, aggravant les perturbations opérationnelles</t>
  </si>
  <si>
    <t xml:space="preserve">Renforcer les capacités de réponse aux crises par des exercices réguliers et des procédures adaptées</t>
  </si>
  <si>
    <t xml:space="preserve">Les responsables des systèmes d’information participent aux réunions stratégiques pour aligner leurs actions avec les besoins des autres départements.</t>
  </si>
  <si>
    <t xml:space="preserve">Les responsables des systèmes d’information participent-ils aux réunions stratégiques pour aligner leurs actions avec les besoins des autres départements?</t>
  </si>
  <si>
    <t xml:space="preserve">Invitations et comptes rendus des réunions stratégiques</t>
  </si>
  <si>
    <t xml:space="preserve">Invitations et comptes rendus des réunions stratégiques non archivés ou incomplets</t>
  </si>
  <si>
    <t xml:space="preserve">Manque de traçabilité et de suivi des décisions prises en réunion stratégique</t>
  </si>
  <si>
    <t xml:space="preserve">Assurer une traçabilité complète et un suivi rigoureux des décisions prises en réunion stratégique</t>
  </si>
  <si>
    <t xml:space="preserve">Liste des représentants IT participant aux réunions</t>
  </si>
  <si>
    <t xml:space="preserve">Liste des représentants IT participant aux réunions non mise à jour ou imprécise</t>
  </si>
  <si>
    <t xml:space="preserve">Difficulté à identifier les bons interlocuteurs IT pour les décisions et projets critiques</t>
  </si>
  <si>
    <t xml:space="preserve">Clarifier les rôles et responsabilités des interlocuteurs IT et établir un référentiel des contacts pour les décisions et projets critiques</t>
  </si>
  <si>
    <t xml:space="preserve">S’assurer qu’il existe une hiérarchie de responsabilité permettant de
 rendre compte de la performance des systèmes d’information, avec
 des rapports réguliers destinés à la direction</t>
  </si>
  <si>
    <t xml:space="preserve">Un reporting périodique sur la performance des systèmes d’information est adressé à la direction et au Conseil d’Administration.</t>
  </si>
  <si>
    <t xml:space="preserve">Un reporting périodique sur la performance des systèmes d’information est-il adressé à la direction et au Conseil d’Administration?</t>
  </si>
  <si>
    <t xml:space="preserve">Rapports de performance des systèmes d’information</t>
  </si>
  <si>
    <t xml:space="preserve">Rapports de performance des systèmes d’information absents ou basés sur des données erronées</t>
  </si>
  <si>
    <t xml:space="preserve">Mauvaise évaluation des performances des systèmes d’information</t>
  </si>
  <si>
    <t xml:space="preserve">Mettre en place un processus rigoureux d’évaluation des performances des systèmes d’information avec des critères objectifs</t>
  </si>
  <si>
    <t xml:space="preserve">Tableau de bord des indicateurs IT adressé à la direction</t>
  </si>
  <si>
    <t xml:space="preserve">Tableau de bord des indicateurs IT adressé à la direction incomplet ou non actualisé</t>
  </si>
  <si>
    <t xml:space="preserve">Absence d’indicateurs fiables pour la direction</t>
  </si>
  <si>
    <t xml:space="preserve">Définir et suivre des indicateurs fiables pour la direction afin d’améliorer la prise de décision stratégique</t>
  </si>
  <si>
    <t xml:space="preserve">Des indicateurs de performance clés (KPI) liés à la gestion des risques informatiques sont définis et suivis.</t>
  </si>
  <si>
    <t xml:space="preserve">Des indicateurs de performance clés (KPI) liés à la gestion des risques informatiques sont-ils définis et suivis?</t>
  </si>
  <si>
    <t xml:space="preserve">Liste des KPI liés à la gestion des risques IT</t>
  </si>
  <si>
    <t xml:space="preserve">Liste des KPI liés à la gestion des risques IT mal définie ou non alignée avec les objectifs stratégiques</t>
  </si>
  <si>
    <t xml:space="preserve">Gestion des risques inefficace en raison de KPI inappropriés ou mal définis</t>
  </si>
  <si>
    <t xml:space="preserve">Revoir et affiner les KPI liés à la gestion des risques pour garantir leur pertinence et leur efficacité</t>
  </si>
  <si>
    <t xml:space="preserve">Rapports d’analyse des KPI informatiques</t>
  </si>
  <si>
    <t xml:space="preserve">Rapports d’analyse des KPI informatiques inexacts ou inexploités</t>
  </si>
  <si>
    <t xml:space="preserve">Analyse et exploitation des indicateurs IT biaisées ou incomplètes</t>
  </si>
  <si>
    <t xml:space="preserve">Élaborer des méthodologies d’analyse et d’exploitation des indicateurs IT plus rigoureuses et complètes</t>
  </si>
  <si>
    <t xml:space="preserve">Un processus d’escalade est établi pour signaler les incidents critiques et les décisions stratégiques à la hiérarchie.</t>
  </si>
  <si>
    <t xml:space="preserve">Un processus d’escalade est-il établi pour signaler les incidents critiques et les décisions stratégiques à la hiérarchie?</t>
  </si>
  <si>
    <t xml:space="preserve">Processus d’escalade des incidents critiques</t>
  </si>
  <si>
    <t xml:space="preserve">Processus d’escalade des incidents critiques non documenté ou inefficace</t>
  </si>
  <si>
    <t xml:space="preserve">Retard ou inefficacité dans la gestion des incidents critiques</t>
  </si>
  <si>
    <t xml:space="preserve">Optimiser les processus de gestion des incidents critiques pour réduire les délais de réaction et d’intervention</t>
  </si>
  <si>
    <t xml:space="preserve">Registre des incidents et actions prises</t>
  </si>
  <si>
    <t xml:space="preserve">Registre des incidents et actions prises mal tenu ou non suivi</t>
  </si>
  <si>
    <t xml:space="preserve">Manque de suivi et de résolution efficace des incidents</t>
  </si>
  <si>
    <t xml:space="preserve">Mettre en place un suivi systématique et une résolution efficace des incidents pour limiter leur impact</t>
  </si>
  <si>
    <t xml:space="preserve">Les audits de sécurité et les revues de conformité font partie des rapports transmis régulièrement à la direction.</t>
  </si>
  <si>
    <t xml:space="preserve">Les audits de sécurité et les revues de conformité font-ils partie des rapports transmis régulièrement à la direction?</t>
  </si>
  <si>
    <t xml:space="preserve">Rapports d’audit de sécurité IT</t>
  </si>
  <si>
    <t xml:space="preserve">Rapports d’audit de sécurité IT inexistants ou non exploités par la direction</t>
  </si>
  <si>
    <t xml:space="preserve">Risque accru de failles de sécurité et de non-conformité</t>
  </si>
  <si>
    <t xml:space="preserve">Renforcer les contrôles de sécurité et la conformité réglementaire pour minimiser les failles et les risques de non-conformité</t>
  </si>
  <si>
    <t xml:space="preserve">Revue de conformité périodique IT</t>
  </si>
  <si>
    <t xml:space="preserve">Revue de conformité périodique IT non réalisée ou non documentée</t>
  </si>
  <si>
    <t xml:space="preserve">Non-respect des exigences réglementaires et affaiblissement du dispositif de contrôle interne</t>
  </si>
  <si>
    <t xml:space="preserve">Établir des procédures strictes pour assurer le respect des exigences réglementaires et renforcer le contrôle interne</t>
  </si>
  <si>
    <t xml:space="preserve">La direction valide et suit les plans d’action correctifs proposés à la suite des audits ou incidents liés aux systèmes d’information</t>
  </si>
  <si>
    <t xml:space="preserve">Les plans d’action correctifs proposés à la suite des audits ou incidents liés aux systèmes d’information sont-ils validés par la Direction?</t>
  </si>
  <si>
    <t xml:space="preserve">Procédure de validation des plans d’action correctifs</t>
  </si>
  <si>
    <t xml:space="preserve">Procédure de validation des plans d’action correctifs absente ou inefficace</t>
  </si>
  <si>
    <t xml:space="preserve">Plans d’action correctifs inefficaces ou inadaptés</t>
  </si>
  <si>
    <t xml:space="preserve">Améliorer la conception et le suivi des plans d’action correctifs pour garantir leur efficacité</t>
  </si>
  <si>
    <t xml:space="preserve">Registre des actions correctives validées</t>
  </si>
  <si>
    <t xml:space="preserve">Registre des actions correctives validées non mis à jour ou inexploitable</t>
  </si>
  <si>
    <t xml:space="preserve">Mauvaise gestion des actions correctives</t>
  </si>
  <si>
    <t xml:space="preserve">Optimiser la gestion des actions correctives en attribuant des responsabilités claires et en assurant leur suivi</t>
  </si>
  <si>
    <t xml:space="preserve">Prise en compte de la fraude</t>
  </si>
  <si>
    <t xml:space="preserve">S’assurer que le risque de fraude est explicitement intégré dans le
 processus d’évaluation des risques, en identifiant les risques
 spécifiques de fraude qui pourraient affecter les objectifs de
 l’organisation</t>
  </si>
  <si>
    <t xml:space="preserve">Une cartographie des risques de fraude est formellement définie et mise à jour régulièrement.</t>
  </si>
  <si>
    <t xml:space="preserve">Une cartographie des risques de fraude est-elle formellement définie et mise à jour régulièrement?</t>
  </si>
  <si>
    <t xml:space="preserve">Cartographie des risques de fraude</t>
  </si>
  <si>
    <t xml:space="preserve">Cartographie des risques de fraude obsolète ou incomplète</t>
  </si>
  <si>
    <t xml:space="preserve">Exposition accrue aux risques de fraude</t>
  </si>
  <si>
    <t xml:space="preserve">Renforcer les dispositifs de détection et de prévention des fraudes pour limiter les risques d’exposition</t>
  </si>
  <si>
    <t xml:space="preserve">Plan de mise à jour des risques de fraude</t>
  </si>
  <si>
    <t xml:space="preserve">Plan de mise à jour des risques de fraude inexistant ou non appliqué</t>
  </si>
  <si>
    <t xml:space="preserve">Incapacité à anticiper et atténuer les nouveaux risques de fraude</t>
  </si>
  <si>
    <t xml:space="preserve">Développer une approche proactive pour identifier et atténuer les nouveaux risques de fraude</t>
  </si>
  <si>
    <t xml:space="preserve">Le processus d’évaluation des risques inclut des scénarios spécifiques de fraude avec des analyses d’impact.</t>
  </si>
  <si>
    <t xml:space="preserve">Le processus d’évaluation des risques inclut-il des scénarios spécifiques de fraude avec des analyses d’impact?</t>
  </si>
  <si>
    <t xml:space="preserve">Processus d’évaluation des risques de fraude</t>
  </si>
  <si>
    <t xml:space="preserve">Processus d’évaluation des risques de fraude mal défini ou non suivi</t>
  </si>
  <si>
    <t xml:space="preserve">Absence de pilotage efficace des risques de fraude</t>
  </si>
  <si>
    <t xml:space="preserve">Mettre en place un pilotage efficace et centralisé des risques de fraude avec des indicateurs précis</t>
  </si>
  <si>
    <t xml:space="preserve">Documentation des scénarios de fraude analysés</t>
  </si>
  <si>
    <t xml:space="preserve">Documentation des scénarios de fraude analysés incomplète ou non actualisée</t>
  </si>
  <si>
    <t xml:space="preserve">Manque d’anticipation des scénarios de fraude possibles</t>
  </si>
  <si>
    <t xml:space="preserve">Élaborer des scénarios de fraude possibles et tester leur impact pour anticiper les menaces</t>
  </si>
  <si>
    <t xml:space="preserve">Une évaluation périodique des risques de fraude est menée par l’audit interne et les équipes de contrôle.</t>
  </si>
  <si>
    <t xml:space="preserve">Une évaluation périodique des risques de fraude est-elle menée par l’audit interne et les équipes de contrôle?</t>
  </si>
  <si>
    <t xml:space="preserve">Rapports d’évaluation des risques de fraude</t>
  </si>
  <si>
    <t xml:space="preserve">Rapports d’évaluation des risques de fraude inexploités ou non transmis aux parties prenantes</t>
  </si>
  <si>
    <t xml:space="preserve">Mauvaise communication et exploitation des résultats d’évaluation des risques de fraude</t>
  </si>
  <si>
    <t xml:space="preserve">Structurer et exploiter efficacement les résultats des évaluations des risques de fraude pour guider les actions correctives</t>
  </si>
  <si>
    <t xml:space="preserve">Comptes rendus des missions d’audit interne</t>
  </si>
  <si>
    <t xml:space="preserve">Comptes rendus des missions d’audit interne absents ou non archivés correctement</t>
  </si>
  <si>
    <t xml:space="preserve">Perte de traçabilité des audits internes et difficulté à justifier les actions mises en place</t>
  </si>
  <si>
    <t xml:space="preserve">Mettre en place un système de suivi et d’archivage des audits internes pour assurer la traçabilité des actions mises en place</t>
  </si>
  <si>
    <t xml:space="preserve">Les collaborateurs clés sont sensibilisés aux différents types de fraude et à leurs impacts potentiels sur l’organisation.</t>
  </si>
  <si>
    <t xml:space="preserve">Les collaborateurs clés sont-ils sensibilisés aux différents types de fraude et à leurs impacts potentiels sur l’organisation?</t>
  </si>
  <si>
    <t xml:space="preserve">Programme de sensibilisation à la fraude</t>
  </si>
  <si>
    <t xml:space="preserve">Programme de sensibilisation à la fraude inadapté ou non suivi</t>
  </si>
  <si>
    <t xml:space="preserve">Faible sensibilisation des collaborateurs aux risques de fraude</t>
  </si>
  <si>
    <t xml:space="preserve">Renforcer les programmes de sensibilisation des collaborateurs aux risques de fraude pour améliorer la vigilance interne</t>
  </si>
  <si>
    <t xml:space="preserve">Liste des sessions et supports de formation sur la fraude</t>
  </si>
  <si>
    <t xml:space="preserve">Liste des sessions et supports de formation sur la fraude non tenue à jour ou insuffisante</t>
  </si>
  <si>
    <t xml:space="preserve">Formation insuffisante des équipes</t>
  </si>
  <si>
    <t xml:space="preserve">Développer des formations continues et adaptées pour améliorer les compétences des équipes en matière de détection des fraudes</t>
  </si>
  <si>
    <t xml:space="preserve">Des outils analytiques (ex : détection d’anomalies, intelligence artificielle) sont utilisés pour identifier les tendances de fraude</t>
  </si>
  <si>
    <t xml:space="preserve">Documentation sur les outils analytiques de détection des fraudes</t>
  </si>
  <si>
    <t xml:space="preserve">Documentation sur les outils analytiques de détection des fraudes inexistante ou incomplète</t>
  </si>
  <si>
    <t xml:space="preserve">Manque d’outils performants pour analyser et détecter efficacement les fraudes</t>
  </si>
  <si>
    <t xml:space="preserve">Déployer des outils performants pour analyser et détecter efficacement les fraudes en temps réel</t>
  </si>
  <si>
    <t xml:space="preserve">Rapports d’analyse des tendances de fraude</t>
  </si>
  <si>
    <t xml:space="preserve">Rapports d’analyse des tendances de fraude inexacts ou non utilisés dans la prévention des fraudes</t>
  </si>
  <si>
    <t xml:space="preserve">Incapacité à détecter les tendances émergentes de fraude</t>
  </si>
  <si>
    <t xml:space="preserve">Mettre en place des mécanismes de veille pour identifier les nouvelles tendances de fraude et adapter les contrôles</t>
  </si>
  <si>
    <t xml:space="preserve">Vérifier que des méthodologies spécifiques sont utilisées pour
 évaluer le risque de fraude, incluant l’identification des domaines
 vulnérables à la fraude et l’analyse des contrôles existants pour les
 atténuer</t>
  </si>
  <si>
    <t xml:space="preserve">L’organisation dispose d’une méthodologie formalisée pour l’identification et l’évaluation des risques de fraude.</t>
  </si>
  <si>
    <t xml:space="preserve">L’organisation dispose-t-elle d’une méthodologie formalisée pour l’identification et l’évaluation des risques de fraude?</t>
  </si>
  <si>
    <t xml:space="preserve">Méthodologie formalisée d’évaluation des risques de fraude</t>
  </si>
  <si>
    <t xml:space="preserve">Méthodologie formalisée d’évaluation des risques de fraude mal appliquée ou obsolète</t>
  </si>
  <si>
    <t xml:space="preserve">Méthodologie de gestion des risques de fraude obsolète</t>
  </si>
  <si>
    <t xml:space="preserve">Mettre à jour régulièrement la méthodologie de gestion des risques de fraude pour s’adapter aux nouvelles menaces</t>
  </si>
  <si>
    <t xml:space="preserve">Guide de mise en œuvre des évaluations de fraude</t>
  </si>
  <si>
    <t xml:space="preserve">Guide de mise en œuvre des évaluations de fraude non utilisé ou inadapté</t>
  </si>
  <si>
    <t xml:space="preserve">Mauvaise application des bonnes pratiques en matière d’évaluation des risques de fraude</t>
  </si>
  <si>
    <t xml:space="preserve">Appliquer strictement les bonnes pratiques en matière d’évaluation des risques de fraude et former les équipes à leur mise en œuvre</t>
  </si>
  <si>
    <t xml:space="preserve">Une analyse des processus critiques est réalisée pour détecter les points de vulnérabilité face à la fraude.</t>
  </si>
  <si>
    <t xml:space="preserve">Une analyse des processus critiques est-elle réalisée pour détecter les points de vulnérabilité face à la fraude?</t>
  </si>
  <si>
    <t xml:space="preserve">Analyse des processus critiques</t>
  </si>
  <si>
    <t xml:space="preserve">Analyse des processus critiques absente ou non exploitée</t>
  </si>
  <si>
    <t xml:space="preserve">Faible compréhension des processus critiques</t>
  </si>
  <si>
    <t xml:space="preserve">Cartographier et documenter les processus critiques pour mieux comprendre les risques et améliorer leur gestion</t>
  </si>
  <si>
    <t xml:space="preserve">Registre des vulnérabilités identifiées et actions correctives</t>
  </si>
  <si>
    <t xml:space="preserve">Registre des vulnérabilités identifiées et actions correctives mal tenu ou incomplet</t>
  </si>
  <si>
    <t xml:space="preserve">Manque de visibilité sur les vulnérabilités informatiques et leur traitement</t>
  </si>
  <si>
    <t xml:space="preserve">Mettre en place un système de suivi et de traitement des vulnérabilités informatiques pour renforcer la sécurité</t>
  </si>
  <si>
    <t xml:space="preserve">Des tests de résistance et des audits de contrôle interne sont effectués pour évaluer l’efficacité des mécanismes de prévention de la fraude.</t>
  </si>
  <si>
    <t xml:space="preserve">Des tests de résistance et des audits de contrôle interne sont-ils effectués pour évaluer l’efficacité des mécanismes de prévention de la fraude?</t>
  </si>
  <si>
    <t xml:space="preserve">Rapports d’audit interne non disponibles ou inexploités</t>
  </si>
  <si>
    <t xml:space="preserve">Non-exploitation des audits internes</t>
  </si>
  <si>
    <t xml:space="preserve">Exploiter systématiquement les résultats des audits internes pour identifier et corriger les dysfonctionnements</t>
  </si>
  <si>
    <t xml:space="preserve">Résultats des tests de résistance non pris en compte dans les stratégies de cybersécurité</t>
  </si>
  <si>
    <t xml:space="preserve">Stratégies de cybersécurité inefficaces</t>
  </si>
  <si>
    <t xml:space="preserve">Élaborer et mettre en œuvre des stratégies de cybersécurité efficaces et adaptées aux menaces actuelles</t>
  </si>
  <si>
    <t xml:space="preserve">Une veille sur les nouvelles techniques de fraude et les tendances sectorielles est régulièrement effectuée.</t>
  </si>
  <si>
    <t xml:space="preserve">Une veille sur les nouvelles techniques de fraude et les tendances sectorielles est-elle régulièrement effectuée?</t>
  </si>
  <si>
    <t xml:space="preserve">Documentation des tendances sectorielles</t>
  </si>
  <si>
    <t xml:space="preserve">Documentation des tendances sectorielles inexistante ou obsolète</t>
  </si>
  <si>
    <t xml:space="preserve">Manque d’adaptation aux évolutions du secteur</t>
  </si>
  <si>
    <t xml:space="preserve">Assurer une veille continue pour anticiper les évolutions du secteur et adapter les mesures de sécurité</t>
  </si>
  <si>
    <t xml:space="preserve">Rapports d’analyse des nouvelles techniques de fraude</t>
  </si>
  <si>
    <t xml:space="preserve">Rapports d’analyse des nouvelles techniques de fraude non mis à jour ou inexploités</t>
  </si>
  <si>
    <t xml:space="preserve">Absence d’informations actualisées sur les nouvelles techniques de fraude</t>
  </si>
  <si>
    <t xml:space="preserve">Mettre à jour régulièrement les bases de données et les formations sur les nouvelles techniques de fraude</t>
  </si>
  <si>
    <t xml:space="preserve">Des simulations et exercices de détection de fraude sont réalisés périodiquement pour tester les dispositifs en place.</t>
  </si>
  <si>
    <t xml:space="preserve">Des simulations et exercices de détection de fraude sont-ils réalisés périodiquement pour tester les dispositifs en place?</t>
  </si>
  <si>
    <t xml:space="preserve">Comptes rendus des simulations de fraude</t>
  </si>
  <si>
    <t xml:space="preserve">Comptes rendus des simulations de fraude absents ou non partagés avec les équipes concernées</t>
  </si>
  <si>
    <t xml:space="preserve">Mauvaise diffusion des résultats des simulations de fraude</t>
  </si>
  <si>
    <t xml:space="preserve">Améliorer la communication et la diffusion des résultats des simulations de fraude pour mieux préparer les équipes</t>
  </si>
  <si>
    <t xml:space="preserve">Documentation des exercices de détection de fraude</t>
  </si>
  <si>
    <t xml:space="preserve">Documentation des exercices de détection de fraude incomplète ou mal archivée</t>
  </si>
  <si>
    <t xml:space="preserve">Faible archivage et exploitation des exercices de détection</t>
  </si>
  <si>
    <t xml:space="preserve">Mettre en place un système d’archivage structuré et exploiter les exercices de détection pour renforcer la prévention</t>
  </si>
  <si>
    <t xml:space="preserve">S’assurer que des responsables sont désignés pour l’évaluation et la
 gestion du risque de fraude, et qu’ils reçoivent une formation
 adéquate pour identifier et traiter ce type de risque de manière
 proactive</t>
  </si>
  <si>
    <t xml:space="preserve">Un responsable dédié à la lutte contre la fraude est désigné avec des rôles et responsabilités clairement définis.</t>
  </si>
  <si>
    <t xml:space="preserve">Un responsable dédié à la lutte contre la fraude est-il désigné avec des rôles et responsabilités clairement définis?</t>
  </si>
  <si>
    <t xml:space="preserve">Fiches de poste du responsable anti-fraude</t>
  </si>
  <si>
    <t xml:space="preserve">Absence de définition claire des responsabilités du responsable anti-fraude</t>
  </si>
  <si>
    <t xml:space="preserve">Manque de responsabilité et d’imputabilité dans la gestion de la lutte contre la fraude</t>
  </si>
  <si>
    <t xml:space="preserve">Établir un cadre clair de responsabilité et d’imputabilité pour chaque acteur impliqué dans la lutte contre la fraude</t>
  </si>
  <si>
    <t xml:space="preserve">Organigramme des responsabilités en matière de lutte contre la fraude</t>
  </si>
  <si>
    <t xml:space="preserve">Manque de visibilité sur la répartition des rôles en matière de lutte contre la fraude</t>
  </si>
  <si>
    <t xml:space="preserve">Difficulté à coordonner les actions et responsabilités des acteurs impliqués</t>
  </si>
  <si>
    <t xml:space="preserve">Définir un processus structuré pour coordonner les actions et responsabilités des différents acteurs</t>
  </si>
  <si>
    <t xml:space="preserve">Une équipe spécialisée ou une cellule anti-fraude est mise en place pour surveiller et traiter les incidents de fraude.</t>
  </si>
  <si>
    <t xml:space="preserve">Une équipe spécialisée ou une cellule anti-fraude est-elle mise en place pour surveiller et traiter les incidents de fraude?</t>
  </si>
  <si>
    <t xml:space="preserve">Charte de fonctionnement de l’équipe anti-fraude</t>
  </si>
  <si>
    <t xml:space="preserve">Dysfonctionnement et absence de cadre structurant pour l’équipe anti-fraude</t>
  </si>
  <si>
    <t xml:space="preserve">Absence de cadre clair, entraînant une inefficacité de l’équipe anti-fraude</t>
  </si>
  <si>
    <t xml:space="preserve">Mettre en place une charte définissant les rôles, les missions et les objectifs de l’équipe anti-fraude</t>
  </si>
  <si>
    <t xml:space="preserve">Liste des membres de l’équipe spécialisée</t>
  </si>
  <si>
    <t xml:space="preserve">Incapacité à identifier les membres de l’équipe spécialisée</t>
  </si>
  <si>
    <t xml:space="preserve">Confusion sur les rôles et responsabilités des membres de l’équipe spécialisée</t>
  </si>
  <si>
    <t xml:space="preserve">Clarifier les responsabilités de chaque membre de l’équipe spécialisée pour éviter toute confusion</t>
  </si>
  <si>
    <t xml:space="preserve">Des formations obligatoires sur la détection et la prévention de la fraude sont dispensées aux employés et responsables concernés.</t>
  </si>
  <si>
    <t xml:space="preserve">Des formations obligatoires sur la détection et la prévention de la fraude sont-elles dispensées aux employés et responsables concernés?</t>
  </si>
  <si>
    <t xml:space="preserve">Programme de formation en prévention de la fraude</t>
  </si>
  <si>
    <t xml:space="preserve">Manque de sensibilisation et de formation du personnel en prévention de la fraude</t>
  </si>
  <si>
    <t xml:space="preserve">Personnel insuffisamment préparé pour détecter et prévenir la fraude</t>
  </si>
  <si>
    <t xml:space="preserve">Développer des formations spécifiques et régulières pour améliorer les compétences du personnel en matière de détection et de prévention de la fraude</t>
  </si>
  <si>
    <t xml:space="preserve">Suivi insuffisant des sessions et supports de formation sur la fraude</t>
  </si>
  <si>
    <t xml:space="preserve">Perte d’efficacité des actions de formation en raison d’un manque de suivi</t>
  </si>
  <si>
    <t xml:space="preserve">Mettre en place un suivi rigoureux des formations pour assurer leur efficacité et adapter leur contenu en fonction des besoins</t>
  </si>
  <si>
    <t xml:space="preserve">Le personnel en charge de la lutte contre la fraude est certifié ou suit régulièrement des formations spécialisées.</t>
  </si>
  <si>
    <t xml:space="preserve">Le personnel en charge de la lutte contre la fraude est-il certifié ou suit-il régulièrement des formations spécialisées?</t>
  </si>
  <si>
    <t xml:space="preserve">Certifications des agents de lutte contre la fraude</t>
  </si>
  <si>
    <t xml:space="preserve">Absence de qualification ou de certification des agents de lutte contre la fraude</t>
  </si>
  <si>
    <t xml:space="preserve">Agents non qualifiés ou mal formés pour identifier et traiter les fraudes</t>
  </si>
  <si>
    <t xml:space="preserve">Renforcer le processus de recrutement et de formation pour garantir des compétences adaptées à la lutte contre la fraude</t>
  </si>
  <si>
    <t xml:space="preserve">Registre des formations spécialisées suivies par le personnel</t>
  </si>
  <si>
    <t xml:space="preserve">Manque de traçabilité des formations suivies par le personnel</t>
  </si>
  <si>
    <t xml:space="preserve">Difficulté à prouver la formation du personnel en cas d’audit ou d’enquête</t>
  </si>
  <si>
    <t xml:space="preserve">Archiver systématiquement les preuves de formation des employés pour être en conformité en cas d’audit ou d’enquête</t>
  </si>
  <si>
    <t xml:space="preserve">Un plan de formation continue est prévu pour s’adapter aux nouvelles menaces et méthodes de fraude.</t>
  </si>
  <si>
    <t xml:space="preserve">Un plan de formation continue est-il prévu pour s’adapter aux nouvelles menaces et méthodes de fraude?</t>
  </si>
  <si>
    <t xml:space="preserve">Plan de formation continue sur la fraude</t>
  </si>
  <si>
    <t xml:space="preserve">Absence de développement des compétences en matière de lutte contre la fraude</t>
  </si>
  <si>
    <t xml:space="preserve">Érosion des compétences, rendant les dispositifs de lutte contre la fraude obsolètes</t>
  </si>
  <si>
    <t xml:space="preserve">Mettre en place un programme de formation continue pour éviter l’érosion des compétences et maintenir un haut niveau d’expertise</t>
  </si>
  <si>
    <t xml:space="preserve">Documentation sur l’évolution des menaces de fraude</t>
  </si>
  <si>
    <t xml:space="preserve">Mauvaise anticipation des nouvelles menaces de fraude</t>
  </si>
  <si>
    <t xml:space="preserve">Incapacité à réagir efficacement aux nouvelles formes de fraude</t>
  </si>
  <si>
    <t xml:space="preserve">Déployer une veille stratégique pour identifier et anticiper les nouvelles formes de fraude</t>
  </si>
  <si>
    <t xml:space="preserve">Vérifier que des mécanismes de surveillance et de contrôle
 spécifiques sont mis en place pour surveiller en continu les risques
 de fraude, avec des rapports réguliers sur l’état des contrôles et des
 incidents potentiels</t>
  </si>
  <si>
    <t xml:space="preserve">Un système de surveillance automatisé est déployé pour détecter les transactions suspectes ou frauduleuses.</t>
  </si>
  <si>
    <t xml:space="preserve">Un système de surveillance automatisé est-il déployé pour détecter les transactions suspectes ou frauduleuses?</t>
  </si>
  <si>
    <t xml:space="preserve">Rapports d’audit sur le système de surveillance des fraudes</t>
  </si>
  <si>
    <t xml:space="preserve">Non-conformité du système de surveillance des fraudes aux exigences de contrôle interne</t>
  </si>
  <si>
    <t xml:space="preserve">Défaillance du dispositif de surveillance et exposition accrue aux fraudes</t>
  </si>
  <si>
    <t xml:space="preserve">Renforcer les dispositifs de surveillance et les adapter aux nouvelles menaces pour minimiser les risques de fraude</t>
  </si>
  <si>
    <t xml:space="preserve">Description technique du système automatisé de surveillance</t>
  </si>
  <si>
    <t xml:space="preserve">Manque de transparence sur le fonctionnement du système automatisé de surveillance</t>
  </si>
  <si>
    <t xml:space="preserve">Doute sur la fiabilité et l’efficacité du système automatisé de surveillance</t>
  </si>
  <si>
    <t xml:space="preserve">Évaluer et améliorer régulièrement les performances des systèmes automatisés de surveillance pour garantir leur fiabilité</t>
  </si>
  <si>
    <t xml:space="preserve">Des indicateurs de performance (KPI) et des seuils d’alerte sont définis pour surveiller les anomalies et comportements inhabituels.</t>
  </si>
  <si>
    <t xml:space="preserve">Des indicateurs de performance (KPI) et des seuils d’alerte sont-ils définis pour surveiller les anomalies et comportements inhabituels?</t>
  </si>
  <si>
    <t xml:space="preserve">Liste des KPI et seuils d’alerte définis</t>
  </si>
  <si>
    <t xml:space="preserve">Absence de définition claire des indicateurs de fraude et des seuils d’alerte</t>
  </si>
  <si>
    <t xml:space="preserve">Mauvaise détection des fraudes en raison d’indicateurs inadaptés</t>
  </si>
  <si>
    <t xml:space="preserve">Revoir et ajuster les indicateurs de détection pour mieux identifier les comportements frauduleux</t>
  </si>
  <si>
    <t xml:space="preserve">Tableau de bord de suivi des anomalies et comportements inhabituels</t>
  </si>
  <si>
    <t xml:space="preserve">Suivi inefficace des anomalies et comportements suspects</t>
  </si>
  <si>
    <t xml:space="preserve">Faible capacité à détecter rapidement les comportements frauduleux</t>
  </si>
  <si>
    <t xml:space="preserve">Mettre en place des algorithmes d’analyse avancés pour détecter plus rapidement les comportements suspects</t>
  </si>
  <si>
    <t xml:space="preserve">Un processus d’investigation interne est établi pour examiner les alertes de fraude détectées.</t>
  </si>
  <si>
    <t xml:space="preserve">Un processus d’investigation interne est-il établi pour examiner les alertes de fraude détectées?</t>
  </si>
  <si>
    <t xml:space="preserve">Procédure formalisée d’investigation interne</t>
  </si>
  <si>
    <t xml:space="preserve">Manque de structuration des investigations internes en cas de fraude</t>
  </si>
  <si>
    <t xml:space="preserve">Enquêtes menées de manière désorganisée et inefficace</t>
  </si>
  <si>
    <t xml:space="preserve">Structurer les enquêtes internes avec des méthodologies claires et un processus de documentation systématique</t>
  </si>
  <si>
    <t xml:space="preserve">Registre des enquêtes menées sur les alertes de fraude</t>
  </si>
  <si>
    <t xml:space="preserve">Absence de traçabilité des enquêtes menées sur les alertes de fraude</t>
  </si>
  <si>
    <t xml:space="preserve">Absence de preuve et de suivi des fraudes détectées</t>
  </si>
  <si>
    <t xml:space="preserve">Assurer une traçabilité rigoureuse des fraudes détectées à travers des rapports détaillés et un suivi des cas</t>
  </si>
  <si>
    <t xml:space="preserve">Des rapports périodiques sur les incidents de fraude et les actions correctives sont envoyés à la direction et aux instances de contrôle.</t>
  </si>
  <si>
    <t xml:space="preserve">Des rapports périodiques sur les incidents de fraude et les actions correctives sont-ils envoyés à la direction et aux instances de contrôle?</t>
  </si>
  <si>
    <t xml:space="preserve">Rapports périodiques sur les incidents de fraude</t>
  </si>
  <si>
    <t xml:space="preserve">Mauvaise connaissance des incidents de fraude et de leur récurrence</t>
  </si>
  <si>
    <t xml:space="preserve">Manque de visibilité sur les tendances et les menaces récurrentes</t>
  </si>
  <si>
    <t xml:space="preserve">Analyser régulièrement les tendances et menaces récurrentes pour ajuster les stratégies de lutte contre la fraude</t>
  </si>
  <si>
    <t xml:space="preserve">Documentation des actions correctives mises en œuvre</t>
  </si>
  <si>
    <t xml:space="preserve">Absence de suivi des actions mises en œuvre pour corriger les fraudes détectées</t>
  </si>
  <si>
    <t xml:space="preserve">Risque de répétition des mêmes fraudes par absence de mesures correctives</t>
  </si>
  <si>
    <t xml:space="preserve">Mettre en place des mesures correctives systématiques pour éviter la répétition des mêmes fraudes</t>
  </si>
  <si>
    <t xml:space="preserve">Un système de signalement confidentiel est mis à disposition des employés pour dénoncer les cas de fraude sans crainte de représailles.</t>
  </si>
  <si>
    <t xml:space="preserve">Un système de signalement confidentiel est-il mis à disposition des employés pour dénoncer les cas de fraude sans crainte de représailles?</t>
  </si>
  <si>
    <t xml:space="preserve">Politique de signalement des fraudes</t>
  </si>
  <si>
    <t xml:space="preserve">Absence de cadre formel pour le signalement des fraudes</t>
  </si>
  <si>
    <t xml:space="preserve">Climat d’impunité en l’absence de procédure de signalement claire</t>
  </si>
  <si>
    <t xml:space="preserve">Établir une procédure de signalement claire et confidentielle pour encourager la dénonciation des fraudes</t>
  </si>
  <si>
    <t xml:space="preserve">Plateforme de signalement et registre des alertes reçues</t>
  </si>
  <si>
    <t xml:space="preserve">Non-traitement ou suivi insuffisant des alertes de fraude reçues</t>
  </si>
  <si>
    <t xml:space="preserve">Non-traitement des alertes de fraude, favorisant la persistance des fraudes</t>
  </si>
  <si>
    <t xml:space="preserve">Mettre en place un processus de traitement rapide et efficace des alertes de fraude pour éviter leur persistance</t>
  </si>
  <si>
    <t xml:space="preserve">S’assurer que le risque de fraude est pris en compte dans les
 évaluations de performance et que des mesures correctives sont
 mises en place si des failles dans le système de contrôle interne
 sont identifiées</t>
  </si>
  <si>
    <t xml:space="preserve">Les risques de fraude sont intégrés dans les critères d’évaluation des performances des responsables et des départements concernés.</t>
  </si>
  <si>
    <t xml:space="preserve">Les risques de fraude sont-ils intégrés dans les critères d’évaluation des performances des responsables et des départements concernés?</t>
  </si>
  <si>
    <t xml:space="preserve">Critères d’évaluation des performances intégrant la lutte contre la fraude</t>
  </si>
  <si>
    <t xml:space="preserve">Absence de critères d’évaluation de la lutte contre la fraude dans la gestion des performances</t>
  </si>
  <si>
    <t xml:space="preserve">Mauvaise intégration de la lutte contre la fraude dans la culture de performance</t>
  </si>
  <si>
    <t xml:space="preserve">Intégrer la lutte contre la fraude aux objectifs de performance et aux évaluations des employés concernés</t>
  </si>
  <si>
    <t xml:space="preserve">Documentation des évaluations de performance des responsables</t>
  </si>
  <si>
    <t xml:space="preserve">Évaluation insuffisante des responsables en matière de prévention des fraudes</t>
  </si>
  <si>
    <t xml:space="preserve">Manque de responsabilisation des acteurs impliqués dans la prévention des fraudes</t>
  </si>
  <si>
    <t xml:space="preserve">Renforcer la responsabilisation des acteurs impliqués en leur fixant des objectifs clairs en matière de prévention des fraudes</t>
  </si>
  <si>
    <t xml:space="preserve">Une analyse des failles identifiées est réalisée après chaque incident de fraude pour améliorer les contrôles existants.</t>
  </si>
  <si>
    <t xml:space="preserve">Une analyse des failles identifiées est-elle réalisée après chaque incident de fraude pour améliorer les contrôles existants?</t>
  </si>
  <si>
    <t xml:space="preserve">Rapports d’analyse des failles identifiées</t>
  </si>
  <si>
    <t xml:space="preserve">Manque de visibilité sur les failles identifiées et les risques associés</t>
  </si>
  <si>
    <t xml:space="preserve">Difficulté à identifier et traiter les failles exploitées par les fraudeurs</t>
  </si>
  <si>
    <t xml:space="preserve">Effectuer des audits réguliers pour identifier et corriger les failles exploitées par les fraudeurs</t>
  </si>
  <si>
    <t xml:space="preserve">Documentation des améliorations apportées aux contrôles existants</t>
  </si>
  <si>
    <t xml:space="preserve">Non-documentation des améliorations apportées aux dispositifs de contrôle</t>
  </si>
  <si>
    <t xml:space="preserve">Absence de retour d’expérience et d’amélioration continue des contrôles</t>
  </si>
  <si>
    <t xml:space="preserve">Mettre en place un processus structuré de retour d’expérience et d’amélioration continue des contrôles anti-fraude</t>
  </si>
  <si>
    <t xml:space="preserve">Des actions correctives sont mises en œuvre dans un délai défini en cas de détection de vulnérabilités.</t>
  </si>
  <si>
    <t xml:space="preserve">Des actions correctives sont-elles mises en œuvre dans un délai défini en cas de détection de vulnérabilités?</t>
  </si>
  <si>
    <t xml:space="preserve">Manque de suivi des actions correctives appliquées</t>
  </si>
  <si>
    <t xml:space="preserve">Manque de visibilité sur les actions mises en œuvre pour corriger les faiblesses identifiées</t>
  </si>
  <si>
    <t xml:space="preserve">Assurer un reporting détaillé et transparent sur les actions mises en œuvre pour remédier aux faiblesses détectées</t>
  </si>
  <si>
    <t xml:space="preserve">Procédure de suivi des vulnérabilités détectées</t>
  </si>
  <si>
    <t xml:space="preserve">Absence de gestion et de suivi des vulnérabilités détectées</t>
  </si>
  <si>
    <t xml:space="preserve">Persistance des vulnérabilités exploitées par les fraudeurs</t>
  </si>
  <si>
    <t xml:space="preserve">Renforcer les dispositifs de contrôle et de prévention pour limiter les vulnérabilités exploitées par les fraudeurs</t>
  </si>
  <si>
    <t xml:space="preserve">Des mesures disciplinaires claires sont appliquées en cas de non-respect des procédures de contrôle contre la fraude.</t>
  </si>
  <si>
    <t xml:space="preserve">Des mesures disciplinaires claires sont-elles appliquées en cas de non-respect des procédures de contrôle contre la fraude?</t>
  </si>
  <si>
    <t xml:space="preserve">Politique disciplinaire en cas de fraude avérée</t>
  </si>
  <si>
    <t xml:space="preserve">Absence de sanctions définies en cas de fraude avérée</t>
  </si>
  <si>
    <t xml:space="preserve">Absence de cadre disciplinaire, réduisant l’effet dissuasif contre les fraudes</t>
  </si>
  <si>
    <t xml:space="preserve">Définir un cadre disciplinaire clair et cohérent pour dissuader les comportements frauduleux</t>
  </si>
  <si>
    <t xml:space="preserve">Registre des mesures disciplinaires appliquées</t>
  </si>
  <si>
    <t xml:space="preserve">Non-application ou incohérence dans les mesures disciplinaires en cas de fraude</t>
  </si>
  <si>
    <t xml:space="preserve">Manque de cohérence et de fermeté dans les sanctions appliquées</t>
  </si>
  <si>
    <t xml:space="preserve">Appliquer des sanctions justes et proportionnées afin d’assurer la cohérence et la fermeté dans la lutte contre la fraude</t>
  </si>
  <si>
    <t xml:space="preserve">Les processus de contrôle sont mis à jour après chaque incident majeur pour éviter les répétitions de fraude</t>
  </si>
  <si>
    <t xml:space="preserve">Les processus de contrôle sont-ils mis à jour après chaque incident majeur pour éviter les répétitions de fraude?</t>
  </si>
  <si>
    <t xml:space="preserve">Procédure de mise à jour des contrôles après incident</t>
  </si>
  <si>
    <t xml:space="preserve">Absence de mise à jour des contrôles après un incident de fraude</t>
  </si>
  <si>
    <t xml:space="preserve">Reproduction des erreurs passées en raison d’un manque d’adaptation des contrôles</t>
  </si>
  <si>
    <t xml:space="preserve">Adapter et renforcer les contrôles en fonction des retours d’expérience pour éviter la reproduction des erreurs passées</t>
  </si>
  <si>
    <t xml:space="preserve">Documentation des ajustements effectués suite aux incidents majeurs</t>
  </si>
  <si>
    <t xml:space="preserve">Manque de suivi des ajustements effectués après un incident majeur</t>
  </si>
  <si>
    <t xml:space="preserve">Faible efficacité des mesures de correction et récurrence des incidents similaires</t>
  </si>
  <si>
    <t xml:space="preserve">Évaluer régulièrement l’efficacité des mesures correctives et les ajuster pour éviter la récurrence des incidents</t>
  </si>
  <si>
    <t xml:space="preserve">Vérifier que des rapports détaillés sur les risques de fraude sont
 fournis régulièrement à la direction, avec des évaluations sur les
 risques identifiés et les mesures prises pour y faire face</t>
  </si>
  <si>
    <t xml:space="preserve">Un reporting périodique sur les risques de fraude est adressé aux instances de gouvernance.</t>
  </si>
  <si>
    <t xml:space="preserve">Un reporting périodique sur les risques de fraude est-il adressé aux instances de gouvernance?</t>
  </si>
  <si>
    <t xml:space="preserve">Rapports périodiques sur les risques de fraude</t>
  </si>
  <si>
    <t xml:space="preserve">Absence de suivi des risques de fraude et mauvaise anticipation des menaces</t>
  </si>
  <si>
    <t xml:space="preserve">Manque de maîtrise et d’anticipation des fraudes émergentes</t>
  </si>
  <si>
    <t xml:space="preserve">Mettre en place une veille proactive et une analyse des tendances pour anticiper les fraudes émergentes et adapter les dispositifs de prévention</t>
  </si>
  <si>
    <t xml:space="preserve">Documentation des échanges avec les instances de gouvernance</t>
  </si>
  <si>
    <t xml:space="preserve">Manque de transparence et de communication avec les instances de gouvernance</t>
  </si>
  <si>
    <t xml:space="preserve">Absence de supervision et de prise de décision éclairée par les instances dirigeantes</t>
  </si>
  <si>
    <t xml:space="preserve">Mettre en place un comité de gouvernance stratégique pour assurer une supervision continue et des décisions éclairées.</t>
  </si>
  <si>
    <t xml:space="preserve">Les rapports de fraude incluent des recommandations claires pour renforcer les dispositifs de contrôle.</t>
  </si>
  <si>
    <t xml:space="preserve">Les rapports de fraude incluent-ils des recommandations claires pour renforcer les dispositifs de contrôle?</t>
  </si>
  <si>
    <t xml:space="preserve">Recommandations pour le renforcement des contrôles</t>
  </si>
  <si>
    <t xml:space="preserve">Faible prise en compte des recommandations pour améliorer les contrôles</t>
  </si>
  <si>
    <t xml:space="preserve">Maintien de failles de contrôle et inefficacité des dispositifs de prévention</t>
  </si>
  <si>
    <t xml:space="preserve">Réaliser des audits réguliers des contrôles pour identifier les failles et améliorer les dispositifs de prévention.</t>
  </si>
  <si>
    <t xml:space="preserve">Rapports d’audit interne sur l’efficacité des dispositifs de contrôle</t>
  </si>
  <si>
    <t xml:space="preserve">Non-évaluation de l’efficacité des dispositifs de contrôle en place</t>
  </si>
  <si>
    <t xml:space="preserve">Persistance des vulnérabilités en raison de l’absence d’évaluation des contrôles</t>
  </si>
  <si>
    <t xml:space="preserve">Implémenter un processus d’évaluation continue des contrôles pour détecter et résoudre les vulnérabilités persistantes.</t>
  </si>
  <si>
    <t xml:space="preserve">Une synthèse des incidents de fraude et des actions correctives est intégrée dans les bilans de gestion des risques.</t>
  </si>
  <si>
    <t xml:space="preserve">Une synthèse des incidents de fraude et des actions correctives est-elle intégrée dans les bilans de gestion des risques?</t>
  </si>
  <si>
    <t xml:space="preserve">Synthèse des incidents de fraude recensés</t>
  </si>
  <si>
    <t xml:space="preserve">Manque de visibilité sur les fraudes recensées et leurs tendances</t>
  </si>
  <si>
    <t xml:space="preserve">Risque accru de répétition des fraudes en raison d’un manque d’analyse des incidents passés</t>
  </si>
  <si>
    <t xml:space="preserve">Analyser systématiquement les incidents passés pour identifier les causes profondes et prévenir les fraudes futures.</t>
  </si>
  <si>
    <t xml:space="preserve">Intégration des actions correctives dans la gestion des risques</t>
  </si>
  <si>
    <t xml:space="preserve">Absence d’intégration des actions correctives dans la gestion des risques</t>
  </si>
  <si>
    <t xml:space="preserve">Faible efficacité des actions correctives et récurrence des mêmes faiblesses</t>
  </si>
  <si>
    <t xml:space="preserve">Renforcer les actions correctives avec un suivi rigoureux et un mécanisme de retour d’expérience pour éviter la répétition des faiblesses.</t>
  </si>
  <si>
    <t xml:space="preserve">Des indicateurs de tendance permettent d’anticiper l’évolution des risques de fraude et d’adapter les stratégies de prévention.</t>
  </si>
  <si>
    <t xml:space="preserve">Y a-t-il des indicateurs de tendance permettant d’anticiper l’évolution des risques de fraude et d’adapter les stratégies de prévention?</t>
  </si>
  <si>
    <t xml:space="preserve">Indicateurs de tendance sur l’évolution des fraudes</t>
  </si>
  <si>
    <t xml:space="preserve">Mauvaise analyse des tendances de fraude et retard dans l’adaptation des mesures préventives</t>
  </si>
  <si>
    <t xml:space="preserve">Incapacité à adapter les stratégies de lutte contre la fraude aux évolutions des menaces</t>
  </si>
  <si>
    <t xml:space="preserve">Créer un cadre flexible pour adapter les stratégies de lutte contre la fraude en fonction des nouvelles menaces identifiées.</t>
  </si>
  <si>
    <t xml:space="preserve">Analyse des stratégies de prévention et d’adaptation</t>
  </si>
  <si>
    <t xml:space="preserve">Stratégies de prévention inefficaces ou inadaptées aux nouvelles menaces</t>
  </si>
  <si>
    <t xml:space="preserve">Difficulté à ajuster les mesures de prévention face aux nouvelles techniques frauduleuses</t>
  </si>
  <si>
    <t xml:space="preserve">Mettre en place un système agile pour ajuster les mesures de prévention aux nouvelles techniques frauduleuses.</t>
  </si>
  <si>
    <t xml:space="preserve">La direction est impliquée dans l’approbation et le suivi des plans de remédiation en cas de fraude avérée.</t>
  </si>
  <si>
    <t xml:space="preserve">La direction est-elle impliquée dans l’approbation et le suivi des plans de remédiation en cas de fraude avérée?</t>
  </si>
  <si>
    <t xml:space="preserve">Documentation des plans de remédiation approuvés</t>
  </si>
  <si>
    <t xml:space="preserve">Absence de formalisation et de suivi des plans de remédiation</t>
  </si>
  <si>
    <t xml:space="preserve">Absence de suivi et de mise en œuvre des mesures correctives nécessaires</t>
  </si>
  <si>
    <t xml:space="preserve">Assurer une mise en œuvre proactive des mesures correctives, en vérifiant leur efficacité.</t>
  </si>
  <si>
    <t xml:space="preserve">Rapports de suivi des actions décidées par la direction</t>
  </si>
  <si>
    <t xml:space="preserve">Manque de suivi des décisions prises par la direction et faible application des actions correctives</t>
  </si>
  <si>
    <t xml:space="preserve">Perte d’efficacité des décisions de la direction et retard dans la mise en place des actions</t>
  </si>
  <si>
    <t xml:space="preserve">Organiser des revues stratégiques régulières pour évaluer l’impact des décisions de la direction et accélérer leur mise en place.</t>
  </si>
  <si>
    <t xml:space="preserve">Identification et analyse des changements
 significatifs</t>
  </si>
  <si>
    <t xml:space="preserve">S’assurer que l’organisation met en place un processus structuré
 pour identifier les changements, qu’ils soient internes
 (réorganisations, nouvelles technologies, etc.) ou externes
 (évolutions réglementaires, marché, etc.), susceptibles d’affecter le
 système de contrôle interne</t>
  </si>
  <si>
    <t xml:space="preserve">Un cadre formalisé de suivi des changements est documenté et appliqué dans l’organisation.</t>
  </si>
  <si>
    <t xml:space="preserve">Un cadre formalisé de suivi des changements est-il documenté et appliqué dans l’organisation?</t>
  </si>
  <si>
    <t xml:space="preserve">Guide de suivi des changements organisationnels</t>
  </si>
  <si>
    <t xml:space="preserve">Absence de cadre méthodologique pour le suivi des changements organisationnels</t>
  </si>
  <si>
    <t xml:space="preserve">Désorganisation et manque de cohérence dans l’accompagnement des changements</t>
  </si>
  <si>
    <t xml:space="preserve">Définir une approche claire et coordonnée pour l’accompagnement des changements afin d’éviter la désorganisation.</t>
  </si>
  <si>
    <t xml:space="preserve">Documentation des modifications et impacts sur le contrôle interne</t>
  </si>
  <si>
    <t xml:space="preserve">Manque de traçabilité des modifications et de leur impact sur le contrôle interne</t>
  </si>
  <si>
    <t xml:space="preserve">Manque de contrôle sur l’impact des modifications, pouvant créer de nouvelles vulnérabilités</t>
  </si>
  <si>
    <t xml:space="preserve">Mettre en place des mécanismes de contrôle renforcés pour évaluer l’impact des modifications et éviter la création de nouvelles vulnérabilités.</t>
  </si>
  <si>
    <t xml:space="preserve">Les parties prenantes clés (direction, responsables des risques, conformité) sont impliquées dans l’identification des changements.</t>
  </si>
  <si>
    <t xml:space="preserve">Les parties prenantes clés (direction, responsables des risques, conformité) sont-elles impliquées dans l’identification des changements?</t>
  </si>
  <si>
    <t xml:space="preserve">Comptes rendus des réunions de suivi des changements</t>
  </si>
  <si>
    <t xml:space="preserve">Faible suivi des décisions prises lors des réunions de suivi des changements</t>
  </si>
  <si>
    <t xml:space="preserve">Absence de prise en compte des ajustements nécessaires après les décisions de changement</t>
  </si>
  <si>
    <t xml:space="preserve">Implémenter une procédure de suivi post-changement pour s’assurer de la mise en œuvre des ajustements nécessaires.</t>
  </si>
  <si>
    <t xml:space="preserve">Rapports d’analyse des impacts des changements sur la gestion des risques</t>
  </si>
  <si>
    <t xml:space="preserve">Absence d’évaluation de l’impact des changements sur la gestion des risques</t>
  </si>
  <si>
    <t xml:space="preserve">Difficulté à mesurer l’impact des évolutions sur les risques existants</t>
  </si>
  <si>
    <t xml:space="preserve">Utiliser des outils d’analyse pour mesurer et ajuster les risques liés aux évolutions du système ou de l’environnement.</t>
  </si>
  <si>
    <t xml:space="preserve">Une veille réglementaire et technologique est mise en place pour détecter les évolutions pouvant impacter le contrôle interne.</t>
  </si>
  <si>
    <t xml:space="preserve">Une veille réglementaire et technologique est-elle mise en place pour détecter les évolutions pouvant impacter le contrôle interne?</t>
  </si>
  <si>
    <t xml:space="preserve">Documentation de la veille réglementaire et technologique</t>
  </si>
  <si>
    <t xml:space="preserve">Manque de veille sur les évolutions réglementaires et technologiques</t>
  </si>
  <si>
    <t xml:space="preserve">Non-respect des exigences réglementaires et exposition à des sanctions</t>
  </si>
  <si>
    <t xml:space="preserve">Mettre en œuvre une veille réglementaire pour assurer la conformité aux exigences légales et éviter les sanctions.</t>
  </si>
  <si>
    <t xml:space="preserve">Liste des mises à jour réglementaires ayant un impact sur le contrôle interne</t>
  </si>
  <si>
    <t xml:space="preserve">Non-prise en compte des mises à jour réglementaires pouvant affecter le contrôle interne</t>
  </si>
  <si>
    <t xml:space="preserve">Incapacité à adapter les contrôles internes aux nouvelles obligations légales</t>
  </si>
  <si>
    <t xml:space="preserve">Mettre à jour régulièrement les contrôles internes pour répondre aux nouvelles obligations légales et anticiper les risques.</t>
  </si>
  <si>
    <t xml:space="preserve">Des outils et méthodologies sont utilisés pour surveiller en temps réel les changements affectant l’organisation.</t>
  </si>
  <si>
    <t xml:space="preserve">Des outils et méthodologies sont-ils utilisés pour surveiller en temps réel les changements affectant l’organisation?</t>
  </si>
  <si>
    <t xml:space="preserve">Liste des outils et méthodologies de surveillance des changements</t>
  </si>
  <si>
    <t xml:space="preserve">Absence d’outils et de méthodes de surveillance des évolutions et changements</t>
  </si>
  <si>
    <t xml:space="preserve">Mauvaise gestion des évolutions impactant la surveillance des fraudes</t>
  </si>
  <si>
    <t xml:space="preserve">Assurer une gestion proactive des évolutions pour intégrer rapidement les changements dans la surveillance des fraudes.</t>
  </si>
  <si>
    <t xml:space="preserve">Rapports d’analyse des impacts en temps réel</t>
  </si>
  <si>
    <t xml:space="preserve">Manque de réactivité face aux changements ayant un impact immédiat</t>
  </si>
  <si>
    <t xml:space="preserve">Réaction tardive ou inefficace face aux évolutions ayant un effet immédiat</t>
  </si>
  <si>
    <t xml:space="preserve">Développer un système de gestion des changements réactif afin de réduire le retard dans la détection des incidents critiques.</t>
  </si>
  <si>
    <t xml:space="preserve">Un processus d’alerte est mis en place pour signaler rapidement les changements critiques aux responsables concernés</t>
  </si>
  <si>
    <t xml:space="preserve">Un processus d’alerte est-il mis en place pour signaler rapidement les changements critiques aux responsables concernés?</t>
  </si>
  <si>
    <t xml:space="preserve">Procédure d’alerte sur les changements critiques</t>
  </si>
  <si>
    <t xml:space="preserve">Absence de mécanisme d’alerte en cas de changement critique</t>
  </si>
  <si>
    <t xml:space="preserve">Retard dans la détection et la gestion des changements critiques</t>
  </si>
  <si>
    <t xml:space="preserve">Créer une équipe spécialisée pour assurer une gestion rapide et efficace des incidents liés aux changements.</t>
  </si>
  <si>
    <t xml:space="preserve">Registre des alertes et actions prises en réponse</t>
  </si>
  <si>
    <t xml:space="preserve">Manque de suivi et de documentation des alertes et actions prises en réponse</t>
  </si>
  <si>
    <t xml:space="preserve">Faible réactivité et inefficacité dans la correction des incidents liés aux changements</t>
  </si>
  <si>
    <t xml:space="preserve">Instaurer un processus d’anticipation des risques pour éviter la perturbation des processus internes liés à des changements mal évalués.</t>
  </si>
  <si>
    <t xml:space="preserve">Vérifier que les changements identifiés sont évalués de manière
 formelle et structurée, avec une analyse de l’impact potentiel sur les
 contrôles internes et les risques associés</t>
  </si>
  <si>
    <t xml:space="preserve">Chaque changement identifié fait l’objet d’une évaluation documentée avec une analyse des risques associés.</t>
  </si>
  <si>
    <t xml:space="preserve">Chaque changement identifié fait-il l’objet d’une évaluation documentée avec une analyse des risques associés?</t>
  </si>
  <si>
    <t xml:space="preserve">Rapport d’évaluation des changements</t>
  </si>
  <si>
    <t xml:space="preserve">Non-évaluation des conséquences des changements sur les processus internes</t>
  </si>
  <si>
    <t xml:space="preserve">Risque de perturbation des processus internes en raison d’un manque d’anticipation</t>
  </si>
  <si>
    <t xml:space="preserve">Réaliser des évaluations régulières des risques associés aux changements pour limiter l’exposition à des vulnérabilités nouvelles</t>
  </si>
  <si>
    <t xml:space="preserve">Analyse des risques associés aux changements</t>
  </si>
  <si>
    <t xml:space="preserve">Mauvaise identification des risques liés aux évolutions organisationnelles et technologiques</t>
  </si>
  <si>
    <t xml:space="preserve">Augmentation de l’exposition aux risques dus à des changements mal évalués</t>
  </si>
  <si>
    <t xml:space="preserve">Mettre en place un processus de hiérarchisation des changements basé sur l’impact et la criticité pour assurer une gestion efficace.</t>
  </si>
  <si>
    <t xml:space="preserve">Une méthodologie de classification des changements (mineur, significatif, critique) est mise en place.</t>
  </si>
  <si>
    <t xml:space="preserve">Une méthodologie de classification des changements est-elle mise en place?</t>
  </si>
  <si>
    <t xml:space="preserve">Méthodologie de classification des changements</t>
  </si>
  <si>
    <t xml:space="preserve">Absence de méthodologie de classification des changements selon leur criticité</t>
  </si>
  <si>
    <t xml:space="preserve">Absence de hiérarchisation des changements selon leur criticité et leur impact</t>
  </si>
  <si>
    <t xml:space="preserve">Utiliser des outils de gestion de projet pour prioriser les changements en fonction de leur urgence et de leur impact sur l’organisation.</t>
  </si>
  <si>
    <t xml:space="preserve">Guide des catégories et niveaux de criticité des changements</t>
  </si>
  <si>
    <t xml:space="preserve">Manque de cadre structuré pour évaluer et catégoriser les changements</t>
  </si>
  <si>
    <t xml:space="preserve">Difficulté à prioriser et gérer efficacement les changements selon leur niveau d’urgence</t>
  </si>
  <si>
    <t xml:space="preserve">Mettre en place un processus de validation rigoureux pour toute modification avant son implémentation.</t>
  </si>
  <si>
    <t xml:space="preserve">Des simulations ou tests sont réalisés pour anticiper les conséquences des changements sur les processus internes.</t>
  </si>
  <si>
    <t xml:space="preserve">Des simulations ou tests sont-ils réalisés pour anticiper les conséquences des changements sur les processus internes?</t>
  </si>
  <si>
    <t xml:space="preserve">Rapports des simulations de changements</t>
  </si>
  <si>
    <t xml:space="preserve">Absence de tests préalables pour évaluer l’impact des changements</t>
  </si>
  <si>
    <t xml:space="preserve">Implémentation de modifications sans validation préalable, générant des vulnérabilités</t>
  </si>
  <si>
    <t xml:space="preserve">Assurer des tests approfondis avant toute modification pour éviter les dysfonctionnements et perturbations.</t>
  </si>
  <si>
    <t xml:space="preserve">Documentation des tests d’impact sur les processus internes</t>
  </si>
  <si>
    <t xml:space="preserve">Non-évaluation des conséquences des modifications sur les processus internes</t>
  </si>
  <si>
    <t xml:space="preserve">Dysfonctionnements et perturbations dans les processus internes</t>
  </si>
  <si>
    <t xml:space="preserve">Adopter une approche centrée sur les besoins réels de l’organisation pour garantir que les modifications soient pertinentes</t>
  </si>
  <si>
    <t xml:space="preserve">Une analyse coûts-bénéfices est réalisée pour déterminer la faisabilité des ajustements nécessaires.</t>
  </si>
  <si>
    <t xml:space="preserve">Une analyse coûts-bénéfices est-elle réalisée pour déterminer la faisabilité des ajustements nécessaires?</t>
  </si>
  <si>
    <t xml:space="preserve">Étude de faisabilité des ajustements</t>
  </si>
  <si>
    <t xml:space="preserve">Absence d’étude de faisabilité avant l’implémentation des ajustements</t>
  </si>
  <si>
    <t xml:space="preserve">Mise en œuvre de modifications non adaptées aux besoins réels de l’organisation</t>
  </si>
  <si>
    <t xml:space="preserve">Effectuer une analyse coûts-avantages pour éviter les coûts inutiles et les ajustements inefficaces.</t>
  </si>
  <si>
    <t xml:space="preserve">Analyse coûts-bénéfices des modifications envisagées</t>
  </si>
  <si>
    <t xml:space="preserve">Manque d’analyse des coûts et bénéfices des changements envisagés</t>
  </si>
  <si>
    <t xml:space="preserve">Engagement de coûts inutiles pour des ajustements inefficaces</t>
  </si>
  <si>
    <t xml:space="preserve">Mettre en place un suivi des risques intégré et utiliser des outils de prise de décision pour les gérer de manière proactive.</t>
  </si>
  <si>
    <t xml:space="preserve">Les évaluations sont validées par un comité de gestion des risques avant toute mise en œuvre.</t>
  </si>
  <si>
    <t xml:space="preserve">Les évaluations sont-elles validées par un comité de gestion des risques avant toute mise en œuvre?</t>
  </si>
  <si>
    <t xml:space="preserve">Comptes rendus des réunions du comité de gestion des risques</t>
  </si>
  <si>
    <t xml:space="preserve">Absence de suivi des réunions du comité de gestion des risques et des décisions prises</t>
  </si>
  <si>
    <t xml:space="preserve">Faible suivi des risques et absence de décisions pertinentes en matière de gestion des risques</t>
  </si>
  <si>
    <t xml:space="preserve">S’assurer que les évaluations de risques soient complètes et précises avant toute prise de décision.</t>
  </si>
  <si>
    <t xml:space="preserve">Processus de validation des évaluations avant mise en œuvre</t>
  </si>
  <si>
    <t xml:space="preserve">Validation insuffisante des évaluations avant leur mise en œuvre</t>
  </si>
  <si>
    <t xml:space="preserve">Prise de décisions basée sur des évaluations incomplètes ou erronées</t>
  </si>
  <si>
    <t xml:space="preserve">Clarifier les responsabilités et améliorer la coordination des parties prenantes pour un suivi efficace des changements.</t>
  </si>
  <si>
    <t xml:space="preserve">S’assurer que les responsables du contrôle interne sont impliqués
 dans l’identification et l’évaluation des changements, afin qu’ils
 puissent adapter les contrôles en conséquence</t>
  </si>
  <si>
    <t xml:space="preserve">Les équipes de contrôle interne participent aux comités de suivi des changements organisationnels et réglementaires.</t>
  </si>
  <si>
    <t xml:space="preserve">Les équipes de contrôle interne participent-elles aux comités de suivi des changements organisationnels et réglementaires?</t>
  </si>
  <si>
    <t xml:space="preserve">Liste des participants aux comités de suivi des changements</t>
  </si>
  <si>
    <t xml:space="preserve">Manque de traçabilité des participants aux comités de suivi des changements</t>
  </si>
  <si>
    <t xml:space="preserve">Manque de responsabilisation et de coordination des parties prenantes dans le suivi des changements</t>
  </si>
  <si>
    <t xml:space="preserve">Veiller à ce que les modifications réglementaires soient intégrées dans le processus de changement dès leur apparition</t>
  </si>
  <si>
    <t xml:space="preserve">Comptes rendus des réunions de suivi organisationnel et réglementaire</t>
  </si>
  <si>
    <t xml:space="preserve">Absence de suivi des décisions et actions prises en matière de réglementation et d’organisation</t>
  </si>
  <si>
    <t xml:space="preserve">Absence d’alignement entre les évolutions réglementaires et les actions mises en place</t>
  </si>
  <si>
    <t xml:space="preserve">Mettre en place une veille pour identifier rapidement les nouveaux risques associés aux changements majeurs.</t>
  </si>
  <si>
    <t xml:space="preserve">Les changements majeurs sont intégrés aux plans d’audit interne et aux revues de contrôle.</t>
  </si>
  <si>
    <t xml:space="preserve">Les changements majeurs sont-ils intégrés aux plans d’audit interne et aux revues de contrôle?</t>
  </si>
  <si>
    <t xml:space="preserve">Plans d’audit interne intégrant les changements majeurs</t>
  </si>
  <si>
    <t xml:space="preserve">Absence de prise en compte des changements majeurs dans les plans d’audit interne</t>
  </si>
  <si>
    <t xml:space="preserve">Incapacité à identifier et traiter les nouveaux risques liés aux changements majeurs</t>
  </si>
  <si>
    <t xml:space="preserve">Mettre à jour régulièrement les contrôles internes pour les aligner avec les évolutions de l’environnement de l’entreprise.</t>
  </si>
  <si>
    <t xml:space="preserve">Revue des contrôles internes en lien avec les modifications organisationnelles</t>
  </si>
  <si>
    <t xml:space="preserve">Manque de réévaluation des contrôles internes face aux modifications organisationnelles</t>
  </si>
  <si>
    <t xml:space="preserve">Faiblesse dans la mise à jour des contrôles internes, créant des vulnérabilités</t>
  </si>
  <si>
    <t xml:space="preserve">Instaurer des réunions de coordination régulières entre les équipes pour garantir une gestion cohérente des risques.</t>
  </si>
  <si>
    <t xml:space="preserve">Un mécanisme de consultation est établi pour solliciter l’avis des responsables du contrôle interne avant toute mise en œuvre.</t>
  </si>
  <si>
    <t xml:space="preserve">Un mécanisme de consultation est-il établi pour solliciter l’avis des responsables du contrôle interne avant toute mise en œuvre?</t>
  </si>
  <si>
    <t xml:space="preserve">Procédure de consultation des responsables du contrôle interne</t>
  </si>
  <si>
    <t xml:space="preserve">Non-consultation des responsables du contrôle interne lors des changements</t>
  </si>
  <si>
    <t xml:space="preserve">Manque de coordination entre les équipes, menant à des incohérences dans la gestion des risques</t>
  </si>
  <si>
    <t xml:space="preserve">Assurer une documentation complète et accessible pour faciliter le suivi et l’audit des changements.</t>
  </si>
  <si>
    <t xml:space="preserve">Rapports de concertation avant mise en œuvre des changements</t>
  </si>
  <si>
    <t xml:space="preserve">Absence de documentation des échanges avant la mise en œuvre des modifications</t>
  </si>
  <si>
    <t xml:space="preserve">Risque d’absence de documentation complète, rendant le suivi et l’audit difficiles</t>
  </si>
  <si>
    <t xml:space="preserve">Formaliser le processus de validation des modifications pour garantir la conformité et réduire les risques</t>
  </si>
  <si>
    <t xml:space="preserve">Un processus de validation est mis en place pour garantir que les ajustements des contrôles internes sont appropriés.</t>
  </si>
  <si>
    <t xml:space="preserve">Un processus de validation est-il mis en place pour garantir que les ajustements des contrôles internes sont appropriés?</t>
  </si>
  <si>
    <t xml:space="preserve">Processus formalisé de validation des ajustements des contrôles internes</t>
  </si>
  <si>
    <t xml:space="preserve">Validation des ajustements des contrôles internes sans processus formalisé</t>
  </si>
  <si>
    <t xml:space="preserve">Risques accrus de non-conformité en raison de l’absence de processus de validation formalisé</t>
  </si>
  <si>
    <t xml:space="preserve">Renforcer la traçabilité des décisions prises pour faciliter leur justification lors des audits.</t>
  </si>
  <si>
    <t xml:space="preserve">Documentation des décisions de validation et des responsables impliqués</t>
  </si>
  <si>
    <t xml:space="preserve">Absence de traçabilité des décisions de validation et des responsables impliqués</t>
  </si>
  <si>
    <t xml:space="preserve">Perte de traçabilité, rendant les décisions difficiles à justifier lors des audits</t>
  </si>
  <si>
    <t xml:space="preserve">Assurer un suivi régulier des recommandations pour éviter que les erreurs passées ne se répètent.</t>
  </si>
  <si>
    <t xml:space="preserve">Les recommandations des responsables du contrôle interne sont documentées et suivies par la direction.</t>
  </si>
  <si>
    <t xml:space="preserve">Les recommandations des responsables du contrôle interne sont-elles documentées et suivies par la direction?</t>
  </si>
  <si>
    <t xml:space="preserve">Registre des recommandations des responsables du contrôle interne</t>
  </si>
  <si>
    <t xml:space="preserve">Non-recensement des recommandations des responsables du contrôle interne</t>
  </si>
  <si>
    <t xml:space="preserve">Absence de retour sur les recommandations, entraînant une répétition des erreurs passées</t>
  </si>
  <si>
    <t xml:space="preserve">Mettre en place des actions correctives efficaces avec un suivi rigoureux pour réduire la persistance des vulnérabilités.</t>
  </si>
  <si>
    <t xml:space="preserve">Suivi des recommandations validées et mises en application</t>
  </si>
  <si>
    <t xml:space="preserve">Absence de suivi des recommandations validées et de leur mise en application</t>
  </si>
  <si>
    <t xml:space="preserve">Manque d’efficacité des actions correctives, laissant persister les vulnérabilités</t>
  </si>
  <si>
    <t xml:space="preserve">Adapter rapidement les procédures aux évolutions internes et externes pour garantir la cohérence organisationnelle.</t>
  </si>
  <si>
    <t xml:space="preserve">Vérifier que des plans d’action sont mis en place pour ajuster le
 système de contrôle interne en fonction des changements identifiés,
 y compris des processus de mise à jour et de révision des contrôles
 existants</t>
  </si>
  <si>
    <t xml:space="preserve">Chaque changement identifié entraîne une mise à jour des procédures de contrôle interne concernées.</t>
  </si>
  <si>
    <t xml:space="preserve">Chaque changement identifié entraîne-t-il une mise à jour des procédures de contrôle interne concernées?</t>
  </si>
  <si>
    <t xml:space="preserve">Procédures mises à jour en fonction des changements identifiés</t>
  </si>
  <si>
    <t xml:space="preserve">Procédures non mises à jour en fonction des changements identifiés</t>
  </si>
  <si>
    <t xml:space="preserve">Retard dans l’adaptation des procédures aux évolutions, créant des incohérences</t>
  </si>
  <si>
    <t xml:space="preserve">Mettre en place un suivi de conformité rigoureux pour assurer le respect des exigences réglementaires et éviter les sanctions.</t>
  </si>
  <si>
    <t xml:space="preserve">Liste des procédures impactées par les changements récents</t>
  </si>
  <si>
    <t xml:space="preserve">Manque de visibilité sur les procédures affectées par les modifications récentes</t>
  </si>
  <si>
    <t xml:space="preserve">Risque de ne pas traiter correctement les processus affectés, exposant l’organisation à des risques</t>
  </si>
  <si>
    <t xml:space="preserve">Clarifier les responsabilités de gestion pour assurer une gestion efficace des actions correctives.</t>
  </si>
  <si>
    <t xml:space="preserve">Des délais de mise en conformité sont définis et suivis pour chaque plan d’action.</t>
  </si>
  <si>
    <t xml:space="preserve">Des délais de mise en conformité sont-ils définis et suivis pour chaque plan d’action?</t>
  </si>
  <si>
    <t xml:space="preserve">Tableau de suivi des délais de mise en conformité</t>
  </si>
  <si>
    <t xml:space="preserve">Non-respect des délais de mise en conformité réglementaire</t>
  </si>
  <si>
    <t xml:space="preserve">Non-conformité réglementaire, exposant l’entreprise à des sanctions</t>
  </si>
  <si>
    <t xml:space="preserve">Mettre en place un suivi régulier des mises à jour pour combler rapidement les failles de contrôle.</t>
  </si>
  <si>
    <t xml:space="preserve">Plan d’action détaillé avec échéances et responsabilités définies</t>
  </si>
  <si>
    <t xml:space="preserve">Plan d’action insuffisamment détaillé ou sans attribution claire des responsabilités</t>
  </si>
  <si>
    <t xml:space="preserve">Défaillance dans la gestion des responsabilités, rendant l’action corrective difficile</t>
  </si>
  <si>
    <t xml:space="preserve">Assurer une révision continue des contrôles internes pour prévenir l’exposition à des risques supplémentaires.</t>
  </si>
  <si>
    <t xml:space="preserve">Un tableau de bord de suivi des mises à jour des contrôles internes est maintenu et régulièrement mis à jour</t>
  </si>
  <si>
    <t xml:space="preserve">Un tableau de bord de suivi des mises à jour des contrôles internes est-il maintenu et régulièrement mis à jour?</t>
  </si>
  <si>
    <t xml:space="preserve">Tableau de bord des mises à jour des contrôles internes</t>
  </si>
  <si>
    <t xml:space="preserve">Absence de suivi structuré des mises à jour des contrôles internes</t>
  </si>
  <si>
    <t xml:space="preserve">Retard ou inefficacité dans le suivi des mises à jour, laissant des failles de contrôle</t>
  </si>
  <si>
    <t xml:space="preserve">S’assurer que tous les contrôles soient alignés avec les objectifs organisationnels pour réduire les risques d’erreurs ou de fraudes.</t>
  </si>
  <si>
    <t xml:space="preserve">Rapports périodiques sur l’état d’alignement des contrôles</t>
  </si>
  <si>
    <t xml:space="preserve">Évaluation périodique des contrôles internes non réalisée ou incomplète</t>
  </si>
  <si>
    <t xml:space="preserve">Risque d’inefficacité dans la gestion des contrôles internes, augmentant l’exposition aux risques</t>
  </si>
  <si>
    <t xml:space="preserve">Évaluer les nouvelles exigences et les intégrer dans les contrôles internes pour garantir la conformité.</t>
  </si>
  <si>
    <t xml:space="preserve">Un processus de revue périodique est en place pour s’assurer de l’alignement des contrôles internes avec les nouvelles exigences.</t>
  </si>
  <si>
    <t xml:space="preserve">Un processus de revue périodique est-il en place pour s’assurer de l’alignement des contrôles internes avec les nouvelles exigences?</t>
  </si>
  <si>
    <t xml:space="preserve">Processus de revue périodique des contrôles internes</t>
  </si>
  <si>
    <t xml:space="preserve">Manque de suivi sur l’alignement des contrôles avec les exigences en vigueur</t>
  </si>
  <si>
    <t xml:space="preserve">Manque de visibilité sur l’alignement des contrôles, augmentant le risque d’erreurs ou de fraudes</t>
  </si>
  <si>
    <t xml:space="preserve">Rendre les résultats des actions correctives transparents pour renforcer la confiance des parties prenantes.</t>
  </si>
  <si>
    <t xml:space="preserve">Comptes rendus des revues de conformité avec les nouvelles exigences</t>
  </si>
  <si>
    <t xml:space="preserve">Absence de revues de conformité documentées avec les nouvelles exigences</t>
  </si>
  <si>
    <t xml:space="preserve">Non-prise en compte des exigences nouvelles, mettant en péril la conformité de l’organisation</t>
  </si>
  <si>
    <t xml:space="preserve">Mettre en place un suivi pour valider et garantir la mise en œuvre des actions correctives de manière continue.</t>
  </si>
  <si>
    <t xml:space="preserve">Les résultats des plans d’action sont communiqués aux parties prenantes et font l’objet d’une validation formelle</t>
  </si>
  <si>
    <t xml:space="preserve">Les résultats des plans d’action sont-ils communiqués aux parties prenantes et font-ils l’objet d’une validation formelle?</t>
  </si>
  <si>
    <t xml:space="preserve">Communication des résultats des plans d’action aux parties prenantes</t>
  </si>
  <si>
    <t xml:space="preserve">Non-communication des résultats des plans d’action aux parties prenantes</t>
  </si>
  <si>
    <t xml:space="preserve">Perte de transparence sur les résultats des actions, réduisant la confiance des parties prenantes</t>
  </si>
  <si>
    <t xml:space="preserve">Assurer un suivi rigoureux des contrôles internes pour réduire les risques de défaillance dans la gestion des risques.</t>
  </si>
  <si>
    <t xml:space="preserve">Procédure de validation formelle des actions correctives</t>
  </si>
  <si>
    <t xml:space="preserve">Validation des actions correctives réalisée sans cadre formel</t>
  </si>
  <si>
    <t xml:space="preserve">Incapacité à suivre et valider les actions correctives, entraînant des non-conformités persistantes</t>
  </si>
  <si>
    <t xml:space="preserve">Adapter rapidement les contrôles pour répondre aux nouveaux défis et garantir leur efficacité à long terme.</t>
  </si>
  <si>
    <t xml:space="preserve">S’assurer que les changements et leur impact sur le système de
 contrôle interne sont régulièrement suivis et que des rapports
 détaillés sont fournis à la direction pour assurer une prise de
 décision informée</t>
  </si>
  <si>
    <t xml:space="preserve">Un reporting régulier sur les changements et leur impact sur les contrôles internes est adressé à la direction.</t>
  </si>
  <si>
    <t xml:space="preserve">Un reporting régulier sur les changements et leur impact sur les contrôles internes est-il adressé à la direction?</t>
  </si>
  <si>
    <t xml:space="preserve">Rapports de suivi des changements et de leur impact</t>
  </si>
  <si>
    <t xml:space="preserve">Absence de suivi des changements et de leur impact sur le contrôle interne</t>
  </si>
  <si>
    <t xml:space="preserve">Risque accru de défaillance des contrôles internes, affectant la gestion des risques</t>
  </si>
  <si>
    <t xml:space="preserve">Renforcer les contrôles internes pour mieux anticiper et prévenir les fraudes et autres risques non détectés.</t>
  </si>
  <si>
    <t xml:space="preserve">Tableau de bord des évolutions des contrôles internes</t>
  </si>
  <si>
    <t xml:space="preserve">Manque de visibilité sur l’évolution et l’efficacité des contrôles internes</t>
  </si>
  <si>
    <t xml:space="preserve">Manque de réactivité dans l’adaptation des contrôles, créant des faiblesses à long terme</t>
  </si>
  <si>
    <t xml:space="preserve">Mettre en place un système de suivi de l’impact des modifications pour garantir une gestion efficace des contrôles internes.</t>
  </si>
  <si>
    <t xml:space="preserve">Les rapports incluent des recommandations spécifiques pour renforcer le système de contrôle interne.</t>
  </si>
  <si>
    <t xml:space="preserve">Les rapports incluent-ils des recommandations spécifiques pour renforcer le système de contrôle interne?</t>
  </si>
  <si>
    <t xml:space="preserve">Recommandations spécifiques pour renforcer le contrôle interne</t>
  </si>
  <si>
    <t xml:space="preserve">Non-prise en compte des recommandations spécifiques pour renforcer les contrôles</t>
  </si>
  <si>
    <t xml:space="preserve">Non-renforcement des contrôles, exposant l’organisation à des fraudes et risques non anticipés</t>
  </si>
  <si>
    <t xml:space="preserve">Utiliser des outils d’analyse avancés pour mesurer l’impact des changements en temps réel et permettre une réaction rapide.</t>
  </si>
  <si>
    <t xml:space="preserve">Liste des améliorations proposées et mesures correctives associées</t>
  </si>
  <si>
    <t xml:space="preserve">Absence de recensement des améliorations proposées et des mesures correctives associées</t>
  </si>
  <si>
    <t xml:space="preserve">Incapacité à suivre l’impact des modifications, réduisant l’efficacité des contrôles internes</t>
  </si>
  <si>
    <t xml:space="preserve">Mettre en place des processus de validation des données pour éviter les erreurs d’interprétation et garantir des décisions éclairées.</t>
  </si>
  <si>
    <t xml:space="preserve">Les indicateurs de suivi des changements (ex : nombre de processus impactés, délais de mise en conformité) sont définis et suivis.</t>
  </si>
  <si>
    <t xml:space="preserve">Les indicateurs de suivi des changements sont-ils définis et suivis?</t>
  </si>
  <si>
    <t xml:space="preserve">Indicateurs de suivi des changements définis et suivis</t>
  </si>
  <si>
    <t xml:space="preserve">Manque de suivi des changements.</t>
  </si>
  <si>
    <t xml:space="preserve">Difficulté à mesurer l’impact des changements et à réagir rapidement.</t>
  </si>
  <si>
    <t xml:space="preserve">Assurer une documentation complète des décisions prises lors des réunions pour garantir leur justification.</t>
  </si>
  <si>
    <t xml:space="preserve">Rapports d’évolution des indicateurs de suivi des changements</t>
  </si>
  <si>
    <t xml:space="preserve">Risque d’incompréhension des évolutions des indicateurs.</t>
  </si>
  <si>
    <t xml:space="preserve">Mauvaise interprétation des données, risquant des décisions erronées.</t>
  </si>
  <si>
    <t xml:space="preserve">Mettre en place des mécanismes de suivi des décisions pour s’assurer de leur mise en œuvre en temps voulu</t>
  </si>
  <si>
    <t xml:space="preserve">Des réunions de revue des changements avec la direction sont organisées périodiquement.</t>
  </si>
  <si>
    <t xml:space="preserve">Des réunions de revue des changements avec la direction sont-elles organisées périodiquement?</t>
  </si>
  <si>
    <t xml:space="preserve">Comptes rendus des réunions de revue des changements avec la direction</t>
  </si>
  <si>
    <t xml:space="preserve">Perte de détails sur les décisions prises lors des réunions.</t>
  </si>
  <si>
    <t xml:space="preserve">Incapacité à justifier les décisions prises lors des réunions.</t>
  </si>
  <si>
    <t xml:space="preserve">Centraliser l’accès à l’information stratégique pour permettre une prise de décision éclairée et rapide.</t>
  </si>
  <si>
    <t xml:space="preserve">Planification des réunions de revue des changements avec la direction</t>
  </si>
  <si>
    <t xml:space="preserve">Mauvaise organisation des réunions de revue des changements.</t>
  </si>
  <si>
    <t xml:space="preserve">Retards dans la mise en œuvre des décisions</t>
  </si>
  <si>
    <t xml:space="preserve">Clarifier les processus d’action corrective pour éviter toute confusion et assurer leur pertinence.</t>
  </si>
  <si>
    <t xml:space="preserve">Une documentation centralisée des changements et des actions correctives est maintenue pour assurer la traçabilité des décisions.</t>
  </si>
  <si>
    <t xml:space="preserve">Une documentation centralisée des changements et des actions correctives est-elle maintenue pour assurer la traçabilité des décisions?</t>
  </si>
  <si>
    <t xml:space="preserve">Documentation centralisée des changements et des actions correctives</t>
  </si>
  <si>
    <t xml:space="preserve">Difficulté à accéder à la documentation sur les actions correctives.</t>
  </si>
  <si>
    <t xml:space="preserve">Difficulté à prendre des décisions éclairées en raison d’un accès limité à l’information.</t>
  </si>
  <si>
    <t xml:space="preserve">Mettre en place une communication claire et régulière avec toutes les parties prenantes pour assurer une information complète.</t>
  </si>
  <si>
    <t xml:space="preserve">Registre des décisions et actions correctives associées</t>
  </si>
  <si>
    <t xml:space="preserve">Risque de confusion sur les actions correctives et décisions.</t>
  </si>
  <si>
    <t xml:space="preserve">Confusion pouvant mener à des actions correctives inefficaces ou non pertinentes.</t>
  </si>
  <si>
    <t xml:space="preserve">Renforcer la gouvernance en améliorant la transparence et l’efficacité des processus décisionnels.</t>
  </si>
  <si>
    <t xml:space="preserve">Vérifier que le Conseil ou un comité de gouvernance est informé des
 changements significatifs affectant le contrôle interne et qu’il valide
 les mesures prises pour adapter le système en conséquence</t>
  </si>
  <si>
    <t xml:space="preserve">Les changements critiques font l’objet d’une présentation formelle au Conseil ou au comité de gouvernance.</t>
  </si>
  <si>
    <t xml:space="preserve">Les changements critiques font-ils l’objet d’une présentation formelle au Conseil ou au comité de gouvernance?</t>
  </si>
  <si>
    <t xml:space="preserve">Rapports sur les changements critiques présentés au Conseil ou au comité de gouvernance</t>
  </si>
  <si>
    <t xml:space="preserve">Omission de présenter les changements critiques aux parties prenantes.</t>
  </si>
  <si>
    <t xml:space="preserve">Risque de ne pas informer correctement les parties prenantes</t>
  </si>
  <si>
    <t xml:space="preserve">S’assurer de la cohérence des actions et des décisions pour éviter les incohérences dans les projets.</t>
  </si>
  <si>
    <t xml:space="preserve">Compte-rendu des présentations des changements critiques au Conseil</t>
  </si>
  <si>
    <t xml:space="preserve">Mauvaise communication des changements critiques au Conseil.</t>
  </si>
  <si>
    <t xml:space="preserve">Détérioration de la gouvernance.</t>
  </si>
  <si>
    <t xml:space="preserve">Instaurer des processus de suivi des décisions pour garantir leur mise en œuvre rapide et efficace.</t>
  </si>
  <si>
    <t xml:space="preserve">Les décisions du Conseil concernant l’adaptation du système de contrôle interne sont documentées et suivies.</t>
  </si>
  <si>
    <t xml:space="preserve">Les décisions du Conseil concernant l’adaptation du système de contrôle interne sont-elles documentées et suivies?</t>
  </si>
  <si>
    <t xml:space="preserve">Comptes rendus des décisions du Conseil sur l’adaptation du système de contrôle interne</t>
  </si>
  <si>
    <t xml:space="preserve">Incohérence dans les décisions du Conseil sur le contrôle interne.</t>
  </si>
  <si>
    <t xml:space="preserve">Incohérence dans les actions</t>
  </si>
  <si>
    <t xml:space="preserve">Améliorer la qualité des processus décisionnels grâce à l’analyse rigoureuse des informations disponibles.</t>
  </si>
  <si>
    <t xml:space="preserve">Suivi des décisions du Conseil concernant le contrôle interne</t>
  </si>
  <si>
    <t xml:space="preserve">Manque de suivi sur les décisions du Conseil.</t>
  </si>
  <si>
    <t xml:space="preserve">Absence d’action corrective ou de mise en œuvre des décisions</t>
  </si>
  <si>
    <t xml:space="preserve">Utiliser des outils de mesure de performance pour évaluer l’impact des décisions sur l’organisation.</t>
  </si>
  <si>
    <t xml:space="preserve">Un calendrier de reporting des changements significatifs est défini et respecté.</t>
  </si>
  <si>
    <t xml:space="preserve">Un calendrier de reporting des changements significatifs est-il défini et respecté?</t>
  </si>
  <si>
    <t xml:space="preserve">Calendrier de reporting des changements significatifs</t>
  </si>
  <si>
    <t xml:space="preserve">Non-respect du calendrier de reporting des changements.</t>
  </si>
  <si>
    <t xml:space="preserve">Diminution de la qualité de la prise de décision</t>
  </si>
  <si>
    <t xml:space="preserve">Assurer un suivi structuré des recommandations du Conseil pour garantir leur mise en œuvre effective.</t>
  </si>
  <si>
    <t xml:space="preserve">Rapports de respect du calendrier de reporting des changements</t>
  </si>
  <si>
    <t xml:space="preserve">Retard dans le respect des délais de reporting des changements.</t>
  </si>
  <si>
    <t xml:space="preserve">Impact négatif sur la performance organisationnelle</t>
  </si>
  <si>
    <t xml:space="preserve">Mettre en place un système de reporting transparent pour rendre compte des actions entreprises.</t>
  </si>
  <si>
    <t xml:space="preserve">Les recommandations du Conseil sont intégrées dans les plans d’action correctifs et suivies par les équipes concernées.</t>
  </si>
  <si>
    <t xml:space="preserve">Les recommandations du Conseil sont-elles intégrées dans les plans d’action correctifs et suivies par les équipes concernées?</t>
  </si>
  <si>
    <t xml:space="preserve">Plans d’action intégrant les recommandations du Conseil</t>
  </si>
  <si>
    <t xml:space="preserve">Risque d’oubli des recommandations dans les plans d’action.</t>
  </si>
  <si>
    <t xml:space="preserve">Difficulté à appliquer les recommandations du Conseil</t>
  </si>
  <si>
    <t xml:space="preserve">Aligner les actions avec les objectifs du Conseil pour garantir la cohérence stratégique.</t>
  </si>
  <si>
    <t xml:space="preserve">Suivi des recommandations du Conseil dans les plans d’action</t>
  </si>
  <si>
    <t xml:space="preserve">Absence de suivi des recommandations dans les actions.</t>
  </si>
  <si>
    <t xml:space="preserve">Manque de transparence sur les actions mises en place</t>
  </si>
  <si>
    <t xml:space="preserve">Mettre en place une approche intégrée de gestion des risques pour assurer une vision globale des enjeux.</t>
  </si>
  <si>
    <t xml:space="preserve">Des audits indépendants sont réalisés pour s’assurer de la conformité des mesures prises aux décisions du Conseil</t>
  </si>
  <si>
    <t xml:space="preserve">Des audits indépendants sont-ils réalisés pour s’assurer de la conformité des mesures prises aux décisions du Conseil?</t>
  </si>
  <si>
    <t xml:space="preserve">Rapports d’audits indépendants sur la conformité des mesures aux décisions du Conseil</t>
  </si>
  <si>
    <t xml:space="preserve">Non-conformité avec les décisions du Conseil.</t>
  </si>
  <si>
    <t xml:space="preserve">Risque de non-alignement avec les objectifs du Conseil</t>
  </si>
  <si>
    <t xml:space="preserve">Effectuer des évaluations régulières des risques pour détecter les menaces émergentes et ajuster les stratégies en conséquence.</t>
  </si>
  <si>
    <t xml:space="preserve">Rapports d’audit sur l’adaptation des contrôles internes suite aux décisions du Conseil</t>
  </si>
  <si>
    <t xml:space="preserve">Adaptation insuffisante des contrôles internes après les décisions du Consei</t>
  </si>
  <si>
    <t xml:space="preserve">Mettre en place un système de priorisation des risques pour gérer efficacement les menaces.</t>
  </si>
  <si>
    <t xml:space="preserve">Activités de Contrôle</t>
  </si>
  <si>
    <t xml:space="preserve">Sélection et développement des activités de
 contrôle</t>
  </si>
  <si>
    <t xml:space="preserve">S’assurer que l’organisation identifie et évalue les risques potentiels
 qui pourraient affecter la réalisation de ses objectifs stratégiques,
 opérationnels et financiers</t>
  </si>
  <si>
    <t xml:space="preserve">L’organisation dispose d’une méthodologie documentée et appliquée pour l’identification des risques.</t>
  </si>
  <si>
    <t xml:space="preserve">L’organisation dispose-t-elle d’une méthodologie documentée et appliquée pour l’identification des risques?</t>
  </si>
  <si>
    <t xml:space="preserve">Méthodologie documentée pour l’identification des risques</t>
  </si>
  <si>
    <t xml:space="preserve">Méthodologie mal documentée, risque de mauvaise identification des risques.</t>
  </si>
  <si>
    <t xml:space="preserve">Mauvaise gestion des risques</t>
  </si>
  <si>
    <t xml:space="preserve">Évaluer régulièrement les risques afin de pouvoir anticiper ceux qui pourraient affecter l’organisation à l’avenir.</t>
  </si>
  <si>
    <t xml:space="preserve">Procédure de mise en œuvre de la méthodologie d’identification des risques</t>
  </si>
  <si>
    <t xml:space="preserve">Mauvaise mise en œuvre de la méthodologie d’identification des risques.</t>
  </si>
  <si>
    <t xml:space="preserve">Risques non détectés ou mal évalués, entraînant des décisions inappropriées.</t>
  </si>
  <si>
    <t xml:space="preserve">Mettre en place des plans d’action clairs pour réagir efficacement en cas de problème.</t>
  </si>
  <si>
    <t xml:space="preserve">Une cartographie des risques est régulièrement mise à jour et couvre les aspects stratégiques, opérationnels et financiers.</t>
  </si>
  <si>
    <t xml:space="preserve">Une cartographie des risques est-elle régulièrement mise à jour et couvre les aspects stratégiques, opérationnels et financiers?</t>
  </si>
  <si>
    <t xml:space="preserve">Cartographie des risques régulièrement mise à jour</t>
  </si>
  <si>
    <t xml:space="preserve">Cartographie des risques obsolète ou incomplète.</t>
  </si>
  <si>
    <t xml:space="preserve">Difficulté à prioriser et à gérer efficacement les risques.</t>
  </si>
  <si>
    <t xml:space="preserve">Effectuer des analyses approfondies pour identifier et gérer les risques sous-estimés ou ignorés.</t>
  </si>
  <si>
    <t xml:space="preserve">Rapports sur l’évolution de la cartographie des risques</t>
  </si>
  <si>
    <t xml:space="preserve">Manque d’adaptation de la cartographie des risques aux évolutions.</t>
  </si>
  <si>
    <t xml:space="preserve">Incapacité à anticiper de nouveaux risques et vulnérabilités.</t>
  </si>
  <si>
    <t xml:space="preserve">Adopter des processus d’analyse rigoureux pour garantir que les mesures de gestion des risques soient adéquates.</t>
  </si>
  <si>
    <t xml:space="preserve">Les responsables des risques sont clairement définis et impliqués dans le processus d’identification.</t>
  </si>
  <si>
    <t xml:space="preserve">Les responsables des risques sont-ils clairement définis et impliqués dans le processus d’identification?</t>
  </si>
  <si>
    <t xml:space="preserve">Liste des responsables des risques et leur rôle dans l’identification des risques</t>
  </si>
  <si>
    <t xml:space="preserve">Mauvaise gestion des responsabilités liées à l’identification des risques.</t>
  </si>
  <si>
    <t xml:space="preserve">Manque de clarté sur les actions à entreprendre en cas de problème.</t>
  </si>
  <si>
    <t xml:space="preserve">Mettre en place un système de contrôle de la qualité des données utilisées pour prendre des décisions stratégiques.</t>
  </si>
  <si>
    <t xml:space="preserve">Comptes rendus des réunions sur l’implication des responsables des risques</t>
  </si>
  <si>
    <t xml:space="preserve">Non-implication des responsables des risques dans le processus.</t>
  </si>
  <si>
    <t xml:space="preserve">Risques sous-estimés ou ignorés, augmentant l’exposition de l’organisation.</t>
  </si>
  <si>
    <t xml:space="preserve">Assurer un suivi des résultats des actions mises en place pour garantir leur efficacité dans la gestion des risques</t>
  </si>
  <si>
    <t xml:space="preserve">Les parties prenantes (direction, équipes opérationnelles, audit interne) sont consultées pour identifier les risques spécifiques à leur domaine.</t>
  </si>
  <si>
    <t xml:space="preserve">Les parties prenantes sont-elles consultées pour identifier les risques spécifiques à leur domaine?</t>
  </si>
  <si>
    <t xml:space="preserve">Consultations des parties prenantes pour identifier les risques spécifiques</t>
  </si>
  <si>
    <t xml:space="preserve">Non-prise en compte des avis des parties prenantes.</t>
  </si>
  <si>
    <t xml:space="preserve">Décisions biaisées et inadéquation des mesures de gestion des risques.</t>
  </si>
  <si>
    <t xml:space="preserve">Revoir régulièrement la stratégie de mitigation des risques pour s’assurer qu’elle reflète les réalités actuelles.</t>
  </si>
  <si>
    <t xml:space="preserve">Rapports de consultations des parties prenantes sur les risques spécifiques</t>
  </si>
  <si>
    <t xml:space="preserve">Risque de mauvaises informations issues des consultations des parties prenantes.</t>
  </si>
  <si>
    <t xml:space="preserve">Prise de décisions erronées basées sur des données non fiables.</t>
  </si>
  <si>
    <t xml:space="preserve">Mettre en place une veille continue pour détecter les nouveaux risques et ajuster les stratégies en conséquence.</t>
  </si>
  <si>
    <t xml:space="preserve">Les outils d’analyse des risques (ex. matrice des risques, SWOT, analyses scénarios) sont utilisés pour affiner l’évaluation</t>
  </si>
  <si>
    <t xml:space="preserve">Les outils d’analyse des risques sont-ils utilisés pour affiner l’évaluation?</t>
  </si>
  <si>
    <t xml:space="preserve">Outils d’analyse des risques utilisés pour affiner l’évaluation</t>
  </si>
  <si>
    <t xml:space="preserve">Mauvaise application des outils d’analyse des risques.</t>
  </si>
  <si>
    <t xml:space="preserve">Résultats faussés menant à une mauvaise gestion des risques.</t>
  </si>
  <si>
    <t xml:space="preserve">Renforcer la capacité d’adaptation aux changements économiques en assurant une réévaluation régulière des risques.</t>
  </si>
  <si>
    <t xml:space="preserve">Rapports sur l’utilisation des outils d’analyse des risques</t>
  </si>
  <si>
    <t xml:space="preserve">Sous-utilisation ou utilisation inefficace des outils d’analyse des risques.</t>
  </si>
  <si>
    <t xml:space="preserve">Manque de précision dans l’identification et l’évaluation des risques.</t>
  </si>
  <si>
    <t xml:space="preserve">Utiliser des outils d’analyse des tendances pour évaluer les risques émergents dans un environnement concurrentiel.</t>
  </si>
  <si>
    <t xml:space="preserve">Vérifier que l’évaluation des risques est effectuée de manière
 continue, avec des processus de mise à jour réguliers pour prendre
 en compte les nouvelles menaces ou opportunités</t>
  </si>
  <si>
    <t xml:space="preserve">Un processus formalisé d’évaluation continue des risques est documenté et appliqué.</t>
  </si>
  <si>
    <t xml:space="preserve">Un processus formalisé d’évaluation continue des risques est-il documenté et appliqué?</t>
  </si>
  <si>
    <t xml:space="preserve">Processus formalisé d’évaluation continue des risques</t>
  </si>
  <si>
    <t xml:space="preserve">Évaluation des risques inadéquate ou mal appliquée.</t>
  </si>
  <si>
    <t xml:space="preserve">Risques sous-estimés ou exagérés, faussant la stratégie de mitigation.</t>
  </si>
  <si>
    <t xml:space="preserve">Mettre en place un plan de gestion de crise pour anticiper les impacts financiers négatifs et les crises.</t>
  </si>
  <si>
    <t xml:space="preserve">Documentation de l’application du processus d’évaluation continue des risques</t>
  </si>
  <si>
    <t xml:space="preserve">Manque de documentation sur l’évaluation des risques.</t>
  </si>
  <si>
    <t xml:space="preserve">Perte de traçabilité et difficulté à justifier les décisions prises.</t>
  </si>
  <si>
    <t xml:space="preserve">Des revues périodiques des risques sont réalisées (ex. trimestriellement ou annuellement).</t>
  </si>
  <si>
    <t xml:space="preserve">Des revues périodiques des risques sont-elles réalisées (ex. trimestriellement ou annuellement)?</t>
  </si>
  <si>
    <t xml:space="preserve">Comptes rendus des revues périodiques des risques</t>
  </si>
  <si>
    <t xml:space="preserve">Difficulté à suivre les résultats des revues des risques.</t>
  </si>
  <si>
    <t xml:space="preserve">Incapacité à mesurer l’efficacité des mesures mises en place.</t>
  </si>
  <si>
    <t xml:space="preserve">Rapports de résultats des revues périodiques des risques</t>
  </si>
  <si>
    <t xml:space="preserve">Retard dans la mise à jour des résultats des revues des risques.</t>
  </si>
  <si>
    <t xml:space="preserve">Décalage entre les mesures de gestion et la réalité des risques actuels.</t>
  </si>
  <si>
    <t xml:space="preserve">Un mécanisme de surveillance est en place pour détecter l’émergence de nouveaux risques en temps réel.</t>
  </si>
  <si>
    <t xml:space="preserve">Un mécanisme de surveillance est-il en place pour détecter l’émergence de nouveaux risques en temps réel?</t>
  </si>
  <si>
    <t xml:space="preserve">Mécanisme de surveillance des nouveaux risques en temps réel</t>
  </si>
  <si>
    <t xml:space="preserve">Risque de détection tardive des nouveaux risques.</t>
  </si>
  <si>
    <t xml:space="preserve">Augmentation des impacts négatifs avant la mise en place de solutions.</t>
  </si>
  <si>
    <t xml:space="preserve">Rapports de détection des nouveaux risques</t>
  </si>
  <si>
    <t xml:space="preserve">Inefficacité dans la surveillance des risques émergents.</t>
  </si>
  <si>
    <t xml:space="preserve">Vulnérabilité accrue face aux nouveaux défis et menaces.</t>
  </si>
  <si>
    <t xml:space="preserve">Les résultats des évaluations des risques sont comparés aux périodes précédentes pour mesurer l’évolution des menaces et opportunités.</t>
  </si>
  <si>
    <t xml:space="preserve">Les résultats des évaluations des risques sont-ils comparés aux périodes précédentes pour mesurer l’évolution des menaces et opportunités?</t>
  </si>
  <si>
    <t xml:space="preserve">Comparaison des résultats des évaluations des risques avec les périodes précédentes</t>
  </si>
  <si>
    <t xml:space="preserve">Risque d’obsolescence des évaluations des risques comparées aux périodes précédentes</t>
  </si>
  <si>
    <t xml:space="preserve">Décisions basées sur des données dépassées, augmentant les incertitudes.</t>
  </si>
  <si>
    <t xml:space="preserve">Rapports d’évolution des risques sur plusieurs périodes</t>
  </si>
  <si>
    <t xml:space="preserve">Inexistance du rapport d'evolution des risques</t>
  </si>
  <si>
    <t xml:space="preserve">Manque de visibilité sur l’évolution des risques et des tendances.</t>
  </si>
  <si>
    <t xml:space="preserve">Une analyse des tendances et des évolutions du marché est intégrée pour anticiper les risques émergents.</t>
  </si>
  <si>
    <t xml:space="preserve">Une analyse des tendances et des évolutions du marché est-elle intégrée pour anticiper les risques émergents?</t>
  </si>
  <si>
    <t xml:space="preserve">Analyse des tendances et évolutions du marché pour anticiper les risques émergents</t>
  </si>
  <si>
    <t xml:space="preserve">Absence de suivi des tendances de marché affectant les risques.</t>
  </si>
  <si>
    <t xml:space="preserve">Mauvaise adaptation aux changements économiques et concurrentiels.</t>
  </si>
  <si>
    <t xml:space="preserve">Rapports d’analyse des tendances et évolutions du marché</t>
  </si>
  <si>
    <t xml:space="preserve">Incapacité à anticiper les évolutions du marché et leurs impacts sur les risque</t>
  </si>
  <si>
    <t xml:space="preserve">Exposition accrue aux crises et aux pertes financières</t>
  </si>
  <si>
    <t xml:space="preserve">S’assurer que les risques identifiés sont évalués en fonction de leur
 probabilité d'occurrence et de leur impact potentiel sur
 l'organisation</t>
  </si>
  <si>
    <t xml:space="preserve">Une grille d’évaluation des risques est définie, avec une notation formelle de la probabilité et de l’impact (ex échelle de à )</t>
  </si>
  <si>
    <t xml:space="preserve">Une grille d'évaluation des risques avec notation formelle (échelle -) est-elle définie ?</t>
  </si>
  <si>
    <t xml:space="preserve">Grille d'évaluation des risques (avec échelle de notation)</t>
  </si>
  <si>
    <t xml:space="preserve">La grille d'évaluation peut comporter des critères subjectifs faussant l'analyse des risques</t>
  </si>
  <si>
    <t xml:space="preserve">Décisions erronées sur la gestion des risques</t>
  </si>
  <si>
    <t xml:space="preserve">Mettre en place un comité de revue des décisions</t>
  </si>
  <si>
    <t xml:space="preserve">Utiliser des outils d’aide à la décision (analyse multicritère, simulations)</t>
  </si>
  <si>
    <t xml:space="preserve">Manuel de registre d'évaluation</t>
  </si>
  <si>
    <t xml:space="preserve">Le manuel de registre risque de devenir obsolète et non conforme aux réglementations</t>
  </si>
  <si>
    <t xml:space="preserve">Amendes ou sanctions réglementaires</t>
  </si>
  <si>
    <t xml:space="preserve">Former les équipes sur les exigences légales et réaliser des audits de conformité</t>
  </si>
  <si>
    <t xml:space="preserve">Désigner un responsable conformité pour surveiller les évolutions réglementaires</t>
  </si>
  <si>
    <t xml:space="preserve">Une matrice des risques est utilisée pour visualiser les risques critiques en fonction de leur probabilité et de leur impact</t>
  </si>
  <si>
    <t xml:space="preserve">Une matrice des risques est-elle utilisée pour visualiser les risques critiques ?</t>
  </si>
  <si>
    <t xml:space="preserve">Matrice des risques actualisée</t>
  </si>
  <si>
    <t xml:space="preserve">La matrice des risques pourrait ne pas être actualisée régulièrement, donnant une vision erronée</t>
  </si>
  <si>
    <t xml:space="preserve">Mauvaise allocation des ressources de sécurité</t>
  </si>
  <si>
    <t xml:space="preserve">Prioriser les risques avec une matrice coût/bénéfice</t>
  </si>
  <si>
    <t xml:space="preserve">Réaliser des audits d’efficacité pour vérifier la couverture des risques critiques</t>
  </si>
  <si>
    <t xml:space="preserve">Classement des risques par criticité</t>
  </si>
  <si>
    <t xml:space="preserve">Le classement par criticité peut être biaisé par une mauvaise appréciation des impacts</t>
  </si>
  <si>
    <t xml:space="preserve">Priorisation incorrecte des risques à traiter</t>
  </si>
  <si>
    <t xml:space="preserve">Utiliser une méthodologie standardisée (ISO , NIST)</t>
  </si>
  <si>
    <t xml:space="preserve">Impliquer les parties prenantes dans l’évaluation</t>
  </si>
  <si>
    <t xml:space="preserve">Des scénarios sont élaborés pour tester l’impact des risques élevés sur les opérations de l’organisation</t>
  </si>
  <si>
    <t xml:space="preserve">Des scénarios sont-ils élaborés pour tester l'impact des risques élevés ?</t>
  </si>
  <si>
    <t xml:space="preserve">Scénarios de test documentés</t>
  </si>
  <si>
    <t xml:space="preserve">Les scénarios de test pourraient omettre des situations critiques importantes</t>
  </si>
  <si>
    <t xml:space="preserve">Incidents non anticipés et non préparés</t>
  </si>
  <si>
    <t xml:space="preserve">Organiser des exercices de crise réguliers (simulations, jeux de rôle)</t>
  </si>
  <si>
    <t xml:space="preserve">Mettre en place une veille proactive sur les menaces émergentes</t>
  </si>
  <si>
    <t xml:space="preserve">Rapport d'impact des scénarios</t>
  </si>
  <si>
    <t xml:space="preserve">Le rapport d'impact risque de sous-estimer les conséquences réelles</t>
  </si>
  <si>
    <t xml:space="preserve">Plans de réponse inadaptés aux situations réelles</t>
  </si>
  <si>
    <t xml:space="preserve">Tester et mettre à jour régulièrement les plans de réponse</t>
  </si>
  <si>
    <t xml:space="preserve">Intégrer des retours d’expérience après chaque incident</t>
  </si>
  <si>
    <t xml:space="preserve">L’évaluation des risques inclut des analyses qualitatives et quantitatives pour une meilleure précision</t>
  </si>
  <si>
    <t xml:space="preserve">L'évaluation inclut-elle des analyses qualitatives et quantitatives ?</t>
  </si>
  <si>
    <t xml:space="preserve">Analyse qualitative des risques</t>
  </si>
  <si>
    <t xml:space="preserve">L'analyse qualitative peut être influencée par des biais d'évaluation</t>
  </si>
  <si>
    <t xml:space="preserve">Évaluation inexacte de la probabilité des risques</t>
  </si>
  <si>
    <t xml:space="preserve">S’appuyer sur des données historiques et statistiques</t>
  </si>
  <si>
    <t xml:space="preserve">Faire valider les estimations par des experts externes</t>
  </si>
  <si>
    <t xml:space="preserve">Analyse quantitative des risques</t>
  </si>
  <si>
    <t xml:space="preserve">L'analyse quantitative pourrait utiliser des données incomplètes ou inexactes</t>
  </si>
  <si>
    <t xml:space="preserve">Conclusions chiffrées non fiables</t>
  </si>
  <si>
    <t xml:space="preserve">Vérifier les sources et méthodes de calcul utilisées</t>
  </si>
  <si>
    <t xml:space="preserve">Croiser les données avec d’autres indicateurs pour validation</t>
  </si>
  <si>
    <t xml:space="preserve">Un comité de validation examine les évaluations et s’assure de leur pertinence avant communication aux instances dirigeantes</t>
  </si>
  <si>
    <t xml:space="preserve">Un comité de validation examine-t-il les évaluations avant communication ?</t>
  </si>
  <si>
    <t xml:space="preserve">PV de réunion du comité de validation</t>
  </si>
  <si>
    <t xml:space="preserve">Les PV de réunion pourraient ne pas retranscrire fidèlement les décisions</t>
  </si>
  <si>
    <t xml:space="preserve">Conflits sur les décisions prises</t>
  </si>
  <si>
    <t xml:space="preserve">Établir un processus de résolution des désaccords clair</t>
  </si>
  <si>
    <t xml:space="preserve">Favoriser la transparence dans la prise de décision</t>
  </si>
  <si>
    <t xml:space="preserve">Registre des validations</t>
  </si>
  <si>
    <t xml:space="preserve">Le registre des validations peut présenter des lacunes dans le suivi</t>
  </si>
  <si>
    <t xml:space="preserve">Contrôles inefficaces maintenus</t>
  </si>
  <si>
    <t xml:space="preserve">Auditer régulièrement l’efficacité des contrôles en place</t>
  </si>
  <si>
    <t xml:space="preserve">Supprimer ou remplacer les mesures obsolètes</t>
  </si>
  <si>
    <t xml:space="preserve">Vérifier que l'organisation met en place des actions de gestion des
 risques pour atténuer ou minimiser les risques significatifs identifiés</t>
  </si>
  <si>
    <t xml:space="preserve">Des plans d’atténuation des risques sont formellement définis et mis en œuvre pour chaque risque critique</t>
  </si>
  <si>
    <t xml:space="preserve">Des plans d'atténuation sont-ils définis pour chaque risque critique ?</t>
  </si>
  <si>
    <t xml:space="preserve">Plans d'atténuation par risque</t>
  </si>
  <si>
    <t xml:space="preserve">Les plans d'atténuation pourraient proposer des mesures insuffisantes</t>
  </si>
  <si>
    <t xml:space="preserve">Protection insuffisante contre les risques majeurs</t>
  </si>
  <si>
    <t xml:space="preserve">Identifier et renforcer les protections sur les risques critiques</t>
  </si>
  <si>
    <t xml:space="preserve">Adopter une approche de défense en profondeur (multi-couches)</t>
  </si>
  <si>
    <t xml:space="preserve">Cahier des charges des mesures d'atténuation</t>
  </si>
  <si>
    <t xml:space="preserve">Le cahier des charges peut contenir des spécifications imprécises</t>
  </si>
  <si>
    <t xml:space="preserve">Livrables ne répondant pas aux attentes</t>
  </si>
  <si>
    <t xml:space="preserve">Clarifier les exigences avec les parties prenantes en amont</t>
  </si>
  <si>
    <t xml:space="preserve">Mettre en place des revues intermédiaires pour ajustements</t>
  </si>
  <si>
    <t xml:space="preserve">Des contrôles préventifs et correctifs sont instaurés pour réduire l’exposition aux risques identifiés</t>
  </si>
  <si>
    <t xml:space="preserve">Des contrôles préventifs et correctifs sont-ils instaurés ?</t>
  </si>
  <si>
    <t xml:space="preserve">registre des contrôles préventifs</t>
  </si>
  <si>
    <t xml:space="preserve">Les contrôles préventifs pourraient être mal positionnés dans les processus</t>
  </si>
  <si>
    <t xml:space="preserve">Anomalies détectées trop tardivement</t>
  </si>
  <si>
    <t xml:space="preserve">Automatiser la détection des anomalies via des outils de monitoring</t>
  </si>
  <si>
    <t xml:space="preserve">Renforcer les procédures de contrôle qualité en continu</t>
  </si>
  <si>
    <t xml:space="preserve">Le suivi des actions correctives risque d'être irrégulier</t>
  </si>
  <si>
    <t xml:space="preserve">Problèmes récurrents non résolus</t>
  </si>
  <si>
    <t xml:space="preserve">Analyser les causes racines des problèmes récurrents</t>
  </si>
  <si>
    <t xml:space="preserve">Mettre en œuvre des plans d’action correctifs pérennes</t>
  </si>
  <si>
    <t xml:space="preserve">Un responsable est désigné pour le suivi de chaque plan de gestion des risques</t>
  </si>
  <si>
    <t xml:space="preserve">Un responsable est-il désigné pour chaque plan de gestion ?</t>
  </si>
  <si>
    <t xml:space="preserve">Désignation écrite des responsables</t>
  </si>
  <si>
    <t xml:space="preserve">La désignation des responsables peut manquer de clarté</t>
  </si>
  <si>
    <t xml:space="preserve">Retards dans le traitement des incidents</t>
  </si>
  <si>
    <t xml:space="preserve">Mettre en place un système de suivi des incidents avec alertes automatiques</t>
  </si>
  <si>
    <t xml:space="preserve">Définir des SLA clairs pour le traitement des incidents</t>
  </si>
  <si>
    <t xml:space="preserve">Fiche de mission des responsables</t>
  </si>
  <si>
    <t xml:space="preserve">Les fiches de mission pourraient avoir un périmètre trop vague</t>
  </si>
  <si>
    <t xml:space="preserve">Missions mal exécutées ou incomplètes</t>
  </si>
  <si>
    <t xml:space="preserve">Clarifier les rôles et responsabilités pour chaque mission</t>
  </si>
  <si>
    <t xml:space="preserve">Instaurer des checkpoints de validation intermédiaires</t>
  </si>
  <si>
    <t xml:space="preserve">Les actions correctives sont adaptées en fonction des résultats des tests et de l’évolution des risques</t>
  </si>
  <si>
    <t xml:space="preserve">Les actions correctives sont-elles adaptées aux résultats des tests ?</t>
  </si>
  <si>
    <t xml:space="preserve">Rapport d'analyse des résultats des tests</t>
  </si>
  <si>
    <t xml:space="preserve">L'analyse des résultats de test peut être mal interprétée</t>
  </si>
  <si>
    <t xml:space="preserve">Mesures correctives inappropriées</t>
  </si>
  <si>
    <t xml:space="preserve">Créer une base de données des solutions éprouvées</t>
  </si>
  <si>
    <t xml:space="preserve">Exiger une analyse cause-racine avant toute correction</t>
  </si>
  <si>
    <t xml:space="preserve">Plan d'actions correctives ajusté</t>
  </si>
  <si>
    <t xml:space="preserve">Les ajustements pourraient ne pas répondre aux besoins réels</t>
  </si>
  <si>
    <t xml:space="preserve">Problèmes opérationnels persistants</t>
  </si>
  <si>
    <t xml:space="preserve">Cartographier les processus problématiques</t>
  </si>
  <si>
    <t xml:space="preserve">Affecter des responsables dédiés aux problèmes récurrents</t>
  </si>
  <si>
    <t xml:space="preserve">Une documentation complète sur les actions entreprises est conservée pour assurer la traçabilité et faciliter les futures mises à jour</t>
  </si>
  <si>
    <t xml:space="preserve">Une documentation complète des actions est-elle conservée ?</t>
  </si>
  <si>
    <t xml:space="preserve">Registre documentaire des actions</t>
  </si>
  <si>
    <t xml:space="preserve">La documentation des actions peut être incomplète</t>
  </si>
  <si>
    <t xml:space="preserve">Difficultés lors des audits</t>
  </si>
  <si>
    <t xml:space="preserve">Préparer des dossiers d'audit en continu</t>
  </si>
  <si>
    <t xml:space="preserve">Former spécifiquement aux exigences des auditeurs</t>
  </si>
  <si>
    <t xml:space="preserve">Preuve de traçabilité des décisions</t>
  </si>
  <si>
    <t xml:space="preserve">La traçabilité des décisions peut manquer de preuves tangibles</t>
  </si>
  <si>
    <t xml:space="preserve">Impossibilité de prouver les décisions</t>
  </si>
  <si>
    <t xml:space="preserve">Documenter systématiquement les processus décisionnels</t>
  </si>
  <si>
    <t xml:space="preserve">Utiliser des outils de traçabilité des décisions</t>
  </si>
  <si>
    <t xml:space="preserve">S’assurer que les résultats de l’évaluation des risques sont
 documentés et communiqués aux parties prenantes pertinentes, y
 compris à la direction, pour garantir une gestion proactive des
 risques</t>
  </si>
  <si>
    <t xml:space="preserve">Les évaluations des risques sont systématiquement consignées dans un registre centralisé</t>
  </si>
  <si>
    <t xml:space="preserve">Les évaluations sont-elles consignées dans un registre centralisé ?</t>
  </si>
  <si>
    <t xml:space="preserve">Registre central des évaluations</t>
  </si>
  <si>
    <t xml:space="preserve">Le registre central peut avoir des problèmes de centralisation</t>
  </si>
  <si>
    <t xml:space="preserve">Données critiques non accessibles</t>
  </si>
  <si>
    <t xml:space="preserve">Mettre en place une architecture redondante pour les données</t>
  </si>
  <si>
    <t xml:space="preserve">Automatiser les sauvegardes critiques</t>
  </si>
  <si>
    <t xml:space="preserve">registre de gestion du registre</t>
  </si>
  <si>
    <t xml:space="preserve">La gestion des registres risque d'être désorganisée</t>
  </si>
  <si>
    <t xml:space="preserve">Perte d'informations importantes</t>
  </si>
  <si>
    <t xml:space="preserve">Standardiser les formats de reporting</t>
  </si>
  <si>
    <t xml:space="preserve">Centraliser l'archivage des documents importants</t>
  </si>
  <si>
    <t xml:space="preserve">Des rapports de gestion des risques sont générés périodiquement et envoyés aux parties prenantes concernées</t>
  </si>
  <si>
    <t xml:space="preserve">Des rapports de gestion sont-ils générés périodiquement ?</t>
  </si>
  <si>
    <t xml:space="preserve">Modèle de rapport de gestion</t>
  </si>
  <si>
    <t xml:space="preserve">Les modèles de rapport pourraient manquer de standardisation</t>
  </si>
  <si>
    <t xml:space="preserve">Difficulté à comparer les rapports</t>
  </si>
  <si>
    <t xml:space="preserve">Adopter des modèles de rapport uniformes</t>
  </si>
  <si>
    <t xml:space="preserve">Créer des référentiels communs de données</t>
  </si>
  <si>
    <t xml:space="preserve">Calendrier de reporting périodique</t>
  </si>
  <si>
    <t xml:space="preserve">La fréquence de reporting peut être inadaptée aux besoins</t>
  </si>
  <si>
    <t xml:space="preserve">Détection tardive des problèmes</t>
  </si>
  <si>
    <t xml:space="preserve">Implémenter des outils de monitoring en temps réel</t>
  </si>
  <si>
    <t xml:space="preserve">Définir des seuils d'alerte précoces</t>
  </si>
  <si>
    <t xml:space="preserve">Un tableau de bord des risques est mis en place pour suivre en temps réel les tendances et les niveaux de risque</t>
  </si>
  <si>
    <t xml:space="preserve">Un tableau de bord des risques est-il mis en place ?</t>
  </si>
  <si>
    <t xml:space="preserve">Architecture du tableau de bord</t>
  </si>
  <si>
    <t xml:space="preserve">L'architecture du tableau de bord pourrait être mal conçue</t>
  </si>
  <si>
    <t xml:space="preserve">Mauvaise visibilité sur les performances</t>
  </si>
  <si>
    <t xml:space="preserve">Développer des tableaux de bord unifiés</t>
  </si>
  <si>
    <t xml:space="preserve">Automatiser la collecte des données de performance</t>
  </si>
  <si>
    <t xml:space="preserve">Données sources du tableau de bord</t>
  </si>
  <si>
    <t xml:space="preserve">Les données sources du tableau de bord pourraient être incomplètes ou non fiables</t>
  </si>
  <si>
    <t xml:space="preserve">Indicateurs de gestion trompeurs</t>
  </si>
  <si>
    <t xml:space="preserve">Auditer régulièrement les sources de données</t>
  </si>
  <si>
    <t xml:space="preserve">Croiser les indicateurs avec des données qualitatives</t>
  </si>
  <si>
    <t xml:space="preserve">La direction et le Conseil d’Administration reçoivent des présentations régulières sur l’état des risques et les mesures mises en place</t>
  </si>
  <si>
    <t xml:space="preserve">La direction reçoit-elle des présentations régulières ?</t>
  </si>
  <si>
    <t xml:space="preserve">Support de présentation à la direction</t>
  </si>
  <si>
    <t xml:space="preserve">Le support de présentation à la direction risque de contenir des informations trompeuses ou partiales</t>
  </si>
  <si>
    <t xml:space="preserve">Décisions stratégiques basées sur des informations erronées</t>
  </si>
  <si>
    <t xml:space="preserve">Valider systématiquement les données avant décision</t>
  </si>
  <si>
    <t xml:space="preserve">Diversifier les sources d'information stratégique</t>
  </si>
  <si>
    <t xml:space="preserve">PV de réunion de la direction</t>
  </si>
  <si>
    <t xml:space="preserve">Le PV de réunion de la direction pourrait ne pas refléter fidèlement les échanges et décisions</t>
  </si>
  <si>
    <t xml:space="preserve">Incohérences dans la mise en œuvre des décisions</t>
  </si>
  <si>
    <t xml:space="preserve">Mettre en place un comité de coordination transverse</t>
  </si>
  <si>
    <t xml:space="preserve">Documenter les procédures de mise en œuvre</t>
  </si>
  <si>
    <t xml:space="preserve">Un processus d’amélioration continue est intégré pour affiner la communication et l’exploitation des évaluations des risques</t>
  </si>
  <si>
    <t xml:space="preserve">Un processus d'amélioration continue est-il intégré ?</t>
  </si>
  <si>
    <t xml:space="preserve">registre d'amélioration continue</t>
  </si>
  <si>
    <t xml:space="preserve">La registre d'amélioration continue risque d'être mal appliquée ou ignorée</t>
  </si>
  <si>
    <t xml:space="preserve">Stagnation des processus et perte d'efficacité</t>
  </si>
  <si>
    <t xml:space="preserve">Réaliser des revues trimestrielles des processus</t>
  </si>
  <si>
    <t xml:space="preserve">Introduire des mécanismes d'amélioration continue</t>
  </si>
  <si>
    <t xml:space="preserve">Registre des améliorations apportées</t>
  </si>
  <si>
    <t xml:space="preserve">Le registre des améliorations pourrait ne pas être tenu à jour régulièrement</t>
  </si>
  <si>
    <t xml:space="preserve">Améliorations non implémentées malgré les besoins</t>
  </si>
  <si>
    <t xml:space="preserve">Créer un registre des besoins d'amélioration</t>
  </si>
  <si>
    <t xml:space="preserve">Instaurer un cycle de revue et validation des améliorations</t>
  </si>
  <si>
    <t xml:space="preserve">Développement des activités de contrôle sur les technologies</t>
  </si>
  <si>
    <t xml:space="preserve">S’assurer que l’organisation sélectionne des activités de contrôle
 adaptées aux risques identifiés, en prenant en compte la nature,
 l’ampleur et la criticité des risques</t>
  </si>
  <si>
    <t xml:space="preserve">L’organisation dispose d’une méthodologie documentée et appliquée pour l’identification des risques</t>
  </si>
  <si>
    <t xml:space="preserve">Une méthodologie documentée d'identification existe-t-elle ?</t>
  </si>
  <si>
    <t xml:space="preserve">Manuel méthodologique d'identification</t>
  </si>
  <si>
    <t xml:space="preserve">Le manuel méthodologique pourrait présenter des lacunes dans l'identification des risques</t>
  </si>
  <si>
    <t xml:space="preserve">Risques majeurs non identifiés en amont</t>
  </si>
  <si>
    <t xml:space="preserve">Mener des analyses prospectives et scénarios extrêmes</t>
  </si>
  <si>
    <t xml:space="preserve">Impliquer des experts externes pour identifier les risques émergents</t>
  </si>
  <si>
    <t xml:space="preserve">Référentiel des risques types</t>
  </si>
  <si>
    <t xml:space="preserve">Le référentiel des risques types risque d'être incomplet ou obsolète</t>
  </si>
  <si>
    <t xml:space="preserve">Références inadéquates pour l'évaluation</t>
  </si>
  <si>
    <t xml:space="preserve">Créer un référentiel interne normalisé basé sur les standards</t>
  </si>
  <si>
    <t xml:space="preserve">Benchmarker régulièrement les méthodes d'évaluation sectorielles</t>
  </si>
  <si>
    <t xml:space="preserve">Une cartographie des risques est régulièrement mise à jour et couvre les aspects stratégiques, opérationnels et financiers</t>
  </si>
  <si>
    <t xml:space="preserve">La cartographie des risques est-elle régulièrement mise à jour ?</t>
  </si>
  <si>
    <t xml:space="preserve">Version actualisée de la cartographie</t>
  </si>
  <si>
    <t xml:space="preserve">La version actualisée de la cartographie pourrait contenir des erreurs</t>
  </si>
  <si>
    <t xml:space="preserve">Prise de décision sur des données erronées</t>
  </si>
  <si>
    <t xml:space="preserve">Automatiser les contrôles de qualité des données critiques</t>
  </si>
  <si>
    <t xml:space="preserve">Croiser systématiquement les sources de données pour validation</t>
  </si>
  <si>
    <t xml:space="preserve">L'historique des mises à jour pourrait présenter des omissions importantes</t>
  </si>
  <si>
    <t xml:space="preserve">Historique incomplet et traçabilité compromise</t>
  </si>
  <si>
    <t xml:space="preserve">Digitaliser et centraliser tous les documents décisionnels</t>
  </si>
  <si>
    <t xml:space="preserve">Implémenter des systèmes d'audit trail inaltérables</t>
  </si>
  <si>
    <t xml:space="preserve">Les responsables des risques sont clairement définis et impliqués dans le processus d’identification</t>
  </si>
  <si>
    <t xml:space="preserve">Les responsables des risques sont-ils clairement définis ?</t>
  </si>
  <si>
    <t xml:space="preserve">Fiche de poste des responsables</t>
  </si>
  <si>
    <t xml:space="preserve">La fiche de poste des responsables pourrait mal définir les rôles et responsabilités</t>
  </si>
  <si>
    <t xml:space="preserve">Responsables peu engagés dans la gestion des risques</t>
  </si>
  <si>
    <t xml:space="preserve">Intégrer la gestion des risques aux objectifs individuels</t>
  </si>
  <si>
    <t xml:space="preserve">Organiser des formations obligatoires pour les managers</t>
  </si>
  <si>
    <t xml:space="preserve">L'organigramme des responsabilités pourrait comporter des ambiguïtés</t>
  </si>
  <si>
    <t xml:space="preserve">Chevauchements ou lacunes dans les actions</t>
  </si>
  <si>
    <t xml:space="preserve">Établir une matrice RACI claire pour toutes les actions</t>
  </si>
  <si>
    <t xml:space="preserve">Réaliser des audits trimestriels de couverture des risques</t>
  </si>
  <si>
    <t xml:space="preserve">Des ateliers ou comités de gestion des risques sont organisés périodiquement pour identifier de nouveaux risques</t>
  </si>
  <si>
    <t xml:space="preserve">Des ateliers sont-ils organisés périodiquement ?</t>
  </si>
  <si>
    <t xml:space="preserve">Planning des ateliers</t>
  </si>
  <si>
    <t xml:space="preserve">Le planning des ateliers risque d'être irréaliste ou mal dimensionné</t>
  </si>
  <si>
    <t xml:space="preserve">Ateliers inefficaces et temps perdu</t>
  </si>
  <si>
    <t xml:space="preserve">Former les animateurs aux techniques d'ateliers efficaces</t>
  </si>
  <si>
    <t xml:space="preserve">Fournir des supports structurés en amont des réunions</t>
  </si>
  <si>
    <t xml:space="preserve">Compte-rendu des ateliers</t>
  </si>
  <si>
    <t xml:space="preserve">Le compte-rendu des ateliers pourrait omettre des points essentiels</t>
  </si>
  <si>
    <t xml:space="preserve">Points d'amélioration non adressés</t>
  </si>
  <si>
    <t xml:space="preserve">Maintenir un registre dynamique des améliorations prioritaires</t>
  </si>
  <si>
    <t xml:space="preserve">Attribuer systématiquement des responsables pour chaque action</t>
  </si>
  <si>
    <t xml:space="preserve">Les parties prenantes (direction, équipes opérationnelles, audit interne) sont consultées pour identifier les risques spécifiques à leur domaine</t>
  </si>
  <si>
    <t xml:space="preserve">Les parties prenantes sont-elles consultées ?</t>
  </si>
  <si>
    <t xml:space="preserve">Registre des consultations</t>
  </si>
  <si>
    <t xml:space="preserve">Le registre des consultations pourrait être incomplet</t>
  </si>
  <si>
    <t xml:space="preserve">Consultation des parties prenantes incomplète</t>
  </si>
  <si>
    <t xml:space="preserve">Cartographier précisément l'écosystème des parties prenantes</t>
  </si>
  <si>
    <t xml:space="preserve">Planifier des revues formelles avec chaque catégorie d'acteurs</t>
  </si>
  <si>
    <t xml:space="preserve">Synthèse des retours parties prenantes</t>
  </si>
  <si>
    <t xml:space="preserve">La synthèse des retours parties prenantes risque d'être biaisée</t>
  </si>
  <si>
    <t xml:space="preserve">Priorisations biaisées des actions</t>
  </si>
  <si>
    <t xml:space="preserve">Appliquer une grille multicritère objective de priorisation</t>
  </si>
  <si>
    <t xml:space="preserve">Introduire des mécanismes de pondération transparents</t>
  </si>
  <si>
    <t xml:space="preserve">Vérifier que des mécanismes de suivi sont mis en place pour évaluer
 l’efficacité des activités de contrôle dans la réduction des risques à
 des niveaux acceptables</t>
  </si>
  <si>
    <t xml:space="preserve">Un processus formalisé d’évaluation continue des risques est documenté et appliqué</t>
  </si>
  <si>
    <t xml:space="preserve">Un processus formalisé d'évaluation continue existe-t-il ?</t>
  </si>
  <si>
    <t xml:space="preserve">registre d'évaluation continue</t>
  </si>
  <si>
    <t xml:space="preserve">La registre d'évaluation continue pourrait ne pas être suivie rigoureusement</t>
  </si>
  <si>
    <t xml:space="preserve">Évaluations non systématiques</t>
  </si>
  <si>
    <t xml:space="preserve">Automatiser les processus d'évaluation des risques clés</t>
  </si>
  <si>
    <t xml:space="preserve">Faire valider les évaluations par des experts indépendants</t>
  </si>
  <si>
    <t xml:space="preserve">Checklist d'évaluation</t>
  </si>
  <si>
    <t xml:space="preserve">La checklist d'évaluation pourrait omettre des points critiques</t>
  </si>
  <si>
    <t xml:space="preserve">Contrôles incomplets sur des aspects critiques</t>
  </si>
  <si>
    <t xml:space="preserve">Concentrer les contrôles sur les risques résiduels élevés</t>
  </si>
  <si>
    <t xml:space="preserve">Organiser des tests surprises sur les points critiques</t>
  </si>
  <si>
    <t xml:space="preserve">Des revues périodiques des risques sont réalisées (ex trimestriellement ou annuellement)</t>
  </si>
  <si>
    <t xml:space="preserve">Des revues périodiques des risques sont-elles réalisées ?</t>
  </si>
  <si>
    <t xml:space="preserve">Calendrier des revues périodiques</t>
  </si>
  <si>
    <t xml:space="preserve">Le calendrier des revues périodiques risque de ne pas être respecté</t>
  </si>
  <si>
    <t xml:space="preserve">Détection tardive des dérives</t>
  </si>
  <si>
    <t xml:space="preserve">Déployer des outils de monitoring en temps réel</t>
  </si>
  <si>
    <t xml:space="preserve">Configurer des alertes automatiques sur les KRI</t>
  </si>
  <si>
    <t xml:space="preserve">Rapport de revue des risques</t>
  </si>
  <si>
    <t xml:space="preserve">Le rapport de revue des risques pourrait contenir des analyses superficielles</t>
  </si>
  <si>
    <t xml:space="preserve">Analyses superficielles sans valeur ajoutée</t>
  </si>
  <si>
    <t xml:space="preserve">Former aux méthodes d'analyse approfondie ( pourquoi, etc)</t>
  </si>
  <si>
    <t xml:space="preserve">Exiger des analyses chiffrées et documentées</t>
  </si>
  <si>
    <t xml:space="preserve">Un mécanisme de surveillance est en place pour détecter l’émergence de nouveaux risques en temps réel</t>
  </si>
  <si>
    <t xml:space="preserve">Un mécanisme de surveillance est-il en place ?</t>
  </si>
  <si>
    <t xml:space="preserve">registre de surveillance</t>
  </si>
  <si>
    <t xml:space="preserve">La registre de surveillance pourrait être insuffisamment détaillée</t>
  </si>
  <si>
    <t xml:space="preserve">Surveillance inefficace des risques</t>
  </si>
  <si>
    <t xml:space="preserve">Intégrer des indicateurs risques aux tableaux de bord DG</t>
  </si>
  <si>
    <t xml:space="preserve">Automatiser la génération de rapports d'évolution</t>
  </si>
  <si>
    <t xml:space="preserve">journal des alertes et incidents</t>
  </si>
  <si>
    <t xml:space="preserve">Le journal des alertes et incidents pourrait ne pas être tenu à jour</t>
  </si>
  <si>
    <t xml:space="preserve">Historique d'incidents non exploitable</t>
  </si>
  <si>
    <t xml:space="preserve">Standardiser le format d'enregistrement des incidents</t>
  </si>
  <si>
    <t xml:space="preserve">Mener systématiquement des revues post-incident</t>
  </si>
  <si>
    <t xml:space="preserve">Les résultats des évaluations des risques sont comparés aux périodes précédentes pour mesurer l’évolution des menaces et opportunités</t>
  </si>
  <si>
    <t xml:space="preserve">Les résultats sont-ils comparés aux périodes précédentes ?</t>
  </si>
  <si>
    <t xml:space="preserve">Document d'analyse comparative</t>
  </si>
  <si>
    <t xml:space="preserve">Le document d'analyse comparative pourrait utiliser des critères inadaptés</t>
  </si>
  <si>
    <t xml:space="preserve">Comparaisons faussées entre situations</t>
  </si>
  <si>
    <t xml:space="preserve">Développer des référentiels comparatifs internes</t>
  </si>
  <si>
    <t xml:space="preserve">Utiliser des méthodes statistiques pour neutraliser les biais</t>
  </si>
  <si>
    <t xml:space="preserve">Registre historique</t>
  </si>
  <si>
    <t xml:space="preserve">Le registre historique pourrait présenter des lacunes dans l'archivage</t>
  </si>
  <si>
    <t xml:space="preserve">Difficulté à retracer l'évolution des risques</t>
  </si>
  <si>
    <t xml:space="preserve">Implémenter un outil de suivi avec versionning intégré</t>
  </si>
  <si>
    <t xml:space="preserve">Établir un journal des modifications obligatoire</t>
  </si>
  <si>
    <t xml:space="preserve">Une analyse des tendances et des évolutions du marché est intégrée pour anticiper les risques émergents</t>
  </si>
  <si>
    <t xml:space="preserve">Une analyse des tendances du marché est-elle intégrée ?</t>
  </si>
  <si>
    <t xml:space="preserve">Rapport de veille marché</t>
  </si>
  <si>
    <t xml:space="preserve">Le rapport de veille marché pourrait être basé sur des informations obsolètes</t>
  </si>
  <si>
    <t xml:space="preserve">Veille stratégique non pertinente</t>
  </si>
  <si>
    <t xml:space="preserve">Définir des axes de veille prioritaires alignés sur la stratégie</t>
  </si>
  <si>
    <t xml:space="preserve">Mettre en place un comité de validation trimestriel des informations</t>
  </si>
  <si>
    <t xml:space="preserve">Liste des indicateurs économiques</t>
  </si>
  <si>
    <t xml:space="preserve">La liste des indicateurs économiques pourrait inclure des métriques non pertinentes</t>
  </si>
  <si>
    <t xml:space="preserve">Indicateurs économiques trompeurs</t>
  </si>
  <si>
    <t xml:space="preserve">Introduire des mécanismes de vérification croisée</t>
  </si>
  <si>
    <t xml:space="preserve">Benchmarker avec des sources externes reconnues</t>
  </si>
  <si>
    <t xml:space="preserve">S’assurer que les activités de contrôle sont intégrées dans les
 processus opérationnels de l’organisation, de manière à garantir que
 les risques sont gérés de manière continue et proactive</t>
  </si>
  <si>
    <t xml:space="preserve">Document de la grille d'évaluation</t>
  </si>
  <si>
    <t xml:space="preserve">Le document de la grille d'évaluation pourrait comporter des critères subjectifs</t>
  </si>
  <si>
    <t xml:space="preserve">Évaluations subjectives et contestables</t>
  </si>
  <si>
    <t xml:space="preserve">Standardiser les grilles d'analyse avec critères objectifs</t>
  </si>
  <si>
    <t xml:space="preserve">Former les évaluateurs aux biais cognitifs</t>
  </si>
  <si>
    <t xml:space="preserve">Pièce justificative de notation</t>
  </si>
  <si>
    <t xml:space="preserve">La pièce justificative de notation pourrait manquer de preuves tangibles</t>
  </si>
  <si>
    <t xml:space="preserve">Difficulté à justifier les notations</t>
  </si>
  <si>
    <t xml:space="preserve">Documenter systématiquement les méthodologies appliquées</t>
  </si>
  <si>
    <t xml:space="preserve">Imposer l'archivage des éléments probants</t>
  </si>
  <si>
    <t xml:space="preserve">Matrice des risques (document)</t>
  </si>
  <si>
    <t xml:space="preserve">La matrice des risques pourrait ne pas être actualisée régulièrement</t>
  </si>
  <si>
    <t xml:space="preserve">Vision obsolète de l'exposition aux risques</t>
  </si>
  <si>
    <t xml:space="preserve">Actualiser la cartographie des risques mensuellement</t>
  </si>
  <si>
    <t xml:space="preserve">Intégrer des analyses prospectives régulières</t>
  </si>
  <si>
    <t xml:space="preserve">Liste hiérarchisée</t>
  </si>
  <si>
    <t xml:space="preserve">La liste hiérarchisée pourrait reposer sur une mauvaise appréciation des priorités</t>
  </si>
  <si>
    <t xml:space="preserve">Priorités mal définies dans les traitements</t>
  </si>
  <si>
    <t xml:space="preserve">Utiliser une matrice impact/urgence actualisée</t>
  </si>
  <si>
    <t xml:space="preserve">Affecter des ressources dédiées aux risques critiques</t>
  </si>
  <si>
    <t xml:space="preserve">Registre des scénarios</t>
  </si>
  <si>
    <t xml:space="preserve">Le registre des scénarios pourrait omettre des cas critiques</t>
  </si>
  <si>
    <t xml:space="preserve">Scénarios de crise incomplets</t>
  </si>
  <si>
    <t xml:space="preserve">Développer des scénarios avec simulations terrain</t>
  </si>
  <si>
    <t xml:space="preserve">Tester annuellement tous les scénarios majeurs</t>
  </si>
  <si>
    <t xml:space="preserve">Rapport d'impact</t>
  </si>
  <si>
    <t xml:space="preserve">Le rapport d'impact pourrait sous-estimer les conséquences</t>
  </si>
  <si>
    <t xml:space="preserve">Préparations insuffisantes face aux impacts</t>
  </si>
  <si>
    <t xml:space="preserve">Élaborer des plans d'action détaillés par scénario</t>
  </si>
  <si>
    <t xml:space="preserve">Pré-positionner des ressources clés identifiées</t>
  </si>
  <si>
    <t xml:space="preserve">Document méthodologique qualitatif</t>
  </si>
  <si>
    <t xml:space="preserve">Le document méthodologique qualitatif pourrait présenter des biais</t>
  </si>
  <si>
    <t xml:space="preserve">Analyses qualitatives biaisées</t>
  </si>
  <si>
    <t xml:space="preserve">Introduire des contre-analyses systématiques</t>
  </si>
  <si>
    <t xml:space="preserve">Combiner approches qualitatives et quantitatives</t>
  </si>
  <si>
    <t xml:space="preserve">Document méthodologique quantitatif</t>
  </si>
  <si>
    <t xml:space="preserve">Le document méthodologique quantitatif pourrait utiliser des données erronées</t>
  </si>
  <si>
    <t xml:space="preserve">Données quantitatives non fiables</t>
  </si>
  <si>
    <t xml:space="preserve">Automatiser les contrôles d'intégrité des données</t>
  </si>
  <si>
    <t xml:space="preserve">Vérifier les échantillons et méthodologies statistiques</t>
  </si>
  <si>
    <t xml:space="preserve">Pièce de validation (PV)</t>
  </si>
  <si>
    <t xml:space="preserve">La pièce de validation pourrait ne pas refléter l'ensemble des avis</t>
  </si>
  <si>
    <t xml:space="preserve">Validations partiales ou incomplètes</t>
  </si>
  <si>
    <t xml:space="preserve">Imposer des validations croisées indépendantes</t>
  </si>
  <si>
    <t xml:space="preserve">Documenter les processus de validation</t>
  </si>
  <si>
    <t xml:space="preserve">Registre des décisions</t>
  </si>
  <si>
    <t xml:space="preserve">Le registre des décisions pourrait présenter des lacunes dans le suivi</t>
  </si>
  <si>
    <t xml:space="preserve">Suivi défaillant des décisions</t>
  </si>
  <si>
    <t xml:space="preserve">Digitaliser le circuit de décision avec traçabilité</t>
  </si>
  <si>
    <t xml:space="preserve">Affecter des responsables de suivi nominatifs</t>
  </si>
  <si>
    <t xml:space="preserve">Vérifier que les activités de contrôle sont adaptées à l’évolution des
 risques, avec des ajustements réguliers pour garantir qu'elles restent
 efficaces face à des risques changeants</t>
  </si>
  <si>
    <t xml:space="preserve">Document des contrôles</t>
  </si>
  <si>
    <t xml:space="preserve">Le document des contrôles pourrait décrire des processus inefficaces</t>
  </si>
  <si>
    <t xml:space="preserve">Auditer trimestriellement l'efficacité des contrôles</t>
  </si>
  <si>
    <t xml:space="preserve">Mettre à jour le dispositif de contrôle annuellement</t>
  </si>
  <si>
    <t xml:space="preserve">Registre des corrections</t>
  </si>
  <si>
    <t xml:space="preserve">Le registre des corrections pourrait ne pas être tenu à jour</t>
  </si>
  <si>
    <t xml:space="preserve">Corrections non suivies ou oubliées</t>
  </si>
  <si>
    <t xml:space="preserve">Implémenter un système de ticketing avec échéances</t>
  </si>
  <si>
    <t xml:space="preserve">Intégrer les corrections aux objectifs individuels</t>
  </si>
  <si>
    <t xml:space="preserve">Pièce de désignation</t>
  </si>
  <si>
    <t xml:space="preserve">La pièce de désignation pourrait mal identifier les responsables</t>
  </si>
  <si>
    <t xml:space="preserve">Désignation imprécise des acteurs</t>
  </si>
  <si>
    <t xml:space="preserve">Formaliser des fiches de mission précises</t>
  </si>
  <si>
    <t xml:space="preserve">Publier un organigramme des responsabilités</t>
  </si>
  <si>
    <t xml:space="preserve">Document des responsabilités</t>
  </si>
  <si>
    <t xml:space="preserve">Le document des responsabilités pourrait comporter des ambiguïtés</t>
  </si>
  <si>
    <t xml:space="preserve">Confusion dans les rôles et actions</t>
  </si>
  <si>
    <t xml:space="preserve">Organiser des ateliers de clarification semestriels</t>
  </si>
  <si>
    <t xml:space="preserve">Mettre en place un référentiel RACI détaillé</t>
  </si>
  <si>
    <t xml:space="preserve">Des tests et audits sont réalisés régulièrement pour évaluer l’efficacité des actions de gestion des risques</t>
  </si>
  <si>
    <t xml:space="preserve">Des tests et audits sont-ils réalisés régulièrement ?</t>
  </si>
  <si>
    <t xml:space="preserve">Calendrier des audits</t>
  </si>
  <si>
    <t xml:space="preserve">Le calendrier des audits risque de ne pas couvrir tous les domaines critiques</t>
  </si>
  <si>
    <t xml:space="preserve">Risques majeurs non détectés</t>
  </si>
  <si>
    <t xml:space="preserve">Déployer des outils d'analyse prédictive</t>
  </si>
  <si>
    <t xml:space="preserve">Renforcer les signalements remontants</t>
  </si>
  <si>
    <t xml:space="preserve">Rapport d'audit</t>
  </si>
  <si>
    <t xml:space="preserve">Le rapport d'audit pourrait contenir des conclusions erronées</t>
  </si>
  <si>
    <t xml:space="preserve">Décisions basées sur des informations fausses</t>
  </si>
  <si>
    <t xml:space="preserve">Instaurer un délai de réflexion minimum</t>
  </si>
  <si>
    <t xml:space="preserve">Exiger des analyses alternatives comparées</t>
  </si>
  <si>
    <t xml:space="preserve">Document d'ajustement</t>
  </si>
  <si>
    <t xml:space="preserve">Le document d'ajustement pourrait proposer des mesures inadaptées</t>
  </si>
  <si>
    <t xml:space="preserve">Analyser systématiquement les causes racines</t>
  </si>
  <si>
    <t xml:space="preserve">Imposer des revues post-incident formalisées</t>
  </si>
  <si>
    <t xml:space="preserve">Plan d'action</t>
  </si>
  <si>
    <t xml:space="preserve">Le plan d'action pourrait omettre certaines mesures correctives essentielles ou mal prioriser les actions à mener</t>
  </si>
  <si>
    <t xml:space="preserve">Corrections inefficaces ou retardées</t>
  </si>
  <si>
    <t xml:space="preserve">Établir des échéances contraignantes</t>
  </si>
  <si>
    <t xml:space="preserve">Mesurer l'efficacité des correctifs</t>
  </si>
  <si>
    <t xml:space="preserve">Registre documentaire</t>
  </si>
  <si>
    <t xml:space="preserve">Le registre documentaire présente des lacunes dans l'archivage systématique des documents justificatifs</t>
  </si>
  <si>
    <t xml:space="preserve">Difficultés en cas d'audit ou de litige</t>
  </si>
  <si>
    <t xml:space="preserve">Constituer des dossiers probants permanents</t>
  </si>
  <si>
    <t xml:space="preserve">Former aux exigences réglementaires</t>
  </si>
  <si>
    <t xml:space="preserve">Pièce de traçabilité</t>
  </si>
  <si>
    <t xml:space="preserve">La pièce de traçabilité ne contient pas tous les éléments nécessaires pour reconstituer le processus décisionnel</t>
  </si>
  <si>
    <t xml:space="preserve">Impossibilité de reconstituer les choix stratégiques</t>
  </si>
  <si>
    <t xml:space="preserve">Sauvegarder les éléments de décision</t>
  </si>
  <si>
    <t xml:space="preserve">Utiliser des technologies d'archivage sécurisé</t>
  </si>
  <si>
    <t xml:space="preserve">S’assurer que les responsabilités des différentes parties prenantes
 concernant les activités de contrôle sont clairement définies et que
 les ressources nécessaires sont allouées pour leur mise en œuvre</t>
  </si>
  <si>
    <t xml:space="preserve">Registre central</t>
  </si>
  <si>
    <t xml:space="preserve">Le registre central comporte des erreurs de consolidation qui faussent les données enregistrées</t>
  </si>
  <si>
    <t xml:space="preserve">Reporting inexact et analyses biaisées</t>
  </si>
  <si>
    <t xml:space="preserve">Standardiser les modèles de rapport</t>
  </si>
  <si>
    <t xml:space="preserve">Former aux bonnes pratiques analytiques</t>
  </si>
  <si>
    <t xml:space="preserve">Document de registre</t>
  </si>
  <si>
    <t xml:space="preserve">Le document de registre contient des instructions ambiguës ou ne reflétant pas les pratiques actuelles</t>
  </si>
  <si>
    <t xml:space="preserve">Mauvaises interprétations et erreurs d'exécution</t>
  </si>
  <si>
    <t xml:space="preserve">Clarifier les processus opérationnels</t>
  </si>
  <si>
    <t xml:space="preserve">Vérifier la compréhension des consignes</t>
  </si>
  <si>
    <t xml:space="preserve">Supports de reporting</t>
  </si>
  <si>
    <t xml:space="preserve">Les supports de reporting transmettent des données inexactes ou des analyses partielles</t>
  </si>
  <si>
    <t xml:space="preserve">Prise de décision erronée</t>
  </si>
  <si>
    <t xml:space="preserve">Instaurer des comités pluridisciplinaires</t>
  </si>
  <si>
    <t xml:space="preserve">Formaliser les processus décisionnels</t>
  </si>
  <si>
    <t xml:space="preserve">Calendrier de reporting</t>
  </si>
  <si>
    <t xml:space="preserve">Le calendrier de reporting fixe des échéances inadaptées aux besoins opérationnels réels</t>
  </si>
  <si>
    <t xml:space="preserve">Retards dans la détection des problèmes</t>
  </si>
  <si>
    <t xml:space="preserve">Automatiser les alertes sur indicateurs clés</t>
  </si>
  <si>
    <t xml:space="preserve">Réduire les délais de remontée</t>
  </si>
  <si>
    <t xml:space="preserve">Document d'architecture</t>
  </si>
  <si>
    <t xml:space="preserve">Le document d'architecture fournit une description incomplète des systèmes et de leurs interactions</t>
  </si>
  <si>
    <t xml:space="preserve">Mauvaise compréhension des dépendances et vulnérabilités</t>
  </si>
  <si>
    <t xml:space="preserve">Cartographier les interconnexions critiques</t>
  </si>
  <si>
    <t xml:space="preserve">Quantifier les seuils de vulnérabilité</t>
  </si>
  <si>
    <t xml:space="preserve">Liste des sources</t>
  </si>
  <si>
    <t xml:space="preserve">La liste des sources inclut des références non vérifiées ou obsolètes</t>
  </si>
  <si>
    <t xml:space="preserve">Informations peu fiables utilisées pour les analyses</t>
  </si>
  <si>
    <t xml:space="preserve">Certifier les sources utilisées</t>
  </si>
  <si>
    <t xml:space="preserve">Établir une politique stricte de gestion</t>
  </si>
  <si>
    <t xml:space="preserve">Supports de présentation</t>
  </si>
  <si>
    <t xml:space="preserve">Les supports de présentation offrent une vision partiale ou trompeuse des résultats</t>
  </si>
  <si>
    <t xml:space="preserve">Orientation stratégique biaisée</t>
  </si>
  <si>
    <t xml:space="preserve">Confronter les analyses aux réalités terrain</t>
  </si>
  <si>
    <t xml:space="preserve">Diversifier les sources d'information</t>
  </si>
  <si>
    <t xml:space="preserve">Pièce de réunion</t>
  </si>
  <si>
    <t xml:space="preserve">La pièce de réunion ne retranscrit pas fidèlement l'ensemble des discussions et décisions</t>
  </si>
  <si>
    <t xml:space="preserve">Désalignement sur les décisions prises</t>
  </si>
  <si>
    <t xml:space="preserve">Organiser des ateliers d'alignement</t>
  </si>
  <si>
    <t xml:space="preserve">Lier les KPI aux objectifs stratégiques</t>
  </si>
  <si>
    <t xml:space="preserve">Document de processus</t>
  </si>
  <si>
    <t xml:space="preserve">Le document de processus décrit des flux qui divergent des pratiques terrain</t>
  </si>
  <si>
    <t xml:space="preserve">Inefficacité des contrôles et des procédures</t>
  </si>
  <si>
    <t xml:space="preserve">Réviser annuellement les procédures</t>
  </si>
  <si>
    <t xml:space="preserve">Introduire des tests surprise</t>
  </si>
  <si>
    <t xml:space="preserve">Registre des améliorations</t>
  </si>
  <si>
    <t xml:space="preserve">Le registre des améliorations n'est pas tenu à jour de manière exhaustive</t>
  </si>
  <si>
    <t xml:space="preserve">Perte d'opportunités d'optimisation</t>
  </si>
  <si>
    <t xml:space="preserve">Mettre en place un système de suggestions</t>
  </si>
  <si>
    <t xml:space="preserve">Récompenser les améliorations validées</t>
  </si>
  <si>
    <t xml:space="preserve">Vérifier que les résultats des activités de contrôle sont documentés
 et partagés avec la direction, permettant une évaluation régulière et
 un ajustement des stratégies de gestion des risques</t>
  </si>
  <si>
    <t xml:space="preserve">Existence d’un système formalisé de documentation des résultats des contrôles, accessible aux parties prenantes concernées</t>
  </si>
  <si>
    <t xml:space="preserve">Existe-t-il un système formalisé de documentation ?</t>
  </si>
  <si>
    <t xml:space="preserve">Inventaire documentaire</t>
  </si>
  <si>
    <t xml:space="preserve">L'inventaire documentaire omet certains documents essentiels</t>
  </si>
  <si>
    <t xml:space="preserve">Lacunes dans la gestion des preuves</t>
  </si>
  <si>
    <t xml:space="preserve">Classifier rigoureusement les documents</t>
  </si>
  <si>
    <t xml:space="preserve">Former à la gestion des preuves digitales</t>
  </si>
  <si>
    <t xml:space="preserve">Liste des actifs</t>
  </si>
  <si>
    <t xml:space="preserve">La liste des actifs ne recense pas la totalité du patrimoine informationnel</t>
  </si>
  <si>
    <t xml:space="preserve">Exposition à des pertes ou vols de données</t>
  </si>
  <si>
    <t xml:space="preserve">Chiffrer les données sensibles</t>
  </si>
  <si>
    <t xml:space="preserve">Déployer des systèmes de détection avancés</t>
  </si>
  <si>
    <t xml:space="preserve">Fréquence et régularité des rapports sur les activités de contrôle et leur efficacité</t>
  </si>
  <si>
    <t xml:space="preserve">Les rapports sur les activités de contrôle sont-ils fréquents et réguliers ?</t>
  </si>
  <si>
    <t xml:space="preserve">Calendrier des rapports</t>
  </si>
  <si>
    <t xml:space="preserve">Le calendrier des rapports établit une périodicité ne correspondant pas aux besoins</t>
  </si>
  <si>
    <t xml:space="preserve">Détection tardive des anomalies</t>
  </si>
  <si>
    <t xml:space="preserve">Implémenter des systèmes de surveillance en temps réel avec IA</t>
  </si>
  <si>
    <t xml:space="preserve">Configurer des alertes automatiques sur les seuils critiques</t>
  </si>
  <si>
    <t xml:space="preserve">Registre des activités</t>
  </si>
  <si>
    <t xml:space="preserve">Le registre des activités présente des omissions dans le suivi opérationnel</t>
  </si>
  <si>
    <t xml:space="preserve">Manque de visibilité sur les activités</t>
  </si>
  <si>
    <t xml:space="preserve">Déployer des tableaux de bord unifiés en temps réel</t>
  </si>
  <si>
    <t xml:space="preserve">Automatiser les rapports d'activité quotidiens</t>
  </si>
  <si>
    <t xml:space="preserve">Présence d’une méthodologie standardisée pour l’analyse et l’interprétation des résultats des contrôles</t>
  </si>
  <si>
    <t xml:space="preserve">Une méthodologie standardisée est-elle présente ?</t>
  </si>
  <si>
    <t xml:space="preserve">Document méthodologique</t>
  </si>
  <si>
    <t xml:space="preserve">Le document méthodologique propose des approches inadaptées au contexte</t>
  </si>
  <si>
    <t xml:space="preserve">Analyses et contrôles inefficaces</t>
  </si>
  <si>
    <t xml:space="preserve">Adopter des frameworks d'analyse reconnus (COSO, ISO)</t>
  </si>
  <si>
    <t xml:space="preserve">Former les auditeurs aux dernières techniques de contrôle</t>
  </si>
  <si>
    <t xml:space="preserve">Liste des standards</t>
  </si>
  <si>
    <t xml:space="preserve">La liste des standards s'appuie sur des normes périmées</t>
  </si>
  <si>
    <t xml:space="preserve">Non-conformité aux exigences actuelles</t>
  </si>
  <si>
    <t xml:space="preserve">Mettre en place une veille réglementaire automatisée</t>
  </si>
  <si>
    <t xml:space="preserve">Désigner des responsables conformité par domaine</t>
  </si>
  <si>
    <t xml:space="preserve">Intégration des résultats des contrôles dans les processus de décision stratégiques</t>
  </si>
  <si>
    <t xml:space="preserve">Les résultats des contrôles sont-ils intégrés aux décisions ?</t>
  </si>
  <si>
    <t xml:space="preserve">Rapport d'intégration</t>
  </si>
  <si>
    <t xml:space="preserve">Le rapport d'intégration minimise les difficultés rencontrées lors des mises en œuvre</t>
  </si>
  <si>
    <t xml:space="preserve">Problèmes opérationnels sous-estimés</t>
  </si>
  <si>
    <t xml:space="preserve">Implémenter des indicateurs de gravité objectifs</t>
  </si>
  <si>
    <t xml:space="preserve">Réaliser des revues de risques opérationnels mensuelles</t>
  </si>
  <si>
    <t xml:space="preserve">Pièce décisionnelle</t>
  </si>
  <si>
    <t xml:space="preserve">La pièce décisionnelle ne documente pas suffisamment les arbitrages effectués</t>
  </si>
  <si>
    <t xml:space="preserve">Arbitrages non documentés et non justifiés</t>
  </si>
  <si>
    <t xml:space="preserve">Utiliser des outils de workflow avec traçabilité intégrée</t>
  </si>
  <si>
    <t xml:space="preserve">Imposer la documentation systématique des décisions</t>
  </si>
  <si>
    <t xml:space="preserve">Présence d’un processus de remontée des informations critiques à la direction pour action immédiate en cas d’anomalie majeure</t>
  </si>
  <si>
    <t xml:space="preserve">Existe-t-il un processus de remontée d'informations critiques ?</t>
  </si>
  <si>
    <t xml:space="preserve">Le registre des alertes ne capture pas toutes les anomalies détectées</t>
  </si>
  <si>
    <t xml:space="preserve">Anomalies non traitées en temps opportun</t>
  </si>
  <si>
    <t xml:space="preserve">Créer un système de ticketing avec escalade automatique</t>
  </si>
  <si>
    <t xml:space="preserve">Définir des SLA stricts pour la résolution</t>
  </si>
  <si>
    <t xml:space="preserve">Registre des alertes</t>
  </si>
  <si>
    <t xml:space="preserve">Le rapport d'analyse contient des interprétations erronées des données</t>
  </si>
  <si>
    <t xml:space="preserve">Interprétations fausses menant à de mauvaises actions</t>
  </si>
  <si>
    <t xml:space="preserve">Standardiser les guides d'interprétation</t>
  </si>
  <si>
    <t xml:space="preserve">Instaurer des validations croisées obligatoires</t>
  </si>
  <si>
    <t xml:space="preserve">Mise en œuvre des politiques et registres</t>
  </si>
  <si>
    <t xml:space="preserve">S’assurer que l’organisation sélectionne des contrôles généraux
 informatiques appropriés pour protéger les systèmes d'information
 contre les menaces internes et externes</t>
  </si>
  <si>
    <t xml:space="preserve">Réalisation d’une analyse des risques identifiant les menaces internes et externes pertinentes</t>
  </si>
  <si>
    <t xml:space="preserve">Une analyse des risques identifiant les menaces est-elle réalisée ?</t>
  </si>
  <si>
    <t xml:space="preserve">Rapport d'analyse</t>
  </si>
  <si>
    <t xml:space="preserve">La matrice des risques présente une évaluation inexacte des menaces</t>
  </si>
  <si>
    <t xml:space="preserve">Évaluation incorrecte des menaces</t>
  </si>
  <si>
    <t xml:space="preserve">Mettre à jour trimestriellement la matrice des menaces</t>
  </si>
  <si>
    <t xml:space="preserve">Confronter les évaluations à des scénarios réalistes</t>
  </si>
  <si>
    <t xml:space="preserve">Matrice des risques</t>
  </si>
  <si>
    <t xml:space="preserve">Le document de sélection applique des critères non objectifs</t>
  </si>
  <si>
    <t xml:space="preserve">Sélection biaisée ou inéquitable</t>
  </si>
  <si>
    <t xml:space="preserve">Établir des critères de sélection objectifs et mesurables</t>
  </si>
  <si>
    <t xml:space="preserve">Introduire des mécanismes de contrôle aléatoire</t>
  </si>
  <si>
    <t xml:space="preserve">Sélection de contrôles basés sur les résultats de l’analyse des risques, prenant en compte l’impact et la probabilité des menaces</t>
  </si>
  <si>
    <t xml:space="preserve">Les contrôles sont-ils sélectionnés selon l'analyse des risques ?</t>
  </si>
  <si>
    <t xml:space="preserve">Document de sélection</t>
  </si>
  <si>
    <t xml:space="preserve">La liste des contrôles omet des points de vigilance essentiels</t>
  </si>
  <si>
    <t xml:space="preserve">Points de contrôle critiques ignorés</t>
  </si>
  <si>
    <t xml:space="preserve">Cartographier les points de contrôle critiques</t>
  </si>
  <si>
    <t xml:space="preserve">Affecter des responsables dédiés pour chaque point critique</t>
  </si>
  <si>
    <t xml:space="preserve">Liste des contrôles</t>
  </si>
  <si>
    <t xml:space="preserve">Les registres de contrôle pourraient ne pas être appliquées de manière uniforme</t>
  </si>
  <si>
    <t xml:space="preserve">Application incohérente des contrôles</t>
  </si>
  <si>
    <t xml:space="preserve">Harmoniser les procédures de contrôle entre services</t>
  </si>
  <si>
    <t xml:space="preserve">Auditer régulièrement l'application des contrôles</t>
  </si>
  <si>
    <t xml:space="preserve">Implémentation de contrôles pour des menaces spécifiques telles que les attaques par phishing, les ransomwares et les accès non autorisés</t>
  </si>
  <si>
    <t xml:space="preserve">Des contrôles spécifiques sont-ils implémentés ?</t>
  </si>
  <si>
    <t xml:space="preserve">Plan d'implémentation</t>
  </si>
  <si>
    <t xml:space="preserve">Le plan d'implémentation pourrait fixer des délais trop courts, compromettant la qualité de la mise en œuvre</t>
  </si>
  <si>
    <t xml:space="preserve">Mise en œuvre précipitée et de mauvaise qualité</t>
  </si>
  <si>
    <t xml:space="preserve">Instaurer des phases de test obligatoires avant déploiement</t>
  </si>
  <si>
    <t xml:space="preserve">Développer des checklists qualité pour chaque implémentation</t>
  </si>
  <si>
    <t xml:space="preserve">Registre des déploiements</t>
  </si>
  <si>
    <t xml:space="preserve">Le registre des déploiements présente des lacunes dans l'enregistrement des mises en production</t>
  </si>
  <si>
    <t xml:space="preserve">Traçabilité incomplète des déploiements</t>
  </si>
  <si>
    <t xml:space="preserve">Mettre en place un système de gestion des changements</t>
  </si>
  <si>
    <t xml:space="preserve">Utiliser des outils de versioning pour tous les déploiements</t>
  </si>
  <si>
    <t xml:space="preserve">Réalisation de tests réguliers pour vérifier l’efficacité des contrôles dans la détection et la prévention des menaces</t>
  </si>
  <si>
    <t xml:space="preserve">Des tests réguliers sont-ils réalisés ?</t>
  </si>
  <si>
    <t xml:space="preserve">Calendrier des tests</t>
  </si>
  <si>
    <t xml:space="preserve">Le calendrier des tests omet certains scénarios critiques, laissant des vulnérabilités non détectées</t>
  </si>
  <si>
    <t xml:space="preserve">Vulnérabilités résiduelles non détectées</t>
  </si>
  <si>
    <t xml:space="preserve">Réaliser des tests d'intrusion et scans de vulnérabilité</t>
  </si>
  <si>
    <t xml:space="preserve">Effectuer des analyses de couverture des contrôles</t>
  </si>
  <si>
    <t xml:space="preserve">Rapport des résultats</t>
  </si>
  <si>
    <t xml:space="preserve">Le rapport des résultats contient des analyses partielles ou des interprétations erronées</t>
  </si>
  <si>
    <t xml:space="preserve">Analyses biaisées induisant des décisions erronées</t>
  </si>
  <si>
    <t xml:space="preserve">Diversifier les sources et méthodes d'analyse</t>
  </si>
  <si>
    <t xml:space="preserve">Documentation des processus permettant de sélectionner, implémenter et évaluer les contrôles pour garantir leur efficacité continue</t>
  </si>
  <si>
    <t xml:space="preserve">Les processus de sélection/évaluation sont-ils documentés ?</t>
  </si>
  <si>
    <t xml:space="preserve">Document processuel</t>
  </si>
  <si>
    <t xml:space="preserve">Le document processuel décrit des flux qui ne correspondent pas aux pratiques réelles</t>
  </si>
  <si>
    <t xml:space="preserve">Écart entre procédures documentées et pratiques réelles</t>
  </si>
  <si>
    <t xml:space="preserve">Organiser des audits surprises sur le terrain</t>
  </si>
  <si>
    <t xml:space="preserve">Comparer les procédures documentées avec les pratiques réelles</t>
  </si>
  <si>
    <t xml:space="preserve">Supports d'évaluation</t>
  </si>
  <si>
    <t xml:space="preserve">Les supports d'évaluation utilisent des outils inadaptés au contexte opérationnel</t>
  </si>
  <si>
    <t xml:space="preserve">Évaluations inadaptées au contexte opérationnel</t>
  </si>
  <si>
    <t xml:space="preserve">Adapter les grilles d'évaluation aux spécificités opérationnelles</t>
  </si>
  <si>
    <t xml:space="preserve">Former les évaluateurs aux contextes métiers</t>
  </si>
  <si>
    <t xml:space="preserve">Vérifier que les contrôles généraux informatiques sont conçus pour
 être efficaces à tous les niveaux de l’infrastructure informatique,
 incluant les réseaux, les bases de données, les applications et les
 dispositifs matériels</t>
  </si>
  <si>
    <t xml:space="preserve">Existence de contrôles distincts adaptés à chaque couche de l’infrastructure</t>
  </si>
  <si>
    <t xml:space="preserve">Existe-t-il des contrôles distincts par couche ?</t>
  </si>
  <si>
    <t xml:space="preserve">Inventaire des couches</t>
  </si>
  <si>
    <t xml:space="preserve">L'inventaire des couches présente des omissions dans le recensement des composants</t>
  </si>
  <si>
    <t xml:space="preserve">Composants critiques non inventoriés</t>
  </si>
  <si>
    <t xml:space="preserve">Créer un inventaire centralisé des composants critiques</t>
  </si>
  <si>
    <t xml:space="preserve">Mettre en place un système de tagging des actifs</t>
  </si>
  <si>
    <t xml:space="preserve">Liste des protections</t>
  </si>
  <si>
    <t xml:space="preserve">La liste des protections ne couvre pas l'ensemble des menaces identifiées</t>
  </si>
  <si>
    <t xml:space="preserve">Exposition à des menaces non couvertes</t>
  </si>
  <si>
    <t xml:space="preserve">Réaliser des analyses de couverture des menaces</t>
  </si>
  <si>
    <t xml:space="preserve">Combler les lacunes de protection identifiées</t>
  </si>
  <si>
    <t xml:space="preserve">Documentation des exigences de sécurité spécifiques à chaque niveau</t>
  </si>
  <si>
    <t xml:space="preserve">Les exigences de sécurité sont-elles documentées ?</t>
  </si>
  <si>
    <t xml:space="preserve">Document des normes</t>
  </si>
  <si>
    <t xml:space="preserve">Le document des normes s'appuie sur des référentiels périmés</t>
  </si>
  <si>
    <t xml:space="preserve">Non-conformité aux standards actuels</t>
  </si>
  <si>
    <t xml:space="preserve">Établir un plan de mise en conformité progressive</t>
  </si>
  <si>
    <t xml:space="preserve">Réaliser des audits de conformité trimestriels</t>
  </si>
  <si>
    <t xml:space="preserve">Registre des exigences</t>
  </si>
  <si>
    <t xml:space="preserve">Le registre des exigences ne capture pas tous les besoins essentiels</t>
  </si>
  <si>
    <t xml:space="preserve">Besoins opérationnels essentiels ignorés</t>
  </si>
  <si>
    <t xml:space="preserve">Implémenter un système de remontée des besoins opérationnels</t>
  </si>
  <si>
    <t xml:space="preserve">Prioriser les ressources selon l'impact opérationnel</t>
  </si>
  <si>
    <t xml:space="preserve">Mise en œuvre de contrôles cohérents à travers toutes les couches, garantissant une protection globale</t>
  </si>
  <si>
    <t xml:space="preserve">Des contrôles cohérents sont-ils mis en œuvre ?</t>
  </si>
  <si>
    <t xml:space="preserve">Rapport de cohérence</t>
  </si>
  <si>
    <t xml:space="preserve">Le rapport de cohérence ne relève pas certaines incohérences majeures</t>
  </si>
  <si>
    <t xml:space="preserve">Incohérences persistantes non corrigées</t>
  </si>
  <si>
    <t xml:space="preserve">Maintenir un registre des incohérences avec suivi de résolution</t>
  </si>
  <si>
    <t xml:space="preserve">Affecter des responsables de correction nominatifs</t>
  </si>
  <si>
    <t xml:space="preserve">Matrice de couverture</t>
  </si>
  <si>
    <t xml:space="preserve">La matrice de couverture laisse des zones de risque non évaluées</t>
  </si>
  <si>
    <t xml:space="preserve">Zones de risque non évaluées</t>
  </si>
  <si>
    <t xml:space="preserve">Effectuer des évaluations de risque exhaustives</t>
  </si>
  <si>
    <t xml:space="preserve">Cartographier les zones à risque ignorées</t>
  </si>
  <si>
    <t xml:space="preserve">Tests de pénétration effectués régulièrement pour valider l’efficacité des contrôles à différents niveaux</t>
  </si>
  <si>
    <t xml:space="preserve">Des tests de pénétration sont-ils effectués ?</t>
  </si>
  <si>
    <t xml:space="preserve">Plan de tests</t>
  </si>
  <si>
    <t xml:space="preserve">Le plan de tests néglige certains cas d'usage importants</t>
  </si>
  <si>
    <t xml:space="preserve">Cas d'usage critiques non testés</t>
  </si>
  <si>
    <t xml:space="preserve">Développer des scénarios de test couvrant tous les cas critiques</t>
  </si>
  <si>
    <t xml:space="preserve">Automatiser les tests sur les cas d'usage essentiels</t>
  </si>
  <si>
    <t xml:space="preserve">Rapport d'intrusion</t>
  </si>
  <si>
    <t xml:space="preserve">Le rapport d'intrusion ne détecte pas toutes les vulnérabilités existantes</t>
  </si>
  <si>
    <t xml:space="preserve">Failles de sécurité non identifiées</t>
  </si>
  <si>
    <t xml:space="preserve">Mener des audits de sécurité complets</t>
  </si>
  <si>
    <t xml:space="preserve">Mettre en place un programme de bug bounty</t>
  </si>
  <si>
    <t xml:space="preserve">Surveillance continue des systèmes pour détecter des anomalies à tous les niveaux de l’infrastructure</t>
  </si>
  <si>
    <t xml:space="preserve">Une surveillance continue est-elle en place ?</t>
  </si>
  <si>
    <t xml:space="preserve">Document de monitoring</t>
  </si>
  <si>
    <t xml:space="preserve">Le document de monitoring surveille des indicateurs non pertinents</t>
  </si>
  <si>
    <t xml:space="preserve">Surveillance inefficace des indicateurs clés</t>
  </si>
  <si>
    <t xml:space="preserve">Définir des KPI sécurité pertinents et mesurables</t>
  </si>
  <si>
    <t xml:space="preserve">Automatiser le reporting des indicateurs clés</t>
  </si>
  <si>
    <t xml:space="preserve">Le registre des incidents présente des omissions dans le suivi</t>
  </si>
  <si>
    <t xml:space="preserve">Incidents non suivis ou documentés</t>
  </si>
  <si>
    <t xml:space="preserve">Standardiser les procédures de documentation d'incidents</t>
  </si>
  <si>
    <t xml:space="preserve">Imposer des revues post-incident systématiques</t>
  </si>
  <si>
    <t xml:space="preserve">S’assurer que les contrôles généraux informatiques sont
 régulièrement réévalués pour tenir compte des évolutions
 technologiques, des nouvelles menaces et des changements dans
 l’infrastructure de l’organisation</t>
  </si>
  <si>
    <t xml:space="preserve">Mise en place d’un processus de réévaluation périodique des contrôles (annuelle, semestrielle)</t>
  </si>
  <si>
    <t xml:space="preserve">Un processus de réévaluation périodique existe-t-il ?</t>
  </si>
  <si>
    <t xml:space="preserve">Calendrier de révision</t>
  </si>
  <si>
    <t xml:space="preserve">Le calendrier de révision n'est pas respecté selon la périodicité requise</t>
  </si>
  <si>
    <t xml:space="preserve">Révisions non effectuées à temps</t>
  </si>
  <si>
    <t xml:space="preserve">Planifier un calendrier contraignant de révisions</t>
  </si>
  <si>
    <t xml:space="preserve">Automatiser les rappels pour les révisions périodiques</t>
  </si>
  <si>
    <t xml:space="preserve">Rapport d'évaluation</t>
  </si>
  <si>
    <t xml:space="preserve">Le rapport d'évaluation fournit une analyse incomplète des contrôles</t>
  </si>
  <si>
    <t xml:space="preserve">Évaluation incomplète de l'efficacité des contrôles</t>
  </si>
  <si>
    <t xml:space="preserve">Développer des métriques d'efficacité des contrôles</t>
  </si>
  <si>
    <t xml:space="preserve">Réaliser des tests d'efficacité sur échantillons</t>
  </si>
  <si>
    <t xml:space="preserve">Surveillance des évolutions technologiques pour adapter les contrôles en conséquence</t>
  </si>
  <si>
    <t xml:space="preserve">Les évolutions technologiques sont-elles surveillées ?</t>
  </si>
  <si>
    <t xml:space="preserve">Inventaire technologique</t>
  </si>
  <si>
    <t xml:space="preserve">L'inventaire technologique omet certains équipements critiques</t>
  </si>
  <si>
    <t xml:space="preserve">Équipements critiques non gérés</t>
  </si>
  <si>
    <t xml:space="preserve">Créer un registre central des équipements critiques</t>
  </si>
  <si>
    <t xml:space="preserve">Implémenter un système de gestion du cycle de vie</t>
  </si>
  <si>
    <t xml:space="preserve">Liste des évolutions</t>
  </si>
  <si>
    <t xml:space="preserve">La liste des évolutions n'anticipe pas suffisamment les besoins futurs</t>
  </si>
  <si>
    <t xml:space="preserve">Capacité d'anticipation insuffisante</t>
  </si>
  <si>
    <t xml:space="preserve">Former aux techniques d'anticipation et prospective</t>
  </si>
  <si>
    <t xml:space="preserve">Développer des scénarios prévisionnels réguliers</t>
  </si>
  <si>
    <t xml:space="preserve">Mise à jour continue des contrôles pour répondre aux nouvelles menaces identifiées</t>
  </si>
  <si>
    <t xml:space="preserve">Les contrôles sont-ils mis à jour continuellement ?</t>
  </si>
  <si>
    <t xml:space="preserve">Registre des mises à jour des contrôles (versions/dates/responsables)</t>
  </si>
  <si>
    <t xml:space="preserve">Le registre des mises à jour ne trace pas toutes les modifications apportées</t>
  </si>
  <si>
    <t xml:space="preserve">Historique des modifications incomplet</t>
  </si>
  <si>
    <t xml:space="preserve">Utiliser des outils de gestion de configuration</t>
  </si>
  <si>
    <t xml:space="preserve">Sauvegarder systématiquement l'historique des changements</t>
  </si>
  <si>
    <t xml:space="preserve">Liste des modifications techniques apportées</t>
  </si>
  <si>
    <t xml:space="preserve">La liste des modifications techniques est incomplète</t>
  </si>
  <si>
    <t xml:space="preserve">Changements techniques non tracés</t>
  </si>
  <si>
    <t xml:space="preserve">Effectuer des audits complets du périmètre de sécurité</t>
  </si>
  <si>
    <t xml:space="preserve">Combler les lacunes de couverture identifiées</t>
  </si>
  <si>
    <t xml:space="preserve">Réalisation d’audits de sécurité pour identifier les écarts dans les contrôles existants face aux évolutions de l’environnement technologique</t>
  </si>
  <si>
    <t xml:space="preserve">Des audits de sécurité sont-ils réalisés ?</t>
  </si>
  <si>
    <t xml:space="preserve">Plan d'audit sécurité (périmètre/méthodologie)</t>
  </si>
  <si>
    <t xml:space="preserve">Le plan d'audit sécurité ne couvre pas l'ensemble du périmètre critique</t>
  </si>
  <si>
    <t xml:space="preserve">Périmètre de sécurité non entièrement audité</t>
  </si>
  <si>
    <t xml:space="preserve">Formaliser des plans d'action d'amélioration précis</t>
  </si>
  <si>
    <t xml:space="preserve">Affecter des responsables et échéances claires</t>
  </si>
  <si>
    <t xml:space="preserve">Rapport d'audit (vulnérabilités/recommandations)</t>
  </si>
  <si>
    <t xml:space="preserve">Le rapport d'audit ne propose pas de recommandations actionnables</t>
  </si>
  <si>
    <t xml:space="preserve">Améliorations non implémentées faute de recommandations claires</t>
  </si>
  <si>
    <t xml:space="preserve">Implémenter des outils d'analyse des tendances</t>
  </si>
  <si>
    <t xml:space="preserve">Former à la détection des signaux faibles</t>
  </si>
  <si>
    <t xml:space="preserve">Intégration de l’analyse des tendances en cybersécurité pour anticiper les risques futurs</t>
  </si>
  <si>
    <t xml:space="preserve">L'analyse des tendances est-elle intégrée ?</t>
  </si>
  <si>
    <t xml:space="preserve">Document d'analyse trimestrielle des tendances</t>
  </si>
  <si>
    <t xml:space="preserve">L'analyse trimestrielle des tendances manque de profondeur</t>
  </si>
  <si>
    <t xml:space="preserve">Tendances et signaux faibles non détectés</t>
  </si>
  <si>
    <t xml:space="preserve">Croiser les projections avec des données externes</t>
  </si>
  <si>
    <t xml:space="preserve">Valider les hypothèses avec des experts indépendants</t>
  </si>
  <si>
    <t xml:space="preserve">Matrice d'évolution des risques (historique/projections)</t>
  </si>
  <si>
    <t xml:space="preserve">La matrice d'évolution des risques repose sur des projections erronées</t>
  </si>
  <si>
    <t xml:space="preserve">Projections de risques inexactes</t>
  </si>
  <si>
    <t xml:space="preserve">Élargir la couverture des systèmes de surveillance</t>
  </si>
  <si>
    <t xml:space="preserve">Automatiser la détection des écarts de couverture</t>
  </si>
  <si>
    <t xml:space="preserve">Vérifier que des mécanismes de suivi sont en place pour surveiller la
 mise en œuvre des contrôles généraux informatiques et évaluer leur
 efficacité en continu</t>
  </si>
  <si>
    <t xml:space="preserve">Utilisation de systèmes de surveillance automatisée pour contrôler l’efficacité des contrôles en temps réel</t>
  </si>
  <si>
    <t xml:space="preserve">Des systèmes de surveillance automatisée sont-ils utilisés ?</t>
  </si>
  <si>
    <t xml:space="preserve">Inventaire des systèmes de surveillance (outils/localisation)</t>
  </si>
  <si>
    <t xml:space="preserve">L'inventaire des systèmes de surveillance présente des lacunes</t>
  </si>
  <si>
    <t xml:space="preserve">Couverture de surveillance insuffisante</t>
  </si>
  <si>
    <t xml:space="preserve">Réaliser des audits techniques approfondis</t>
  </si>
  <si>
    <t xml:space="preserve">Mettre en place un plan de correction des écarts</t>
  </si>
  <si>
    <t xml:space="preserve">Liste des configurations techniques</t>
  </si>
  <si>
    <t xml:space="preserve">La liste des configurations techniques contient des écarts par rapport aux standards</t>
  </si>
  <si>
    <t xml:space="preserve">Écarts par rapport aux standards techniques</t>
  </si>
  <si>
    <t xml:space="preserve">Créer une matrice des obligations réglementaires</t>
  </si>
  <si>
    <t xml:space="preserve">Automatiser les rappels pour les échéances réglementaires</t>
  </si>
  <si>
    <t xml:space="preserve">Mise en place de rapports de performance réguliers pour évaluer l’efficacité des contrôles de manière continue</t>
  </si>
  <si>
    <t xml:space="preserve">Des rapports de performance sont-ils mis en place ?</t>
  </si>
  <si>
    <t xml:space="preserve">Calendrier des reporting (périodicité/destinataires)</t>
  </si>
  <si>
    <t xml:space="preserve">Le calendrier de reporting ne respecte pas les fréquences réglementaires</t>
  </si>
  <si>
    <t xml:space="preserve">Manquements aux obligations réglementaires</t>
  </si>
  <si>
    <t xml:space="preserve">Développer des outils de suivi historique des indicateurs</t>
  </si>
  <si>
    <t xml:space="preserve">Sauvegarder sécurisé les données historiques</t>
  </si>
  <si>
    <t xml:space="preserve">Registre des KPI sécurité (historique des données)</t>
  </si>
  <si>
    <t xml:space="preserve">Le registre des KPI sécurité ne permet pas un suivi historique fiable</t>
  </si>
  <si>
    <t xml:space="preserve">Suivi historique des indicateurs de sécurité impossible</t>
  </si>
  <si>
    <t xml:space="preserve">Implémenter des correctifs définitifs et vérifiables</t>
  </si>
  <si>
    <t xml:space="preserve">Analyse des incidents de sécurité pour tester la réactivité et l’efficacité des contrôles mis en place</t>
  </si>
  <si>
    <t xml:space="preserve">Les incidents de sécurité sont-ils analysés ?</t>
  </si>
  <si>
    <t xml:space="preserve">Document de fiches standardisées d'incidents</t>
  </si>
  <si>
    <t xml:space="preserve">Déclaration incomplète des incidents</t>
  </si>
  <si>
    <t xml:space="preserve">Incidents récurrents par manque de résolution complète</t>
  </si>
  <si>
    <t xml:space="preserve">Diversifier les méthodes d'évaluation des risques</t>
  </si>
  <si>
    <t xml:space="preserve">Confronter les évaluations à la réalité opérationnelle</t>
  </si>
  <si>
    <t xml:space="preserve">Rapport d'analyse root cause des incidents majeurs</t>
  </si>
  <si>
    <t xml:space="preserve">Analyse RCA insuffisante</t>
  </si>
  <si>
    <t xml:space="preserve">Causes racines non traitées entraînant des problèmes persistants</t>
  </si>
  <si>
    <t xml:space="preserve">Mettre en place des indicateurs de vérification</t>
  </si>
  <si>
    <t xml:space="preserve">Documenter systématiquement les preuves de correction</t>
  </si>
  <si>
    <t xml:space="preserve">Évaluation continue de la conformité des contrôles avec les exigences réglementaires et normatives</t>
  </si>
  <si>
    <t xml:space="preserve">La conformité est-elle évaluée continuellement ?</t>
  </si>
  <si>
    <t xml:space="preserve">Supports d'évaluation (grilles/checklists)</t>
  </si>
  <si>
    <t xml:space="preserve">Critères d'évaluation obsolètes</t>
  </si>
  <si>
    <t xml:space="preserve">Évaluations inexactes des risques et performances</t>
  </si>
  <si>
    <t xml:space="preserve">Standardiser les exigences de documentation</t>
  </si>
  <si>
    <t xml:space="preserve">Auditer régulièrement la complétude des dossiers</t>
  </si>
  <si>
    <t xml:space="preserve">Registre des écarts et corrections</t>
  </si>
  <si>
    <t xml:space="preserve">Traçage incomplet des corrections</t>
  </si>
  <si>
    <t xml:space="preserve">Impossibilité de vérifier l'efficacité des corrections</t>
  </si>
  <si>
    <t xml:space="preserve">Développer des procédures opérationnelles détaillées</t>
  </si>
  <si>
    <t xml:space="preserve">Former régulièrement sur les processus critiques</t>
  </si>
  <si>
    <t xml:space="preserve">Mise en place de mécanismes de réajustement des contrôles en fonction des résultats du suivi continu</t>
  </si>
  <si>
    <t xml:space="preserve">Des mécanismes de réajustement existent-ils ?</t>
  </si>
  <si>
    <t xml:space="preserve">Document de registre de réajustement</t>
  </si>
  <si>
    <t xml:space="preserve">Non-application des registres</t>
  </si>
  <si>
    <t xml:space="preserve">Non-conformité aux exigences réglementaires de documentation</t>
  </si>
  <si>
    <t xml:space="preserve">Évaluer les compétences stratégiques du personnel</t>
  </si>
  <si>
    <t xml:space="preserve">Mettre en place des plans de développement individualisés</t>
  </si>
  <si>
    <t xml:space="preserve">Liste des mécanismes disponibles (mode d'emploi)</t>
  </si>
  <si>
    <t xml:space="preserve">Documentation technique inexacte</t>
  </si>
  <si>
    <t xml:space="preserve">Erreurs dans l'exécution des processus opérationnels</t>
  </si>
  <si>
    <t xml:space="preserve">Identifier les compétences critiques manquantes</t>
  </si>
  <si>
    <t xml:space="preserve">Accélérer les programmes de formation ciblés</t>
  </si>
  <si>
    <t xml:space="preserve">S’assurer que les responsables de la mise en œuvre des contrôles
 généraux informatiques sont qualifiés et formés pour gérer les
 risques informatiques et maintenir les contrôles à jour</t>
  </si>
  <si>
    <t xml:space="preserve">Existence de programmes de formation pour les responsables des contrôles, incluant la sécurité des systèmes d’information</t>
  </si>
  <si>
    <t xml:space="preserve">Existe-t-il des programmes de formation ?</t>
  </si>
  <si>
    <t xml:space="preserve">Plan de formation annuel (thèmes/publics)</t>
  </si>
  <si>
    <t xml:space="preserve">Couverture inadéquate des formations</t>
  </si>
  <si>
    <t xml:space="preserve">Lacunes dans les compétences critiques du personnel</t>
  </si>
  <si>
    <t xml:space="preserve">Digitaliser les processus de documentation réglementaire</t>
  </si>
  <si>
    <t xml:space="preserve">Implémenter des contrôles automatiques de conformité</t>
  </si>
  <si>
    <t xml:space="preserve">Calendrier des sessions (dates/formateurs)</t>
  </si>
  <si>
    <t xml:space="preserve">Non-respect du planning de formation</t>
  </si>
  <si>
    <t xml:space="preserve">Retards dans le développement des compétences nécessaires</t>
  </si>
  <si>
    <t xml:space="preserve">Créer des simulateurs de scénarios critiques</t>
  </si>
  <si>
    <t xml:space="preserve">Tester mensuellement les plans de continuité d'activité</t>
  </si>
  <si>
    <t xml:space="preserve">Formation continue pour rester à jour avec les évolutions des menaces informatiques et des meilleures pratiques</t>
  </si>
  <si>
    <t xml:space="preserve">La formation est-elle continue ?</t>
  </si>
  <si>
    <t xml:space="preserve">Registre de présence aux événements sectoriels</t>
  </si>
  <si>
    <t xml:space="preserve">Traçabilité insuffisante des participations</t>
  </si>
  <si>
    <t xml:space="preserve">Difficulté à démontrer la conformité aux exigences</t>
  </si>
  <si>
    <t xml:space="preserve">Créer un référentiel documentaire unique pour toutes les exigences</t>
  </si>
  <si>
    <t xml:space="preserve">Automatiser le suivi des preuves de conformité</t>
  </si>
  <si>
    <t xml:space="preserve">Liste des comités techniques pertinents</t>
  </si>
  <si>
    <t xml:space="preserve">Composition inadaptée des comités</t>
  </si>
  <si>
    <t xml:space="preserve">Décisions stratégiques mal alignées avec les besoins</t>
  </si>
  <si>
    <t xml:space="preserve">Aligner la stratégie avec une analyse annuelle des besoins métiers</t>
  </si>
  <si>
    <t xml:space="preserve">Impliquer les opérationnels dans les comités stratégiques</t>
  </si>
  <si>
    <t xml:space="preserve">Participation des responsables à des forums de cybersécurité ou à des formations spécialisées</t>
  </si>
  <si>
    <t xml:space="preserve">Les responsables participent-ils à des forums ?</t>
  </si>
  <si>
    <t xml:space="preserve">Document référentiel des compétences requises</t>
  </si>
  <si>
    <t xml:space="preserve">Référentiel des compétences non actualisé</t>
  </si>
  <si>
    <t xml:space="preserve">Inadéquation entre compétences disponibles et besoins</t>
  </si>
  <si>
    <t xml:space="preserve">Réaliser un audit complet des compétences disponibles</t>
  </si>
  <si>
    <t xml:space="preserve">Mettre en place un plan de formation adaptatif</t>
  </si>
  <si>
    <t xml:space="preserve">Rapport des évaluations individuelles annuelles</t>
  </si>
  <si>
    <t xml:space="preserve">Évaluation annuelle superficielle</t>
  </si>
  <si>
    <t xml:space="preserve">Faiblesses organisationnelles non détectées</t>
  </si>
  <si>
    <t xml:space="preserve">Implémenter des diagnostics organisationnels réguliers</t>
  </si>
  <si>
    <t xml:space="preserve">Benchmarker avec les meilleures pratiques du secteur</t>
  </si>
  <si>
    <t xml:space="preserve">Mise en place d’évaluations régulières des compétences des responsables des contrôles pour identifier les besoins de formation</t>
  </si>
  <si>
    <t xml:space="preserve">Des évaluations régulières des compétences existent-elles ?</t>
  </si>
  <si>
    <t xml:space="preserve">Contrat cadre avec les experts externes</t>
  </si>
  <si>
    <t xml:space="preserve">Dépendance excessive aux experts externes</t>
  </si>
  <si>
    <t xml:space="preserve">Coûts supplémentaires et perte de savoir-faire interne</t>
  </si>
  <si>
    <t xml:space="preserve">Analyser systématiquement les coûts cachés</t>
  </si>
  <si>
    <t xml:space="preserve">Développer des programmes de transfert de compétences</t>
  </si>
  <si>
    <t xml:space="preserve">Registre des prestations externes</t>
  </si>
  <si>
    <t xml:space="preserve">Suivi incomplet des prestations externes</t>
  </si>
  <si>
    <t xml:space="preserve">Risques accrus liés à la gestion des fournisseurs</t>
  </si>
  <si>
    <t xml:space="preserve">Élaborer une cartographie des risques fournisseurs</t>
  </si>
  <si>
    <t xml:space="preserve">Standardiser les processus de due diligence</t>
  </si>
  <si>
    <t xml:space="preserve">Collaboration avec des experts externes pour assurer un niveau élevé de compétence et de préparation face aux nouvelles menaces</t>
  </si>
  <si>
    <t xml:space="preserve">Une collaboration avec des experts externes existe-t-elle ?</t>
  </si>
  <si>
    <t xml:space="preserve">Document des registres opérationnelles consolidées</t>
  </si>
  <si>
    <t xml:space="preserve">registres opérationnelles non mises à jour</t>
  </si>
  <si>
    <t xml:space="preserve">Prise de décision basée sur des données erronées</t>
  </si>
  <si>
    <t xml:space="preserve">Implémenter des contrôles de qualité des données</t>
  </si>
  <si>
    <t xml:space="preserve">Former les décideurs à l'analyse critique des données</t>
  </si>
  <si>
    <t xml:space="preserve">Inventaire des normes en vigueur</t>
  </si>
  <si>
    <t xml:space="preserve">Inventaire normatif incomplet</t>
  </si>
  <si>
    <t xml:space="preserve">Exposition à des sanctions réglementaires</t>
  </si>
  <si>
    <t xml:space="preserve">Mettre en place une veille réglementaire proactive</t>
  </si>
  <si>
    <t xml:space="preserve">Nommer des responsables conformité par domaine</t>
  </si>
  <si>
    <t xml:space="preserve">Vérifier que des registres documentées sont en place pour la
 mise en œuvre, la gestion et la réévaluation des contrôles généraux
 informatiques, garantissant la cohérence et la traçabilité des actions
 entreprises</t>
  </si>
  <si>
    <t xml:space="preserve">Existence de documents formels décrivant les registres de mise en œuvre, de gestion et de réévaluation des contrôles</t>
  </si>
  <si>
    <t xml:space="preserve">Des documents formels décrivant les registres existent-ils ?</t>
  </si>
  <si>
    <t xml:space="preserve">Calendrier des révisions programmées</t>
  </si>
  <si>
    <t xml:space="preserve">Retard dans les révisions documentaires</t>
  </si>
  <si>
    <t xml:space="preserve">Application de procédures obsolètes</t>
  </si>
  <si>
    <t xml:space="preserve">Auditer trimestriellement les procédures en vigueur</t>
  </si>
  <si>
    <t xml:space="preserve">Automatiser les mises à jour des processus</t>
  </si>
  <si>
    <t xml:space="preserve">Registre des versions validées</t>
  </si>
  <si>
    <t xml:space="preserve">Utilisation de versions non validées</t>
  </si>
  <si>
    <t xml:space="preserve">Incohérences dans l'exécution des processus</t>
  </si>
  <si>
    <t xml:space="preserve">Développer des guides procéduraux détaillés</t>
  </si>
  <si>
    <t xml:space="preserve">Organiser des ateliers d'harmonisation inter-services</t>
  </si>
  <si>
    <t xml:space="preserve">es registres sont mises à jour régulièrement pour refléter les évolutions technologiques et les changements dans les exigences réglementaires</t>
  </si>
  <si>
    <t xml:space="preserve">Les registres sont-elles mises à jour régulièrement ?</t>
  </si>
  <si>
    <t xml:space="preserve">Rapport de synthèse des actions documentées</t>
  </si>
  <si>
    <t xml:space="preserve">Synthèse des actions incomplète</t>
  </si>
  <si>
    <t xml:space="preserve">Vision incomplète des progrès réalisés</t>
  </si>
  <si>
    <t xml:space="preserve">Créer des tableaux de bord de progression en temps réel</t>
  </si>
  <si>
    <t xml:space="preserve">Automatiser les rapports d'avancement</t>
  </si>
  <si>
    <t xml:space="preserve">Liste des documents produits et archivés</t>
  </si>
  <si>
    <t xml:space="preserve">Gestion archivistique défaillante</t>
  </si>
  <si>
    <t xml:space="preserve">Difficultés d'accès aux documents essentiels</t>
  </si>
  <si>
    <t xml:space="preserve">Centraliser les documents dans un système sécurisé</t>
  </si>
  <si>
    <t xml:space="preserve">Mettre en place une politique de gestion documentaire stricte</t>
  </si>
  <si>
    <t xml:space="preserve">Documentation complète des actions entreprises pour chaque mise en œuvre et réévaluation des contrôles</t>
  </si>
  <si>
    <t xml:space="preserve">Les actions sont-elles documentées complètement ?</t>
  </si>
  <si>
    <t xml:space="preserve">Registre des actions documentées (fiches complètes/preuves)</t>
  </si>
  <si>
    <t xml:space="preserve">Preuves d'actions manquantes</t>
  </si>
  <si>
    <t xml:space="preserve">Impossibilité de prouver la conformité</t>
  </si>
  <si>
    <t xml:space="preserve">Digitaliser les preuves de conformité</t>
  </si>
  <si>
    <t xml:space="preserve">Utiliser des technologies blockchain pour l'archivage</t>
  </si>
  <si>
    <t xml:space="preserve">Liste des documents produits avec statut</t>
  </si>
  <si>
    <t xml:space="preserve">Statut documentaire non clair</t>
  </si>
  <si>
    <t xml:space="preserve">Confusion dans l'utilisation des documents</t>
  </si>
  <si>
    <t xml:space="preserve">Standardiser les modèles de documents</t>
  </si>
  <si>
    <t xml:space="preserve">Former le personnel aux bonnes pratiques documentaires</t>
  </si>
  <si>
    <t xml:space="preserve">Accès facilité à la documentation pour les parties prenantes afin d’assurer la transparence des processus</t>
  </si>
  <si>
    <t xml:space="preserve">L'accès à la documentation est-il facilité ?</t>
  </si>
  <si>
    <t xml:space="preserve">Document de politique d'accès (droits/registres)</t>
  </si>
  <si>
    <t xml:space="preserve">Politique d'accès non appliquée</t>
  </si>
  <si>
    <t xml:space="preserve">Expositions à des accès non autorisés</t>
  </si>
  <si>
    <t xml:space="preserve">Implémenter des contrôles d'accès stricts</t>
  </si>
  <si>
    <t xml:space="preserve">Mettre en place un système de gestion des identités</t>
  </si>
  <si>
    <t xml:space="preserve">Supports d'accès (guides/plateforme)</t>
  </si>
  <si>
    <t xml:space="preserve">Supports d'accès inefficaces</t>
  </si>
  <si>
    <t xml:space="preserve">Retards dans les processus décisionnels</t>
  </si>
  <si>
    <t xml:space="preserve">Cartographier et optimiser les processus décisionnels</t>
  </si>
  <si>
    <t xml:space="preserve">Définir des SLA pour chaque étape décisionnelle</t>
  </si>
  <si>
    <t xml:space="preserve">Traçabilité des décisions concernant l’adaptation ou l’évolution des contrôles grâce à des rapports de suivi</t>
  </si>
  <si>
    <t xml:space="preserve">La traçabilité des décisions est-elle assurée ?</t>
  </si>
  <si>
    <t xml:space="preserve">Journal des décisions (dates/motivations)</t>
  </si>
  <si>
    <t xml:space="preserve">Journal des décisions incomplet</t>
  </si>
  <si>
    <t xml:space="preserve">Historique décisionnel incomplet</t>
  </si>
  <si>
    <t xml:space="preserve">Digitaliser l'ensemble du processus décisionnel</t>
  </si>
  <si>
    <t xml:space="preserve">Sauvegarder systématiquement les éléments de décision</t>
  </si>
  <si>
    <t xml:space="preserve">PV des comités de validation</t>
  </si>
  <si>
    <t xml:space="preserve">PV de validation manquants</t>
  </si>
  <si>
    <t xml:space="preserve">Absence de preuve des validations</t>
  </si>
  <si>
    <t xml:space="preserve">Formaliser les processus de validation</t>
  </si>
  <si>
    <t xml:space="preserve">Implémenter des workflows électroniques</t>
  </si>
  <si>
    <t xml:space="preserve">S’assurer que des tests d’audit sont régulièrement réalisés pour
 vérifier l’efficacité des contrôles généraux informatiques et leur
 conformité aux normes et réglementations applicables</t>
  </si>
  <si>
    <t xml:space="preserve">Sélection d’auditeurs qualifiés, internes ou externes, pour effectuer des audits sur la sécurité des systèmes d’information</t>
  </si>
  <si>
    <t xml:space="preserve">Des auditeurs qualifiés sont-ils sélectionnés ?</t>
  </si>
  <si>
    <t xml:space="preserve">Liste des auditeurs certifiés (diplômes/expérience)</t>
  </si>
  <si>
    <t xml:space="preserve">Qualifications des auditeurs non vérifiées</t>
  </si>
  <si>
    <t xml:space="preserve">Qualité dégradée des évaluations</t>
  </si>
  <si>
    <t xml:space="preserve">Standardiser les méthodologies d'évaluation</t>
  </si>
  <si>
    <t xml:space="preserve">Critères de sélection inadaptés</t>
  </si>
  <si>
    <t xml:space="preserve">Mauvaise allocation des ressources d'audit</t>
  </si>
  <si>
    <t xml:space="preserve">Optimiser la planification des audits</t>
  </si>
  <si>
    <t xml:space="preserve">Allouer les ressources selon une analyse de risque</t>
  </si>
  <si>
    <t xml:space="preserve">Réalisation d’audits réguliers et documentés pour identifier les lacunes dans les contrôles de sécurité</t>
  </si>
  <si>
    <t xml:space="preserve">Des audits réguliers sont-ils réalisés ?</t>
  </si>
  <si>
    <t xml:space="preserve">Calendrier des audits programmés (fréquence/périmètre)</t>
  </si>
  <si>
    <t xml:space="preserve">Calendrier d'audit non respecté</t>
  </si>
  <si>
    <t xml:space="preserve">Retard dans l'identifiacation des faiblesses</t>
  </si>
  <si>
    <t xml:space="preserve">Automatiser la détection des faiblesses</t>
  </si>
  <si>
    <t xml:space="preserve">Mettre en place des alertes précoces</t>
  </si>
  <si>
    <t xml:space="preserve">Rapport d'audit périodique</t>
  </si>
  <si>
    <t xml:space="preserve">Suivi des audits défaillant</t>
  </si>
  <si>
    <t xml:space="preserve">Recommandations non prises en compte</t>
  </si>
  <si>
    <t xml:space="preserve">Créer un système de suivi des recommandations</t>
  </si>
  <si>
    <t xml:space="preserve">Lier la mise en œuvre aux objectifs individuels</t>
  </si>
  <si>
    <t xml:space="preserve">Prise en compte des recommandations des audits pour améliorer les contrôles généraux</t>
  </si>
  <si>
    <t xml:space="preserve">Les recommandations des audits sont-elles prises en compte ?</t>
  </si>
  <si>
    <t xml:space="preserve">Registre des recommandations (suivi/statut)</t>
  </si>
  <si>
    <t xml:space="preserve">Suivi ineffectif des recommandations</t>
  </si>
  <si>
    <t xml:space="preserve">Renforcer les mécanismes de suivi des actions</t>
  </si>
  <si>
    <t xml:space="preserve">Plan de mise en œuvre des préconisations</t>
  </si>
  <si>
    <t xml:space="preserve">Mise en œuvre partielle des préconisations</t>
  </si>
  <si>
    <t xml:space="preserve">Efficacité réduite des plans d'action</t>
  </si>
  <si>
    <t xml:space="preserve">Développer une cartographie des risques dynamique</t>
  </si>
  <si>
    <t xml:space="preserve">Intégrer des scénarios prospectifs</t>
  </si>
  <si>
    <t xml:space="preserve">Rapport d’audit détaillant les failles, les risques, ainsi que les recommandations pour des actions correctives</t>
  </si>
  <si>
    <t xml:space="preserve">Des rapports d'audit détaillés sont-ils produits ?</t>
  </si>
  <si>
    <t xml:space="preserve">Document de rapport d'audit (version détaillée)</t>
  </si>
  <si>
    <t xml:space="preserve">Rapport d'audit incomplet</t>
  </si>
  <si>
    <t xml:space="preserve">Vue incomplète des risques</t>
  </si>
  <si>
    <t xml:space="preserve">Automatiser les mises à jour des données stratégiques</t>
  </si>
  <si>
    <t xml:space="preserve">Imposer des revues trimestrielles des informations</t>
  </si>
  <si>
    <t xml:space="preserve">Annexes techniques des audits</t>
  </si>
  <si>
    <t xml:space="preserve">Annexes techniques non actualisées</t>
  </si>
  <si>
    <t xml:space="preserve">Décisions basées sur des informations obsolètes</t>
  </si>
  <si>
    <t xml:space="preserve">Standardiser les processus de résolution</t>
  </si>
  <si>
    <t xml:space="preserve">Définir des échéances contraignantes</t>
  </si>
  <si>
    <t xml:space="preserve">Suivi des actions correctives suite aux audits pour s’assurer de la mise en œuvre effective des améliorations suggérées</t>
  </si>
  <si>
    <t xml:space="preserve">Les actions correctives sont-elles suivies ?</t>
  </si>
  <si>
    <t xml:space="preserve">Tableau de suivi des correctifs (avancement/responsables)</t>
  </si>
  <si>
    <t xml:space="preserve">Avancement des correctifs non suivi</t>
  </si>
  <si>
    <t xml:space="preserve">Retard dans la résolution des problèmes</t>
  </si>
  <si>
    <t xml:space="preserve">Implémenter des contrôles post-correction</t>
  </si>
  <si>
    <t xml:space="preserve">Liste des actions clôturées</t>
  </si>
  <si>
    <t xml:space="preserve">Clôture prématurée d'actions</t>
  </si>
  <si>
    <t xml:space="preserve">Correctifs inefficaces ou incomplets</t>
  </si>
  <si>
    <t xml:space="preserve">Réévaluer régulièrement l'appétence au risque</t>
  </si>
  <si>
    <t xml:space="preserve">Mettre à jour les indicateurs de risque</t>
  </si>
  <si>
    <t xml:space="preserve">S’assurer que des règles de contrôle claires et bien définies sont
 mises en place pour chaque domaine critique, et qu’elles couvrent
 toutes les activités pertinentes pour assurer la conformité et la
 gestion des risques</t>
  </si>
  <si>
    <t xml:space="preserve">Application des règles aux processus spécifiques pour chaque activité opérationnelle liée à la sécurité</t>
  </si>
  <si>
    <t xml:space="preserve">Les règles sont-elles appliquées aux processus ?</t>
  </si>
  <si>
    <t xml:space="preserve">Procès-verbal d'application des règles</t>
  </si>
  <si>
    <t xml:space="preserve">Non-respect des règles documenté</t>
  </si>
  <si>
    <t xml:space="preserve">Augmentation des risques opérationnels</t>
  </si>
  <si>
    <t xml:space="preserve">Auditer les écarts de perception</t>
  </si>
  <si>
    <t xml:space="preserve">Confronter les croyances aux données réelles</t>
  </si>
  <si>
    <t xml:space="preserve">Matrice de conformité processus/règles</t>
  </si>
  <si>
    <t xml:space="preserve">Matrice de conformité inexacte</t>
  </si>
  <si>
    <t xml:space="preserve">Fausse perception de la conformité</t>
  </si>
  <si>
    <t xml:space="preserve">Benchmarker les pratiques avec les standards</t>
  </si>
  <si>
    <t xml:space="preserve">Mettre en place un plan d'alignement progressif</t>
  </si>
  <si>
    <t xml:space="preserve">Révision des règles de contrôle en fonction de l’évolution des risques et des menaces</t>
  </si>
  <si>
    <t xml:space="preserve">Les règles sont-elles révisées régulièrement ?</t>
  </si>
  <si>
    <t xml:space="preserve">Calendrier des révisions des règles</t>
  </si>
  <si>
    <t xml:space="preserve">Révisions des règles retardées</t>
  </si>
  <si>
    <t xml:space="preserve">Pratiques non alignées avec les standards</t>
  </si>
  <si>
    <t xml:space="preserve">Analyser les causes racines des erreurs</t>
  </si>
  <si>
    <t xml:space="preserve">Implémenter des contrôles qualité automatisés</t>
  </si>
  <si>
    <t xml:space="preserve">Registre des versions approuvées</t>
  </si>
  <si>
    <t xml:space="preserve">Versions non approuvées utilisées</t>
  </si>
  <si>
    <t xml:space="preserve">Augmentation des erreurs critiques</t>
  </si>
  <si>
    <t xml:space="preserve">Harmoniser les processus entre services</t>
  </si>
  <si>
    <t xml:space="preserve">Documenter toutes les exceptions</t>
  </si>
  <si>
    <t xml:space="preserve">Communication claire des règles aux parties prenantes pour garantir leur application uniforme</t>
  </si>
  <si>
    <t xml:space="preserve">Les règles sont-elles clairement communiquées ?</t>
  </si>
  <si>
    <t xml:space="preserve">Guide de diffusion des règles (supports/formats)</t>
  </si>
  <si>
    <t xml:space="preserve">Diffusion inégale des règles</t>
  </si>
  <si>
    <t xml:space="preserve">Incohérence dans l'application des processus</t>
  </si>
  <si>
    <t xml:space="preserve">Tester régulièrement les connaissances du personnel</t>
  </si>
  <si>
    <t xml:space="preserve">Digitaliser les formations obligatoires</t>
  </si>
  <si>
    <t xml:space="preserve">Attestations de lecture des règles</t>
  </si>
  <si>
    <t xml:space="preserve">Attestations de lecture non collectées</t>
  </si>
  <si>
    <t xml:space="preserve">Impossibilité de prouver la connaissance des règles par le personnel</t>
  </si>
  <si>
    <t xml:space="preserve">Développer des checklists exhaustives</t>
  </si>
  <si>
    <t xml:space="preserve">Automatiser les rappels pour les points critiques</t>
  </si>
  <si>
    <t xml:space="preserve">Mise en œuvre de mécanismes de contrôle pour vérifier le respect des règles établies</t>
  </si>
  <si>
    <t xml:space="preserve">Le respect des règles est-il vérifié ?</t>
  </si>
  <si>
    <t xml:space="preserve">Checklist de vérification du respect</t>
  </si>
  <si>
    <t xml:space="preserve">Checklist non exhaustive</t>
  </si>
  <si>
    <t xml:space="preserve">Points critiques oubliés lors des vérifications</t>
  </si>
  <si>
    <t xml:space="preserve">Mettre en place un système de gestion des problèmes</t>
  </si>
  <si>
    <t xml:space="preserve">Affecter des responsables de résolution</t>
  </si>
  <si>
    <t xml:space="preserve">Rapport des écarts constatés</t>
  </si>
  <si>
    <t xml:space="preserve">Écarts non rapportés systématiquement</t>
  </si>
  <si>
    <t xml:space="preserve">Adapter le plan d'audit aux risques émergents</t>
  </si>
  <si>
    <t xml:space="preserve">Former les auditeurs aux risques spécifiques</t>
  </si>
  <si>
    <t xml:space="preserve">Audit de conformité pour s’assurer que les règles de contrôle sont bien appliquées et respectées</t>
  </si>
  <si>
    <t xml:space="preserve">Des audits de conformité sont-ils réalisés ?</t>
  </si>
  <si>
    <t xml:space="preserve">Plan d'audit de conformité</t>
  </si>
  <si>
    <t xml:space="preserve">Plan d'audit non aligné aux risques</t>
  </si>
  <si>
    <t xml:space="preserve">Risques importants non couverts par les audits</t>
  </si>
  <si>
    <t xml:space="preserve">Préparer des dossiers d'audit permanents</t>
  </si>
  <si>
    <t xml:space="preserve">Standardiser les preuves de conformité</t>
  </si>
  <si>
    <t xml:space="preserve">Compte-rendu des non-conformités</t>
  </si>
  <si>
    <t xml:space="preserve">Non-conformités mal documentées</t>
  </si>
  <si>
    <t xml:space="preserve">Difficulté à démontrer la conformité aux auditeurs</t>
  </si>
  <si>
    <t xml:space="preserve">Digitaliser le suivi des participants</t>
  </si>
  <si>
    <t xml:space="preserve">Automatiser les invitations et présences</t>
  </si>
  <si>
    <t xml:space="preserve">Vérifier que les responsables des contrôles sont impliqués dans la
 définition et la mise à jour des règles et des registres, afin de
 garantir que celles-ci répondent aux besoins spécifiques des
 systèmes d'information et aux exigences de contrôle</t>
  </si>
  <si>
    <t xml:space="preserve">Participation active des responsables des contrôles à l’élaboration et à la mise à jour des règles de contrôle</t>
  </si>
  <si>
    <t xml:space="preserve">Les responsables participent-ils activement ?</t>
  </si>
  <si>
    <t xml:space="preserve">PV de participation aux revues</t>
  </si>
  <si>
    <t xml:space="preserve">Participation aux revues non tracée</t>
  </si>
  <si>
    <t xml:space="preserve">Impossibilité de suivre les participants aux revues qualité</t>
  </si>
  <si>
    <t xml:space="preserve">Mettre en place des enquêtes de satisfaction</t>
  </si>
  <si>
    <t xml:space="preserve">Développer des programmes de reconnaissance</t>
  </si>
  <si>
    <t xml:space="preserve">Liste des contributions actives</t>
  </si>
  <si>
    <t xml:space="preserve">Contributions non reconnues</t>
  </si>
  <si>
    <t xml:space="preserve">Baisse de motivation des employés</t>
  </si>
  <si>
    <t xml:space="preserve">Standardiser les procédures de réunion</t>
  </si>
  <si>
    <t xml:space="preserve">Imposer des comptes-rendus d'action</t>
  </si>
  <si>
    <t xml:space="preserve">Collaboration avec les équipes techniques pour adapter les règles de contrôle aux besoins spécifiques des systèmes d’information</t>
  </si>
  <si>
    <t xml:space="preserve">La collaboration avec les équipes techniques existe-t-elle ?</t>
  </si>
  <si>
    <t xml:space="preserve">Liste des réunions techniques</t>
  </si>
  <si>
    <t xml:space="preserve">Réunions techniques non productives</t>
  </si>
  <si>
    <t xml:space="preserve">Perte de temps en réunions inefficaces</t>
  </si>
  <si>
    <t xml:space="preserve">Clarifier les décisions par écrit</t>
  </si>
  <si>
    <t xml:space="preserve">Organiser des séances de questions-réponses</t>
  </si>
  <si>
    <t xml:space="preserve">Registre des décisions collaboratives</t>
  </si>
  <si>
    <t xml:space="preserve">Décisions collaboratives non formalisées</t>
  </si>
  <si>
    <t xml:space="preserve">Décisions mal comprises ou contestées</t>
  </si>
  <si>
    <t xml:space="preserve">Implémenter un système de validation électronique</t>
  </si>
  <si>
    <t xml:space="preserve">Configurer des alertes pour les validations manquantes</t>
  </si>
  <si>
    <t xml:space="preserve">Existence d’un processus d’approbation formel pour toute mise à jour des règles par les responsables des contrôles</t>
  </si>
  <si>
    <t xml:space="preserve">Un processus d'approbation formel existe-t-il ?</t>
  </si>
  <si>
    <t xml:space="preserve">Document de registre d’approbation</t>
  </si>
  <si>
    <t xml:space="preserve">registre d'approbation non suivie</t>
  </si>
  <si>
    <t xml:space="preserve">Validations manquantes sur documents importants</t>
  </si>
  <si>
    <t xml:space="preserve">Digitaliser les processus d'approbation</t>
  </si>
  <si>
    <t xml:space="preserve">Lier les approbations aux workflows</t>
  </si>
  <si>
    <t xml:space="preserve">Plan de validation formelle</t>
  </si>
  <si>
    <t xml:space="preserve">Validation formelle absente</t>
  </si>
  <si>
    <t xml:space="preserve">Décisions sans approbation officielle</t>
  </si>
  <si>
    <t xml:space="preserve">Auditer régulièrement la cohérence des processus</t>
  </si>
  <si>
    <t xml:space="preserve">Documenter toutes les dérogations</t>
  </si>
  <si>
    <t xml:space="preserve">Révision périodique des règles par les responsables pour garantir qu’elles sont toujours pertinentes</t>
  </si>
  <si>
    <t xml:space="preserve">Les règles sont-elles révisées périodiquement ?</t>
  </si>
  <si>
    <t xml:space="preserve">Fiche de révision des règles</t>
  </si>
  <si>
    <t xml:space="preserve">Révisions des règles non standardisées</t>
  </si>
  <si>
    <t xml:space="preserve">Incohérences entre les processus</t>
  </si>
  <si>
    <t xml:space="preserve">Mettre en place un système de gestion documentaire</t>
  </si>
  <si>
    <t xml:space="preserve">Automatiser les mises à jour des versions</t>
  </si>
  <si>
    <t xml:space="preserve">Manuel de versionnage</t>
  </si>
  <si>
    <t xml:space="preserve">Versionnage incohérent</t>
  </si>
  <si>
    <t xml:space="preserve">Utilisation de versions obsolètes de documents</t>
  </si>
  <si>
    <t xml:space="preserve">Implémenter des contrôles d'intégrité des données</t>
  </si>
  <si>
    <t xml:space="preserve">Sauvegarder régulièrement la base documentaire</t>
  </si>
  <si>
    <t xml:space="preserve">Mise à jour continue des règles pour répondre aux nouvelles menaces et aux évolutions technologiques</t>
  </si>
  <si>
    <t xml:space="preserve">Les règles sont-elles mises à jour continuellement ?</t>
  </si>
  <si>
    <t xml:space="preserve">Mises à jour non enregistrées</t>
  </si>
  <si>
    <t xml:space="preserve">Base documentaire non fiable</t>
  </si>
  <si>
    <t xml:space="preserve">Auditer l'application des procédures</t>
  </si>
  <si>
    <t xml:space="preserve">Automatiser les rappels procéduraux</t>
  </si>
  <si>
    <t xml:space="preserve">Liste des modifications</t>
  </si>
  <si>
    <t xml:space="preserve">Modifications non communiquées</t>
  </si>
  <si>
    <t xml:space="preserve">Application de procédures périmées</t>
  </si>
  <si>
    <t xml:space="preserve">Déployer des outils de monitoring opérationnel</t>
  </si>
  <si>
    <t xml:space="preserve">Centraliser les indicateurs clés</t>
  </si>
  <si>
    <t xml:space="preserve">Information et Communication</t>
  </si>
  <si>
    <t xml:space="preserve">Utilisation d’informations de qualité</t>
  </si>
  <si>
    <t xml:space="preserve">S’assurer que des mécanismes de suivi sont en place pour garantir
 le respect des règles et registres de contrôle, avec des rapports
 réguliers sur leur mise en œuvre et des audits pour vérifier leur
 efficacité</t>
  </si>
  <si>
    <t xml:space="preserve">Des mécanismes de suivi réguliers sont définis et suivis par un responsable ou un comité dédié</t>
  </si>
  <si>
    <t xml:space="preserve">Des mécanismes de suivi réguliers existent-ils ?</t>
  </si>
  <si>
    <t xml:space="preserve">Plan de suivi opérationnel</t>
  </si>
  <si>
    <t xml:space="preserve">Suivi opérationnel défaillant</t>
  </si>
  <si>
    <t xml:space="preserve">Perte de visibilité sur les opérations</t>
  </si>
  <si>
    <t xml:space="preserve">Imposer l'analyse des KPI avant décision</t>
  </si>
  <si>
    <t xml:space="preserve">Former les décideurs à l'utilisation des indicateurs</t>
  </si>
  <si>
    <t xml:space="preserve">Rapport des indicateurs clés</t>
  </si>
  <si>
    <t xml:space="preserve">Indicateurs clés non analysés</t>
  </si>
  <si>
    <t xml:space="preserve">Décisions sans analyse des indicateurs clés</t>
  </si>
  <si>
    <t xml:space="preserve">Automatiser la collecte des données décisionnelles</t>
  </si>
  <si>
    <t xml:space="preserve">Développer des tableaux de bord stratégiques</t>
  </si>
  <si>
    <t xml:space="preserve">Des rapports de suivi sont générés périodiquement et examinés par la direction pour évaluer l’efficacité des contrôles</t>
  </si>
  <si>
    <t xml:space="preserve">Des rapports de suivi sont-ils examinés ?</t>
  </si>
  <si>
    <t xml:space="preserve">Document d’examen des rapports</t>
  </si>
  <si>
    <t xml:space="preserve">Examen superficiel des rapports</t>
  </si>
  <si>
    <t xml:space="preserve">Problèmes détectés trop tard</t>
  </si>
  <si>
    <t xml:space="preserve">Implémenter des systèmes de détection précoce avec alertes automatiques</t>
  </si>
  <si>
    <t xml:space="preserve">Configurer des seuils d'alerte adaptatifs pour les indicateurs clés</t>
  </si>
  <si>
    <t xml:space="preserve">Charte d’analyse des données</t>
  </si>
  <si>
    <t xml:space="preserve">Analyse des données non standardisée</t>
  </si>
  <si>
    <t xml:space="preserve">Données non comparables entre périodes</t>
  </si>
  <si>
    <t xml:space="preserve">Standardiser les formats et méthodes de collecte de données</t>
  </si>
  <si>
    <t xml:space="preserve">Créer des référentiels de données historiques normalisés</t>
  </si>
  <si>
    <t xml:space="preserve">Des audits internes sont réalisés à intervalles réguliers pour évaluer la conformité des registres de contrôle</t>
  </si>
  <si>
    <t xml:space="preserve">Des audits internes sont-ils réalisés ?</t>
  </si>
  <si>
    <t xml:space="preserve">Liste des audits internes</t>
  </si>
  <si>
    <t xml:space="preserve">Omission des audits critiques</t>
  </si>
  <si>
    <t xml:space="preserve">Failles majeures non identifiées</t>
  </si>
  <si>
    <t xml:space="preserve">Réaliser des audits de sécurité approfondis trimestriels</t>
  </si>
  <si>
    <t xml:space="preserve">Registre des conclusions d’audit</t>
  </si>
  <si>
    <t xml:space="preserve">Absence de conclusions formalisées</t>
  </si>
  <si>
    <t xml:space="preserve">Absence de plans d'action clairs</t>
  </si>
  <si>
    <t xml:space="preserve">Développer des plans d'action SMART (Spécifiques, Mesurables, Atteignables, Réalistes, Temporels)</t>
  </si>
  <si>
    <t xml:space="preserve">Affecter des responsables clairement identifiés pour chaque action</t>
  </si>
  <si>
    <t xml:space="preserve">Les résultats des audits sont documentés et communiqués aux parties prenantes concernées</t>
  </si>
  <si>
    <t xml:space="preserve">Les résultats des audits sont-ils communiqués ?</t>
  </si>
  <si>
    <t xml:space="preserve">Plan de communication des résultats</t>
  </si>
  <si>
    <t xml:space="preserve">Communication partielle des résultats</t>
  </si>
  <si>
    <t xml:space="preserve">Décisions basées sur des informations incomplètes</t>
  </si>
  <si>
    <t xml:space="preserve">Imposer la validation croisée des informations avant décision</t>
  </si>
  <si>
    <t xml:space="preserve">Diversifier les sources d'information stratégiques</t>
  </si>
  <si>
    <t xml:space="preserve">Fiche de diffusion managériale</t>
  </si>
  <si>
    <t xml:space="preserve">Transmission managériale défaillante</t>
  </si>
  <si>
    <t xml:space="preserve">Mauvaise transmission des consignes</t>
  </si>
  <si>
    <t xml:space="preserve">Standardiser les canaux et supports de transmission</t>
  </si>
  <si>
    <t xml:space="preserve">Vérifier systématiquement la compréhension des consignes</t>
  </si>
  <si>
    <t xml:space="preserve">Des actions sont prises pour résoudre les problèmes identifiés lors des audits, avec des échéances claires pour la mise en œuvre des corrections</t>
  </si>
  <si>
    <t xml:space="preserve">Des actions sont-elles prises avec échéances claires ?</t>
  </si>
  <si>
    <t xml:space="preserve">Manuel de gestion des actions</t>
  </si>
  <si>
    <t xml:space="preserve">registres d'action floues</t>
  </si>
  <si>
    <t xml:space="preserve">Responsabilités mal définies</t>
  </si>
  <si>
    <t xml:space="preserve">Élaborer des fiches de poste détaillées</t>
  </si>
  <si>
    <t xml:space="preserve">Publier un organigramme des responsabilités actualisé</t>
  </si>
  <si>
    <t xml:space="preserve">Inventaire des échéances</t>
  </si>
  <si>
    <t xml:space="preserve">Non-respect des échéances</t>
  </si>
  <si>
    <t xml:space="preserve">Retards chroniques dans les projets</t>
  </si>
  <si>
    <t xml:space="preserve">Mettre en place un système de suivi de projet avec alertes</t>
  </si>
  <si>
    <t xml:space="preserve">Définir des jalons intermédiaires contraignants</t>
  </si>
  <si>
    <t xml:space="preserve">Vérifier que des actions correctives sont prises lorsque des écarts
 sont identifiés dans l’application des règles et registres de
 contrôle, avec des processus de mise à jour ou de renforcement des
 contrôles si nécessaire</t>
  </si>
  <si>
    <t xml:space="preserve">Un processus documenté est en place pour identifier, analyser et corriger les écarts dans les registres de contrôle</t>
  </si>
  <si>
    <t xml:space="preserve">Un processus documenté de correction existe-t-il ?</t>
  </si>
  <si>
    <t xml:space="preserve">Document de registre corrective</t>
  </si>
  <si>
    <t xml:space="preserve">Méthodes correctives inopérantes</t>
  </si>
  <si>
    <t xml:space="preserve">Solutions inefficaces réappliquées</t>
  </si>
  <si>
    <t xml:space="preserve">Analyser systématiquement les causes d'échec</t>
  </si>
  <si>
    <t xml:space="preserve">Implémenter un référentiel de solutions validées</t>
  </si>
  <si>
    <t xml:space="preserve">Charte de traitement des écarts</t>
  </si>
  <si>
    <t xml:space="preserve">Tolérance excessive aux écarts</t>
  </si>
  <si>
    <t xml:space="preserve">Acceptation d'écarts inacceptables</t>
  </si>
  <si>
    <t xml:space="preserve">Établir des tolérances qualité clairement définies</t>
  </si>
  <si>
    <t xml:space="preserve">Automatiser le signalement des écarts</t>
  </si>
  <si>
    <t xml:space="preserve">Des actions correctives sont systématiquement définies pour chaque écart observé, avec des délais précis pour leur mise en œuvre</t>
  </si>
  <si>
    <t xml:space="preserve">Des actions correctives sont-elles définies ?</t>
  </si>
  <si>
    <t xml:space="preserve">Liste des actions CAPA</t>
  </si>
  <si>
    <t xml:space="preserve">Négligence des actions préventives</t>
  </si>
  <si>
    <t xml:space="preserve">Incidents qui auraient pu être évités</t>
  </si>
  <si>
    <t xml:space="preserve">Développer des scénarios préventifs pour risques connus</t>
  </si>
  <si>
    <t xml:space="preserve">Organiser des simulations régulières</t>
  </si>
  <si>
    <t xml:space="preserve">Rapport efficacité</t>
  </si>
  <si>
    <t xml:space="preserve">Défaut de suivi post-correction</t>
  </si>
  <si>
    <t xml:space="preserve">Efficacité des corrections non vérifiée</t>
  </si>
  <si>
    <t xml:space="preserve">Imposer des contrôles post-correction systématiques</t>
  </si>
  <si>
    <t xml:space="preserve">Mesurer l'efficacité via des indicateurs dédiés</t>
  </si>
  <si>
    <t xml:space="preserve">Les actions correctives sont suivies et évaluées pour vérifier leur efficacité</t>
  </si>
  <si>
    <t xml:space="preserve">L'efficacité des corrections est-elles évaluée ?</t>
  </si>
  <si>
    <t xml:space="preserve">Plan de révision des contrôles</t>
  </si>
  <si>
    <t xml:space="preserve">Contrôles non actualisés</t>
  </si>
  <si>
    <t xml:space="preserve">Détection trop tardive des anomalies</t>
  </si>
  <si>
    <t xml:space="preserve">Automatiser la documentation des corrections</t>
  </si>
  <si>
    <t xml:space="preserve">Créer une base de connaissances des résolutions</t>
  </si>
  <si>
    <t xml:space="preserve">Registre des ajustements</t>
  </si>
  <si>
    <t xml:space="preserve">Ajustements mal documentés</t>
  </si>
  <si>
    <t xml:space="preserve">Impossibilité de reproduire les corrections</t>
  </si>
  <si>
    <t xml:space="preserve">Former aux techniques de prise de décision</t>
  </si>
  <si>
    <t xml:space="preserve">Implémenter des outils d'aide à la décision</t>
  </si>
  <si>
    <t xml:space="preserve">Des processus de révision des contrôles sont activés pour s’assurer que les ajustements sont apportés en fonction des écarts identifiés</t>
  </si>
  <si>
    <t xml:space="preserve">Les contrôles sont-ils révisés après écarts ?</t>
  </si>
  <si>
    <t xml:space="preserve">Fiche de reporting directionnel</t>
  </si>
  <si>
    <t xml:space="preserve">Reporting directionnel incomplet</t>
  </si>
  <si>
    <t xml:space="preserve">Prises de décision inadaptées</t>
  </si>
  <si>
    <t xml:space="preserve">Utiliser des méthodes de planification éprouvées (GANTT, PERT)</t>
  </si>
  <si>
    <t xml:space="preserve">Allouer des marges de sécurité réalistes</t>
  </si>
  <si>
    <t xml:space="preserve">Manuel d’information stratégique</t>
  </si>
  <si>
    <t xml:space="preserve">Données stratégiques inexactes</t>
  </si>
  <si>
    <t xml:space="preserve">Planification inefficace des actions</t>
  </si>
  <si>
    <t xml:space="preserve">Certifier les compétences via des tests pratiques</t>
  </si>
  <si>
    <t xml:space="preserve">Maintenir un registre des compétences à jour</t>
  </si>
  <si>
    <t xml:space="preserve">La direction est informée des actions correctives prises et de leur impact sur l’efficacité des contrôles</t>
  </si>
  <si>
    <t xml:space="preserve">La direction est-elle informée des impacts ?</t>
  </si>
  <si>
    <t xml:space="preserve">Registre des formations</t>
  </si>
  <si>
    <t xml:space="preserve">Enregistrement des formations absent</t>
  </si>
  <si>
    <t xml:space="preserve">Incapacité à prouver les compétences</t>
  </si>
  <si>
    <t xml:space="preserve">Réaliser des audits de compétences annuels</t>
  </si>
  <si>
    <t xml:space="preserve">Adapter les plans de formation aux besoins réels</t>
  </si>
  <si>
    <t xml:space="preserve">Développement des compétences incohérent</t>
  </si>
  <si>
    <t xml:space="preserve">Inadéquation entre compétences et besoins</t>
  </si>
  <si>
    <t xml:space="preserve">Mettre à jour le référentiel de compétences</t>
  </si>
  <si>
    <t xml:space="preserve">Organiser des sessions de mise à niveau trimestrielles</t>
  </si>
  <si>
    <t xml:space="preserve">S’assurer que des formations régulières sont proposées aux
 collaborateurs pour garantir leur compréhension et leur capacité à
 mettre en œuvre correctement les règles et registres de contrôle</t>
  </si>
  <si>
    <t xml:space="preserve">Des programmes de formation sont définis pour assurer la compétence des collaborateurs en matière de contrôle interne</t>
  </si>
  <si>
    <t xml:space="preserve">Des programmes de formation existent-ils ?</t>
  </si>
  <si>
    <t xml:space="preserve">Charte de périodicité des formations</t>
  </si>
  <si>
    <t xml:space="preserve">Périodicité des formations non respectée</t>
  </si>
  <si>
    <t xml:space="preserve">Savoir-faire devenus obsolètes</t>
  </si>
  <si>
    <t xml:space="preserve">Évaluer l'acquisition des connaissances</t>
  </si>
  <si>
    <t xml:space="preserve">Diversifier les méthodes pédagogiques</t>
  </si>
  <si>
    <t xml:space="preserve">inventaire des contenus pédagogiques</t>
  </si>
  <si>
    <t xml:space="preserve">Supports pédagogiques dépassés</t>
  </si>
  <si>
    <t xml:space="preserve">Mauvaise assimilation des connaissances</t>
  </si>
  <si>
    <t xml:space="preserve">Benchmarker régulièrement les standards qualité</t>
  </si>
  <si>
    <t xml:space="preserve">Automatiser les contrôles qualité critiques</t>
  </si>
  <si>
    <t xml:space="preserve">La fréquence des formations est définie et suivie, avec une mise à jour des contenus pour refléter les évolutions des règles et registres</t>
  </si>
  <si>
    <t xml:space="preserve">La périodicité des formations est-elle clairement établie et respectée, avec adaptation des contenus ?</t>
  </si>
  <si>
    <t xml:space="preserve">Document de politique qualité</t>
  </si>
  <si>
    <t xml:space="preserve">Politique qualité obsolète</t>
  </si>
  <si>
    <t xml:space="preserve">Non-conformité aux standards qualité</t>
  </si>
  <si>
    <t xml:space="preserve">Réaliser des cartographies des processus</t>
  </si>
  <si>
    <t xml:space="preserve">Mesurer l'efficience de chaque processus</t>
  </si>
  <si>
    <t xml:space="preserve">Liste des référentiels métiers</t>
  </si>
  <si>
    <t xml:space="preserve">Référentiels métiers périmés</t>
  </si>
  <si>
    <t xml:space="preserve">Processus inefficaces et contre-productifs</t>
  </si>
  <si>
    <t xml:space="preserve">Évaluer l'impact des formations via des KPI</t>
  </si>
  <si>
    <t xml:space="preserve">Recueillir des feedbacks terrain post-formation</t>
  </si>
  <si>
    <t xml:space="preserve">Un système d’évaluation est mis en place pour mesurer l’efficacité des formations et l’acquisition des compétences</t>
  </si>
  <si>
    <t xml:space="preserve">Existe-t-il une méthode pour évaluer l'impact des formations sur les compétences ?</t>
  </si>
  <si>
    <t xml:space="preserve">Liste évaluations post-formation</t>
  </si>
  <si>
    <t xml:space="preserve">Évaluation post-formation absente</t>
  </si>
  <si>
    <t xml:space="preserve">Impact des formations non évalué</t>
  </si>
  <si>
    <t xml:space="preserve">Développer des tableaux de bord ROI formation</t>
  </si>
  <si>
    <t xml:space="preserve">Lier les formations aux objectifs métiers</t>
  </si>
  <si>
    <t xml:space="preserve">Rapport impact compétences</t>
  </si>
  <si>
    <t xml:space="preserve">Impact des compétences non quantifié</t>
  </si>
  <si>
    <t xml:space="preserve">Retour sur investissement inconnu</t>
  </si>
  <si>
    <t xml:space="preserve">Standardiser les supports de formation</t>
  </si>
  <si>
    <t xml:space="preserve">Valider le contenu par des experts métiers</t>
  </si>
  <si>
    <t xml:space="preserve">Les responsables de formation sont qualifiés et bien informés des changements dans les règles et registres</t>
  </si>
  <si>
    <t xml:space="preserve">Les formateurs possèdent-ils les qualifications nécessaires et sont-ils tenus informés ?</t>
  </si>
  <si>
    <t xml:space="preserve">Registre qualifications formateurs</t>
  </si>
  <si>
    <t xml:space="preserve">Formateurs non qualifiés</t>
  </si>
  <si>
    <t xml:space="preserve">Transmission erronée des connaissances</t>
  </si>
  <si>
    <t xml:space="preserve">Mettre à jour annuellement les programmes</t>
  </si>
  <si>
    <t xml:space="preserve">Créer des parcours de développement individualisés</t>
  </si>
  <si>
    <t xml:space="preserve">Document mises à jour pédagogiques</t>
  </si>
  <si>
    <t xml:space="preserve">Contenus de formation non révisés</t>
  </si>
  <si>
    <t xml:space="preserve">Enseignement d'informations dépassées</t>
  </si>
  <si>
    <t xml:space="preserve">Implémenter des programmes d'inclusion</t>
  </si>
  <si>
    <t xml:space="preserve">Diversifier les canaux de communication interne</t>
  </si>
  <si>
    <t xml:space="preserve">Les formations sont accessibles à tous les collaborateurs concernés et sont adaptées à leurs fonctions</t>
  </si>
  <si>
    <t xml:space="preserve">L'accès aux formations est-il universel et personnalisé selon les postes ?</t>
  </si>
  <si>
    <t xml:space="preserve">Plan parcours formation</t>
  </si>
  <si>
    <t xml:space="preserve">Parcours de formation inapproprié</t>
  </si>
  <si>
    <t xml:space="preserve">Évolution professionnelle entravée</t>
  </si>
  <si>
    <t xml:space="preserve">Tester rigoureusement les solutions avant déploiement</t>
  </si>
  <si>
    <t xml:space="preserve">Mettre en place des environnements de test réalistes</t>
  </si>
  <si>
    <t xml:space="preserve">Fiche accessibilité personnalisée</t>
  </si>
  <si>
    <t xml:space="preserve">Accessibilité non adaptée aux besoins</t>
  </si>
  <si>
    <t xml:space="preserve">Exclusion de certains collaborateurs</t>
  </si>
  <si>
    <t xml:space="preserve">Automatiser les contrôles qualité intermédiaires</t>
  </si>
  <si>
    <t xml:space="preserve">Implémenter des systèmes de double vérification</t>
  </si>
  <si>
    <t xml:space="preserve">S’assurer que des mécanismes sont en place pour collecter des
 informations fiables et pertinentes sur les activités de l’organisation,
 en particulier celles liées au contrôle interne</t>
  </si>
  <si>
    <t xml:space="preserve">Des systèmes d’information appropriés sont utilisés pour collecter et centraliser les données relatives au contrôle interne</t>
  </si>
  <si>
    <t xml:space="preserve">Des solutions informatiques permettent-elles de regrouper les données de contrôle ?</t>
  </si>
  <si>
    <t xml:space="preserve">Pièce solution informatique</t>
  </si>
  <si>
    <t xml:space="preserve">Solution technique inadaptée au problème</t>
  </si>
  <si>
    <t xml:space="preserve">Échec des solutions techniques</t>
  </si>
  <si>
    <t xml:space="preserve">Renforcer les contrôles finaux produits</t>
  </si>
  <si>
    <t xml:space="preserve">Analyser systématiquement les retours clients</t>
  </si>
  <si>
    <t xml:space="preserve">Calendrier contrôles données</t>
  </si>
  <si>
    <t xml:space="preserve">Contrôles des données irréguliers</t>
  </si>
  <si>
    <t xml:space="preserve">Erreurs passant inaperçues</t>
  </si>
  <si>
    <t xml:space="preserve">Mettre en place des sauvegardes automatiques</t>
  </si>
  <si>
    <t xml:space="preserve">Standardiser les formats de données critiques</t>
  </si>
  <si>
    <t xml:space="preserve">Des contrôles sont en place pour vérifier la fiabilité des données collectées</t>
  </si>
  <si>
    <t xml:space="preserve">La qualité des données recueillies fait-elle l'objet de vérifications ?</t>
  </si>
  <si>
    <t xml:space="preserve">Liste vérifications qualité</t>
  </si>
  <si>
    <t xml:space="preserve">Vérifications qualité incomplètes</t>
  </si>
  <si>
    <t xml:space="preserve">Défauts atteignant les clients</t>
  </si>
  <si>
    <t xml:space="preserve">Automatiser la collecte des preuves</t>
  </si>
  <si>
    <t xml:space="preserve">Rapport anomalies détectées</t>
  </si>
  <si>
    <t xml:space="preserve">Anomalies non corrigées systématiquement</t>
  </si>
  <si>
    <t xml:space="preserve">Aggravation des dysfonctionnements</t>
  </si>
  <si>
    <t xml:space="preserve">Élaborer des plans de continuité d'activité</t>
  </si>
  <si>
    <t xml:space="preserve">Identifier des solutions de secours pré-approuvées</t>
  </si>
  <si>
    <t xml:space="preserve">Les processus de collecte sont systématiques, transparents et bien documentés</t>
  </si>
  <si>
    <t xml:space="preserve">La collecte d'informations suit-elle une registre claire et traçable ?</t>
  </si>
  <si>
    <t xml:space="preserve">Registre registres collecte</t>
  </si>
  <si>
    <t xml:space="preserve">registres de collecte non suivies</t>
  </si>
  <si>
    <t xml:space="preserve">Données perdues ou incomplètes</t>
  </si>
  <si>
    <t xml:space="preserve">Optimiser les circuits décisionnels</t>
  </si>
  <si>
    <t xml:space="preserve">Limiter le nombre d'approbations nécessaires</t>
  </si>
  <si>
    <t xml:space="preserve">Document traçabilité données</t>
  </si>
  <si>
    <t xml:space="preserve">Traçabilité des données insuffisante</t>
  </si>
  <si>
    <t xml:space="preserve">Audits impossibles à réaliser</t>
  </si>
  <si>
    <t xml:space="preserve">Standardiser les modèles d'analyse</t>
  </si>
  <si>
    <t xml:space="preserve">Former aux biais cognitifs dans l'analyse</t>
  </si>
  <si>
    <t xml:space="preserve">Les informations collectées sont accessibles en temps réel et sont utilisées pour améliorer les processus internes</t>
  </si>
  <si>
    <t xml:space="preserve">Les données sont-elles disponibles immédiatement pour optimiser les processus ?</t>
  </si>
  <si>
    <t xml:space="preserve">Plan accès immédiat</t>
  </si>
  <si>
    <t xml:space="preserve">Accès urgent impossible</t>
  </si>
  <si>
    <t xml:space="preserve">Blocage des opérations urgentes</t>
  </si>
  <si>
    <t xml:space="preserve">Cartographier les processus critiques</t>
  </si>
  <si>
    <t xml:space="preserve">Mettre en place des indicateurs de surveillance</t>
  </si>
  <si>
    <t xml:space="preserve">Fiche disponibilité données</t>
  </si>
  <si>
    <t xml:space="preserve">Disponibilité des données aléatoire</t>
  </si>
  <si>
    <t xml:space="preserve">Retard dans les prises de décision</t>
  </si>
  <si>
    <t xml:space="preserve">Implémenter des systèmes de détection d'erreurs</t>
  </si>
  <si>
    <t xml:space="preserve">Automatiser la documentation des anomalies</t>
  </si>
  <si>
    <t xml:space="preserve">Des critères de pertinence sont définis pour assurer que les informations collectées répondent aux besoins des parties prenantes</t>
  </si>
  <si>
    <t xml:space="preserve">Des filtres garantissent-ils l'adéquation des informations aux attentes ?</t>
  </si>
  <si>
    <t xml:space="preserve">Pièce paramètres filtres</t>
  </si>
  <si>
    <t xml:space="preserve">Paramétrage des filtres erroné</t>
  </si>
  <si>
    <t xml:space="preserve">Analyses et rapports biaisés</t>
  </si>
  <si>
    <t xml:space="preserve">Sauvegarder l'historique des actions correctives</t>
  </si>
  <si>
    <t xml:space="preserve">Créer une base de connaissances des problèmes résolus</t>
  </si>
  <si>
    <t xml:space="preserve">Calendrier ajustements filtres</t>
  </si>
  <si>
    <t xml:space="preserve">Ajustements non planifiés</t>
  </si>
  <si>
    <t xml:space="preserve">Perturbation des processus clés</t>
  </si>
  <si>
    <t xml:space="preserve">Vérifier systématiquement la qualité des données</t>
  </si>
  <si>
    <t xml:space="preserve">Implémenter des contrôles d'intégrité</t>
  </si>
  <si>
    <t xml:space="preserve">Vérifier que les informations générées sont complètes, précises et à
 jour, de manière à refléter fidèlement la situation de l’organisation et
 ses performances en matière de contrôle interne</t>
  </si>
  <si>
    <t xml:space="preserve">Un processus de validation est mis en place pour vérifier l’exactitude des informations générées avant leur diffusion</t>
  </si>
  <si>
    <t xml:space="preserve">Une validation systématique assure-t-elle la justesse des données diffusées ?</t>
  </si>
  <si>
    <t xml:space="preserve">Liste validations systématiques</t>
  </si>
  <si>
    <t xml:space="preserve">Validations automatisées absentes</t>
  </si>
  <si>
    <t xml:space="preserve">Erreurs non détectées s'accumulent</t>
  </si>
  <si>
    <t xml:space="preserve">Standardiser les méthodes d'analyse</t>
  </si>
  <si>
    <t xml:space="preserve">Former aux techniques d'analyse avancées</t>
  </si>
  <si>
    <t xml:space="preserve">Rapport erreurs corrigées</t>
  </si>
  <si>
    <t xml:space="preserve">Corrections d'erreurs non documentées</t>
  </si>
  <si>
    <t xml:space="preserve">Historique des corrections perdu</t>
  </si>
  <si>
    <t xml:space="preserve">Analyser les causes profondes des récidives</t>
  </si>
  <si>
    <t xml:space="preserve">Implémenter des solutions définitives</t>
  </si>
  <si>
    <t xml:space="preserve">Des rapports de gestion des risques et de contrôle interne sont générés avec des données complètes et à jour</t>
  </si>
  <si>
    <t xml:space="preserve">Les rapports s'appuient-ils sur des informations exhaustives et actuelles ?</t>
  </si>
  <si>
    <t xml:space="preserve">Registre sources données</t>
  </si>
  <si>
    <t xml:space="preserve">Sources de données non certifiées</t>
  </si>
  <si>
    <t xml:space="preserve">Décisions basées sur données non fiables</t>
  </si>
  <si>
    <t xml:space="preserve">Automatiser le nettoyage des données</t>
  </si>
  <si>
    <t xml:space="preserve">Mettre en place des contrôles de cohérence</t>
  </si>
  <si>
    <t xml:space="preserve">Document exhaustivité rapports</t>
  </si>
  <si>
    <t xml:space="preserve">Informations manquantes dans les rapports</t>
  </si>
  <si>
    <t xml:space="preserve">Analyses incomplètes et biaisées</t>
  </si>
  <si>
    <t xml:space="preserve">Clarifier les procédures opérationnelles</t>
  </si>
  <si>
    <t xml:space="preserve">Organiser des ateliers de clarification</t>
  </si>
  <si>
    <t xml:space="preserve">Des mécanismes de révision des informations sont établis pour corriger les erreurs et assurer leur conformité avec la réalité de l’organisation</t>
  </si>
  <si>
    <t xml:space="preserve">Des registres rectificatives maintiennent-elles la conformité des données ?</t>
  </si>
  <si>
    <t xml:space="preserve">Plan registres rectificatives</t>
  </si>
  <si>
    <t xml:space="preserve">registres de correction inefficaces</t>
  </si>
  <si>
    <t xml:space="preserve">Automatiser les mises à jour d'information</t>
  </si>
  <si>
    <t xml:space="preserve">Mettre en place des alertes sur documents obsolètes</t>
  </si>
  <si>
    <t xml:space="preserve">Fiche conformité données</t>
  </si>
  <si>
    <t xml:space="preserve">Non-conformité des données persistante</t>
  </si>
  <si>
    <t xml:space="preserve">Qualité des données constamment dégradée</t>
  </si>
  <si>
    <t xml:space="preserve">Réviser l'efficacité des contrôles existants</t>
  </si>
  <si>
    <t xml:space="preserve">Optimiser le rapport coût/efficacité des contrôles</t>
  </si>
  <si>
    <t xml:space="preserve">Les responsables des informations sont définis et responsables de la mise à jour régulière de ces données</t>
  </si>
  <si>
    <t xml:space="preserve">Chaque jeu de données a-t-il un gestionnaire attitré pour les mises à jour ?</t>
  </si>
  <si>
    <t xml:space="preserve">Pièce responsables données</t>
  </si>
  <si>
    <t xml:space="preserve">Confusion dans l'exécution des tâches</t>
  </si>
  <si>
    <t xml:space="preserve">Standardiser les formats de données</t>
  </si>
  <si>
    <t xml:space="preserve">Implémenter des outils d'ETL (Extract, Transform, Load)</t>
  </si>
  <si>
    <t xml:space="preserve">Calendrier mises à jour</t>
  </si>
  <si>
    <t xml:space="preserve">Mises à jour retardées</t>
  </si>
  <si>
    <t xml:space="preserve">Utilisation d'informations obsolètes</t>
  </si>
  <si>
    <t xml:space="preserve">Renforcer les contrôles d'accès aux données</t>
  </si>
  <si>
    <t xml:space="preserve">Des outils de contrôle de la qualité des informations sont utilisés pour garantir leur fiabilité</t>
  </si>
  <si>
    <t xml:space="preserve">La fiabilité des informations est-elle contrôlée par des outils dédiés ?</t>
  </si>
  <si>
    <t xml:space="preserve">Liste outils contrôle</t>
  </si>
  <si>
    <t xml:space="preserve">Outils de contrôle inadéquats</t>
  </si>
  <si>
    <t xml:space="preserve">Contrôles inefficaces et coûteux</t>
  </si>
  <si>
    <t xml:space="preserve">Mettre en place un plan de maintenance préventive</t>
  </si>
  <si>
    <t xml:space="preserve">Former le personnel aux bonnes pratiques techniques</t>
  </si>
  <si>
    <t xml:space="preserve">Rapport fiabilité données</t>
  </si>
  <si>
    <t xml:space="preserve">Données peu fiables</t>
  </si>
  <si>
    <t xml:space="preserve">Données inexploitables</t>
  </si>
  <si>
    <t xml:space="preserve">Automatiser la détection des anomalies techniques</t>
  </si>
  <si>
    <t xml:space="preserve">Maintenir un stock de pièces critiques</t>
  </si>
  <si>
    <t xml:space="preserve">S’assurer que les informations nécessaires au bon fonctionnement
 des autres composantes du contrôle interne sont accessibles en
 temps utile et sous un format compréhensible pour les
 responsables concernés</t>
  </si>
  <si>
    <t xml:space="preserve">Les informations pertinentes sont accessibles à tous les responsables concernés à travers des plateformes sécurisées et bien structurées</t>
  </si>
  <si>
    <t xml:space="preserve">Les données clés sont-elles consultables via des interfaces sécurisées ?</t>
  </si>
  <si>
    <t xml:space="preserve">Registre accès sécurisés</t>
  </si>
  <si>
    <t xml:space="preserve">Accès non sécurisés</t>
  </si>
  <si>
    <t xml:space="preserve">Fuites de données sensibles</t>
  </si>
  <si>
    <t xml:space="preserve">Documenter toutes les pannes et solutions</t>
  </si>
  <si>
    <t xml:space="preserve">Analyser les tendances des pannes récurrentes</t>
  </si>
  <si>
    <t xml:space="preserve">Document interfaces données</t>
  </si>
  <si>
    <t xml:space="preserve">Interfaces techniques défectueuses</t>
  </si>
  <si>
    <t xml:space="preserve">Pannes techniques répétées</t>
  </si>
  <si>
    <t xml:space="preserve">Former les équipes aux gestes techniques de base</t>
  </si>
  <si>
    <t xml:space="preserve">Mettre en place un système de mentorat technique</t>
  </si>
  <si>
    <t xml:space="preserve">Des formats standardisés sont utilisés pour la présentation des informations, afin de garantir leur compréhension rapide et efficace</t>
  </si>
  <si>
    <t xml:space="preserve">L'uniformisation des présentations facilite-t-elle leur interprétation ?</t>
  </si>
  <si>
    <t xml:space="preserve">Plan standardisation présentations</t>
  </si>
  <si>
    <t xml:space="preserve">Présentations non standardisées</t>
  </si>
  <si>
    <t xml:space="preserve">Incohérence dans les rapports</t>
  </si>
  <si>
    <t xml:space="preserve">Standardiser les modèles et formats de reporting</t>
  </si>
  <si>
    <t xml:space="preserve">Mettre en place des contrôles qualité automatisés pour les rapports</t>
  </si>
  <si>
    <t xml:space="preserve">Fiche modèles rapports</t>
  </si>
  <si>
    <t xml:space="preserve">Modèles de rapports obsolètes</t>
  </si>
  <si>
    <t xml:space="preserve">Rapports inadaptés aux besoins</t>
  </si>
  <si>
    <t xml:space="preserve">Implémenter un processus de collecte des besoins utilisateurs</t>
  </si>
  <si>
    <t xml:space="preserve">Former les rédacteurs à l'analyse des besoins métiers</t>
  </si>
  <si>
    <t xml:space="preserve">Des mécanismes de partage d’information sont en place pour faciliter l’accès en temps réel aux données nécessaires</t>
  </si>
  <si>
    <t xml:space="preserve">Le partage d'information permet-il un accès immédiat aux données utiles ?</t>
  </si>
  <si>
    <t xml:space="preserve">Pièce partage information</t>
  </si>
  <si>
    <t xml:space="preserve">Partage d'informations restreint</t>
  </si>
  <si>
    <t xml:space="preserve">Collaboration entravée entre services</t>
  </si>
  <si>
    <t xml:space="preserve">Créer des comités transversaux réguliers</t>
  </si>
  <si>
    <t xml:space="preserve">Développer une plateforme collaborative centralisée</t>
  </si>
  <si>
    <t xml:space="preserve">Calendrier accès données</t>
  </si>
  <si>
    <t xml:space="preserve">Accès aux données irrégulier</t>
  </si>
  <si>
    <t xml:space="preserve">Accès désorganisés aux informations</t>
  </si>
  <si>
    <t xml:space="preserve">Structurer un référentiel documentaire unique</t>
  </si>
  <si>
    <t xml:space="preserve">Mettre en place une politique de gestion des connaissances</t>
  </si>
  <si>
    <t xml:space="preserve">Les responsables du contrôle interne ont un accès direct aux informations critiques pour leur prise de décision</t>
  </si>
  <si>
    <t xml:space="preserve">Les décideurs bénéficient-ils d'un accès prioritaire aux informations sensibles ?</t>
  </si>
  <si>
    <t xml:space="preserve">Liste accès prioritaires</t>
  </si>
  <si>
    <t xml:space="preserve">Les accès prioritaires ne sont pas correctement gérés, exposant le système à des intrusions</t>
  </si>
  <si>
    <t xml:space="preserve">Vulnérabilité aux cyberattaques</t>
  </si>
  <si>
    <t xml:space="preserve">Réaliser des tests d'intrusion réguliers</t>
  </si>
  <si>
    <t xml:space="preserve">Former tous les employés aux bonnes pratiques cybersécurité</t>
  </si>
  <si>
    <t xml:space="preserve">Rapport données sensibles</t>
  </si>
  <si>
    <t xml:space="preserve">Le rapport des données sensibles présente des failles de confidentialité</t>
  </si>
  <si>
    <t xml:space="preserve">Implémenter des solutions de chiffrement des données</t>
  </si>
  <si>
    <t xml:space="preserve">Restreindre l'accès selon le principe du besoin de connaître</t>
  </si>
  <si>
    <t xml:space="preserve">Des notifications et alertes sont envoyées en cas de mise à jour ou de nouvelles informations pertinentes à prendre en compte</t>
  </si>
  <si>
    <t xml:space="preserve">Un système d'alerte signale-t-il les actualisations importantes ?</t>
  </si>
  <si>
    <t xml:space="preserve">Registre alertes système</t>
  </si>
  <si>
    <t xml:space="preserve">Les alertes système ne sont pas traitées dans les délais requis</t>
  </si>
  <si>
    <t xml:space="preserve">Retards dans le traitement des alertes</t>
  </si>
  <si>
    <t xml:space="preserve">Automatiser le traitement des alertes</t>
  </si>
  <si>
    <t xml:space="preserve">Définir des SLA stricts pour la réponse aux incidents</t>
  </si>
  <si>
    <t xml:space="preserve">Document notifications importantes</t>
  </si>
  <si>
    <t xml:space="preserve">Les notifications importantes ne parviennent pas aux destinataires concernés</t>
  </si>
  <si>
    <t xml:space="preserve">Communication interne défaillante</t>
  </si>
  <si>
    <t xml:space="preserve">Centraliser les canaux de communication</t>
  </si>
  <si>
    <t xml:space="preserve">Organiser des points d'échange inter-services hebdomadaires</t>
  </si>
  <si>
    <t xml:space="preserve">Communication interne</t>
  </si>
  <si>
    <t xml:space="preserve">Vérifier que des processus formels de validation des informations
 sont mis en place pour garantir leur exactitude, leur fiabilité et leur
 cohérence avant leur utilisation dans les autres composantes du
 contrôle interne</t>
  </si>
  <si>
    <t xml:space="preserve">Les informations sont vérifiées par des personnes qualifiées avant leur diffusion dans le cadre du contrôle interne</t>
  </si>
  <si>
    <t xml:space="preserve">Des experts valident-ils les informations avant leur utilisation ?</t>
  </si>
  <si>
    <t xml:space="preserve">Plan validation experts</t>
  </si>
  <si>
    <t xml:space="preserve">La validation par les experts n'est pas systématiquement effectuée</t>
  </si>
  <si>
    <t xml:space="preserve">Décisions sans expertise appropriée</t>
  </si>
  <si>
    <t xml:space="preserve">Créer un comité d'experts pour validation des décisions</t>
  </si>
  <si>
    <t xml:space="preserve">Documenter systématiquement les sources d'expertise</t>
  </si>
  <si>
    <t xml:space="preserve">Fiche approbations métiers</t>
  </si>
  <si>
    <t xml:space="preserve">Les approbations métiers subissent des retards préjudiciables</t>
  </si>
  <si>
    <t xml:space="preserve">Retards dans les livraisons critiques</t>
  </si>
  <si>
    <t xml:space="preserve">Optimiser la planification des livraisons</t>
  </si>
  <si>
    <t xml:space="preserve">Mettre en place des indicateurs de suivi en temps réel</t>
  </si>
  <si>
    <t xml:space="preserve">Des contrôles de qualité sont mis en place pour garantir l’exactitude et la cohérence des informations</t>
  </si>
  <si>
    <t xml:space="preserve">La qualité et la cohérence des données sont-elles systématiquement contrôlées ?</t>
  </si>
  <si>
    <t xml:space="preserve">Pièce contrôles qualité</t>
  </si>
  <si>
    <t xml:space="preserve">Les contrôles qualité sont réalisés de manière incomplète</t>
  </si>
  <si>
    <t xml:space="preserve">Qualité non conforme aux attentes</t>
  </si>
  <si>
    <t xml:space="preserve">Renforcer les contrôles qualité intermédiaires</t>
  </si>
  <si>
    <t xml:space="preserve">Implémenter des checklists de validation finale</t>
  </si>
  <si>
    <t xml:space="preserve">Calendrier audits qualité</t>
  </si>
  <si>
    <t xml:space="preserve">Le calendrier des audits qualité n'est pas respecté</t>
  </si>
  <si>
    <t xml:space="preserve">Audits sans valeur ajoutée</t>
  </si>
  <si>
    <t xml:space="preserve">Former les auditeurs aux techniques d'audit à valeur ajoutée</t>
  </si>
  <si>
    <t xml:space="preserve">Aligner les plans d'audit sur les risques réels</t>
  </si>
  <si>
    <t xml:space="preserve">Les informations sont soumises à une double vérification, si nécessaire, pour s’assurer de leur fiabilité</t>
  </si>
  <si>
    <t xml:space="preserve">Certaines informations subissent-elles une vérification renforcée ?</t>
  </si>
  <si>
    <t xml:space="preserve">Liste vérifications renforcées</t>
  </si>
  <si>
    <t xml:space="preserve">Les vérifications renforcées sont fréquemment omises</t>
  </si>
  <si>
    <t xml:space="preserve">Zones à risque non couvertes</t>
  </si>
  <si>
    <t xml:space="preserve">Mettre à jour régulièrement la cartographie des risques</t>
  </si>
  <si>
    <t xml:space="preserve">Effectuer des audits surprises sur zones sensibles</t>
  </si>
  <si>
    <t xml:space="preserve">Rapport contrôles approfondis</t>
  </si>
  <si>
    <t xml:space="preserve">Les contrôles approfondis ne couvrent pas tous les risques</t>
  </si>
  <si>
    <t xml:space="preserve">Absence de preuves d'audit</t>
  </si>
  <si>
    <t xml:space="preserve">Digitaliser les preuves d'audit</t>
  </si>
  <si>
    <t xml:space="preserve">Standardiser les méthodes de documentation</t>
  </si>
  <si>
    <t xml:space="preserve">Des audits ou des révisions périodiques sont effectués pour valider la conformité des processus de validation avec les normes internes</t>
  </si>
  <si>
    <t xml:space="preserve">Des audits périodiques contrôlent-ils les processus de validation ?</t>
  </si>
  <si>
    <t xml:space="preserve">Registre audits processus</t>
  </si>
  <si>
    <t xml:space="preserve">Les audits processus ne sont pas correctement enregistrés</t>
  </si>
  <si>
    <t xml:space="preserve">Outils de validation défectueux</t>
  </si>
  <si>
    <t xml:space="preserve">Valider régulièrement les outils de contrôle</t>
  </si>
  <si>
    <t xml:space="preserve">Maintenir un environnement de test dédié</t>
  </si>
  <si>
    <t xml:space="preserve">Document registres audit</t>
  </si>
  <si>
    <t xml:space="preserve">Les registres d'audit sont obsolètes et inadaptées</t>
  </si>
  <si>
    <t xml:space="preserve">Incohérences dans les processus</t>
  </si>
  <si>
    <t xml:space="preserve">Cartographier et harmoniser les processus</t>
  </si>
  <si>
    <t xml:space="preserve">Documenter toutes les exceptions et dérogations</t>
  </si>
  <si>
    <t xml:space="preserve">Des outils automatisés ou logiciels sont utilisés pour faciliter et standardiser le processus de validation des informations</t>
  </si>
  <si>
    <t xml:space="preserve">L'automatisation standardise-t-elle les validations ?</t>
  </si>
  <si>
    <t xml:space="preserve">Plan automatisation validations</t>
  </si>
  <si>
    <t xml:space="preserve">L'automatisation des validations présente des dysfonctionnements récurrents</t>
  </si>
  <si>
    <t xml:space="preserve">Retards dans les mises à jour système</t>
  </si>
  <si>
    <t xml:space="preserve">Automatiser les mises à jour systèmes</t>
  </si>
  <si>
    <t xml:space="preserve">Établir un calendrier de maintenance contraignant</t>
  </si>
  <si>
    <t xml:space="preserve">Fiche workflows standardisés</t>
  </si>
  <si>
    <t xml:space="preserve">Les workflows ne suivent pas de standards définis</t>
  </si>
  <si>
    <t xml:space="preserve">Données non actualisées utilisées</t>
  </si>
  <si>
    <t xml:space="preserve">Implémenter des alertes sur données obsolètes</t>
  </si>
  <si>
    <t xml:space="preserve">Créer des processus d'actualisation automatisés</t>
  </si>
  <si>
    <t xml:space="preserve">S’assurer que les informations relatives aux risques et aux contrôles
 internes sont régulièrement mises à jour et partagées avec les
 parties prenantes pertinentes, y compris la direction et le Conseil</t>
  </si>
  <si>
    <t xml:space="preserve">Un calendrier de mise à jour des informations relatives aux risques et contrôles internes est défini et respecté</t>
  </si>
  <si>
    <t xml:space="preserve">Un échéancier encadre-t-il les mises à jour informationnelles ?</t>
  </si>
  <si>
    <t xml:space="preserve">Pièce échéancier MAJ</t>
  </si>
  <si>
    <t xml:space="preserve">Les mises à jour ne respectent pas l'échéancier prévu</t>
  </si>
  <si>
    <t xml:space="preserve">Reporting directionnel erroné</t>
  </si>
  <si>
    <t xml:space="preserve">Vérifier les sources des rapports directionnels</t>
  </si>
  <si>
    <t xml:space="preserve">Introduire des contre-vérifications indépendantes</t>
  </si>
  <si>
    <t xml:space="preserve">Calendrier révisions données</t>
  </si>
  <si>
    <t xml:space="preserve">Les révisions des données sont effectuées avec retard</t>
  </si>
  <si>
    <t xml:space="preserve">Contrôle global inefficace</t>
  </si>
  <si>
    <t xml:space="preserve">Développer un tableau de bord de contrôle global</t>
  </si>
  <si>
    <t xml:space="preserve">Automatiser la consolidation des indicateurs</t>
  </si>
  <si>
    <t xml:space="preserve">Des rapports réguliers sur les risques et les contrôles internes sont partagés avec la direction et le Conseil, conformément à la fréquence prévue</t>
  </si>
  <si>
    <t xml:space="preserve">La gouvernance reçoit-elle des rapports périodiques conformément au planning ?</t>
  </si>
  <si>
    <t xml:space="preserve">Liste reporting direction</t>
  </si>
  <si>
    <t xml:space="preserve">Le reporting à la direction omet des informations cruciales</t>
  </si>
  <si>
    <t xml:space="preserve">Délais excessifs entre actualisations</t>
  </si>
  <si>
    <t xml:space="preserve">Réduire les fréquences d'actualisation</t>
  </si>
  <si>
    <t xml:space="preserve">Automatiser les processus de reporting</t>
  </si>
  <si>
    <t xml:space="preserve">Rapport gouvernance périodique</t>
  </si>
  <si>
    <t xml:space="preserve">La gouvernance périodique ne permet pas un contrôle efficace</t>
  </si>
  <si>
    <t xml:space="preserve">Non-respect des politiques internes</t>
  </si>
  <si>
    <t xml:space="preserve">Mettre en place des contrôles de conformité automatisés</t>
  </si>
  <si>
    <t xml:space="preserve">Sanctionner les écarts répétés aux politiques</t>
  </si>
  <si>
    <t xml:space="preserve">Les informations sont mises à jour en temps réel ou à intervalles réguliers pour refléter les changements dans les risques ou les contrôles</t>
  </si>
  <si>
    <t xml:space="preserve">L'actualisation des données suit-elle un rythme défini ou se fait-elle en continu ?</t>
  </si>
  <si>
    <t xml:space="preserve">Registre rythmes actualisation</t>
  </si>
  <si>
    <t xml:space="preserve">Les actualisations sont trop espacées dans le temps</t>
  </si>
  <si>
    <t xml:space="preserve">Décisions stratégiques non validées</t>
  </si>
  <si>
    <t xml:space="preserve">Instaurer des comités de validation stratégique</t>
  </si>
  <si>
    <t xml:space="preserve">Documenter systématiquement les décisions</t>
  </si>
  <si>
    <t xml:space="preserve">Document politique MAJ</t>
  </si>
  <si>
    <t xml:space="preserve">La politique de mise à jour n'est pas appliquée</t>
  </si>
  <si>
    <t xml:space="preserve">Validations métier manquantes</t>
  </si>
  <si>
    <t xml:space="preserve">Implémenter des workflows de validation métier</t>
  </si>
  <si>
    <t xml:space="preserve">Former les validateurs aux enjeux métiers</t>
  </si>
  <si>
    <t xml:space="preserve">La direction et le Conseil sont consultés lors des mises à jour majeures des informations sur les risques</t>
  </si>
  <si>
    <t xml:space="preserve">Les mises à jour significatives requièrent-elles l'avis de la direction ?</t>
  </si>
  <si>
    <t xml:space="preserve">Plan approbation direction</t>
  </si>
  <si>
    <t xml:space="preserve">L'approbation par la direction fait défaut pour des décisions importantes</t>
  </si>
  <si>
    <t xml:space="preserve">Accès non justifiés aux systèmes</t>
  </si>
  <si>
    <t xml:space="preserve">Appliquer le principe du moindre privilège</t>
  </si>
  <si>
    <t xml:space="preserve">Auditer trimestriellement les habilitations</t>
  </si>
  <si>
    <t xml:space="preserve">Fiche validations stratégiques</t>
  </si>
  <si>
    <t xml:space="preserve">Les validations stratégiques ne sont pas systématiquement réalisées</t>
  </si>
  <si>
    <t xml:space="preserve">Évaluation superficielle des habilitations</t>
  </si>
  <si>
    <t xml:space="preserve">Mettre en place des évaluations des compétences</t>
  </si>
  <si>
    <t xml:space="preserve">Développer des parcours de formation individualisés</t>
  </si>
  <si>
    <t xml:space="preserve">Les informations mises à jour sont accessibles à toutes les parties prenantes concernées, en fonction de leur niveau de responsabilité</t>
  </si>
  <si>
    <t xml:space="preserve">Les données actualisées sont-elles accessibles selon le principe de besoin ?</t>
  </si>
  <si>
    <t xml:space="preserve">Pièce principes accès</t>
  </si>
  <si>
    <t xml:space="preserve">Les principes d'accès ne sont pas strictement respectés</t>
  </si>
  <si>
    <t xml:space="preserve">Retard dans le développement des compétences</t>
  </si>
  <si>
    <t xml:space="preserve">Réviser annuellement les contenus de formation</t>
  </si>
  <si>
    <t xml:space="preserve">Impliquer les experts métiers dans les mises à jour</t>
  </si>
  <si>
    <t xml:space="preserve">Calendrier besoins accès</t>
  </si>
  <si>
    <t xml:space="preserve">L'évaluation des besoins d'accès est insuffisante</t>
  </si>
  <si>
    <t xml:space="preserve">Contenus de formation obsolètes</t>
  </si>
  <si>
    <t xml:space="preserve">Mesurer l'impact des formations via des KPI</t>
  </si>
  <si>
    <t xml:space="preserve">Implémenter des évaluations post-formation</t>
  </si>
  <si>
    <t xml:space="preserve">Vérifier que des outils de gestion de l'information et des technologies
 appropriées sont utilisés pour faciliter la collecte, l'analyse et la
 distribution des informations pertinentes relatives au contrôle
 interne</t>
  </si>
  <si>
    <t xml:space="preserve">Le calendrier des formations est-il rigoureusement appliqué avec contenus actualisés ?</t>
  </si>
  <si>
    <t xml:space="preserve">Liste calendrier formations</t>
  </si>
  <si>
    <t xml:space="preserve">Le calendrier des formations n'est pas suivi rigoureusement</t>
  </si>
  <si>
    <t xml:space="preserve">Impact des formations non mesuré</t>
  </si>
  <si>
    <t xml:space="preserve">Tester systématiquement les acquis de formation</t>
  </si>
  <si>
    <t xml:space="preserve">Certifier les compétences acquises</t>
  </si>
  <si>
    <t xml:space="preserve">Rapport contenus actualisés</t>
  </si>
  <si>
    <t xml:space="preserve">Les contenus de formation ne sont pas actualisés</t>
  </si>
  <si>
    <t xml:space="preserve">Compétences acquises non vérifiées</t>
  </si>
  <si>
    <t xml:space="preserve">Standardiser les critères qualité des formations</t>
  </si>
  <si>
    <t xml:space="preserve">Recueillir des feedbacks stagiaires systématiques</t>
  </si>
  <si>
    <t xml:space="preserve">L'évaluation des formations mesure-t-elle tant leur efficacité que l'apprentissage ?</t>
  </si>
  <si>
    <t xml:space="preserve">Registre efficacité formations</t>
  </si>
  <si>
    <t xml:space="preserve">L'efficacité des formations n'est pas mesurée</t>
  </si>
  <si>
    <t xml:space="preserve">Qualité réduite des formations</t>
  </si>
  <si>
    <t xml:space="preserve">Mettre en place une veille réglementaire active</t>
  </si>
  <si>
    <t xml:space="preserve">Nommer des correspondants conformité</t>
  </si>
  <si>
    <t xml:space="preserve">Document évaluation apprentissage</t>
  </si>
  <si>
    <t xml:space="preserve">L'évaluation des apprentissages est absente ou superficielle</t>
  </si>
  <si>
    <t xml:space="preserve">Non-conformité réglementaire</t>
  </si>
  <si>
    <t xml:space="preserve">Analyser annuellement les besoins en compétences</t>
  </si>
  <si>
    <t xml:space="preserve">Adapter les plans de formation aux évolutions métiers</t>
  </si>
  <si>
    <t xml:space="preserve">Les formateurs maîtrisent-ils les dernières évolutions réglementaires ?</t>
  </si>
  <si>
    <t xml:space="preserve">Liste des certifications formateurs actualisées</t>
  </si>
  <si>
    <t xml:space="preserve">Formateurs non certifiés à jour</t>
  </si>
  <si>
    <t xml:space="preserve">Inadéquation formation/besoins</t>
  </si>
  <si>
    <t xml:space="preserve">Réaliser des audits d'architecture sécurité</t>
  </si>
  <si>
    <t xml:space="preserve">Mettre en place des tests de résistance annuels</t>
  </si>
  <si>
    <t xml:space="preserve">Rapport de veille réglementaire mensuel</t>
  </si>
  <si>
    <t xml:space="preserve">Mises à jour réglementaires manquées</t>
  </si>
  <si>
    <t xml:space="preserve">Architecture système vulnérable</t>
  </si>
  <si>
    <t xml:space="preserve">Automatiser la consolidation des données</t>
  </si>
  <si>
    <t xml:space="preserve">Implémenter des outils ETL professionnels</t>
  </si>
  <si>
    <t xml:space="preserve">L'offre de formation est-elle inclusive et différenciée selon les métiers ?</t>
  </si>
  <si>
    <t xml:space="preserve">Registre des formations par métier</t>
  </si>
  <si>
    <t xml:space="preserve">Formations non alignées aux besoins métiers</t>
  </si>
  <si>
    <t xml:space="preserve">Données non consolidées</t>
  </si>
  <si>
    <t xml:space="preserve">Définir des standards qualité pour les données</t>
  </si>
  <si>
    <t xml:space="preserve">Nommer des data stewards par domaine</t>
  </si>
  <si>
    <t xml:space="preserve">Document de politique d'inclusion</t>
  </si>
  <si>
    <t xml:space="preserve">Politique d'inclusion non déployée</t>
  </si>
  <si>
    <t xml:space="preserve">Absence de contrôle qualité données</t>
  </si>
  <si>
    <t xml:space="preserve">Déployer des outils de détection d'anomalies</t>
  </si>
  <si>
    <t xml:space="preserve">Configurer des alertes sur données aberrantes</t>
  </si>
  <si>
    <t xml:space="preserve">Des rappels et des sessions de mise à jour régulières sont programmés pour maintenir le niveau de connaissance des collaborateurs à jour</t>
  </si>
  <si>
    <t xml:space="preserve">Des recyclages périodiques maintiennent-ils les compétences à niveau ?</t>
  </si>
  <si>
    <t xml:space="preserve">Plan de recyclage annuel</t>
  </si>
  <si>
    <t xml:space="preserve">Recyclage annuel non effectué</t>
  </si>
  <si>
    <t xml:space="preserve">Anomalies non détectées</t>
  </si>
  <si>
    <t xml:space="preserve">Homologuer les méthodes d'analyse</t>
  </si>
  <si>
    <t xml:space="preserve">Auditer régulièrement les pratiques analytiques</t>
  </si>
  <si>
    <t xml:space="preserve">Fiche d'évaluation des compétences</t>
  </si>
  <si>
    <t xml:space="preserve">Évaluation des compétences non réalisée</t>
  </si>
  <si>
    <t xml:space="preserve">Méthodes non homologuées utilisées</t>
  </si>
  <si>
    <t xml:space="preserve">Standardiser les processus de collecte</t>
  </si>
  <si>
    <t xml:space="preserve">Automatiser les contrôles d'exhaustivité</t>
  </si>
  <si>
    <t xml:space="preserve">S’assurer que l’organisation a mis en place des processus formels
 pour communiquer de manière régulière et transparente les
 informations nécessaires au fonctionnement du contrôle interne à
 tous les niveaux de l’organisation</t>
  </si>
  <si>
    <t xml:space="preserve">L'architecture informatique permet-elle une centralisation des données de contrôle ?</t>
  </si>
  <si>
    <t xml:space="preserve">Pièce technique d'architecture système</t>
  </si>
  <si>
    <t xml:space="preserve">Architecture système non sécurisée</t>
  </si>
  <si>
    <t xml:space="preserve">Collecte données incomplète</t>
  </si>
  <si>
    <t xml:space="preserve">Optimiser l'infrastructure pour l'accès temps réel</t>
  </si>
  <si>
    <t xml:space="preserve">Mettre en place des systèmes de cache performants</t>
  </si>
  <si>
    <t xml:space="preserve">calendrier de consolidation des données</t>
  </si>
  <si>
    <t xml:space="preserve">Données non consolidées régulièrement</t>
  </si>
  <si>
    <t xml:space="preserve">Accès temps réel non fonctionnel</t>
  </si>
  <si>
    <t xml:space="preserve">Développer des indicateurs de performance opérationnelle</t>
  </si>
  <si>
    <t xml:space="preserve">Lier les bénéfices aux objectifs stratégiques</t>
  </si>
  <si>
    <t xml:space="preserve">La véracité des informations collectées fait-elle l'objet de contrôles ?</t>
  </si>
  <si>
    <t xml:space="preserve">Liste des contrôles de véracité</t>
  </si>
  <si>
    <t xml:space="preserve">Absence de contrôle de fiabilité des données</t>
  </si>
  <si>
    <t xml:space="preserve">Bénéfices opérationnels non quantifiés</t>
  </si>
  <si>
    <t xml:space="preserve">Réviser trimestriellement les indicateurs qualité</t>
  </si>
  <si>
    <t xml:space="preserve">Benchmarker avec les standards du secteur</t>
  </si>
  <si>
    <t xml:space="preserve">Rapport d'audit des données</t>
  </si>
  <si>
    <t xml:space="preserve">Audit des données non mené</t>
  </si>
  <si>
    <t xml:space="preserve">Indicateurs qualité obsolètes</t>
  </si>
  <si>
    <t xml:space="preserve">Implémenter des algorithmes de filtrage avancés</t>
  </si>
  <si>
    <t xml:space="preserve">Former les utilisateurs aux techniques de filtrage</t>
  </si>
  <si>
    <t xml:space="preserve">La méthodologie de collecte est-elle formalisée et transparente ?</t>
  </si>
  <si>
    <t xml:space="preserve">Registre des méthodologies approuvées</t>
  </si>
  <si>
    <t xml:space="preserve">Méthodologies non homologuées utilisées</t>
  </si>
  <si>
    <t xml:space="preserve">Filtrage données inefficace</t>
  </si>
  <si>
    <t xml:space="preserve">Vérifier systématiquement l'exhaustivité des rapports</t>
  </si>
  <si>
    <t xml:space="preserve">Automatiser les contrôles de complétude</t>
  </si>
  <si>
    <t xml:space="preserve">Document de registres de collecte</t>
  </si>
  <si>
    <t xml:space="preserve">registres de collecte non respectées</t>
  </si>
  <si>
    <t xml:space="preserve">Rapports avec informations manquantes</t>
  </si>
  <si>
    <t xml:space="preserve">Auditer l'exhaustivité des données sources</t>
  </si>
  <si>
    <t xml:space="preserve">L'immédiateté d'accès aux données permet-elle des améliorations opérationnelles ?</t>
  </si>
  <si>
    <t xml:space="preserve">Plan d'accès en temps réel</t>
  </si>
  <si>
    <t xml:space="preserve">Accès en temps réel non opérationnel</t>
  </si>
  <si>
    <t xml:space="preserve">Exhaustivité données non vérifiée</t>
  </si>
  <si>
    <t xml:space="preserve">Analyser l'efficacité des actions correctives</t>
  </si>
  <si>
    <t xml:space="preserve">Implémenter des indicateurs de suivi des corrections</t>
  </si>
  <si>
    <t xml:space="preserve">Fiche des gains opérationnels</t>
  </si>
  <si>
    <t xml:space="preserve">Bénéfices opérationnels non mesurés</t>
  </si>
  <si>
    <t xml:space="preserve">Actions correctives inefficaces</t>
  </si>
  <si>
    <t xml:space="preserve">Automatiser les processus de mise à jour</t>
  </si>
  <si>
    <t xml:space="preserve">Définir des responsables pour chaque mise à jour</t>
  </si>
  <si>
    <t xml:space="preserve">Des indicateurs qualitatifs filtrent-ils les informations pertinentes ?</t>
  </si>
  <si>
    <t xml:space="preserve">Pièce des indicateurs qualité</t>
  </si>
  <si>
    <t xml:space="preserve">Indicateurs qualité non actualisés</t>
  </si>
  <si>
    <t xml:space="preserve">Retards mises à jour</t>
  </si>
  <si>
    <t xml:space="preserve">Calendrier de filtrage des données</t>
  </si>
  <si>
    <t xml:space="preserve">Filtrage des données non conforme</t>
  </si>
  <si>
    <t xml:space="preserve">Moyenne </t>
  </si>
  <si>
    <t xml:space="preserve">Responsabilités non attribuées</t>
  </si>
  <si>
    <t xml:space="preserve">Identifier formellement les gestionnaires</t>
  </si>
  <si>
    <t xml:space="preserve">Communiquer largement les points de contact</t>
  </si>
  <si>
    <t xml:space="preserve">Vérifier que les informations sont partagées de manière appropriée,
 en fonction des rôles et des responsabilités des différentes parties
 prenantes, et qu'elles sont adaptées à leur niveau de responsabilité</t>
  </si>
  <si>
    <t xml:space="preserve">Les reporting intègrent-ils des données exhaustives et récentes ?</t>
  </si>
  <si>
    <t xml:space="preserve">Liste des données de reporting</t>
  </si>
  <si>
    <t xml:space="preserve">Reporting avec données manquantes</t>
  </si>
  <si>
    <t xml:space="preserve">Gestionnaires non identifiés</t>
  </si>
  <si>
    <t xml:space="preserve">Réaliser une analyse des besoins utilisateurs</t>
  </si>
  <si>
    <t xml:space="preserve">Mettre en place un comité de sélection des outils</t>
  </si>
  <si>
    <t xml:space="preserve">Rapport d'exhaustivité des informations</t>
  </si>
  <si>
    <t xml:space="preserve">Exhaustivité des données non vérifiée</t>
  </si>
  <si>
    <t xml:space="preserve">Outils logiciels inadaptés</t>
  </si>
  <si>
    <t xml:space="preserve">Former les utilisateurs aux outils existants</t>
  </si>
  <si>
    <t xml:space="preserve">Standardiser les solutions logicielles par métier</t>
  </si>
  <si>
    <t xml:space="preserve">Des processus correctifs assurent-ils l'adéquation des données à la réalité ?</t>
  </si>
  <si>
    <t xml:space="preserve">Registre des processus correctifs</t>
  </si>
  <si>
    <t xml:space="preserve">Absence contrôle intégrité</t>
  </si>
  <si>
    <t xml:space="preserve">Implémenter des contrôles automatisés d'intégrité des données</t>
  </si>
  <si>
    <t xml:space="preserve">Mettre en place des checksums et signatures numériques</t>
  </si>
  <si>
    <t xml:space="preserve">Document de mise à jour des données</t>
  </si>
  <si>
    <t xml:space="preserve">Mises à jour des données en retard</t>
  </si>
  <si>
    <t xml:space="preserve">Tests validation omis</t>
  </si>
  <si>
    <t xml:space="preserve">Établir un protocole de test obligatoire avant déploiement</t>
  </si>
  <si>
    <t xml:space="preserve">Automatiser les tests de validation récurrents</t>
  </si>
  <si>
    <t xml:space="preserve">La maintenance des données est-elle assignée à des responsables identifiés ?</t>
  </si>
  <si>
    <t xml:space="preserve">Plan de responsabilités données</t>
  </si>
  <si>
    <t xml:space="preserve">Responsabilités données non attribuées</t>
  </si>
  <si>
    <t xml:space="preserve">Qualité données non évaluée</t>
  </si>
  <si>
    <t xml:space="preserve">Déployer des outils de profiling des données</t>
  </si>
  <si>
    <t xml:space="preserve">Fiche des gestionnaires désignés</t>
  </si>
  <si>
    <t xml:space="preserve">Gestionnaires données non identifiés</t>
  </si>
  <si>
    <t xml:space="preserve">Accès non surveillés</t>
  </si>
  <si>
    <t xml:space="preserve">Implémenter un système de journalisation des accès</t>
  </si>
  <si>
    <t xml:space="preserve">Mettre en place des alertes sur accès anormaux</t>
  </si>
  <si>
    <t xml:space="preserve">Des outils de contrôle de la qualité des informations sont utilisés pour garantir leur fiabilité (ex logiciels de gestion des informations)</t>
  </si>
  <si>
    <t xml:space="preserve">Des solutions logicielles garantissent-elles l'intégrité des informations ?</t>
  </si>
  <si>
    <t xml:space="preserve">Pièce des solutions logicielles</t>
  </si>
  <si>
    <t xml:space="preserve">Interfaces utilisateurs défectueuses</t>
  </si>
  <si>
    <t xml:space="preserve">Réaliser des tests utilisateurs réguliers</t>
  </si>
  <si>
    <t xml:space="preserve">Standardiser les interfaces selon les meilleures pratiques</t>
  </si>
  <si>
    <t xml:space="preserve">Calendrier de vérification d'intégrité</t>
  </si>
  <si>
    <t xml:space="preserve">Contrôle d'intégrité absent</t>
  </si>
  <si>
    <t xml:space="preserve">Standardisation visuelle absente</t>
  </si>
  <si>
    <t xml:space="preserve">Développer un guide de style visuel</t>
  </si>
  <si>
    <t xml:space="preserve">Former les équipes aux standards UI/UX</t>
  </si>
  <si>
    <t xml:space="preserve">Des tests sont effectués pour vérifier que les informations générées sont exhaustives et pertinentes dans le cadre de la gestion du contrôle interne</t>
  </si>
  <si>
    <t xml:space="preserve">Des tests contrôlent-ils la pertinence et l'exhaustivité des données ?</t>
  </si>
  <si>
    <t xml:space="preserve">Liste des tests de validation</t>
  </si>
  <si>
    <t xml:space="preserve">Tests de validation omis</t>
  </si>
  <si>
    <t xml:space="preserve">Normes présentation non appliquées</t>
  </si>
  <si>
    <t xml:space="preserve">Créer des templates de présentation unifiés</t>
  </si>
  <si>
    <t xml:space="preserve">Automatiser les contrôles de conformité visuelle</t>
  </si>
  <si>
    <t xml:space="preserve">Rapport de pertinence des données</t>
  </si>
  <si>
    <t xml:space="preserve">Qualité des données non analysée</t>
  </si>
  <si>
    <t xml:space="preserve">Flux information désorganisés</t>
  </si>
  <si>
    <t xml:space="preserve">Modéliser et documenter les flux d'information</t>
  </si>
  <si>
    <t xml:space="preserve">Implémenter des outils de workflow management</t>
  </si>
  <si>
    <t xml:space="preserve">S’assurer que les informations partagées en interne sont pertinentes
 et à jour, en particulier celles relatives aux risques identifiés, aux
 actions de contrôle mises en place et aux résultats des évaluations
 de performance</t>
  </si>
  <si>
    <t xml:space="preserve">Les interfaces sécurisées donnent-elles accès aux informations utiles ?</t>
  </si>
  <si>
    <t xml:space="preserve">Registre des accès sécurisés</t>
  </si>
  <si>
    <t xml:space="preserve">Accès sécurisés non monitorés</t>
  </si>
  <si>
    <t xml:space="preserve">Audits flux non programmés</t>
  </si>
  <si>
    <t xml:space="preserve">Planifier des audits de flux trimestriels</t>
  </si>
  <si>
    <t xml:space="preserve">Automatiser le traçage des flux critiques</t>
  </si>
  <si>
    <t xml:space="preserve">Document des interfaces utilisateurs</t>
  </si>
  <si>
    <t xml:space="preserve">Interfaces utilisateurs non fonctionnelles</t>
  </si>
  <si>
    <t xml:space="preserve">Accès critiques non restreints</t>
  </si>
  <si>
    <t xml:space="preserve">Isoler physiquement les accès critiques</t>
  </si>
  <si>
    <t xml:space="preserve">L'harmonisation des présentations accélère-t-elle la compréhension ?</t>
  </si>
  <si>
    <t xml:space="preserve">Plan d'harmonisation visuelle</t>
  </si>
  <si>
    <t xml:space="preserve">Permissions trop permissives</t>
  </si>
  <si>
    <t xml:space="preserve">Réviser trimestriellement les permissions</t>
  </si>
  <si>
    <t xml:space="preserve">Implémenter une approche Zero Trust</t>
  </si>
  <si>
    <t xml:space="preserve">Fiche des standards de présentation</t>
  </si>
  <si>
    <t xml:space="preserve">Normes de présentation non appliquées</t>
  </si>
  <si>
    <t xml:space="preserve">Alertes système ignorées</t>
  </si>
  <si>
    <t xml:space="preserve">Configurer des priorités pour les alertes</t>
  </si>
  <si>
    <t xml:space="preserve">Automatiser l'assignation des alertes</t>
  </si>
  <si>
    <t xml:space="preserve">Les flux d'information permettent-ils un accès instantané aux données ?</t>
  </si>
  <si>
    <t xml:space="preserve">Pièce des flux d'information</t>
  </si>
  <si>
    <t xml:space="preserve">Flux d'information désorganisés</t>
  </si>
  <si>
    <t xml:space="preserve">Alertes non traitées</t>
  </si>
  <si>
    <t xml:space="preserve">Définir des SLA stricts pour le traitement</t>
  </si>
  <si>
    <t xml:space="preserve">Mettre en place une boucle de feedback</t>
  </si>
  <si>
    <t xml:space="preserve">Calendrier des audits de circulation</t>
  </si>
  <si>
    <t xml:space="preserve">Audits des flux non programmés</t>
  </si>
  <si>
    <t xml:space="preserve">Feedback non remonté</t>
  </si>
  <si>
    <t xml:space="preserve">Centraliser les remontées de feedback</t>
  </si>
  <si>
    <t xml:space="preserve">Automatiser l'analyse des retours</t>
  </si>
  <si>
    <t xml:space="preserve">Les gestionnaires accèdent-ils sans intermédiaire aux informations stratégiques ?</t>
  </si>
  <si>
    <t xml:space="preserve">Liste des accès stratégiques</t>
  </si>
  <si>
    <t xml:space="preserve">Retours non exploités</t>
  </si>
  <si>
    <t xml:space="preserve">Créer un système de suivi des actions</t>
  </si>
  <si>
    <t xml:space="preserve">Publier régulièrement les résultats</t>
  </si>
  <si>
    <t xml:space="preserve">Rapport des privilèges d'accès</t>
  </si>
  <si>
    <t xml:space="preserve">Permissions d'accès trop permissives</t>
  </si>
  <si>
    <t xml:space="preserve">Dispositifs inefficaces</t>
  </si>
  <si>
    <t xml:space="preserve">Réévaluer trimestriellement les dispositifs</t>
  </si>
  <si>
    <t xml:space="preserve">Benchmarker avec les meilleures pratiques</t>
  </si>
  <si>
    <t xml:space="preserve">Les mises à jour déclenchent-elles des notifications automatiques ?</t>
  </si>
  <si>
    <t xml:space="preserve">Registre des notifications système</t>
  </si>
  <si>
    <t xml:space="preserve">Alertes système non traitées</t>
  </si>
  <si>
    <t xml:space="preserve">Sensibilisation insuffisante</t>
  </si>
  <si>
    <t xml:space="preserve">Organiser des campagnes de sensibilisation</t>
  </si>
  <si>
    <t xml:space="preserve">Mesurer l'impact des formations</t>
  </si>
  <si>
    <t xml:space="preserve">Document des règles d'alerte</t>
  </si>
  <si>
    <t xml:space="preserve">Délais systématiquement dépassés</t>
  </si>
  <si>
    <t xml:space="preserve">Implémenter des outils de suivi de délais</t>
  </si>
  <si>
    <t xml:space="preserve">Analyser les causes racines des retards</t>
  </si>
  <si>
    <t xml:space="preserve">Communication externe</t>
  </si>
  <si>
    <t xml:space="preserve">Vérifier que des mécanismes de feedback sont mis en place pour
 permettre aux parties prenantes internes de poser des questions et
 d’obtenir des éclaircissements sur les informations reçues</t>
  </si>
  <si>
    <t xml:space="preserve">Les canaux de feedback formels sont établis (réunions, plateformes en ligne, forums internes) pour permettre aux parties prenantes internes de poser des questions</t>
  </si>
  <si>
    <t xml:space="preserve">Des canaux dédiés recueillent-ils les retours d'information ?</t>
  </si>
  <si>
    <t xml:space="preserve">Plan des canaux de feedback</t>
  </si>
  <si>
    <t xml:space="preserve">Performance non mesurée</t>
  </si>
  <si>
    <t xml:space="preserve">Définir des KPI de performance clés</t>
  </si>
  <si>
    <t xml:space="preserve">Automatiser le reporting des performances</t>
  </si>
  <si>
    <t xml:space="preserve">Fiche de collecte des retours</t>
  </si>
  <si>
    <t xml:space="preserve">Remarques ignorées</t>
  </si>
  <si>
    <t xml:space="preserve">Mettre en place une boîte à idées</t>
  </si>
  <si>
    <t xml:space="preserve">Analyser systématiquement les suggestions</t>
  </si>
  <si>
    <t xml:space="preserve">Les parties prenantes internes sont informées des mécanismes de feedback disponibles et savent comment les utiliser</t>
  </si>
  <si>
    <t xml:space="preserve">Les acteurs connaissent-ils les dispositifs de feedback disponibles ?</t>
  </si>
  <si>
    <t xml:space="preserve">Pièce des dispositifs disponibles</t>
  </si>
  <si>
    <t xml:space="preserve">Actions non suivies</t>
  </si>
  <si>
    <t xml:space="preserve">Implémenter un système de ticketing</t>
  </si>
  <si>
    <t xml:space="preserve">Automatiser les rappels de suivi</t>
  </si>
  <si>
    <t xml:space="preserve">Calendrier de sensibilisation</t>
  </si>
  <si>
    <t xml:space="preserve">Qualité non évaluée</t>
  </si>
  <si>
    <t xml:space="preserve">Standardiser les évaluations qualité</t>
  </si>
  <si>
    <t xml:space="preserve">Publier des rapports qualité mensuels</t>
  </si>
  <si>
    <t xml:space="preserve">Les réponses aux questions ou demandes de clarification sont fournies en temps utile et de manière transparente</t>
  </si>
  <si>
    <t xml:space="preserve">Les réponses aux interrogations sont-elles rapides et transparentes ?</t>
  </si>
  <si>
    <t xml:space="preserve">Liste des délais de réponse</t>
  </si>
  <si>
    <t xml:space="preserve">Délais dépassés</t>
  </si>
  <si>
    <t xml:space="preserve">Indicateurs obsolètes</t>
  </si>
  <si>
    <t xml:space="preserve">Réviser annuellement les indicateurs</t>
  </si>
  <si>
    <t xml:space="preserve">Aligner les KPI sur les objectifs stratégiques</t>
  </si>
  <si>
    <t xml:space="preserve">Rapport de performance du support</t>
  </si>
  <si>
    <t xml:space="preserve">Technologies inadaptées</t>
  </si>
  <si>
    <t xml:space="preserve">Réaliser une analyse des besoins technologiques</t>
  </si>
  <si>
    <t xml:space="preserve">Mettre en place un comité de veille technologique</t>
  </si>
  <si>
    <t xml:space="preserve">Un processus de suivi est mis en place pour assurer la prise en compte des préoccupations exprimées</t>
  </si>
  <si>
    <t xml:space="preserve">Un suivi formalisé garantit-il la prise en compte des remarques ?</t>
  </si>
  <si>
    <t xml:space="preserve">Registre des remarques traitées</t>
  </si>
  <si>
    <t xml:space="preserve">Optimisation retardée</t>
  </si>
  <si>
    <t xml:space="preserve">Établir un plan d'optimisation continu</t>
  </si>
  <si>
    <t xml:space="preserve">Mesurer les gains d'optimisation</t>
  </si>
  <si>
    <t xml:space="preserve">Document de suivi des actions</t>
  </si>
  <si>
    <t xml:space="preserve">Absences critiques</t>
  </si>
  <si>
    <t xml:space="preserve">Mettre en place un plan de succession</t>
  </si>
  <si>
    <t xml:space="preserve">Développer des compétences transversales</t>
  </si>
  <si>
    <t xml:space="preserve">Des rapports réguliers sont générés pour évaluer la qualité et l’efficacité du feedback reçu et des réponses données</t>
  </si>
  <si>
    <t xml:space="preserve">Des bilans réguliers mesurent-ils l'efficacité des échanges ?</t>
  </si>
  <si>
    <t xml:space="preserve">Plan d'évaluation des échanges</t>
  </si>
  <si>
    <t xml:space="preserve">Décisions non tracées</t>
  </si>
  <si>
    <t xml:space="preserve">Implémenter un système de traçabilité décisionnelle</t>
  </si>
  <si>
    <t xml:space="preserve">Utiliser des technologies blockchain pour l'audit</t>
  </si>
  <si>
    <t xml:space="preserve">Fiche des indicateurs d'efficacité</t>
  </si>
  <si>
    <t xml:space="preserve">Accès non contrôlés</t>
  </si>
  <si>
    <t xml:space="preserve">Automatiser les contrôles d'accès</t>
  </si>
  <si>
    <t xml:space="preserve">Réaliser des audits de sécurité aléatoires</t>
  </si>
  <si>
    <t xml:space="preserve">S’assurer que des outils de communication adéquats (réunions,
 rapports, systèmes d’information) sont utilisés pour faciliter
 l’échange d’informations entre les différentes parties prenantes
 impliquées dans le contrôle interne</t>
  </si>
  <si>
    <t xml:space="preserve">Des outils de communication modernes sont utilisés pour partager des informations en temps réel</t>
  </si>
  <si>
    <t xml:space="preserve">Les technologies modernes optimisent-elles la circulation de l'information ?</t>
  </si>
  <si>
    <t xml:space="preserve">Pièce des technologies utilisées</t>
  </si>
  <si>
    <t xml:space="preserve">Diffusion inefficace</t>
  </si>
  <si>
    <t xml:space="preserve">Optimiser les canaux de diffusion</t>
  </si>
  <si>
    <t xml:space="preserve">Segmenter les audiences cibles</t>
  </si>
  <si>
    <t xml:space="preserve">Calendrier d'optimisation technologique</t>
  </si>
  <si>
    <t xml:space="preserve">Infrastructures fragmentées</t>
  </si>
  <si>
    <t xml:space="preserve">Unifier les infrastructures</t>
  </si>
  <si>
    <t xml:space="preserve">Mettre en place une gouvernance centralisée</t>
  </si>
  <si>
    <t xml:space="preserve">Des réunions régulières sont organisées pour échanger sur les enjeux du contrôle interne entre les parties prenantes</t>
  </si>
  <si>
    <t xml:space="preserve">Des rencontres périodiques abordent-elles les enjeux du contrôle interne ?</t>
  </si>
  <si>
    <t xml:space="preserve">Liste des participants aux réunions</t>
  </si>
  <si>
    <t xml:space="preserve">Sécurité compromise</t>
  </si>
  <si>
    <t xml:space="preserve">Mettre à jour les politiques de sécurité</t>
  </si>
  <si>
    <t xml:space="preserve">Rapport des décisions stratégiques</t>
  </si>
  <si>
    <t xml:space="preserve">Protocoles non suivis</t>
  </si>
  <si>
    <t xml:space="preserve">Standardiser les protocoles opérationnels</t>
  </si>
  <si>
    <t xml:space="preserve">Former régulièrement aux procédures</t>
  </si>
  <si>
    <t xml:space="preserve">Les rapports d’activité ou de contrôle interne sont bien structurés et partagés avec toutes les parties prenantes concernées</t>
  </si>
  <si>
    <t xml:space="preserve">La diffusion des rapports cible-t-elle efficacement les destinataires ?</t>
  </si>
  <si>
    <t xml:space="preserve">Liste des destinataires autorisés</t>
  </si>
  <si>
    <t xml:space="preserve">Registres ambigus</t>
  </si>
  <si>
    <t xml:space="preserve">Clarifier les registres et nomenclatures</t>
  </si>
  <si>
    <t xml:space="preserve">Automatiser la documentation</t>
  </si>
  <si>
    <t xml:space="preserve">Rapport de diffusion ciblée</t>
  </si>
  <si>
    <t xml:space="preserve">Besoins non analysés</t>
  </si>
  <si>
    <t xml:space="preserve">Implémenter des processus d'analyse des besoins</t>
  </si>
  <si>
    <t xml:space="preserve">Mettre en place des comités utilisateurs</t>
  </si>
  <si>
    <t xml:space="preserve">Des systèmes d’information sont en place pour centraliser et distribuer les données de contrôle interne de manière cohérente</t>
  </si>
  <si>
    <t xml:space="preserve">L'infrastructure informatique unifie-t-elle la gestion des données ?</t>
  </si>
  <si>
    <t xml:space="preserve">Registre des infrastructures unifiées</t>
  </si>
  <si>
    <t xml:space="preserve">Compétences non évaluées</t>
  </si>
  <si>
    <t xml:space="preserve">Évaluer les compétences trimestriellement</t>
  </si>
  <si>
    <t xml:space="preserve">Développer des plans de formation individualisés</t>
  </si>
  <si>
    <t xml:space="preserve">Document d'architecture système</t>
  </si>
  <si>
    <t xml:space="preserve">Risques non priorisés</t>
  </si>
  <si>
    <t xml:space="preserve">Prioriser les risques selon leur criticité</t>
  </si>
  <si>
    <t xml:space="preserve">Mettre à jour mensuellement la matrice des risques</t>
  </si>
  <si>
    <t xml:space="preserve">Des registres de communication formelles sont définies pour s’assurer que toutes les parties prenantes sont correctement informées</t>
  </si>
  <si>
    <t xml:space="preserve">Des protocoles encadrent-ils la communication interne formelle ?</t>
  </si>
  <si>
    <t xml:space="preserve">Plan des protocoles applicables</t>
  </si>
  <si>
    <t xml:space="preserve">Délégations floues</t>
  </si>
  <si>
    <t xml:space="preserve">Clarifier les délégations par écrit</t>
  </si>
  <si>
    <t xml:space="preserve">Fiche des registres internes</t>
  </si>
  <si>
    <t xml:space="preserve">registres ambiguës</t>
  </si>
  <si>
    <t xml:space="preserve">Continuité d'activité menacée</t>
  </si>
  <si>
    <t xml:space="preserve">Tester régulièrement les plans de continuité</t>
  </si>
  <si>
    <t xml:space="preserve">Maintenir des solutions de secours opérationnelles</t>
  </si>
  <si>
    <t xml:space="preserve">Vérifier que la communication interne des informations nécessaires
 au contrôle interne est régulièrement suivie, avec des rapports ou
 des audits pour évaluer l'efficacité des mécanismes de
 communication en place</t>
  </si>
  <si>
    <t xml:space="preserve">Des outils informatiques adaptés (par exemple, logiciels de gestion des risques, plateformes collaboratives) sont utilisés pour collecter et analyser les informations relatives au contrôle interne</t>
  </si>
  <si>
    <t xml:space="preserve">Les outils d'analyse répondent-ils aux besoins du contrôle interne ?</t>
  </si>
  <si>
    <t xml:space="preserve">Pièce des besoins analytiques</t>
  </si>
  <si>
    <t xml:space="preserve">Capacité d'innovation réduite</t>
  </si>
  <si>
    <t xml:space="preserve">Créer un comité d'innovation</t>
  </si>
  <si>
    <t xml:space="preserve">Allouer un budget dédié à l'innovation</t>
  </si>
  <si>
    <t xml:space="preserve">Calendrier des évaluations outils</t>
  </si>
  <si>
    <t xml:space="preserve">Outils périmés</t>
  </si>
  <si>
    <t xml:space="preserve">Utilisation de technologies obsolètes</t>
  </si>
  <si>
    <t xml:space="preserve">Établir un plan de migration technologique</t>
  </si>
  <si>
    <t xml:space="preserve">Former aux nouvelles technologies</t>
  </si>
  <si>
    <t xml:space="preserve">Les technologies mises en place sont régulièrement mises à jour pour garantir leur efficacité face aux nouvelles exigences</t>
  </si>
  <si>
    <t xml:space="preserve">La maintenance technologique suit-elle les évolutions nécessaires ?</t>
  </si>
  <si>
    <t xml:space="preserve">Liste des maintenances programmées</t>
  </si>
  <si>
    <t xml:space="preserve">Maintenances négligées</t>
  </si>
  <si>
    <t xml:space="preserve">Détérioration progressive des équipements</t>
  </si>
  <si>
    <t xml:space="preserve">Mettre en place un programme de maintenance prédictive</t>
  </si>
  <si>
    <t xml:space="preserve">Monitorer en continu l'état des équipements</t>
  </si>
  <si>
    <t xml:space="preserve">Rapport d'évolution technologique</t>
  </si>
  <si>
    <t xml:space="preserve">Innovation ralentie</t>
  </si>
  <si>
    <t xml:space="preserve">Retard dans l'adoption de nouvelles technologies</t>
  </si>
  <si>
    <t xml:space="preserve">Créer un calendrier d'adoption technologique</t>
  </si>
  <si>
    <t xml:space="preserve">Nommer des champions du changement</t>
  </si>
  <si>
    <t xml:space="preserve">Les utilisateurs ont accès à des tableaux de bord ou des rapports automatisés pour faciliter la prise de décision en matière de contrôle interne</t>
  </si>
  <si>
    <t xml:space="preserve">Les décideurs disposent-ils d'interfaces décisionnelles automatisées ?</t>
  </si>
  <si>
    <t xml:space="preserve">Registre des interfaces décisionnelles</t>
  </si>
  <si>
    <t xml:space="preserve">Données décisionnelles erronées</t>
  </si>
  <si>
    <t xml:space="preserve">Prises de décision basées sur des informations inexactes</t>
  </si>
  <si>
    <t xml:space="preserve">Implémenter des contrôles qualité des données</t>
  </si>
  <si>
    <t xml:space="preserve">Croiser systématiquement les sources d'information</t>
  </si>
  <si>
    <t xml:space="preserve">Document des fonctionnalités clés</t>
  </si>
  <si>
    <t xml:space="preserve">Fonctionnalités clés non documentées</t>
  </si>
  <si>
    <t xml:space="preserve">Fonctionnalités importantes mal comprises</t>
  </si>
  <si>
    <t xml:space="preserve">Documenter exhaustivement les fonctionnalités</t>
  </si>
  <si>
    <t xml:space="preserve">Organiser des sessions de démonstration</t>
  </si>
  <si>
    <t xml:space="preserve">Les outils de gestion de l’information sont intégrés de manière cohérente aux autres systèmes de l’organisation pour éviter les silos d’information</t>
  </si>
  <si>
    <t xml:space="preserve">L'interopérabilité des systèmes évite-t-elle les silos informationnels ?</t>
  </si>
  <si>
    <t xml:space="preserve">Plan d'interopérabilité système</t>
  </si>
  <si>
    <t xml:space="preserve">Interopérabilité système défaillante</t>
  </si>
  <si>
    <t xml:space="preserve">Incompatibilité entre les systèmes</t>
  </si>
  <si>
    <t xml:space="preserve">Standardiser les protocoles d'intégration</t>
  </si>
  <si>
    <t xml:space="preserve">Mettre en place des tests d'interopérabilité</t>
  </si>
  <si>
    <t xml:space="preserve">Fiche de connectivité applicative</t>
  </si>
  <si>
    <t xml:space="preserve">Connectivité applicative instable</t>
  </si>
  <si>
    <t xml:space="preserve">Instabilité des connexions entre applications</t>
  </si>
  <si>
    <t xml:space="preserve">Optimiser l'infrastructure réseau</t>
  </si>
  <si>
    <t xml:space="preserve">Implémenter des solutions de failover</t>
  </si>
  <si>
    <t xml:space="preserve">Des formations sont proposées pour assurer une utilisation optimale des outils et technologies disponibles</t>
  </si>
  <si>
    <t xml:space="preserve">L'appropriation des outils fait-elle l'objet de formations spécifiques ?</t>
  </si>
  <si>
    <t xml:space="preserve">Pièce des modules de formation</t>
  </si>
  <si>
    <t xml:space="preserve">Modules de formation obsolètes</t>
  </si>
  <si>
    <t xml:space="preserve">Contenus de formation dépassés</t>
  </si>
  <si>
    <t xml:space="preserve">Actualiser trimestriellement les contenus de formation</t>
  </si>
  <si>
    <t xml:space="preserve">Impliquer les experts métiers dans les formations</t>
  </si>
  <si>
    <t xml:space="preserve">Calendrier des sessions dédiées</t>
  </si>
  <si>
    <t xml:space="preserve">Sessions dédiées annulées</t>
  </si>
  <si>
    <t xml:space="preserve">Annulation de sessions de formation spécialisées</t>
  </si>
  <si>
    <t xml:space="preserve">Développer des programmes de formation alternatifs</t>
  </si>
  <si>
    <t xml:space="preserve">Mettre en place un système de mentorat</t>
  </si>
  <si>
    <t xml:space="preserve">S’assurer que l’organisation dispose de processus formels pour
 communiquer avec les tiers sur les points pertinents concernant le
 contrôle interne, notamment les risques et les mesures prises pour y
 faire face</t>
  </si>
  <si>
    <t xml:space="preserve">Des processus formels de communication interne sont définis, y compris des registres de diffusion des informations nécessaires pour le contrôle interne</t>
  </si>
  <si>
    <t xml:space="preserve">La politique de communication interne est-elle clairement établie ?</t>
  </si>
  <si>
    <t xml:space="preserve">Liste des règles de communication</t>
  </si>
  <si>
    <t xml:space="preserve">Règles de communication ambiguës</t>
  </si>
  <si>
    <t xml:space="preserve">Malentendus fréquents dans les communications</t>
  </si>
  <si>
    <t xml:space="preserve">Former aux techniques de communication efficace</t>
  </si>
  <si>
    <t xml:space="preserve">Rapport de conformité interne</t>
  </si>
  <si>
    <t xml:space="preserve">Non-conformité interne persistante</t>
  </si>
  <si>
    <t xml:space="preserve">Persistance des écarts aux normes internes</t>
  </si>
  <si>
    <t xml:space="preserve">Automatiser le suivi de la conformité</t>
  </si>
  <si>
    <t xml:space="preserve">Récompenser les bonnes pratiques</t>
  </si>
  <si>
    <t xml:space="preserve">Les informations pertinentes sont diffusées régulièrement à tous les niveaux de l’organisation en fonction de la pertinence pour chaque groupe</t>
  </si>
  <si>
    <t xml:space="preserve">La diffusion d'information suit-elle une logique de pertinence hiérarchisée ?</t>
  </si>
  <si>
    <t xml:space="preserve">Registre des flux hiérarchisés</t>
  </si>
  <si>
    <t xml:space="preserve">Flux hiérarchisés désorganisés</t>
  </si>
  <si>
    <t xml:space="preserve">Désorganisation des flux d'information prioritaires</t>
  </si>
  <si>
    <t xml:space="preserve">Implémenter un système de tagging par criticité/urgence</t>
  </si>
  <si>
    <t xml:space="preserve">Automatiser le routage selon des règles métiers</t>
  </si>
  <si>
    <t xml:space="preserve">Document de priorisation informationnelle</t>
  </si>
  <si>
    <t xml:space="preserve">Priorisation informationnelle absente</t>
  </si>
  <si>
    <t xml:space="preserve">Absence de hiérarchisation des informations</t>
  </si>
  <si>
    <t xml:space="preserve">Développer une matrice d'évaluation multicritère</t>
  </si>
  <si>
    <t xml:space="preserve">Former aux techniques de priorisation</t>
  </si>
  <si>
    <t xml:space="preserve">Des mécanismes de feedback sont en place pour s’assurer que les informations sont bien comprises et utilisées de manière appropriée</t>
  </si>
  <si>
    <t xml:space="preserve">Des boucles de rétroaction valident-elles la bonne compréhension ?</t>
  </si>
  <si>
    <t xml:space="preserve">Liste des mécanismes de feedback</t>
  </si>
  <si>
    <t xml:space="preserve">Mécanismes de feedback inefficaces</t>
  </si>
  <si>
    <t xml:space="preserve">Retours utilisateurs mal pris en compte</t>
  </si>
  <si>
    <t xml:space="preserve">Standardiser les canaux de collecte de feedback</t>
  </si>
  <si>
    <t xml:space="preserve">Mettre en place des boucles de rétroaction systématiques</t>
  </si>
  <si>
    <t xml:space="preserve">Rapport de validation de compréhension</t>
  </si>
  <si>
    <t xml:space="preserve">Validation de compréhension non effectuée</t>
  </si>
  <si>
    <t xml:space="preserve">Compréhension non vérifiée systématiquement</t>
  </si>
  <si>
    <t xml:space="preserve">Implémenter des quizz de validation post-communication</t>
  </si>
  <si>
    <t xml:space="preserve">Mesurer régulièrement le taux de compréhension</t>
  </si>
  <si>
    <t xml:space="preserve">Des supports de communication adaptés (ex newsletters, bulletins) sont utilisés pour diffuser les informations de manière claire et accessible</t>
  </si>
  <si>
    <t xml:space="preserve">Les supports de communication sont-ils adaptés à leur public ?</t>
  </si>
  <si>
    <t xml:space="preserve">Registre des supports adaptés</t>
  </si>
  <si>
    <t xml:space="preserve">Supports inadaptés aux besoins</t>
  </si>
  <si>
    <t xml:space="preserve">Supports inadaptés aux utilisateurs finaux</t>
  </si>
  <si>
    <t xml:space="preserve">Réaliser des tests utilisateurs avant déploiement</t>
  </si>
  <si>
    <t xml:space="preserve">Adopter des principes de design universel</t>
  </si>
  <si>
    <t xml:space="preserve">Document d'analyse des publics cibles</t>
  </si>
  <si>
    <t xml:space="preserve">Publics cibles mal identifiés</t>
  </si>
  <si>
    <t xml:space="preserve">Publics destinataires mal ciblés</t>
  </si>
  <si>
    <t xml:space="preserve">Segmenter les audiences par profils d'utilisation</t>
  </si>
  <si>
    <t xml:space="preserve">Personnaliser les contenus par persona</t>
  </si>
  <si>
    <t xml:space="preserve">La transparence des informations est évaluée régulièrement</t>
  </si>
  <si>
    <t xml:space="preserve">La clarté des informations partagées est-elle régulièrement évaluée ?</t>
  </si>
  <si>
    <t xml:space="preserve">Plan d'évaluation de clarté</t>
  </si>
  <si>
    <t xml:space="preserve">Évaluation de clarté insuffisante</t>
  </si>
  <si>
    <t xml:space="preserve">Évaluation insuffisante de la clarté</t>
  </si>
  <si>
    <t xml:space="preserve">Appliquer des tests de lisibilité standardisés</t>
  </si>
  <si>
    <t xml:space="preserve">Former aux normes d'accessibilité</t>
  </si>
  <si>
    <t xml:space="preserve">Fiche des critères de lisibilité</t>
  </si>
  <si>
    <t xml:space="preserve">Critères de lisibilité non appliqués</t>
  </si>
  <si>
    <t xml:space="preserve">Normes de lisibilité ignorées</t>
  </si>
  <si>
    <t xml:space="preserve">Cartographier les canaux officiels par type d'information</t>
  </si>
  <si>
    <t xml:space="preserve">Automatiser les contrôles de conformité des canaux</t>
  </si>
  <si>
    <t xml:space="preserve">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</si>
  <si>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 xml:space="preserve">Les informations sont filtrées et adaptées selon les rôles et responsabilités des différentes parties prenantes</t>
  </si>
  <si>
    <t xml:space="preserve">La distribution d'information respecte-t-elle le principe de besoin de savoir ?</t>
  </si>
  <si>
    <t xml:space="preserve">Pièce des règles de distribution</t>
  </si>
  <si>
    <t xml:space="preserve">Règles de distribution non respectées</t>
  </si>
  <si>
    <t xml:space="preserve">Non-respect des canaux de distribution</t>
  </si>
  <si>
    <t xml:space="preserve">Implémenter un système de gestion des identités</t>
  </si>
  <si>
    <t xml:space="preserve">Auditer trimestriellement les accès</t>
  </si>
  <si>
    <t xml:space="preserve">Calendrier des contrôles d'accès</t>
  </si>
  <si>
    <t xml:space="preserve">Contrôles d'accès irréguliers</t>
  </si>
  <si>
    <t xml:space="preserve">Contrôles d'accès inconstants</t>
  </si>
  <si>
    <t xml:space="preserve">Publier un RACI mis à jour trimestriellement</t>
  </si>
  <si>
    <t xml:space="preserve">Lier les responsabilités aux objectifs individuels</t>
  </si>
  <si>
    <t xml:space="preserve">Les niveaux de responsabilité sont clairement définis et les informations sont partagées uniquement avec les parties concernées</t>
  </si>
  <si>
    <t xml:space="preserve">La matrice des responsabilités guide-t-elle le partage d'information ?</t>
  </si>
  <si>
    <t xml:space="preserve">Liste des responsabilités définies</t>
  </si>
  <si>
    <t xml:space="preserve">Flou dans l'attribution des responsabilités</t>
  </si>
  <si>
    <t xml:space="preserve">Mettre en place un référentiel de compétences dynamique</t>
  </si>
  <si>
    <t xml:space="preserve">Aligner les habilitations sur les évaluations annuelles</t>
  </si>
  <si>
    <t xml:space="preserve">Rapport d'application de la matrice</t>
  </si>
  <si>
    <t xml:space="preserve">Matrice non appliquée</t>
  </si>
  <si>
    <t xml:space="preserve">Non-application des matrices de compétences</t>
  </si>
  <si>
    <t xml:space="preserve">Automatiser les mises à jour de profils</t>
  </si>
  <si>
    <t xml:space="preserve">Synchroniser avec les RH mensuellement</t>
  </si>
  <si>
    <t xml:space="preserve">Des processus sont mis en place pour garantir que les parties prenantes reçoivent les informations dans un format adapté à leurs besoins et à leur niveau de décision</t>
  </si>
  <si>
    <t xml:space="preserve">Les processus garantissent-ils un accès différencié selon les profils ?</t>
  </si>
  <si>
    <t xml:space="preserve">Registre des profils utilisateurs</t>
  </si>
  <si>
    <t xml:space="preserve">Profils utilisateurs non actualisés</t>
  </si>
  <si>
    <t xml:space="preserve">Profils utilisateurs non à jour</t>
  </si>
  <si>
    <t xml:space="preserve">Réviser semestriellement les droits</t>
  </si>
  <si>
    <t xml:space="preserve">Document des droits d'accès</t>
  </si>
  <si>
    <t xml:space="preserve">Droits d'accès trop permissifs</t>
  </si>
  <si>
    <t xml:space="preserve">Droits d'accès trop larges</t>
  </si>
  <si>
    <t xml:space="preserve">Établir un plan de formation continue obligatoire</t>
  </si>
  <si>
    <t xml:space="preserve">Lier les évolutions de poste aux formations</t>
  </si>
  <si>
    <t xml:space="preserve">Des formations sont proposées pour garantir que les parties prenantes comprennent bien les informations partagées et leur rôle dans le contrôle interne</t>
  </si>
  <si>
    <t xml:space="preserve">Des modules pédagogiques facilitent-ils l'appropriation des informations ?</t>
  </si>
  <si>
    <t xml:space="preserve">Plan de formation continue</t>
  </si>
  <si>
    <t xml:space="preserve">Formation continue négligée</t>
  </si>
  <si>
    <t xml:space="preserve">Formation continue insuffisante</t>
  </si>
  <si>
    <t xml:space="preserve">Créer un comité de révision pédagogique</t>
  </si>
  <si>
    <t xml:space="preserve">Mettre en place un cycle de mise à jour semestriel</t>
  </si>
  <si>
    <t xml:space="preserve">Fiche des modules pédagogiques</t>
  </si>
  <si>
    <t xml:space="preserve">Modules pédagogiques non révisés</t>
  </si>
  <si>
    <t xml:space="preserve">Modules pédagogiques non actualisés</t>
  </si>
  <si>
    <t xml:space="preserve">Imposer des deadlines pour les révisions</t>
  </si>
  <si>
    <t xml:space="preserve">Automatiser les alertes de révision</t>
  </si>
  <si>
    <t xml:space="preserve">Les informations partagées sont régulièrement évaluées pour s’assurer qu’elles sont toujours pertinentes et compréhensibles pour les destinataires</t>
  </si>
  <si>
    <t xml:space="preserve">La pertinence des contenus diffusés est-elle périodiquement réévaluée ?</t>
  </si>
  <si>
    <t xml:space="preserve">Pièce des révisions éditoriales</t>
  </si>
  <si>
    <t xml:space="preserve">Révisions éditoriales retardées</t>
  </si>
  <si>
    <t xml:space="preserve">Retards dans les révisions éditoriales</t>
  </si>
  <si>
    <t xml:space="preserve">Élaborer une grille d'évaluation standardisée</t>
  </si>
  <si>
    <t xml:space="preserve">Former les évaluateurs à l'analyse objective</t>
  </si>
  <si>
    <t xml:space="preserve">Calendrier des évaluations de contenu</t>
  </si>
  <si>
    <t xml:space="preserve">Évaluations de contenu non faites</t>
  </si>
  <si>
    <t xml:space="preserve">Absence d'évaluation des contenus</t>
  </si>
  <si>
    <t xml:space="preserve">Développer des guidelines de communication unifiés</t>
  </si>
  <si>
    <t xml:space="preserve">Nommer des référents communication par domaine</t>
  </si>
  <si>
    <t xml:space="preserve">S’assurer que les informations partagées avec les tiers sont
 pertinentes, complètes et compréhensibles, et qu’elles sont
 adaptées au rôle et aux besoins de chaque partie prenante externe</t>
  </si>
  <si>
    <t xml:space="preserve">Les informations partagées avec les tiers sont spécifiquement adaptées à leurs besoins et à leur niveau de compréhension</t>
  </si>
  <si>
    <t xml:space="preserve">Les communications externes sont-elles spécifiquement adaptées ?</t>
  </si>
  <si>
    <t xml:space="preserve">Liste des communications externes</t>
  </si>
  <si>
    <t xml:space="preserve">Communications externes incohérentes</t>
  </si>
  <si>
    <t xml:space="preserve">Incohérence dans les communications externes</t>
  </si>
  <si>
    <t xml:space="preserve">Adapter les supports aux spécificités des parties prenantes</t>
  </si>
  <si>
    <t xml:space="preserve">Créer des personas pour chaque catégorie</t>
  </si>
  <si>
    <t xml:space="preserve">Rapport d'adaptation aux parties prenantes</t>
  </si>
  <si>
    <t xml:space="preserve">Adaptation aux parties prenantes insuffisante</t>
  </si>
  <si>
    <t xml:space="preserve">Mauvaise adaptation aux parties prenantes</t>
  </si>
  <si>
    <t xml:space="preserve">Implémenter des filtres qualité automatisés</t>
  </si>
  <si>
    <t xml:space="preserve">Introduire des validations croisées</t>
  </si>
  <si>
    <t xml:space="preserve">Des processus sont en place pour vérifier la pertinence et la précision des informations avant leur diffusion vers les parties externes</t>
  </si>
  <si>
    <t xml:space="preserve">Un filtre qualité s'applique-t-il aux informations externes ?</t>
  </si>
  <si>
    <t xml:space="preserve">Registre des filtres qualité</t>
  </si>
  <si>
    <t xml:space="preserve">Filtres qualité inefficaces</t>
  </si>
  <si>
    <t xml:space="preserve">Solliciter des relectures par experts externes</t>
  </si>
  <si>
    <t xml:space="preserve">Benchmarker avec les meilleures pratiques sectorielles</t>
  </si>
  <si>
    <t xml:space="preserve">Document de validation externe</t>
  </si>
  <si>
    <t xml:space="preserve">Validation externe absente</t>
  </si>
  <si>
    <t xml:space="preserve">Absence de validation externe</t>
  </si>
  <si>
    <t xml:space="preserve">Former à la vulgarisation technique</t>
  </si>
  <si>
    <t xml:space="preserve">Développer un glossaire interactif</t>
  </si>
  <si>
    <t xml:space="preserve">Les informations sont rédigées dans un format clair et compréhensible pour les destinataires, en évitant le jargon ou les termes trop techniques</t>
  </si>
  <si>
    <t xml:space="preserve">Le langage employé est-il adapté à la compréhension des tiers ?</t>
  </si>
  <si>
    <t xml:space="preserve">Plan de simplification linguistique</t>
  </si>
  <si>
    <t xml:space="preserve">Simplification linguistique non réalisée</t>
  </si>
  <si>
    <t xml:space="preserve">Langage trop technique non simplifié</t>
  </si>
  <si>
    <t xml:space="preserve">Compléter et actualiser trimestriellement les glossaires</t>
  </si>
  <si>
    <t xml:space="preserve">Intégrer des explications contextuelles</t>
  </si>
  <si>
    <t xml:space="preserve">Fiche des glossaires disponibles</t>
  </si>
  <si>
    <t xml:space="preserve">Glossaires incomplets</t>
  </si>
  <si>
    <t xml:space="preserve">Imposer des normes de concision</t>
  </si>
  <si>
    <t xml:space="preserve">Former aux techniques de synthèse</t>
  </si>
  <si>
    <t xml:space="preserve">Des guides ou des résumés exécutifs sont fournis lorsque cela est nécessaire pour faciliter la compréhension des informations complexes</t>
  </si>
  <si>
    <t xml:space="preserve">Des synthèses accompagnent-elles les documents complexes ?</t>
  </si>
  <si>
    <t xml:space="preserve">registre de synthèse des documents complexes</t>
  </si>
  <si>
    <t xml:space="preserve">Synthèse des documents complexe</t>
  </si>
  <si>
    <t xml:space="preserve">Complexité excessive des synthèses</t>
  </si>
  <si>
    <t xml:space="preserve">Standardiser les templates de fiches techniques</t>
  </si>
  <si>
    <t xml:space="preserve">Automatiser les contrôles de conformité</t>
  </si>
  <si>
    <t xml:space="preserve">Modèle type de fiche synthétique</t>
  </si>
  <si>
    <t xml:space="preserve">Fiches synthétiques non standardisées</t>
  </si>
  <si>
    <t xml:space="preserve">Fiches techniques non standardisées</t>
  </si>
  <si>
    <t xml:space="preserve">Planifier des revues documentaires trimestrielles</t>
  </si>
  <si>
    <t xml:space="preserve">Affecter des responsables par famille documentaire</t>
  </si>
  <si>
    <t xml:space="preserve">Les informations sont régulièrement mises à jour pour refléter les changements dans les opérations ou la réglementation de l’organisation</t>
  </si>
  <si>
    <t xml:space="preserve">La révision des informations suit-elle l'évolution du contexte ?</t>
  </si>
  <si>
    <t xml:space="preserve">Calendrier de révision des documents</t>
  </si>
  <si>
    <t xml:space="preserve">Révision des documents retardée</t>
  </si>
  <si>
    <t xml:space="preserve">Retard dans la révision des documents</t>
  </si>
  <si>
    <t xml:space="preserve">Digitaliser le suivi des mises à jour</t>
  </si>
  <si>
    <t xml:space="preserve">Configurer des alertes sur documents obsolètes</t>
  </si>
  <si>
    <t xml:space="preserve">Politique de mise à jour documentaire</t>
  </si>
  <si>
    <t xml:space="preserve">Mises à jour documentaires irrégulières</t>
  </si>
  <si>
    <t xml:space="preserve">Centraliser les engagements dans un registre contractuel</t>
  </si>
  <si>
    <t xml:space="preserve">Automatiser les alertes d'échéance</t>
  </si>
  <si>
    <t xml:space="preserve">Activités de Surveillance</t>
  </si>
  <si>
    <t xml:space="preserve">Évaluations continues et indépendantes</t>
  </si>
  <si>
    <t xml:space="preserve">Vérifier que des mécanismes de suivi et de contrôle sont en place
 pour s’assurer que les tiers respectent les engagements relatifs au
 contrôle interne, et que les résultats de cette coopération sont
 régulièrement évalués</t>
  </si>
  <si>
    <t xml:space="preserve">L'organisation dispose de contrats ou accors formels définissant les obligations des tiers en matière de contrôle interne</t>
  </si>
  <si>
    <t xml:space="preserve">Les engagements des tiers sont-ils contractualisés ?</t>
  </si>
  <si>
    <t xml:space="preserve">Contrat type avec engagements tiers</t>
  </si>
  <si>
    <t xml:space="preserve">Engagements tiers non formalisés</t>
  </si>
  <si>
    <t xml:space="preserve">Engagements tiers non contractualisés</t>
  </si>
  <si>
    <t xml:space="preserve">Implémenter un système de suivi des obligations</t>
  </si>
  <si>
    <t xml:space="preserve">Générer des rapports d'avancement mensuels</t>
  </si>
  <si>
    <t xml:space="preserve">Registre des engagements contractuels</t>
  </si>
  <si>
    <t xml:space="preserve">Engagements contractuels non suivis</t>
  </si>
  <si>
    <t xml:space="preserve">Non-suivi des engagements contractuels</t>
  </si>
  <si>
    <t xml:space="preserve">Développer des indicateurs de performance objectifs</t>
  </si>
  <si>
    <t xml:space="preserve">Croiser les données avec des sources externes</t>
  </si>
  <si>
    <t xml:space="preserve">Des indicateurs de suivi de la conformité des tiers sont mis en place et suivis régulièrement</t>
  </si>
  <si>
    <t xml:space="preserve">Le respect des obligations tierces fait-il l'objet de suivi ?</t>
  </si>
  <si>
    <t xml:space="preserve">Tableau de bord de suivi des obligations</t>
  </si>
  <si>
    <t xml:space="preserve">Suivi des obligations défaillant</t>
  </si>
  <si>
    <t xml:space="preserve">Défaillance dans le suivi des obligations</t>
  </si>
  <si>
    <t xml:space="preserve">Diversifier les méthodes d'audit</t>
  </si>
  <si>
    <t xml:space="preserve">Impliquer des auditeurs externes ponctuellement</t>
  </si>
  <si>
    <t xml:space="preserve">Grille d'évaluation des performances</t>
  </si>
  <si>
    <t xml:space="preserve">Evaluation des performances biaisées</t>
  </si>
  <si>
    <t xml:space="preserve">Évaluation biaisée des performances</t>
  </si>
  <si>
    <t xml:space="preserve">Standardiser les protocoles de contrôle</t>
  </si>
  <si>
    <t xml:space="preserve">Automatiser les contrôles récurrents</t>
  </si>
  <si>
    <t xml:space="preserve">Des audits ou revues de conformité des tiers sont réalisés périodiquement pour évaluer le respect des engagements</t>
  </si>
  <si>
    <t xml:space="preserve">La conformité des tiers est-elle vérifiée périodiquement ?</t>
  </si>
  <si>
    <t xml:space="preserve">Programme annuel d'audit des tiers</t>
  </si>
  <si>
    <t xml:space="preserve">Couverture d'audit insuffisante ou non représentative</t>
  </si>
  <si>
    <t xml:space="preserve">Audits non représentatifs</t>
  </si>
  <si>
    <t xml:space="preserve">Mettre en place un système de déclaration obligatoire</t>
  </si>
  <si>
    <t xml:space="preserve">Sanctionner les omissions répétées</t>
  </si>
  <si>
    <t xml:space="preserve">Checklist de vérification de conformité</t>
  </si>
  <si>
    <t xml:space="preserve">Contrôles incomplets ou non standardisés</t>
  </si>
  <si>
    <t xml:space="preserve">Contrôles partiels ou non standardisés</t>
  </si>
  <si>
    <t xml:space="preserve">Améliorer la traçabilité via un système centralisé</t>
  </si>
  <si>
    <t xml:space="preserve">Implémenter des analyses de tendances</t>
  </si>
  <si>
    <t xml:space="preserve">Un processus de remontée des incidents liés au non-respect des engagements des tiers est défini et appliqué</t>
  </si>
  <si>
    <t xml:space="preserve">Un dispositif signale-t-il les manquements des partenaires ?</t>
  </si>
  <si>
    <t xml:space="preserve">document de signalement des manquements</t>
  </si>
  <si>
    <t xml:space="preserve">Sous-déclaration des non-conformités</t>
  </si>
  <si>
    <t xml:space="preserve">Sous-déclaration des écarts</t>
  </si>
  <si>
    <t xml:space="preserve">Développer des grilles d'évaluation objectives</t>
  </si>
  <si>
    <t xml:space="preserve">Registre des écarts fournisseurs</t>
  </si>
  <si>
    <t xml:space="preserve">Absence de traçabilité des défaillances fournisseurs</t>
  </si>
  <si>
    <t xml:space="preserve">Traçabilité insuffisante des problèmes fournisseurs</t>
  </si>
  <si>
    <t xml:space="preserve">Enrichir la cartographie des risques mensuellement</t>
  </si>
  <si>
    <t xml:space="preserve">Les résultats des évaluations des tiers sont documentés et intégrés dans le processus global de gestion des risques</t>
  </si>
  <si>
    <t xml:space="preserve">Les évaluations des tiers sont-elles intégrées au système de risque ?</t>
  </si>
  <si>
    <t xml:space="preserve">Méthodologie d'évaluation des risques tiers</t>
  </si>
  <si>
    <t xml:space="preserve">Méthode d'évaluation subjective ou non actualisée</t>
  </si>
  <si>
    <t xml:space="preserve">Méthodes d'évaluation subjectives</t>
  </si>
  <si>
    <t xml:space="preserve">Renforcer les contrôles d'accès aux données sensibles</t>
  </si>
  <si>
    <t xml:space="preserve">Implémenter des solutions de DLP (Data Loss Prevention)</t>
  </si>
  <si>
    <t xml:space="preserve">Rapport d'intégration des risques</t>
  </si>
  <si>
    <t xml:space="preserve">Vision partielle ou biaisée des expositions</t>
  </si>
  <si>
    <t xml:space="preserve">Vision incomplète des risques</t>
  </si>
  <si>
    <t xml:space="preserve">Auditer les clauses de confidentialité annuellement</t>
  </si>
  <si>
    <t xml:space="preserve">Former systématiquement sur les engagements</t>
  </si>
  <si>
    <t xml:space="preserve">S’assurer que des mesures sont mises en place pour gérer les
 risques associés à la communication avec les tiers, notamment en
 termes de confidentialité, de conformité aux réglementations et de
 protection des données sensibles</t>
  </si>
  <si>
    <t xml:space="preserve">Des clauses de confidentialité et de protection des données sont intégrées aux contrats avec les tiers</t>
  </si>
  <si>
    <t xml:space="preserve">La confidentialité des données partagées est-elle garantie contractuellement ?</t>
  </si>
  <si>
    <t xml:space="preserve">Annexe confidentielle type</t>
  </si>
  <si>
    <t xml:space="preserve">Divulgation non autorisée d'informations sensibles</t>
  </si>
  <si>
    <t xml:space="preserve">Fuite d'informations sensibles</t>
  </si>
  <si>
    <t xml:space="preserve">Établir une classification des tiers par criticité</t>
  </si>
  <si>
    <t xml:space="preserve">Adapter les contrôles selon le niveau de risque</t>
  </si>
  <si>
    <t xml:space="preserve">Clause de confidentialité standard</t>
  </si>
  <si>
    <t xml:space="preserve">Violation des obligations contractuelles de confidentialité</t>
  </si>
  <si>
    <t xml:space="preserve">Violation des clauses de confidentialité</t>
  </si>
  <si>
    <t xml:space="preserve">Approfondir les analyses via des outils spécialisés</t>
  </si>
  <si>
    <t xml:space="preserve">Nommer des responsables data par domaine</t>
  </si>
  <si>
    <t xml:space="preserve">Les tiers ayant accès à des informations sensibles sont soumis à des évaluations préalables et régulières de leur sécurité</t>
  </si>
  <si>
    <t xml:space="preserve">Les tiers accédant à des données sensibles sont-ils évalués ?</t>
  </si>
  <si>
    <t xml:space="preserve">registre d'évaluation des tiers sensibles</t>
  </si>
  <si>
    <t xml:space="preserve">Identification erronée des tiers critiques</t>
  </si>
  <si>
    <t xml:space="preserve">Mauvaise identification des tiers critiques</t>
  </si>
  <si>
    <t xml:space="preserve">Automatiser le suivi des engagements contractuels</t>
  </si>
  <si>
    <t xml:space="preserve">Générer des alertes sur les manquements</t>
  </si>
  <si>
    <t xml:space="preserve">Grille d'analyse des risques données</t>
  </si>
  <si>
    <t xml:space="preserve">Analyse superficielle des risques data</t>
  </si>
  <si>
    <t xml:space="preserve">Affecter des responsables conformité</t>
  </si>
  <si>
    <t xml:space="preserve">Un cadre de conformité réglementaire est défini pour s’assurer du respect des lois sur la protection des données et la cybersécurité</t>
  </si>
  <si>
    <t xml:space="preserve">Le cadre réglementaire s'impose-t-il aux relations avec les tiers ?</t>
  </si>
  <si>
    <t xml:space="preserve">Charte relations fournisseurs</t>
  </si>
  <si>
    <t xml:space="preserve">Engagements contractuels non respectés</t>
  </si>
  <si>
    <t xml:space="preserve">Non-respect des engagements contractuels</t>
  </si>
  <si>
    <t xml:space="preserve">Tester trimestriellement les procédures de crise</t>
  </si>
  <si>
    <t xml:space="preserve">Mettre à jour les scénarios post-test</t>
  </si>
  <si>
    <t xml:space="preserve">Référentiel de conformité réglementaire</t>
  </si>
  <si>
    <t xml:space="preserve">Références réglementaires obsolètes</t>
  </si>
  <si>
    <t xml:space="preserve">Références réglementaires périmées</t>
  </si>
  <si>
    <t xml:space="preserve">Standardiser les procédures de traitement des écarts</t>
  </si>
  <si>
    <t xml:space="preserve">Documenter systématiquement les corrections</t>
  </si>
  <si>
    <t xml:space="preserve">Des registres de gestion des incidents de sécurité impliquant des tiers sont établies et testées régulièrement</t>
  </si>
  <si>
    <t xml:space="preserve">La gestion des incidents impliquant des tiers est-elle formalisée ?</t>
  </si>
  <si>
    <t xml:space="preserve">Plan de gestion des incidents tiers</t>
  </si>
  <si>
    <t xml:space="preserve">Procédures de crise inefficaces ou méconnues</t>
  </si>
  <si>
    <t xml:space="preserve">Procédures de crise inefficaces</t>
  </si>
  <si>
    <t xml:space="preserve">Automatiser la révocation des accès</t>
  </si>
  <si>
    <t xml:space="preserve">Synchroniser avec les processus RH</t>
  </si>
  <si>
    <t xml:space="preserve">Protocole de traitement des écarts</t>
  </si>
  <si>
    <t xml:space="preserve">Traitement incohérent des non-conformités</t>
  </si>
  <si>
    <t xml:space="preserve">Traitement incohérent des écarts</t>
  </si>
  <si>
    <t xml:space="preserve">Renforcer les processus de vérification d'habilitation</t>
  </si>
  <si>
    <t xml:space="preserve">Introduire des contrôles biométriques pour les accès sensibles</t>
  </si>
  <si>
    <t xml:space="preserve">Les accès aux données et aux systèmes d’information par les tiers sont contrôlés et limités selon le principe du moindre privilège</t>
  </si>
  <si>
    <t xml:space="preserve">L'accès des tiers aux systèmes est-il strictement contrôlé ?</t>
  </si>
  <si>
    <t xml:space="preserve">Liste des accès tiers autorisés</t>
  </si>
  <si>
    <t xml:space="preserve">Accès excessifs ou non révoqués</t>
  </si>
  <si>
    <t xml:space="preserve">Accès non revoqués</t>
  </si>
  <si>
    <t xml:space="preserve">Digitaliser les processus de validation</t>
  </si>
  <si>
    <t xml:space="preserve">Implémenter des alertes sur validations expirées</t>
  </si>
  <si>
    <t xml:space="preserve">Fiche de contrôle des habilitations</t>
  </si>
  <si>
    <t xml:space="preserve">Vérifications d'habilitation non fiables</t>
  </si>
  <si>
    <t xml:space="preserve">Planifier un calendrier de contrôles réguliers</t>
  </si>
  <si>
    <t xml:space="preserve">Automatiser la génération des rapports de contrôle</t>
  </si>
  <si>
    <t xml:space="preserve">Vérifier que les résultats des échanges avec les tiers sont
 documentés et intégrés dans le système de gestion des risques, afin
 d’assurer que le contrôle interne reste efficace face aux risques
 externes</t>
  </si>
  <si>
    <t xml:space="preserve">Un processus de validation est en place pour garantir la fiabilité des informations partagées avec les tiers</t>
  </si>
  <si>
    <t xml:space="preserve">La crédibilité des informations transmises aux tiers est-elle validée ?</t>
  </si>
  <si>
    <t xml:space="preserve">Registre des validations d'informations</t>
  </si>
  <si>
    <t xml:space="preserve">Validations non documentées ou expirées</t>
  </si>
  <si>
    <t xml:space="preserve">Validations non tracées ou expirées</t>
  </si>
  <si>
    <t xml:space="preserve">Mettre en place des KPI de qualité documentaire</t>
  </si>
  <si>
    <t xml:space="preserve">Lier les indicateurs aux objectifs qualité</t>
  </si>
  <si>
    <t xml:space="preserve">Calendrier des vérifications documentaires</t>
  </si>
  <si>
    <t xml:space="preserve">Retards dans les contrôles périodiques</t>
  </si>
  <si>
    <t xml:space="preserve">Retards dans les contrôles réguliers</t>
  </si>
  <si>
    <t xml:space="preserve">Développer des tableaux de bord de suivi contractuel</t>
  </si>
  <si>
    <t xml:space="preserve">Aligner les indicateurs sur les engagements stratégiques</t>
  </si>
  <si>
    <t xml:space="preserve">Les résultats des interactions avec les tiers sont pris en compte dans l’actualisation des cartographies des risques</t>
  </si>
  <si>
    <t xml:space="preserve">Les interactions avec les tiers nourrissent-elles la cartographie des risques ?</t>
  </si>
  <si>
    <t xml:space="preserve">Rapport d'intégration des risques tiers</t>
  </si>
  <si>
    <t xml:space="preserve">Reporting incomplet sur les risques fournisseurs</t>
  </si>
  <si>
    <t xml:space="preserve">Standardiser les modèles de reporting fournisseurs</t>
  </si>
  <si>
    <t xml:space="preserve">Automatiser la collecte des données fournisseurs</t>
  </si>
  <si>
    <t xml:space="preserve">Guide d'alimentation de la cartographie</t>
  </si>
  <si>
    <t xml:space="preserve">Cartographie des risques inexacte ou incomplète</t>
  </si>
  <si>
    <t xml:space="preserve">Cartographie des risques imprécise</t>
  </si>
  <si>
    <t xml:space="preserve">Utiliser des outils de cartographie dynamique des risques</t>
  </si>
  <si>
    <t xml:space="preserve">Actualiser mensuellement la matrice risques fournisseurs</t>
  </si>
  <si>
    <t xml:space="preserve">Un mécanisme de retour d’expérience est instauré pour identifier les points d’amélioration des échanges avec les tiers</t>
  </si>
  <si>
    <t xml:space="preserve">Capitalise-t-on sur les retours d'expérience avec les partenaires ?</t>
  </si>
  <si>
    <t xml:space="preserve">Plan de capitalisation des RETEX</t>
  </si>
  <si>
    <t xml:space="preserve">Non-exploitation des leçons apprises</t>
  </si>
  <si>
    <t xml:space="preserve">Non-utilisation des retours d'expérience</t>
  </si>
  <si>
    <t xml:space="preserve">Créer une base de connaissances des incidents fournisseurs</t>
  </si>
  <si>
    <t xml:space="preserve">Imposer des analyses post-incident obligatoires</t>
  </si>
  <si>
    <t xml:space="preserve">Liste des retours partenaires exploitables</t>
  </si>
  <si>
    <t xml:space="preserve">Retours d'expérience non valorisés</t>
  </si>
  <si>
    <t xml:space="preserve">Retours terrains non exploités</t>
  </si>
  <si>
    <t xml:space="preserve">Centraliser les remontées terrains dans un système unique</t>
  </si>
  <si>
    <t xml:space="preserve">Mettre en place des boucles de feedback mensuelles</t>
  </si>
  <si>
    <t xml:space="preserve">Les échanges avec les tiers font l’objet d’un suivi et de comptes rendus réguliers pour assurer la transparence</t>
  </si>
  <si>
    <t xml:space="preserve">La traçabilité des échanges avec les tiers est-elle assurée ?</t>
  </si>
  <si>
    <t xml:space="preserve">Registre des échanges avec les tiers</t>
  </si>
  <si>
    <t xml:space="preserve">Pertes d'informations dans les échanges</t>
  </si>
  <si>
    <t xml:space="preserve">Normaliser les protocoles d'échange d'information</t>
  </si>
  <si>
    <t xml:space="preserve">Sauvegarder automatiquement toutes les communications</t>
  </si>
  <si>
    <t xml:space="preserve">Fiche de traçabilité des correspondances</t>
  </si>
  <si>
    <t xml:space="preserve">Rupture de la traçabilité des communications</t>
  </si>
  <si>
    <t xml:space="preserve">Implémenter un système de traçabilité des échanges</t>
  </si>
  <si>
    <t xml:space="preserve">Utiliser des logs horodatés pour toutes les communications</t>
  </si>
  <si>
    <t xml:space="preserve">Des mécanismes d’alerte sont définis pour détecter toute anomalie dans la communication ou la gestion des engagements des tiers</t>
  </si>
  <si>
    <t xml:space="preserve">Des alertes identifient-elles les anomalies dans les relations tierces ?</t>
  </si>
  <si>
    <t xml:space="preserve">Rapport d'alerte sur anomalies</t>
  </si>
  <si>
    <t xml:space="preserve">Détection tardive des anomalies critiques</t>
  </si>
  <si>
    <t xml:space="preserve">Détection tardive des anomalies majeures</t>
  </si>
  <si>
    <t xml:space="preserve">Configurer des alertes automatiques sur indicateurs clés</t>
  </si>
  <si>
    <t xml:space="preserve">Déployer des outils de détection précoce</t>
  </si>
  <si>
    <t xml:space="preserve">Guide de gestion des indicateurs critiques</t>
  </si>
  <si>
    <t xml:space="preserve">Suivi inefficace des KPI clés</t>
  </si>
  <si>
    <t xml:space="preserve">Suivi inefficace des indicateurs clés</t>
  </si>
  <si>
    <t xml:space="preserve">Développer des tableaux de bord temps réel</t>
  </si>
  <si>
    <t xml:space="preserve">Automatiser les rapports d'anomalies hebdomadaires</t>
  </si>
  <si>
    <t xml:space="preserve">S’assurer que l’organisation met en place des processus
 d’évaluation continue pour surveiller l’efficacité des composantes
 du contrôle interne de manière régulière et systématique</t>
  </si>
  <si>
    <t xml:space="preserve">Un programme d’évaluation continue du contrôle interne est formalisé et mis en œuvre</t>
  </si>
  <si>
    <t xml:space="preserve">L'évaluation permanente du contrôle interne est-elle institutionnalisée ?</t>
  </si>
  <si>
    <t xml:space="preserve">Plan d'évaluation permanente</t>
  </si>
  <si>
    <t xml:space="preserve">Évaluations irrégulières ou superficielles</t>
  </si>
  <si>
    <t xml:space="preserve">Établir un calendrier d'évaluation trimestriel</t>
  </si>
  <si>
    <t xml:space="preserve">Standardiser les grilles d'évaluation</t>
  </si>
  <si>
    <t xml:space="preserve">Liste des référentiels contrôle interne</t>
  </si>
  <si>
    <t xml:space="preserve">Référentiels de contrôle obsolètes</t>
  </si>
  <si>
    <t xml:space="preserve">Mettre à jour semestriellement les référentiels</t>
  </si>
  <si>
    <t xml:space="preserve">Former les équipes aux nouveaux référentiels</t>
  </si>
  <si>
    <t xml:space="preserve">Des indicateurs de performance et de suivi des contrôles internes sont définis et régulièrement actualisés</t>
  </si>
  <si>
    <t xml:space="preserve">Des métriques mesurent-elles la performance des contrôles ?</t>
  </si>
  <si>
    <t xml:space="preserve">Registre des métriques de contrôle</t>
  </si>
  <si>
    <t xml:space="preserve">Métriques de surveillance non pertinentes</t>
  </si>
  <si>
    <t xml:space="preserve">Métriques de surveillance inadaptées</t>
  </si>
  <si>
    <t xml:space="preserve">Adapter les métriques aux processus critiques</t>
  </si>
  <si>
    <t xml:space="preserve">Aligner les indicateurs sur les objectifs stratégiques</t>
  </si>
  <si>
    <t xml:space="preserve">Reporting inexact ou incomplet</t>
  </si>
  <si>
    <t xml:space="preserve">Automatiser la génération des rapports</t>
  </si>
  <si>
    <t xml:space="preserve">Des revues périodiques des processus de contrôle interne sont réalisées par les équipes concernées</t>
  </si>
  <si>
    <t xml:space="preserve">Les processus de contrôle font-ils l'objet de revues systématiques ?</t>
  </si>
  <si>
    <t xml:space="preserve">Calendrier des revues processus</t>
  </si>
  <si>
    <t xml:space="preserve">Revues processus non effectuées à temps</t>
  </si>
  <si>
    <t xml:space="preserve">Revues processus non réalisées à temps</t>
  </si>
  <si>
    <t xml:space="preserve">Planifier des revues processus trimestrielles</t>
  </si>
  <si>
    <t xml:space="preserve">Affecter des responsables par processus</t>
  </si>
  <si>
    <t xml:space="preserve">Guide d'audit des contrôles</t>
  </si>
  <si>
    <t xml:space="preserve">Méthodologie d'audit inadaptée</t>
  </si>
  <si>
    <t xml:space="preserve">Méthodologie d'audit inappropriée</t>
  </si>
  <si>
    <t xml:space="preserve">Former les auditeurs aux meilleures pratiques</t>
  </si>
  <si>
    <t xml:space="preserve">Les évaluations continues du contrôle interne intègrent des analyses de tendances et des benchmarks sectoriels</t>
  </si>
  <si>
    <t xml:space="preserve">Les analyses prospectives enrichissent-elles les évaluations ?</t>
  </si>
  <si>
    <t xml:space="preserve">Plan d'analyse prospective</t>
  </si>
  <si>
    <t xml:space="preserve">Anticipation insuffisante des risques futurs</t>
  </si>
  <si>
    <t xml:space="preserve">Anticipation insuffisante des risques</t>
  </si>
  <si>
    <t xml:space="preserve">Développer des scénarios risques prospectifs</t>
  </si>
  <si>
    <t xml:space="preserve">Organiser des ateliers risques semestriels</t>
  </si>
  <si>
    <t xml:space="preserve">Liste des scénarios risques</t>
  </si>
  <si>
    <t xml:space="preserve">Scénarios risques incomplets ou irréalistes</t>
  </si>
  <si>
    <t xml:space="preserve">Scénarios risques incomplets</t>
  </si>
  <si>
    <t xml:space="preserve">Enrichir la bibliothèque de scénarios types</t>
  </si>
  <si>
    <t xml:space="preserve">Tester annuellement les scénarios critiques</t>
  </si>
  <si>
    <t xml:space="preserve">Un système d’alerte est mis en place pour signaler les écarts ou dysfonctionnements détectés au cours des évaluations</t>
  </si>
  <si>
    <t xml:space="preserve">Un dispositif alerte-t-il sur les dérives constatées ?</t>
  </si>
  <si>
    <t xml:space="preserve">Fiche de surveillance des dérives</t>
  </si>
  <si>
    <t xml:space="preserve">Détection tardive des dérives opérationnelles</t>
  </si>
  <si>
    <t xml:space="preserve">Configurer un système d'alerte multicanal</t>
  </si>
  <si>
    <t xml:space="preserve">Tester mensuellement le système d'alerte</t>
  </si>
  <si>
    <t xml:space="preserve">Guide d'alerte précoce</t>
  </si>
  <si>
    <t xml:space="preserve">Système d'alerte inefficace</t>
  </si>
  <si>
    <t xml:space="preserve">Évaluations ponctuelles non documentées</t>
  </si>
  <si>
    <t xml:space="preserve">Documenter systématiquement les évaluations</t>
  </si>
  <si>
    <t xml:space="preserve">Centraliser les preuves d'évaluation</t>
  </si>
  <si>
    <t xml:space="preserve">Vérifier que des évaluations ponctuelles sont réalisées lors de
 changements importants (réorganisation, introduction de nouvelles
 technologies, etc) pour s’assurer que les composantes du contrôle
 interne restent adaptées et efficaces dans ces nouveaux contextes</t>
  </si>
  <si>
    <t xml:space="preserve">Un processus formel est défini pour déclencher une évaluation du contrôle interne en cas de changement majeur</t>
  </si>
  <si>
    <t xml:space="preserve">Les changements majeurs déclenchent-ils des évaluations ad hoc ?</t>
  </si>
  <si>
    <t xml:space="preserve">Registre des évaluations ad hoc</t>
  </si>
  <si>
    <t xml:space="preserve">Système d'alerte inéfficace</t>
  </si>
  <si>
    <t xml:space="preserve">Réaliser des analyses d'impact préalables</t>
  </si>
  <si>
    <t xml:space="preserve">Impliquer les experts métiers dans les évaluations</t>
  </si>
  <si>
    <t xml:space="preserve">Rapport d'impact des changements</t>
  </si>
  <si>
    <t xml:space="preserve">Sous-estimation des impacts des changements</t>
  </si>
  <si>
    <t xml:space="preserve">Élaborer un plan de gestion du changement</t>
  </si>
  <si>
    <t xml:space="preserve">Former les managers au change management</t>
  </si>
  <si>
    <t xml:space="preserve">Les impacts des transformations organisationnelles ou technologiques sur le contrôle interne sont systématiquement analysés</t>
  </si>
  <si>
    <t xml:space="preserve">L'impact des transformations sur les contrôles est-il systématiquement analysé ?</t>
  </si>
  <si>
    <t xml:space="preserve">Plan d'analyse des transformations</t>
  </si>
  <si>
    <t xml:space="preserve">Mauvaise gestion des transformations</t>
  </si>
  <si>
    <t xml:space="preserve">Adapter les contrôles aux nouveaux risques</t>
  </si>
  <si>
    <t xml:space="preserve">Auditer semestriellement l'adéquation des contrôles</t>
  </si>
  <si>
    <t xml:space="preserve">Liste des adaptations de contrôles</t>
  </si>
  <si>
    <t xml:space="preserve">Contrôles non adaptés aux nouveaux risques</t>
  </si>
  <si>
    <t xml:space="preserve">Contrôles inadaptés aux nouveaux risques</t>
  </si>
  <si>
    <t xml:space="preserve">Renforcer les tests pré-production</t>
  </si>
  <si>
    <t xml:space="preserve">Automatiser les tests régressifs</t>
  </si>
  <si>
    <t xml:space="preserve">Des tests de robustesse des contrôles internes sont réalisés avant et après l’implémentation de nouvelles technologies ou processus</t>
  </si>
  <si>
    <t xml:space="preserve">Des stress tests sont-ils conduits avant et après le déploiement de nouvelles solutions ?</t>
  </si>
  <si>
    <t xml:space="preserve">Plan de stress tests pré-déploiement</t>
  </si>
  <si>
    <t xml:space="preserve">Tests insuffisants avant mise en production</t>
  </si>
  <si>
    <t xml:space="preserve">Tests pré-production insuffisants</t>
  </si>
  <si>
    <t xml:space="preserve">Standardiser les évaluations post-déploiement</t>
  </si>
  <si>
    <t xml:space="preserve">Impliquer des utilisateurs finaux dans les tests</t>
  </si>
  <si>
    <t xml:space="preserve">Rapport d'évaluation post-déploiement</t>
  </si>
  <si>
    <t xml:space="preserve">Évaluation biaisée après implémentation</t>
  </si>
  <si>
    <t xml:space="preserve">Évaluation post-déploiement biaisée</t>
  </si>
  <si>
    <t xml:space="preserve">Déployer des outils de monitoring continu</t>
  </si>
  <si>
    <t xml:space="preserve">Configurer des alertes sur anomalies données</t>
  </si>
  <si>
    <t xml:space="preserve">Un suivi est mis en place pour évaluer l’adaptation des registres de contrôle après chaque évolution importante</t>
  </si>
  <si>
    <t xml:space="preserve">Un monitoring évalue-t-il l'ajustement des registres post-évolution ?</t>
  </si>
  <si>
    <t xml:space="preserve">Fiche de monitoring des registres</t>
  </si>
  <si>
    <t xml:space="preserve">Surveillance inefficace des données critiques</t>
  </si>
  <si>
    <t xml:space="preserve">Surveillance inefficace des données</t>
  </si>
  <si>
    <t xml:space="preserve">Documenter tous les ajustements opérationnels</t>
  </si>
  <si>
    <t xml:space="preserve">Mettre en place un registre des modifications</t>
  </si>
  <si>
    <t xml:space="preserve">Registre des ajustements opérationnels</t>
  </si>
  <si>
    <t xml:space="preserve">Ajustements non documentés ou non conformes</t>
  </si>
  <si>
    <t xml:space="preserve">Ajustements non documentés</t>
  </si>
  <si>
    <t xml:space="preserve">Analyser systématiquement les retours terrains</t>
  </si>
  <si>
    <t xml:space="preserve">Implémenter un système de suivi des actions</t>
  </si>
  <si>
    <t xml:space="preserve">Les évaluations ponctuelles prennent en compte les retours d’expérience et recommandations des parties prenantes internes et externes</t>
  </si>
  <si>
    <t xml:space="preserve">Les retours terrains internes/externes nourrissent-ils les évaluations ad hoc ?</t>
  </si>
  <si>
    <t xml:space="preserve">Liste des retours terrains intégrés</t>
  </si>
  <si>
    <t xml:space="preserve">Retours terrains non pris en compte</t>
  </si>
  <si>
    <t xml:space="preserve">Retours terrains ignorés</t>
  </si>
  <si>
    <t xml:space="preserve">Optimiser l'utilisation des feedbacks</t>
  </si>
  <si>
    <t xml:space="preserve">Former les équipes à l'analyse des retours</t>
  </si>
  <si>
    <t xml:space="preserve">Guide d'exploitation des feedbacks</t>
  </si>
  <si>
    <t xml:space="preserve">Mauvais usage des retours utilisateurs</t>
  </si>
  <si>
    <t xml:space="preserve">Mauvaise utilisation des feedbacks</t>
  </si>
  <si>
    <t xml:space="preserve">Publier un calendrier contraignant des contributions</t>
  </si>
  <si>
    <t xml:space="preserve">Automatiser les rappels pour les échéances</t>
  </si>
  <si>
    <t xml:space="preserve">S’assurer que les responsables des composantes du contrôle
 interne sont impliqués dans les évaluations et qu'ils sont informés
 des résultats afin de pouvoir apporter des améliorations lorsque cela
 est nécessaire</t>
  </si>
  <si>
    <t xml:space="preserve">Les responsables des composantes du contrôle interne participent activement aux revues et audits des contrôles internes</t>
  </si>
  <si>
    <t xml:space="preserve">Les responsables contribuent-ils activement aux revues de contrôle ?</t>
  </si>
  <si>
    <t xml:space="preserve">Calendrier des contributions responsables</t>
  </si>
  <si>
    <t xml:space="preserve">Calendrier non respecté pour les contributions</t>
  </si>
  <si>
    <t xml:space="preserve">Calendrier des contributions non respecté</t>
  </si>
  <si>
    <t xml:space="preserve">Rendre obligatoire la participation aux revues</t>
  </si>
  <si>
    <t xml:space="preserve">Lier la participation aux objectifs individuels</t>
  </si>
  <si>
    <t xml:space="preserve">Rapport de participation aux revues</t>
  </si>
  <si>
    <t xml:space="preserve">Participation insuffisante aux revues qualité</t>
  </si>
  <si>
    <t xml:space="preserve">Participation insuffisante aux revues</t>
  </si>
  <si>
    <t xml:space="preserve">Standardiser la diffusion des résultats</t>
  </si>
  <si>
    <t xml:space="preserve">Centraliser les rapports dans un portail unique</t>
  </si>
  <si>
    <t xml:space="preserve">Un processus formalisé est en place pour la communication des résultats des évaluations aux responsables concernés</t>
  </si>
  <si>
    <t xml:space="preserve">Un circuit formel diffuse-t-il les résultats d'évaluation aux décideurs ?</t>
  </si>
  <si>
    <t xml:space="preserve">registre de diffusion des résultats</t>
  </si>
  <si>
    <t xml:space="preserve">Diffusion incomplète ou tardive des résultats</t>
  </si>
  <si>
    <t xml:space="preserve">Diffusion partielle des résultats</t>
  </si>
  <si>
    <t xml:space="preserve">Documenter le processus décisionnel</t>
  </si>
  <si>
    <t xml:space="preserve">Publier les comptes-rendus de décision</t>
  </si>
  <si>
    <t xml:space="preserve">Circuit formel de reporting décisionnel</t>
  </si>
  <si>
    <t xml:space="preserve">Circuit décisionnel ralenti ou opaque</t>
  </si>
  <si>
    <t xml:space="preserve">Processus décisionnel opaque</t>
  </si>
  <si>
    <t xml:space="preserve">Renforcer la qualité des revues périodiques</t>
  </si>
  <si>
    <t xml:space="preserve">Imposer des plans d'action post-revue</t>
  </si>
  <si>
    <t xml:space="preserve">Des réunions périodiques sont organisées pour discuter des résultats des évaluations et des mesures d’amélioration</t>
  </si>
  <si>
    <t xml:space="preserve">Des revues périodiques analysent-elles les résultats et pistes d'amélioration ?</t>
  </si>
  <si>
    <t xml:space="preserve">Plan de revues périodiques</t>
  </si>
  <si>
    <t xml:space="preserve">Revues périodiques reportées ou superficielles</t>
  </si>
  <si>
    <t xml:space="preserve">Revues périodiques superficielles</t>
  </si>
  <si>
    <t xml:space="preserve">Créer un registre des pistes d'amélioration</t>
  </si>
  <si>
    <t xml:space="preserve">Prioriser les améliorations par impact</t>
  </si>
  <si>
    <t xml:space="preserve">Registre des pistes d'amélioration</t>
  </si>
  <si>
    <t xml:space="preserve">Pistes d'amélioration non exploitées</t>
  </si>
  <si>
    <t xml:space="preserve">Pistes d'amélioration non utilisées</t>
  </si>
  <si>
    <t xml:space="preserve">Mettre en place un suivi des recommandations</t>
  </si>
  <si>
    <t xml:space="preserve">Publier trimestriellement le taux d'application</t>
  </si>
  <si>
    <t xml:space="preserve">Les recommandations issues des évaluations sont suivies et intégrées dans les plans d’action des équipes responsables</t>
  </si>
  <si>
    <t xml:space="preserve">Les préconisations sont-elles intégrées dans les feuilles de route opérationnelles ?</t>
  </si>
  <si>
    <t xml:space="preserve">Feuille de route des préconisations</t>
  </si>
  <si>
    <t xml:space="preserve">Préconisations non appliquées ou retardées</t>
  </si>
  <si>
    <t xml:space="preserve">Recommandations non appliquées</t>
  </si>
  <si>
    <t xml:space="preserve">Utiliser une matrice impact/urgence pour prioriser</t>
  </si>
  <si>
    <t xml:space="preserve">Affecter des ressources dédiées aux actions critiques</t>
  </si>
  <si>
    <t xml:space="preserve">Liste des actions priorisées</t>
  </si>
  <si>
    <t xml:space="preserve">Priorisation inefficace des actions correctives</t>
  </si>
  <si>
    <t xml:space="preserve">Priorisation défaillante des actions</t>
  </si>
  <si>
    <t xml:space="preserve">Former spécifiquement aux nouvelles optimisations</t>
  </si>
  <si>
    <t xml:space="preserve">Certifier les compétences sur les nouveaux processus</t>
  </si>
  <si>
    <t xml:space="preserve">Des formations sont dispensées aux responsables pour leur permettre d’adapter et d’optimiser les dispositifs de contrôle interne</t>
  </si>
  <si>
    <t xml:space="preserve">Des modules pédagogiques aident-ils à l'optimisation des dispositifs ?</t>
  </si>
  <si>
    <t xml:space="preserve">Module pédagogique d'optimisation</t>
  </si>
  <si>
    <t xml:space="preserve">Formation insuffisante sur les optimisations</t>
  </si>
  <si>
    <t xml:space="preserve">Auditer régulièrement le respect des standards</t>
  </si>
  <si>
    <t xml:space="preserve">Guide des bonnes pratiques</t>
  </si>
  <si>
    <t xml:space="preserve">Non-respect des standards opérationnels</t>
  </si>
  <si>
    <t xml:space="preserve">Non-respect des standards</t>
  </si>
  <si>
    <t xml:space="preserve">Réviser annuellement les indicateurs clés</t>
  </si>
  <si>
    <t xml:space="preserve">Aligner les KPI sur les objectifs métiers</t>
  </si>
</sst>
</file>

<file path=xl/styles.xml><?xml version="1.0" encoding="utf-8"?>
<styleSheet xmlns="http://schemas.openxmlformats.org/spreadsheetml/2006/main">
  <numFmts count="3">
    <numFmt numFmtId="164" formatCode="General"/>
    <numFmt numFmtId="165" formatCode="General"/>
    <numFmt numFmtId="166" formatCode="0\ %"/>
  </numFmts>
  <fonts count="33">
    <font>
      <sz val="10"/>
      <name val="Arial"/>
      <family val="2"/>
      <charset val="1"/>
    </font>
    <font>
      <sz val="10"/>
      <name val="Arial"/>
      <family val="0"/>
    </font>
    <font>
      <sz val="10"/>
      <name val="Arial"/>
      <family val="0"/>
    </font>
    <font>
      <sz val="10"/>
      <name val="Arial"/>
      <family val="0"/>
    </font>
    <font>
      <sz val="11"/>
      <color theme="1"/>
      <name val="Aptos Narrow"/>
      <family val="2"/>
      <charset val="1"/>
    </font>
    <font>
      <b val="true"/>
      <sz val="11"/>
      <color theme="1"/>
      <name val="Aptos Narrow"/>
      <family val="2"/>
      <charset val="1"/>
    </font>
    <font>
      <sz val="11"/>
      <color theme="1"/>
      <name val="Aptos Narrow"/>
      <family val="0"/>
      <charset val="1"/>
    </font>
    <font>
      <sz val="11"/>
      <color theme="1"/>
      <name val="Aptos Narrow"/>
      <family val="0"/>
    </font>
    <font>
      <sz val="10"/>
      <color theme="1"/>
      <name val="Arial"/>
      <family val="2"/>
    </font>
    <font>
      <sz val="9"/>
      <color rgb="FF595959"/>
      <name val="Aptos Narrow"/>
      <family val="2"/>
    </font>
    <font>
      <sz val="10"/>
      <color rgb="FF000000"/>
      <name val="Arial"/>
      <family val="2"/>
    </font>
    <font>
      <b val="true"/>
      <sz val="11"/>
      <color rgb="FF000000"/>
      <name val="Calibri"/>
      <family val="0"/>
      <charset val="1"/>
    </font>
    <font>
      <b val="true"/>
      <sz val="11"/>
      <color theme="1"/>
      <name val="Calibri"/>
      <family val="0"/>
      <charset val="1"/>
    </font>
    <font>
      <sz val="11"/>
      <color theme="1"/>
      <name val="Calibri"/>
      <family val="0"/>
      <charset val="1"/>
    </font>
    <font>
      <sz val="11"/>
      <color rgb="FF000000"/>
      <name val="Calibri"/>
      <family val="0"/>
      <charset val="1"/>
    </font>
    <font>
      <i val="true"/>
      <sz val="11"/>
      <color theme="1"/>
      <name val="Calibri"/>
      <family val="0"/>
      <charset val="1"/>
    </font>
    <font>
      <b val="true"/>
      <sz val="12"/>
      <color theme="1"/>
      <name val="aptos"/>
      <family val="0"/>
      <charset val="1"/>
    </font>
    <font>
      <sz val="10"/>
      <name val="Times New Roman"/>
      <family val="1"/>
      <charset val="1"/>
    </font>
    <font>
      <sz val="10"/>
      <name val="Arial"/>
      <family val="2"/>
    </font>
    <font>
      <b val="true"/>
      <sz val="10"/>
      <name val="Arial"/>
      <family val="2"/>
      <charset val="1"/>
    </font>
    <font>
      <sz val="11"/>
      <color theme="1"/>
      <name val="Calibri"/>
      <family val="2"/>
      <charset val="1"/>
    </font>
    <font>
      <sz val="10"/>
      <name val="Times New Roman"/>
      <family val="1"/>
    </font>
    <font>
      <sz val="11"/>
      <name val="Calibri"/>
      <family val="2"/>
      <charset val="1"/>
    </font>
    <font>
      <sz val="9"/>
      <color rgb="FF000000"/>
      <name val="Arial"/>
      <family val="2"/>
      <charset val="1"/>
    </font>
    <font>
      <b val="true"/>
      <sz val="11"/>
      <color rgb="FF000000"/>
      <name val="&quot;Aptos Narrow&quot;"/>
      <family val="0"/>
      <charset val="1"/>
    </font>
    <font>
      <b val="true"/>
      <sz val="11"/>
      <color theme="1"/>
      <name val="&quot;Aptos Narrow&quot;"/>
      <family val="0"/>
      <charset val="1"/>
    </font>
    <font>
      <b val="true"/>
      <sz val="11"/>
      <color rgb="FF000000"/>
      <name val="Arial"/>
      <family val="0"/>
      <charset val="1"/>
    </font>
    <font>
      <sz val="11"/>
      <color rgb="FF000000"/>
      <name val="&quot;Aptos Narrow&quot;"/>
      <family val="0"/>
      <charset val="1"/>
    </font>
    <font>
      <sz val="11"/>
      <color theme="1"/>
      <name val="&quot;Aptos Narrow&quot;"/>
      <family val="0"/>
      <charset val="1"/>
    </font>
    <font>
      <sz val="11"/>
      <color rgb="FF000000"/>
      <name val="Arial"/>
      <family val="0"/>
      <charset val="1"/>
    </font>
    <font>
      <sz val="12"/>
      <color rgb="FF000000"/>
      <name val="&quot;Calibri &quot;"/>
      <family val="0"/>
      <charset val="1"/>
    </font>
    <font>
      <sz val="12"/>
      <color theme="1"/>
      <name val="Calibri"/>
      <family val="0"/>
      <charset val="1"/>
    </font>
    <font>
      <b val="true"/>
      <sz val="12"/>
      <color rgb="FF000000"/>
      <name val="&quot;Calibri &quot;"/>
      <family val="0"/>
      <charset val="1"/>
    </font>
  </fonts>
  <fills count="9">
    <fill>
      <patternFill patternType="none"/>
    </fill>
    <fill>
      <patternFill patternType="gray125"/>
    </fill>
    <fill>
      <patternFill patternType="solid">
        <fgColor rgb="FFFF0000"/>
        <bgColor rgb="FFCC0000"/>
      </patternFill>
    </fill>
    <fill>
      <patternFill patternType="solid">
        <fgColor rgb="FFFFC000"/>
        <bgColor rgb="FFFFD320"/>
      </patternFill>
    </fill>
    <fill>
      <patternFill patternType="solid">
        <fgColor rgb="FF00B050"/>
        <bgColor rgb="FF0F9ED5"/>
      </patternFill>
    </fill>
    <fill>
      <patternFill patternType="solid">
        <fgColor rgb="FFFF3300"/>
        <bgColor rgb="FFFF420E"/>
      </patternFill>
    </fill>
    <fill>
      <patternFill patternType="solid">
        <fgColor rgb="FFFFFF00"/>
        <bgColor rgb="FFFFD320"/>
      </patternFill>
    </fill>
    <fill>
      <patternFill patternType="solid">
        <fgColor theme="4"/>
        <bgColor rgb="FF127622"/>
      </patternFill>
    </fill>
    <fill>
      <patternFill patternType="solid">
        <fgColor rgb="FFCC0000"/>
        <bgColor rgb="FFFF0000"/>
      </patternFill>
    </fill>
  </fills>
  <borders count="34">
    <border diagonalUp="false" diagonalDown="false">
      <left/>
      <right/>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style="thin"/>
      <top/>
      <bottom/>
      <diagonal/>
    </border>
    <border diagonalUp="false" diagonalDown="false">
      <left style="thin"/>
      <right style="thin"/>
      <top/>
      <bottom style="thin"/>
      <diagonal/>
    </border>
    <border diagonalUp="false" diagonalDown="false">
      <left style="thin"/>
      <right/>
      <top/>
      <bottom/>
      <diagonal/>
    </border>
    <border diagonalUp="false" diagonalDown="false">
      <left style="thin"/>
      <right style="thin"/>
      <top style="thin"/>
      <bottom/>
      <diagonal/>
    </border>
    <border diagonalUp="false" diagonalDown="false">
      <left/>
      <right/>
      <top/>
      <bottom style="thick">
        <color rgb="FFFF0000"/>
      </bottom>
      <diagonal/>
    </border>
    <border diagonalUp="false" diagonalDown="false">
      <left/>
      <right/>
      <top/>
      <bottom style="medium">
        <color rgb="FFFFC000"/>
      </bottom>
      <diagonal/>
    </border>
    <border diagonalUp="false" diagonalDown="false">
      <left/>
      <right/>
      <top/>
      <bottom style="thick">
        <color rgb="FF92D050"/>
      </bottom>
      <diagonal/>
    </border>
    <border diagonalUp="false" diagonalDown="false">
      <left/>
      <right/>
      <top/>
      <bottom style="medium">
        <color rgb="FF780373"/>
      </bottom>
      <diagonal/>
    </border>
    <border diagonalUp="false" diagonalDown="false">
      <left/>
      <right/>
      <top/>
      <bottom style="thin">
        <color rgb="FF800080"/>
      </bottom>
      <diagonal/>
    </border>
    <border diagonalUp="false" diagonalDown="false">
      <left/>
      <right/>
      <top/>
      <bottom style="medium">
        <color rgb="FF127622"/>
      </bottom>
      <diagonal/>
    </border>
    <border diagonalUp="false" diagonalDown="false">
      <left/>
      <right/>
      <top/>
      <bottom style="thin">
        <color rgb="FF127622"/>
      </bottom>
      <diagonal/>
    </border>
    <border diagonalUp="false" diagonalDown="false">
      <left/>
      <right/>
      <top/>
      <bottom style="medium">
        <color rgb="FF2A6099"/>
      </bottom>
      <diagonal/>
    </border>
    <border diagonalUp="false" diagonalDown="false">
      <left/>
      <right style="thin"/>
      <top/>
      <bottom style="thin"/>
      <diagonal/>
    </border>
    <border diagonalUp="false" diagonalDown="false">
      <left/>
      <right style="thin"/>
      <top style="thin"/>
      <bottom style="thin"/>
      <diagonal/>
    </border>
    <border diagonalUp="false" diagonalDown="false">
      <left/>
      <right style="thin"/>
      <top style="thin"/>
      <bottom/>
      <diagonal/>
    </border>
    <border diagonalUp="false" diagonalDown="false">
      <left style="thin"/>
      <right style="thin"/>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6"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1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6" fillId="0" borderId="5" xfId="0" applyFont="true" applyBorder="true" applyAlignment="true" applyProtection="true">
      <alignment horizontal="general" vertical="bottom" textRotation="0" wrapText="false" indent="0" shrinkToFit="false"/>
      <protection locked="true" hidden="false"/>
    </xf>
    <xf numFmtId="165" fontId="7" fillId="0" borderId="5" xfId="0" applyFont="true" applyBorder="true" applyAlignment="true" applyProtection="true">
      <alignment horizontal="general" vertical="bottom" textRotation="0" wrapText="false" indent="0" shrinkToFit="false"/>
      <protection locked="true" hidden="false"/>
    </xf>
    <xf numFmtId="166" fontId="6" fillId="0" borderId="6" xfId="19" applyFont="true" applyBorder="true" applyAlignment="true" applyProtection="true">
      <alignment horizontal="general" vertical="bottom" textRotation="0" wrapText="false" indent="0" shrinkToFit="false"/>
      <protection locked="true" hidden="false"/>
    </xf>
    <xf numFmtId="164" fontId="8" fillId="0" borderId="5"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5" fillId="0" borderId="12" xfId="0" applyFont="true" applyBorder="true" applyAlignment="true" applyProtection="true">
      <alignment horizontal="right" vertical="bottom" textRotation="0" wrapText="false" indent="0" shrinkToFit="false"/>
      <protection locked="true" hidden="false"/>
    </xf>
    <xf numFmtId="165" fontId="5" fillId="0" borderId="13" xfId="0" applyFont="true" applyBorder="true" applyAlignment="true" applyProtection="true">
      <alignment horizontal="general" vertical="bottom" textRotation="0" wrapText="false" indent="0" shrinkToFit="false"/>
      <protection locked="true" hidden="false"/>
    </xf>
    <xf numFmtId="166" fontId="6" fillId="0" borderId="14" xfId="19" applyFont="true" applyBorder="true" applyAlignment="true" applyProtection="true">
      <alignment horizontal="general" vertical="bottom" textRotation="0" wrapText="false" indent="0" shrinkToFit="false"/>
      <protection locked="true" hidden="false"/>
    </xf>
    <xf numFmtId="164" fontId="0" fillId="0" borderId="15" xfId="0" applyFont="false" applyBorder="true" applyAlignment="true" applyProtection="true">
      <alignment horizontal="general" vertical="bottom" textRotation="0" wrapText="false" indent="0" shrinkToFit="false"/>
      <protection locked="true" hidden="false"/>
    </xf>
    <xf numFmtId="164" fontId="0" fillId="0" borderId="16" xfId="0" applyFont="false" applyBorder="true" applyAlignment="true" applyProtection="true">
      <alignment horizontal="general"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1" fillId="0" borderId="5" xfId="0"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0" borderId="18" xfId="0" applyFont="true" applyBorder="true" applyAlignment="true" applyProtection="true">
      <alignment horizontal="left" vertical="bottom" textRotation="0" wrapText="false" indent="0" shrinkToFit="false"/>
      <protection locked="true" hidden="false"/>
    </xf>
    <xf numFmtId="164" fontId="14" fillId="0" borderId="19" xfId="0" applyFont="true" applyBorder="true" applyAlignment="true" applyProtection="true">
      <alignment horizontal="center" vertical="bottom" textRotation="0" wrapText="false" indent="0" shrinkToFit="false"/>
      <protection locked="true" hidden="false"/>
    </xf>
    <xf numFmtId="164" fontId="13" fillId="0" borderId="20" xfId="0" applyFont="true" applyBorder="true" applyAlignment="true" applyProtection="true">
      <alignment horizontal="left" vertical="bottom" textRotation="0" wrapText="false" indent="0" shrinkToFit="false"/>
      <protection locked="true" hidden="false"/>
    </xf>
    <xf numFmtId="164" fontId="14" fillId="2" borderId="21" xfId="0" applyFont="true" applyBorder="true" applyAlignment="true" applyProtection="true">
      <alignment horizontal="center" vertical="bottom" textRotation="0" wrapText="false" indent="0" shrinkToFit="false"/>
      <protection locked="true" hidden="false"/>
    </xf>
    <xf numFmtId="164" fontId="13" fillId="0" borderId="2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xf numFmtId="164" fontId="14" fillId="3" borderId="21" xfId="0" applyFont="true" applyBorder="true" applyAlignment="true" applyProtection="true">
      <alignment horizontal="center" vertical="bottom" textRotation="0" wrapText="false" indent="0" shrinkToFit="false"/>
      <protection locked="true" hidden="false"/>
    </xf>
    <xf numFmtId="164" fontId="13" fillId="0" borderId="20" xfId="0" applyFont="true" applyBorder="true" applyAlignment="true" applyProtection="true">
      <alignment horizontal="left" vertical="bottom" textRotation="0" wrapText="true" indent="0" shrinkToFit="false"/>
      <protection locked="true" hidden="false"/>
    </xf>
    <xf numFmtId="164" fontId="14" fillId="4" borderId="21"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true" applyAlignment="true" applyProtection="true">
      <alignment horizontal="center" vertical="bottom" textRotation="0" wrapText="true" indent="0" shrinkToFit="false"/>
      <protection locked="true" hidden="false"/>
    </xf>
    <xf numFmtId="164" fontId="15" fillId="0" borderId="0" xfId="0" applyFont="true" applyBorder="false" applyAlignment="true" applyProtection="true">
      <alignment horizontal="left" vertical="bottom" textRotation="0" wrapText="false" indent="0" shrinkToFit="false"/>
      <protection locked="true" hidden="false"/>
    </xf>
    <xf numFmtId="164" fontId="13" fillId="0" borderId="0" xfId="0" applyFont="true" applyBorder="true" applyAlignment="true" applyProtection="true">
      <alignment horizontal="left"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16" fillId="0" borderId="2" xfId="20" applyFont="true" applyBorder="true" applyAlignment="true" applyProtection="true">
      <alignment horizontal="center" vertical="center" textRotation="0" wrapText="false" indent="0" shrinkToFit="false"/>
      <protection locked="true" hidden="false"/>
    </xf>
    <xf numFmtId="164" fontId="16" fillId="0" borderId="2" xfId="2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22" xfId="0" applyFont="true" applyBorder="true" applyAlignment="true" applyProtection="true">
      <alignment horizontal="general" vertical="bottom" textRotation="0" wrapText="false" indent="0" shrinkToFit="false"/>
      <protection locked="true" hidden="false"/>
    </xf>
    <xf numFmtId="164" fontId="0" fillId="0" borderId="23" xfId="0" applyFont="true" applyBorder="true" applyAlignment="true" applyProtection="true">
      <alignment horizontal="general" vertical="bottom" textRotation="0" wrapText="true" indent="0" shrinkToFit="false"/>
      <protection locked="true" hidden="false"/>
    </xf>
    <xf numFmtId="164" fontId="0" fillId="0" borderId="24" xfId="0" applyFont="true" applyBorder="true" applyAlignment="true" applyProtection="true">
      <alignment horizontal="general" vertical="bottom" textRotation="0" wrapText="false" indent="0" shrinkToFit="false"/>
      <protection locked="true" hidden="false"/>
    </xf>
    <xf numFmtId="164" fontId="0" fillId="0" borderId="23"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24" xfId="0" applyFont="false" applyBorder="true" applyAlignment="true" applyProtection="true">
      <alignment horizontal="general" vertical="bottom" textRotation="0" wrapText="false" indent="0" shrinkToFit="false"/>
      <protection locked="true" hidden="false"/>
    </xf>
    <xf numFmtId="164" fontId="0" fillId="0" borderId="22" xfId="0" applyFont="false" applyBorder="true" applyAlignment="true" applyProtection="true">
      <alignment horizontal="general" vertical="bottom" textRotation="0" wrapText="false" indent="0" shrinkToFit="false"/>
      <protection locked="true" hidden="false"/>
    </xf>
    <xf numFmtId="164" fontId="0" fillId="0" borderId="22" xfId="0" applyFont="true" applyBorder="tru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6" fillId="0" borderId="3" xfId="2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25" xfId="0" applyFont="false" applyBorder="true" applyAlignment="true" applyProtection="true">
      <alignment horizontal="general" vertical="bottom" textRotation="0" wrapText="false" indent="0" shrinkToFit="false"/>
      <protection locked="true" hidden="false"/>
    </xf>
    <xf numFmtId="164" fontId="0" fillId="0" borderId="26" xfId="0" applyFont="true" applyBorder="true" applyAlignment="true" applyProtection="false">
      <alignment horizontal="general" vertical="bottom" textRotation="0" wrapText="tru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27" xfId="0" applyFont="false" applyBorder="true" applyAlignment="true" applyProtection="true">
      <alignment horizontal="general"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18" fillId="0" borderId="27" xfId="0" applyFont="true" applyBorder="true" applyAlignment="true" applyProtection="true">
      <alignment horizontal="general" vertical="bottom" textRotation="0" wrapText="false" indent="0" shrinkToFit="false"/>
      <protection locked="true" hidden="false"/>
    </xf>
    <xf numFmtId="164" fontId="0" fillId="0" borderId="29" xfId="0" applyFont="false" applyBorder="true" applyAlignment="true" applyProtection="true">
      <alignment horizontal="general" vertical="bottom" textRotation="0" wrapText="false" indent="0" shrinkToFit="false"/>
      <protection locked="true" hidden="false"/>
    </xf>
    <xf numFmtId="164" fontId="18" fillId="0" borderId="29" xfId="0" applyFont="true" applyBorder="true" applyAlignment="true" applyProtection="tru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true">
      <alignment horizontal="general" vertical="bottom" textRotation="0" wrapText="true" indent="0" shrinkToFit="false"/>
      <protection locked="true" hidden="false"/>
    </xf>
    <xf numFmtId="164" fontId="18" fillId="0" borderId="29"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true" applyAlignment="true" applyProtection="false">
      <alignment horizontal="center" vertical="bottom"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false" applyAlignment="true" applyProtection="false">
      <alignment horizontal="left" vertical="center" textRotation="0" wrapText="true" indent="1"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4" fillId="0" borderId="30" xfId="0" applyFont="true" applyBorder="true" applyAlignment="true" applyProtection="true">
      <alignment horizontal="general" vertical="bottom" textRotation="0" wrapText="false" indent="0" shrinkToFit="false"/>
      <protection locked="true" hidden="false"/>
    </xf>
    <xf numFmtId="164" fontId="25" fillId="0" borderId="30" xfId="0" applyFont="true" applyBorder="true" applyAlignment="true" applyProtection="true">
      <alignment horizontal="general" vertical="bottom" textRotation="0" wrapText="false" indent="0" shrinkToFit="false"/>
      <protection locked="true" hidden="false"/>
    </xf>
    <xf numFmtId="164" fontId="26" fillId="0" borderId="30" xfId="0" applyFont="true" applyBorder="true" applyAlignment="true" applyProtection="true">
      <alignment horizontal="general" vertical="bottom" textRotation="0" wrapText="false" indent="0" shrinkToFit="false"/>
      <protection locked="true" hidden="false"/>
    </xf>
    <xf numFmtId="164" fontId="27" fillId="0" borderId="30" xfId="0" applyFont="true" applyBorder="true" applyAlignment="true" applyProtection="true">
      <alignment horizontal="center" vertical="bottom" textRotation="0" wrapText="false" indent="0" shrinkToFit="false"/>
      <protection locked="true" hidden="false"/>
    </xf>
    <xf numFmtId="164" fontId="27" fillId="0" borderId="5" xfId="0" applyFont="true" applyBorder="true" applyAlignment="true" applyProtection="true">
      <alignment horizontal="center" vertical="bottom" textRotation="0" wrapText="false" indent="0" shrinkToFit="false"/>
      <protection locked="true" hidden="false"/>
    </xf>
    <xf numFmtId="164" fontId="27" fillId="0" borderId="19" xfId="0" applyFont="true" applyBorder="true" applyAlignment="true" applyProtection="true">
      <alignment horizontal="center" vertical="bottom" textRotation="0" wrapText="true" indent="0" shrinkToFit="false"/>
      <protection locked="true" hidden="false"/>
    </xf>
    <xf numFmtId="164" fontId="27" fillId="0" borderId="19" xfId="0" applyFont="true" applyBorder="true" applyAlignment="true" applyProtection="true">
      <alignment horizontal="center" vertical="bottom" textRotation="0" wrapText="false" indent="0" shrinkToFit="false"/>
      <protection locked="true" hidden="false"/>
    </xf>
    <xf numFmtId="164" fontId="28" fillId="0" borderId="19" xfId="0" applyFont="true" applyBorder="true" applyAlignment="true" applyProtection="true">
      <alignment horizontal="center" vertical="bottom" textRotation="0" wrapText="false" indent="0" shrinkToFit="false"/>
      <protection locked="true" hidden="false"/>
    </xf>
    <xf numFmtId="164" fontId="27" fillId="0" borderId="5" xfId="0" applyFont="true" applyBorder="true" applyAlignment="true" applyProtection="true">
      <alignment horizontal="general" vertical="bottom" textRotation="0" wrapText="false" indent="0" shrinkToFit="false"/>
      <protection locked="true" hidden="false"/>
    </xf>
    <xf numFmtId="164" fontId="27" fillId="0" borderId="31" xfId="0" applyFont="true" applyBorder="true" applyAlignment="true" applyProtection="true">
      <alignment horizontal="general" vertical="bottom" textRotation="0" wrapText="false" indent="0" shrinkToFit="false"/>
      <protection locked="true" hidden="false"/>
    </xf>
    <xf numFmtId="164" fontId="28" fillId="5" borderId="5" xfId="0" applyFont="true" applyBorder="tru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7" fillId="0" borderId="19" xfId="0" applyFont="true" applyBorder="true" applyAlignment="true" applyProtection="true">
      <alignment horizontal="general" vertical="bottom" textRotation="0" wrapText="false" indent="0" shrinkToFit="false"/>
      <protection locked="true" hidden="false"/>
    </xf>
    <xf numFmtId="164" fontId="27" fillId="0" borderId="30" xfId="0" applyFont="true" applyBorder="true" applyAlignment="true" applyProtection="true">
      <alignment horizontal="general" vertical="bottom" textRotation="0" wrapText="false" indent="0" shrinkToFit="false"/>
      <protection locked="true" hidden="false"/>
    </xf>
    <xf numFmtId="164" fontId="28" fillId="5" borderId="19" xfId="0" applyFont="true" applyBorder="true" applyAlignment="true" applyProtection="true">
      <alignment horizontal="general" vertical="bottom" textRotation="0" wrapText="false" indent="0" shrinkToFit="false"/>
      <protection locked="true" hidden="false"/>
    </xf>
    <xf numFmtId="164" fontId="27" fillId="4" borderId="19" xfId="0" applyFont="true" applyBorder="true" applyAlignment="true" applyProtection="true">
      <alignment horizontal="general" vertical="bottom" textRotation="0" wrapText="false" indent="0" shrinkToFit="false"/>
      <protection locked="true" hidden="false"/>
    </xf>
    <xf numFmtId="164" fontId="27" fillId="6" borderId="19" xfId="0" applyFont="true" applyBorder="true" applyAlignment="true" applyProtection="true">
      <alignment horizontal="general" vertical="bottom" textRotation="0" wrapText="false" indent="0" shrinkToFit="false"/>
      <protection locked="true" hidden="false"/>
    </xf>
    <xf numFmtId="164" fontId="27" fillId="5" borderId="19" xfId="0" applyFont="true" applyBorder="true" applyAlignment="true" applyProtection="true">
      <alignment horizontal="general" vertical="bottom" textRotation="0" wrapText="false" indent="0" shrinkToFit="false"/>
      <protection locked="true" hidden="false"/>
    </xf>
    <xf numFmtId="164" fontId="27" fillId="0" borderId="19" xfId="0" applyFont="true" applyBorder="true" applyAlignment="true" applyProtection="true">
      <alignment horizontal="center" vertical="top" textRotation="0" wrapText="false" indent="0" shrinkToFit="false"/>
      <protection locked="true" hidden="false"/>
    </xf>
    <xf numFmtId="164" fontId="27" fillId="0" borderId="5" xfId="0" applyFont="true" applyBorder="true" applyAlignment="true" applyProtection="true">
      <alignment horizontal="center" vertical="top" textRotation="0" wrapText="true" indent="0" shrinkToFit="false"/>
      <protection locked="true" hidden="false"/>
    </xf>
    <xf numFmtId="164" fontId="27" fillId="0" borderId="30" xfId="0" applyFont="true" applyBorder="true" applyAlignment="true" applyProtection="true">
      <alignment horizontal="center" vertical="top" textRotation="0" wrapText="false" indent="0" shrinkToFit="false"/>
      <protection locked="true" hidden="false"/>
    </xf>
    <xf numFmtId="164" fontId="27" fillId="0" borderId="19" xfId="0" applyFont="true" applyBorder="true" applyAlignment="true" applyProtection="true">
      <alignment horizontal="center" vertical="top" textRotation="0" wrapText="true" indent="0" shrinkToFit="false"/>
      <protection locked="true" hidden="false"/>
    </xf>
    <xf numFmtId="164" fontId="27" fillId="0" borderId="5" xfId="0" applyFont="true" applyBorder="true" applyAlignment="true" applyProtection="true">
      <alignment horizontal="center" vertical="bottom" textRotation="0" wrapText="true" indent="0" shrinkToFit="false"/>
      <protection locked="true" hidden="false"/>
    </xf>
    <xf numFmtId="164" fontId="27" fillId="2" borderId="19" xfId="0" applyFont="true" applyBorder="true" applyAlignment="true" applyProtection="true">
      <alignment horizontal="general" vertical="bottom" textRotation="0" wrapText="false" indent="0" shrinkToFit="false"/>
      <protection locked="true" hidden="false"/>
    </xf>
    <xf numFmtId="164" fontId="27" fillId="0" borderId="32" xfId="0" applyFont="true" applyBorder="true" applyAlignment="true" applyProtection="true">
      <alignment horizontal="center" vertical="bottom" textRotation="0" wrapText="false" indent="0" shrinkToFit="false"/>
      <protection locked="true" hidden="false"/>
    </xf>
    <xf numFmtId="164" fontId="27" fillId="0" borderId="18" xfId="0" applyFont="true" applyBorder="true" applyAlignment="true" applyProtection="true">
      <alignment horizontal="center" vertical="bottom" textRotation="0" wrapText="false" indent="0" shrinkToFit="false"/>
      <protection locked="true" hidden="false"/>
    </xf>
    <xf numFmtId="164" fontId="27" fillId="0" borderId="31" xfId="0" applyFont="true" applyBorder="true" applyAlignment="true" applyProtection="true">
      <alignment horizontal="center" vertical="bottom" textRotation="0" wrapText="false" indent="0" shrinkToFit="false"/>
      <protection locked="true" hidden="false"/>
    </xf>
    <xf numFmtId="164" fontId="28" fillId="2" borderId="5" xfId="0" applyFont="true" applyBorder="true" applyAlignment="true" applyProtection="true">
      <alignment horizontal="general" vertical="bottom" textRotation="0" wrapText="false" indent="0" shrinkToFit="false"/>
      <protection locked="true" hidden="false"/>
    </xf>
    <xf numFmtId="164" fontId="28" fillId="2" borderId="19" xfId="0" applyFont="true" applyBorder="true" applyAlignment="true" applyProtection="true">
      <alignment horizontal="general" vertical="bottom" textRotation="0" wrapText="false" indent="0" shrinkToFit="false"/>
      <protection locked="true" hidden="false"/>
    </xf>
    <xf numFmtId="164" fontId="29" fillId="6" borderId="30" xfId="0" applyFont="true" applyBorder="true" applyAlignment="true" applyProtection="true">
      <alignment horizontal="general" vertical="bottom" textRotation="0" wrapText="false" indent="0" shrinkToFit="false"/>
      <protection locked="true" hidden="false"/>
    </xf>
    <xf numFmtId="164" fontId="29" fillId="2" borderId="30" xfId="0" applyFont="true" applyBorder="true" applyAlignment="true" applyProtection="true">
      <alignment horizontal="general" vertical="bottom" textRotation="0" wrapText="false" indent="0" shrinkToFit="false"/>
      <protection locked="true" hidden="false"/>
    </xf>
    <xf numFmtId="164" fontId="29" fillId="7" borderId="30" xfId="0" applyFont="true" applyBorder="true" applyAlignment="true" applyProtection="true">
      <alignment horizontal="general" vertical="bottom" textRotation="0" wrapText="false" indent="0" shrinkToFit="false"/>
      <protection locked="true" hidden="false"/>
    </xf>
    <xf numFmtId="164" fontId="29" fillId="5" borderId="30" xfId="0" applyFont="true" applyBorder="true" applyAlignment="true" applyProtection="true">
      <alignment horizontal="general" vertical="bottom" textRotation="0" wrapText="false" indent="0" shrinkToFit="false"/>
      <protection locked="true" hidden="false"/>
    </xf>
    <xf numFmtId="164" fontId="30" fillId="0" borderId="19" xfId="0" applyFont="true" applyBorder="true" applyAlignment="true" applyProtection="true">
      <alignment horizontal="left" vertical="bottom" textRotation="0" wrapText="false" indent="0" shrinkToFit="false"/>
      <protection locked="true" hidden="false"/>
    </xf>
    <xf numFmtId="164" fontId="30" fillId="0" borderId="5" xfId="0" applyFont="true" applyBorder="true" applyAlignment="true" applyProtection="true">
      <alignment horizontal="general" vertical="bottom" textRotation="0" wrapText="true" indent="0" shrinkToFit="false"/>
      <protection locked="true" hidden="false"/>
    </xf>
    <xf numFmtId="164" fontId="30" fillId="0" borderId="5" xfId="0" applyFont="true" applyBorder="true" applyAlignment="true" applyProtection="true">
      <alignment horizontal="general" vertical="bottom" textRotation="0" wrapText="false" indent="0" shrinkToFit="false"/>
      <protection locked="true" hidden="false"/>
    </xf>
    <xf numFmtId="164" fontId="30" fillId="7" borderId="5" xfId="0" applyFont="true" applyBorder="true" applyAlignment="true" applyProtection="true">
      <alignment horizontal="general" vertical="bottom" textRotation="0" wrapText="false" indent="0" shrinkToFit="false"/>
      <protection locked="true" hidden="false"/>
    </xf>
    <xf numFmtId="164" fontId="30" fillId="0" borderId="31" xfId="0" applyFont="true" applyBorder="true" applyAlignment="true" applyProtection="true">
      <alignment horizontal="general" vertical="bottom" textRotation="0" wrapText="false" indent="0" shrinkToFit="false"/>
      <protection locked="true" hidden="false"/>
    </xf>
    <xf numFmtId="164" fontId="30" fillId="0" borderId="30" xfId="0" applyFont="true" applyBorder="true" applyAlignment="true" applyProtection="true">
      <alignment horizontal="general" vertical="bottom" textRotation="0" wrapText="false" indent="0" shrinkToFit="false"/>
      <protection locked="true" hidden="false"/>
    </xf>
    <xf numFmtId="164" fontId="30" fillId="0" borderId="19" xfId="0" applyFont="true" applyBorder="true" applyAlignment="true" applyProtection="true">
      <alignment horizontal="general" vertical="bottom" textRotation="0" wrapText="false" indent="0" shrinkToFit="false"/>
      <protection locked="true" hidden="false"/>
    </xf>
    <xf numFmtId="164" fontId="30" fillId="6" borderId="19" xfId="0" applyFont="true" applyBorder="true" applyAlignment="true" applyProtection="true">
      <alignment horizontal="general" vertical="bottom" textRotation="0" wrapText="false" indent="0" shrinkToFit="false"/>
      <protection locked="true" hidden="false"/>
    </xf>
    <xf numFmtId="164" fontId="30" fillId="2" borderId="19" xfId="0" applyFont="true" applyBorder="true" applyAlignment="true" applyProtection="true">
      <alignment horizontal="general" vertical="bottom" textRotation="0" wrapText="false" indent="0" shrinkToFit="false"/>
      <protection locked="true" hidden="false"/>
    </xf>
    <xf numFmtId="164" fontId="31" fillId="2" borderId="19" xfId="0" applyFont="true" applyBorder="true" applyAlignment="true" applyProtection="true">
      <alignment horizontal="general" vertical="bottom" textRotation="0" wrapText="false" indent="0" shrinkToFit="false"/>
      <protection locked="true" hidden="false"/>
    </xf>
    <xf numFmtId="164" fontId="30" fillId="0" borderId="19" xfId="0" applyFont="true" applyBorder="true" applyAlignment="true" applyProtection="true">
      <alignment horizontal="left" vertical="bottom" textRotation="0" wrapText="true" indent="0" shrinkToFit="false"/>
      <protection locked="true" hidden="false"/>
    </xf>
    <xf numFmtId="164" fontId="32" fillId="6" borderId="19" xfId="0" applyFont="true" applyBorder="true" applyAlignment="true" applyProtection="true">
      <alignment horizontal="general" vertical="bottom" textRotation="0" wrapText="false" indent="0" shrinkToFit="false"/>
      <protection locked="true" hidden="false"/>
    </xf>
    <xf numFmtId="164" fontId="30" fillId="8" borderId="19" xfId="0" applyFont="true" applyBorder="true" applyAlignment="true" applyProtection="true">
      <alignment horizontal="general" vertical="bottom" textRotation="0" wrapText="false" indent="0" shrinkToFit="false"/>
      <protection locked="true" hidden="false"/>
    </xf>
    <xf numFmtId="164" fontId="30" fillId="0" borderId="33" xfId="0" applyFont="true" applyBorder="true" applyAlignment="true" applyProtection="true">
      <alignment horizontal="general" vertical="bottom" textRotation="0" wrapText="false" indent="0" shrinkToFit="false"/>
      <protection locked="true" hidden="false"/>
    </xf>
    <xf numFmtId="164" fontId="30" fillId="0" borderId="19" xfId="0" applyFont="true" applyBorder="true" applyAlignment="true" applyProtection="true">
      <alignment horizontal="center" vertical="bottom" textRotation="0" wrapText="true" indent="0" shrinkToFit="false"/>
      <protection locked="true" hidden="false"/>
    </xf>
    <xf numFmtId="164" fontId="30" fillId="7" borderId="19" xfId="0" applyFont="true" applyBorder="true" applyAlignment="true" applyProtection="true">
      <alignment horizontal="general" vertical="bottom" textRotation="0" wrapText="false" indent="0" shrinkToFit="false"/>
      <protection locked="true" hidden="false"/>
    </xf>
    <xf numFmtId="164" fontId="30" fillId="0" borderId="19" xfId="0" applyFont="true" applyBorder="true" applyAlignment="true" applyProtection="true">
      <alignment horizontal="center" vertical="bottom" textRotation="0" wrapText="false" indent="0" shrinkToFit="false"/>
      <protection locked="true" hidden="false"/>
    </xf>
    <xf numFmtId="164" fontId="30" fillId="2" borderId="33" xfId="0" applyFont="true" applyBorder="true" applyAlignment="true" applyProtection="true">
      <alignment horizontal="general" vertical="bottom" textRotation="0" wrapText="false" indent="0" shrinkToFit="false"/>
      <protection locked="true" hidden="false"/>
    </xf>
    <xf numFmtId="164" fontId="30" fillId="6" borderId="33" xfId="0" applyFont="true" applyBorder="true" applyAlignment="true" applyProtection="true">
      <alignment horizontal="general" vertical="bottom" textRotation="0" wrapText="false" indent="0" shrinkToFit="false"/>
      <protection locked="true" hidden="false"/>
    </xf>
    <xf numFmtId="164" fontId="30" fillId="0" borderId="19" xfId="0" applyFont="true" applyBorder="true" applyAlignment="true" applyProtection="true">
      <alignment horizontal="general" vertical="bottom" textRotation="0" wrapText="true" indent="0" shrinkToFit="false"/>
      <protection locked="true" hidden="false"/>
    </xf>
    <xf numFmtId="164" fontId="30" fillId="6" borderId="18" xfId="0" applyFont="true" applyBorder="true" applyAlignment="true" applyProtection="true">
      <alignment horizontal="general" vertical="bottom" textRotation="0" wrapText="false" indent="0" shrinkToFit="false"/>
      <protection locked="true" hidden="false"/>
    </xf>
    <xf numFmtId="164" fontId="30" fillId="6" borderId="30" xfId="0" applyFont="true" applyBorder="true" applyAlignment="true" applyProtection="true">
      <alignment horizontal="general" vertical="bottom" textRotation="0" wrapText="false" indent="0" shrinkToFit="false"/>
      <protection locked="true" hidden="false"/>
    </xf>
    <xf numFmtId="164" fontId="30" fillId="0" borderId="33" xfId="0" applyFont="true" applyBorder="true" applyAlignment="true" applyProtection="true">
      <alignment horizontal="left" vertical="bottom" textRotation="0" wrapText="false" indent="0" shrinkToFit="false"/>
      <protection locked="true" hidden="false"/>
    </xf>
    <xf numFmtId="164" fontId="30" fillId="2" borderId="30" xfId="0" applyFont="true" applyBorder="tru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7E0021"/>
      <rgbColor rgb="FF127622"/>
      <rgbColor rgb="FF000080"/>
      <rgbColor rgb="FF579D1C"/>
      <rgbColor rgb="FF800080"/>
      <rgbColor rgb="FF0F9ED5"/>
      <rgbColor rgb="FF92D050"/>
      <rgbColor rgb="FF808080"/>
      <rgbColor rgb="FF9999FF"/>
      <rgbColor rgb="FF993366"/>
      <rgbColor rgb="FFFFFFCC"/>
      <rgbColor rgb="FFCCFFFF"/>
      <rgbColor rgb="FF660066"/>
      <rgbColor rgb="FFFF8080"/>
      <rgbColor rgb="FF2A6099"/>
      <rgbColor rgb="FFD9D9D9"/>
      <rgbColor rgb="FF000080"/>
      <rgbColor rgb="FFFF00FF"/>
      <rgbColor rgb="FFFFD320"/>
      <rgbColor rgb="FF00FFFF"/>
      <rgbColor rgb="FF780373"/>
      <rgbColor rgb="FFCC0000"/>
      <rgbColor rgb="FF00B050"/>
      <rgbColor rgb="FF0000FF"/>
      <rgbColor rgb="FF00CCFF"/>
      <rgbColor rgb="FFCCFFFF"/>
      <rgbColor rgb="FFCCFFCC"/>
      <rgbColor rgb="FFFFFF99"/>
      <rgbColor rgb="FF83CAFF"/>
      <rgbColor rgb="FFFF99CC"/>
      <rgbColor rgb="FFCC99FF"/>
      <rgbColor rgb="FFFFCC99"/>
      <rgbColor rgb="FF3366FF"/>
      <rgbColor rgb="FF33CCCC"/>
      <rgbColor rgb="FFAECF00"/>
      <rgbColor rgb="FFFFC000"/>
      <rgbColor rgb="FFFF9900"/>
      <rgbColor rgb="FFFF420E"/>
      <rgbColor rgb="FF595959"/>
      <rgbColor rgb="FF969696"/>
      <rgbColor rgb="FF004586"/>
      <rgbColor rgb="FF3A7D22"/>
      <rgbColor rgb="FF003300"/>
      <rgbColor rgb="FF314004"/>
      <rgbColor rgb="FFFF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externalLink" Target="externalLinks/externalLink1.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radarChart>
        <c:radarStyle val="marker"/>
        <c:varyColors val="0"/>
        <c:ser>
          <c:idx val="0"/>
          <c:order val="0"/>
          <c:spPr>
            <a:solidFill>
              <a:srgbClr val="3a7d22"/>
            </a:solidFill>
            <a:ln cap="rnd" w="28440">
              <a:solidFill>
                <a:srgbClr val="3a7d22"/>
              </a:solidFill>
              <a:round/>
            </a:ln>
          </c:spPr>
          <c:marker>
            <c:symbol val="circle"/>
            <c:size val="5"/>
            <c:spPr>
              <a:solidFill>
                <a:srgbClr val="3a7d22"/>
              </a:solidFill>
            </c:spPr>
          </c:marker>
          <c:dLbls>
            <c:txPr>
              <a:bodyPr wrap="square"/>
              <a:lstStyle/>
              <a:p>
                <a:pPr>
                  <a:defRPr b="0" lang="en-US" sz="1000" spc="-1" strike="noStrike">
                    <a:solidFill>
                      <a:srgbClr val="000000"/>
                    </a:solidFill>
                    <a:latin typeface="Aptos Narrow"/>
                    <a:ea typeface="Aptos Narrow"/>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Synthèse!$B$4:$B$9</c:f>
              <c:strCache>
                <c:ptCount val="6"/>
                <c:pt idx="0">
                  <c:v>Audit des Applications en Service (4.1)</c:v>
                </c:pt>
                <c:pt idx="1">
                  <c:v>Audit de la Fonction Informatique (4.2)</c:v>
                </c:pt>
                <c:pt idx="2">
                  <c:v>Audit et Contrôle des Projets Informatiques (4.3)</c:v>
                </c:pt>
                <c:pt idx="3">
                  <c:v>Audit du Support Utilisateur et de la Gestion du Parc (4.4)</c:v>
                </c:pt>
                <c:pt idx="4">
                  <c:v>Conduire une Mission d’Audit du Support aux utilisateurs et de la gestion du Parc (4.5)</c:v>
                </c:pt>
                <c:pt idx="5">
                  <c:v>COSO </c:v>
                </c:pt>
              </c:strCache>
            </c:strRef>
          </c:cat>
          <c:val>
            <c:numRef>
              <c:f>Synthèse!$C$4:$C$9</c:f>
              <c:numCache>
                <c:formatCode>General</c:formatCode>
                <c:ptCount val="6"/>
                <c:pt idx="0">
                  <c:v>217</c:v>
                </c:pt>
                <c:pt idx="1">
                  <c:v>84</c:v>
                </c:pt>
                <c:pt idx="2">
                  <c:v>307</c:v>
                </c:pt>
                <c:pt idx="3">
                  <c:v>69</c:v>
                </c:pt>
                <c:pt idx="4">
                  <c:v>100</c:v>
                </c:pt>
                <c:pt idx="5">
                  <c:v>283</c:v>
                </c:pt>
              </c:numCache>
            </c:numRef>
          </c:val>
        </c:ser>
        <c:ser>
          <c:idx val="1"/>
          <c:order val="1"/>
          <c:spPr>
            <a:solidFill>
              <a:srgbClr val="ff0000"/>
            </a:solidFill>
            <a:ln cap="rnd" w="28440">
              <a:solidFill>
                <a:srgbClr val="ff0000"/>
              </a:solidFill>
              <a:round/>
            </a:ln>
          </c:spPr>
          <c:marker>
            <c:symbol val="circle"/>
            <c:size val="5"/>
            <c:spPr>
              <a:solidFill>
                <a:srgbClr val="ff0000"/>
              </a:solidFill>
            </c:spPr>
          </c:marker>
          <c:dLbls>
            <c:txPr>
              <a:bodyPr wrap="square"/>
              <a:lstStyle/>
              <a:p>
                <a:pPr>
                  <a:defRPr b="0" lang="en-US" sz="1000" spc="-1" strike="noStrike">
                    <a:solidFill>
                      <a:srgbClr val="000000"/>
                    </a:solidFill>
                    <a:latin typeface="Aptos Narrow"/>
                    <a:ea typeface="Aptos Narrow"/>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Synthèse!$B$4:$B$9</c:f>
              <c:strCache>
                <c:ptCount val="6"/>
                <c:pt idx="0">
                  <c:v>Audit des Applications en Service (4.1)</c:v>
                </c:pt>
                <c:pt idx="1">
                  <c:v>Audit de la Fonction Informatique (4.2)</c:v>
                </c:pt>
                <c:pt idx="2">
                  <c:v>Audit et Contrôle des Projets Informatiques (4.3)</c:v>
                </c:pt>
                <c:pt idx="3">
                  <c:v>Audit du Support Utilisateur et de la Gestion du Parc (4.4)</c:v>
                </c:pt>
                <c:pt idx="4">
                  <c:v>Conduire une Mission d’Audit du Support aux utilisateurs et de la gestion du Parc (4.5)</c:v>
                </c:pt>
                <c:pt idx="5">
                  <c:v>COSO </c:v>
                </c:pt>
              </c:strCache>
            </c:strRef>
          </c:cat>
          <c:val>
            <c:numRef>
              <c:f>Synthèse!$D$4:$D$9</c:f>
              <c:numCache>
                <c:formatCode>General</c:formatCode>
                <c:ptCount val="6"/>
                <c:pt idx="0">
                  <c:v>219</c:v>
                </c:pt>
                <c:pt idx="1">
                  <c:v>75</c:v>
                </c:pt>
                <c:pt idx="2">
                  <c:v>312</c:v>
                </c:pt>
                <c:pt idx="3">
                  <c:v>312</c:v>
                </c:pt>
                <c:pt idx="4">
                  <c:v>100</c:v>
                </c:pt>
                <c:pt idx="5">
                  <c:v>146</c:v>
                </c:pt>
              </c:numCache>
            </c:numRef>
          </c:val>
        </c:ser>
        <c:ser>
          <c:idx val="2"/>
          <c:order val="2"/>
          <c:spPr>
            <a:solidFill>
              <a:srgbClr val="ffc000"/>
            </a:solidFill>
            <a:ln cap="rnd" w="28440">
              <a:solidFill>
                <a:srgbClr val="ffc000"/>
              </a:solidFill>
              <a:round/>
            </a:ln>
          </c:spPr>
          <c:marker>
            <c:symbol val="circle"/>
            <c:size val="5"/>
            <c:spPr>
              <a:solidFill>
                <a:srgbClr val="ffc000"/>
              </a:solidFill>
            </c:spPr>
          </c:marker>
          <c:dLbls>
            <c:txPr>
              <a:bodyPr wrap="square"/>
              <a:lstStyle/>
              <a:p>
                <a:pPr>
                  <a:defRPr b="0" lang="en-US" sz="1000" spc="-1" strike="noStrike">
                    <a:solidFill>
                      <a:srgbClr val="000000"/>
                    </a:solidFill>
                    <a:latin typeface="Aptos Narrow"/>
                    <a:ea typeface="Aptos Narrow"/>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Synthèse!$B$4:$B$9</c:f>
              <c:strCache>
                <c:ptCount val="6"/>
                <c:pt idx="0">
                  <c:v>Audit des Applications en Service (4.1)</c:v>
                </c:pt>
                <c:pt idx="1">
                  <c:v>Audit de la Fonction Informatique (4.2)</c:v>
                </c:pt>
                <c:pt idx="2">
                  <c:v>Audit et Contrôle des Projets Informatiques (4.3)</c:v>
                </c:pt>
                <c:pt idx="3">
                  <c:v>Audit du Support Utilisateur et de la Gestion du Parc (4.4)</c:v>
                </c:pt>
                <c:pt idx="4">
                  <c:v>Conduire une Mission d’Audit du Support aux utilisateurs et de la gestion du Parc (4.5)</c:v>
                </c:pt>
                <c:pt idx="5">
                  <c:v>COSO </c:v>
                </c:pt>
              </c:strCache>
            </c:strRef>
          </c:cat>
          <c:val>
            <c:numRef>
              <c:f>Synthèse!$E$4:$E$9</c:f>
              <c:numCache>
                <c:formatCode>General</c:formatCode>
                <c:ptCount val="6"/>
                <c:pt idx="0">
                  <c:v>73</c:v>
                </c:pt>
                <c:pt idx="1">
                  <c:v>62</c:v>
                </c:pt>
                <c:pt idx="2">
                  <c:v>0</c:v>
                </c:pt>
                <c:pt idx="3">
                  <c:v>0</c:v>
                </c:pt>
                <c:pt idx="4">
                  <c:v>100</c:v>
                </c:pt>
                <c:pt idx="5">
                  <c:v>15</c:v>
                </c:pt>
              </c:numCache>
            </c:numRef>
          </c:val>
        </c:ser>
        <c:ser>
          <c:idx val="3"/>
          <c:order val="3"/>
          <c:spPr>
            <a:solidFill>
              <a:srgbClr val="0f9ed5"/>
            </a:solidFill>
            <a:ln cap="rnd" w="28440">
              <a:solidFill>
                <a:srgbClr val="0f9ed5"/>
              </a:solidFill>
              <a:round/>
            </a:ln>
          </c:spPr>
          <c:marker>
            <c:symbol val="circle"/>
            <c:size val="5"/>
            <c:spPr>
              <a:solidFill>
                <a:srgbClr val="0f9ed5"/>
              </a:solidFill>
            </c:spPr>
          </c:marker>
          <c:dLbls>
            <c:txPr>
              <a:bodyPr wrap="square"/>
              <a:lstStyle/>
              <a:p>
                <a:pPr>
                  <a:defRPr b="0" lang="en-US" sz="1000" spc="-1" strike="noStrike">
                    <a:solidFill>
                      <a:srgbClr val="000000"/>
                    </a:solidFill>
                    <a:latin typeface="Aptos Narrow"/>
                    <a:ea typeface="Aptos Narrow"/>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Synthèse!$B$4:$B$9</c:f>
              <c:strCache>
                <c:ptCount val="6"/>
                <c:pt idx="0">
                  <c:v>Audit des Applications en Service (4.1)</c:v>
                </c:pt>
                <c:pt idx="1">
                  <c:v>Audit de la Fonction Informatique (4.2)</c:v>
                </c:pt>
                <c:pt idx="2">
                  <c:v>Audit et Contrôle des Projets Informatiques (4.3)</c:v>
                </c:pt>
                <c:pt idx="3">
                  <c:v>Audit du Support Utilisateur et de la Gestion du Parc (4.4)</c:v>
                </c:pt>
                <c:pt idx="4">
                  <c:v>Conduire une Mission d’Audit du Support aux utilisateurs et de la gestion du Parc (4.5)</c:v>
                </c:pt>
                <c:pt idx="5">
                  <c:v>COSO </c:v>
                </c:pt>
              </c:strCache>
            </c:strRef>
          </c:cat>
          <c:val>
            <c:numRef>
              <c:f>Synthèse!$F$4:$F$9</c:f>
              <c:numCache>
                <c:formatCode>General</c:formatCode>
                <c:ptCount val="6"/>
                <c:pt idx="0">
                  <c:v>509</c:v>
                </c:pt>
                <c:pt idx="1">
                  <c:v>221</c:v>
                </c:pt>
                <c:pt idx="2">
                  <c:v>619</c:v>
                </c:pt>
                <c:pt idx="3">
                  <c:v>381</c:v>
                </c:pt>
                <c:pt idx="4">
                  <c:v>300</c:v>
                </c:pt>
                <c:pt idx="5">
                  <c:v>444</c:v>
                </c:pt>
              </c:numCache>
            </c:numRef>
          </c:val>
        </c:ser>
        <c:axId val="37233161"/>
        <c:axId val="90132389"/>
      </c:radarChart>
      <c:catAx>
        <c:axId val="37233161"/>
        <c:scaling>
          <c:orientation val="minMax"/>
        </c:scaling>
        <c:delete val="0"/>
        <c:axPos val="b"/>
        <c:numFmt formatCode="General" sourceLinked="0"/>
        <c:majorTickMark val="none"/>
        <c:minorTickMark val="none"/>
        <c:tickLblPos val="nextTo"/>
        <c:spPr>
          <a:ln w="9360">
            <a:noFill/>
          </a:ln>
        </c:spPr>
        <c:txPr>
          <a:bodyPr/>
          <a:lstStyle/>
          <a:p>
            <a:pPr>
              <a:defRPr b="0" lang="en-US" sz="900" spc="-1" strike="noStrike">
                <a:solidFill>
                  <a:srgbClr val="595959"/>
                </a:solidFill>
                <a:latin typeface="Aptos Narrow"/>
                <a:ea typeface="Aptos Narrow"/>
              </a:defRPr>
            </a:pPr>
          </a:p>
        </c:txPr>
        <c:crossAx val="90132389"/>
        <c:crosses val="autoZero"/>
        <c:auto val="1"/>
        <c:lblAlgn val="ctr"/>
        <c:lblOffset val="100"/>
        <c:noMultiLvlLbl val="0"/>
      </c:catAx>
      <c:valAx>
        <c:axId val="90132389"/>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b="0" lang="en-US" sz="900" spc="-1" strike="noStrike">
                <a:solidFill>
                  <a:srgbClr val="595959"/>
                </a:solidFill>
                <a:latin typeface="Aptos Narrow"/>
                <a:ea typeface="Aptos Narrow"/>
              </a:defRPr>
            </a:pPr>
          </a:p>
        </c:txPr>
        <c:crossAx val="37233161"/>
        <c:crosses val="autoZero"/>
        <c:crossBetween val="midCat"/>
      </c:valAx>
      <c:spPr>
        <a:noFill/>
        <a:ln w="0">
          <a:noFill/>
        </a:ln>
      </c:spPr>
    </c:plotArea>
    <c:legend>
      <c:legendPos val="t"/>
      <c:overlay val="0"/>
      <c:spPr>
        <a:noFill/>
        <a:ln w="0">
          <a:noFill/>
        </a:ln>
      </c:spPr>
      <c:txPr>
        <a:bodyPr/>
        <a:lstStyle/>
        <a:p>
          <a:pPr>
            <a:defRPr b="0" lang="en-US" sz="900" spc="-1" strike="noStrike">
              <a:solidFill>
                <a:srgbClr val="595959"/>
              </a:solidFill>
              <a:latin typeface="Aptos Narrow"/>
              <a:ea typeface="Aptos Narrow"/>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tx>
            <c:strRef>
              <c:f>Synthèse!$A$3</c:f>
              <c:strCache>
                <c:ptCount val="1"/>
                <c:pt idx="0">
                  <c:v>N°</c:v>
                </c:pt>
              </c:strCache>
            </c:strRef>
          </c:tx>
          <c:spPr>
            <a:solidFill>
              <a:srgbClr val="004586"/>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Pt>
            <c:idx val="3"/>
            <c:spPr>
              <a:solidFill>
                <a:srgbClr val="579d1c"/>
              </a:solidFill>
              <a:ln w="0">
                <a:noFill/>
              </a:ln>
            </c:spPr>
          </c:dPt>
          <c:dPt>
            <c:idx val="4"/>
            <c:spPr>
              <a:solidFill>
                <a:srgbClr val="7e0021"/>
              </a:solidFill>
              <a:ln w="0">
                <a:noFill/>
              </a:ln>
            </c:spPr>
          </c:dPt>
          <c:dPt>
            <c:idx val="5"/>
            <c:spPr>
              <a:solidFill>
                <a:srgbClr val="83caff"/>
              </a:solidFill>
              <a:ln w="0">
                <a:noFill/>
              </a:ln>
            </c:spPr>
          </c:dPt>
          <c:dPt>
            <c:idx val="6"/>
            <c:spPr>
              <a:solidFill>
                <a:srgbClr val="314004"/>
              </a:solidFill>
              <a:ln w="0">
                <a:noFill/>
              </a:ln>
            </c:spPr>
          </c:dPt>
          <c:dLbls>
            <c:dLbl>
              <c:idx val="0"/>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3"/>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4"/>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5"/>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6"/>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txPr>
              <a:bodyPr wrap="none"/>
              <a:lstStyle/>
              <a:p>
                <a:pPr>
                  <a:defRPr b="0" lang="en-US" sz="1000" spc="-1" strike="noStrike">
                    <a:solidFill>
                      <a:srgbClr val="000000"/>
                    </a:solidFill>
                    <a:latin typeface="Arial"/>
                    <a:ea typeface="Aptos Narrow"/>
                  </a:defRPr>
                </a:pPr>
              </a:p>
            </c:txPr>
            <c:dLblPos val="bestFit"/>
            <c:showLegendKey val="0"/>
            <c:showVal val="0"/>
            <c:showCatName val="0"/>
            <c:showSerName val="0"/>
            <c:showPercent val="0"/>
            <c:separator> </c:separator>
            <c:showLeaderLines val="1"/>
          </c:dLbls>
          <c:val>
            <c:numRef>
              <c:f>Synthèse!$A$4:$A$10</c:f>
              <c:numCache>
                <c:formatCode>General</c:formatCode>
                <c:ptCount val="7"/>
                <c:pt idx="0">
                  <c:v>1</c:v>
                </c:pt>
                <c:pt idx="1">
                  <c:v>2</c:v>
                </c:pt>
                <c:pt idx="2">
                  <c:v>3</c:v>
                </c:pt>
                <c:pt idx="3">
                  <c:v>4</c:v>
                </c:pt>
                <c:pt idx="4">
                  <c:v>5</c:v>
                </c:pt>
                <c:pt idx="5">
                  <c:v>6</c:v>
                </c:pt>
              </c:numCache>
            </c:numRef>
          </c:val>
        </c:ser>
        <c:ser>
          <c:idx val="1"/>
          <c:order val="1"/>
          <c:tx>
            <c:strRef>
              <c:f>Synthèse!$F$3</c:f>
              <c:strCache>
                <c:ptCount val="1"/>
                <c:pt idx="0">
                  <c:v>Total</c:v>
                </c:pt>
              </c:strCache>
            </c:strRef>
          </c:tx>
          <c:spPr>
            <a:solidFill>
              <a:srgbClr val="ff420e"/>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Pt>
            <c:idx val="3"/>
            <c:spPr>
              <a:solidFill>
                <a:srgbClr val="579d1c"/>
              </a:solidFill>
              <a:ln w="0">
                <a:noFill/>
              </a:ln>
            </c:spPr>
          </c:dPt>
          <c:dPt>
            <c:idx val="4"/>
            <c:spPr>
              <a:solidFill>
                <a:srgbClr val="7e0021"/>
              </a:solidFill>
              <a:ln w="0">
                <a:noFill/>
              </a:ln>
            </c:spPr>
          </c:dPt>
          <c:dPt>
            <c:idx val="5"/>
            <c:spPr>
              <a:solidFill>
                <a:srgbClr val="83caff"/>
              </a:solidFill>
              <a:ln w="0">
                <a:noFill/>
              </a:ln>
            </c:spPr>
          </c:dPt>
          <c:dPt>
            <c:idx val="6"/>
            <c:spPr>
              <a:solidFill>
                <a:srgbClr val="314004"/>
              </a:solidFill>
              <a:ln w="0">
                <a:noFill/>
              </a:ln>
            </c:spPr>
          </c:dPt>
          <c:dLbls>
            <c:dLbl>
              <c:idx val="0"/>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3"/>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4"/>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5"/>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6"/>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txPr>
              <a:bodyPr wrap="none"/>
              <a:lstStyle/>
              <a:p>
                <a:pPr>
                  <a:defRPr b="0" lang="en-US" sz="1000" spc="-1" strike="noStrike">
                    <a:solidFill>
                      <a:srgbClr val="000000"/>
                    </a:solidFill>
                    <a:latin typeface="Arial"/>
                    <a:ea typeface="Aptos Narrow"/>
                  </a:defRPr>
                </a:pPr>
              </a:p>
            </c:txPr>
            <c:dLblPos val="bestFit"/>
            <c:showLegendKey val="0"/>
            <c:showVal val="0"/>
            <c:showCatName val="0"/>
            <c:showSerName val="0"/>
            <c:showPercent val="0"/>
            <c:separator> </c:separator>
            <c:showLeaderLines val="1"/>
          </c:dLbls>
          <c:val>
            <c:numRef>
              <c:f>Synthèse!$F$4:$F$10</c:f>
              <c:numCache>
                <c:formatCode>General</c:formatCode>
                <c:ptCount val="7"/>
                <c:pt idx="0">
                  <c:v>509</c:v>
                </c:pt>
                <c:pt idx="1">
                  <c:v>221</c:v>
                </c:pt>
                <c:pt idx="2">
                  <c:v>619</c:v>
                </c:pt>
                <c:pt idx="3">
                  <c:v>381</c:v>
                </c:pt>
                <c:pt idx="4">
                  <c:v>300</c:v>
                </c:pt>
                <c:pt idx="5">
                  <c:v>444</c:v>
                </c:pt>
                <c:pt idx="6">
                  <c:v>2225</c:v>
                </c:pt>
              </c:numCache>
            </c:numRef>
          </c:val>
        </c:ser>
        <c:ser>
          <c:idx val="2"/>
          <c:order val="2"/>
          <c:tx>
            <c:strRef>
              <c:f>Synthèse!$E$3</c:f>
              <c:strCache>
                <c:ptCount val="1"/>
                <c:pt idx="0">
                  <c:v>Total PAS</c:v>
                </c:pt>
              </c:strCache>
            </c:strRef>
          </c:tx>
          <c:spPr>
            <a:solidFill>
              <a:srgbClr val="ffd320"/>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Pt>
            <c:idx val="3"/>
            <c:spPr>
              <a:solidFill>
                <a:srgbClr val="579d1c"/>
              </a:solidFill>
              <a:ln w="0">
                <a:noFill/>
              </a:ln>
            </c:spPr>
          </c:dPt>
          <c:dPt>
            <c:idx val="4"/>
            <c:spPr>
              <a:solidFill>
                <a:srgbClr val="7e0021"/>
              </a:solidFill>
              <a:ln w="0">
                <a:noFill/>
              </a:ln>
            </c:spPr>
          </c:dPt>
          <c:dPt>
            <c:idx val="5"/>
            <c:spPr>
              <a:solidFill>
                <a:srgbClr val="83caff"/>
              </a:solidFill>
              <a:ln w="0">
                <a:noFill/>
              </a:ln>
            </c:spPr>
          </c:dPt>
          <c:dPt>
            <c:idx val="6"/>
            <c:spPr>
              <a:solidFill>
                <a:srgbClr val="314004"/>
              </a:solidFill>
              <a:ln w="0">
                <a:noFill/>
              </a:ln>
            </c:spPr>
          </c:dPt>
          <c:dLbls>
            <c:dLbl>
              <c:idx val="0"/>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3"/>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4"/>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5"/>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6"/>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txPr>
              <a:bodyPr wrap="none"/>
              <a:lstStyle/>
              <a:p>
                <a:pPr>
                  <a:defRPr b="0" lang="en-US" sz="1000" spc="-1" strike="noStrike">
                    <a:solidFill>
                      <a:srgbClr val="000000"/>
                    </a:solidFill>
                    <a:latin typeface="Arial"/>
                    <a:ea typeface="Aptos Narrow"/>
                  </a:defRPr>
                </a:pPr>
              </a:p>
            </c:txPr>
            <c:dLblPos val="bestFit"/>
            <c:showLegendKey val="0"/>
            <c:showVal val="0"/>
            <c:showCatName val="0"/>
            <c:showSerName val="0"/>
            <c:showPercent val="0"/>
            <c:separator> </c:separator>
            <c:showLeaderLines val="1"/>
          </c:dLbls>
          <c:val>
            <c:numRef>
              <c:f>Synthèse!$E$4:$E$10</c:f>
              <c:numCache>
                <c:formatCode>General</c:formatCode>
                <c:ptCount val="7"/>
                <c:pt idx="0">
                  <c:v>73</c:v>
                </c:pt>
                <c:pt idx="1">
                  <c:v>62</c:v>
                </c:pt>
                <c:pt idx="2">
                  <c:v>0</c:v>
                </c:pt>
                <c:pt idx="3">
                  <c:v>0</c:v>
                </c:pt>
                <c:pt idx="4">
                  <c:v>100</c:v>
                </c:pt>
                <c:pt idx="5">
                  <c:v>15</c:v>
                </c:pt>
                <c:pt idx="6">
                  <c:v>1</c:v>
                </c:pt>
              </c:numCache>
            </c:numRef>
          </c:val>
        </c:ser>
        <c:ser>
          <c:idx val="3"/>
          <c:order val="3"/>
          <c:tx>
            <c:strRef>
              <c:f>Synthèse!$B$3</c:f>
              <c:strCache>
                <c:ptCount val="1"/>
                <c:pt idx="0">
                  <c:v>Domaines</c:v>
                </c:pt>
              </c:strCache>
            </c:strRef>
          </c:tx>
          <c:spPr>
            <a:solidFill>
              <a:srgbClr val="579d1c"/>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Pt>
            <c:idx val="3"/>
            <c:spPr>
              <a:solidFill>
                <a:srgbClr val="579d1c"/>
              </a:solidFill>
              <a:ln w="0">
                <a:noFill/>
              </a:ln>
            </c:spPr>
          </c:dPt>
          <c:dPt>
            <c:idx val="4"/>
            <c:spPr>
              <a:solidFill>
                <a:srgbClr val="7e0021"/>
              </a:solidFill>
              <a:ln w="0">
                <a:noFill/>
              </a:ln>
            </c:spPr>
          </c:dPt>
          <c:dPt>
            <c:idx val="5"/>
            <c:spPr>
              <a:solidFill>
                <a:srgbClr val="83caff"/>
              </a:solidFill>
              <a:ln w="0">
                <a:noFill/>
              </a:ln>
            </c:spPr>
          </c:dPt>
          <c:dPt>
            <c:idx val="6"/>
            <c:spPr>
              <a:solidFill>
                <a:srgbClr val="314004"/>
              </a:solidFill>
              <a:ln w="0">
                <a:noFill/>
              </a:ln>
            </c:spPr>
          </c:dPt>
          <c:dLbls>
            <c:dLbl>
              <c:idx val="0"/>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3"/>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4"/>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5"/>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6"/>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txPr>
              <a:bodyPr wrap="none"/>
              <a:lstStyle/>
              <a:p>
                <a:pPr>
                  <a:defRPr b="0" lang="en-US" sz="1000" spc="-1" strike="noStrike">
                    <a:solidFill>
                      <a:srgbClr val="000000"/>
                    </a:solidFill>
                    <a:latin typeface="Arial"/>
                    <a:ea typeface="Aptos Narrow"/>
                  </a:defRPr>
                </a:pPr>
              </a:p>
            </c:txPr>
            <c:dLblPos val="bestFit"/>
            <c:showLegendKey val="0"/>
            <c:showVal val="0"/>
            <c:showCatName val="0"/>
            <c:showSerName val="0"/>
            <c:showPercent val="0"/>
            <c:separator> </c:separator>
            <c:showLeaderLines val="1"/>
          </c:dLbls>
          <c:val>
            <c:numRef>
              <c:f>Synthèse!$B$4:$B$10</c:f>
              <c:numCache>
                <c:formatCode>General</c:formatCode>
                <c:ptCount val="7"/>
              </c:numCache>
            </c:numRef>
          </c:val>
        </c:ser>
        <c:ser>
          <c:idx val="4"/>
          <c:order val="4"/>
          <c:tx>
            <c:strRef>
              <c:f>Synthèse!$C$3</c:f>
              <c:strCache>
                <c:ptCount val="1"/>
                <c:pt idx="0">
                  <c:v>Total OUI</c:v>
                </c:pt>
              </c:strCache>
            </c:strRef>
          </c:tx>
          <c:spPr>
            <a:solidFill>
              <a:srgbClr val="7e0021"/>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Pt>
            <c:idx val="3"/>
            <c:spPr>
              <a:solidFill>
                <a:srgbClr val="579d1c"/>
              </a:solidFill>
              <a:ln w="0">
                <a:noFill/>
              </a:ln>
            </c:spPr>
          </c:dPt>
          <c:dPt>
            <c:idx val="4"/>
            <c:spPr>
              <a:solidFill>
                <a:srgbClr val="7e0021"/>
              </a:solidFill>
              <a:ln w="0">
                <a:noFill/>
              </a:ln>
            </c:spPr>
          </c:dPt>
          <c:dPt>
            <c:idx val="5"/>
            <c:spPr>
              <a:solidFill>
                <a:srgbClr val="83caff"/>
              </a:solidFill>
              <a:ln w="0">
                <a:noFill/>
              </a:ln>
            </c:spPr>
          </c:dPt>
          <c:dPt>
            <c:idx val="6"/>
            <c:spPr>
              <a:solidFill>
                <a:srgbClr val="314004"/>
              </a:solidFill>
              <a:ln w="0">
                <a:noFill/>
              </a:ln>
            </c:spPr>
          </c:dPt>
          <c:dLbls>
            <c:dLbl>
              <c:idx val="0"/>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3"/>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4"/>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5"/>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6"/>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txPr>
              <a:bodyPr wrap="none"/>
              <a:lstStyle/>
              <a:p>
                <a:pPr>
                  <a:defRPr b="0" lang="en-US" sz="1000" spc="-1" strike="noStrike">
                    <a:solidFill>
                      <a:srgbClr val="000000"/>
                    </a:solidFill>
                    <a:latin typeface="Arial"/>
                    <a:ea typeface="Aptos Narrow"/>
                  </a:defRPr>
                </a:pPr>
              </a:p>
            </c:txPr>
            <c:dLblPos val="bestFit"/>
            <c:showLegendKey val="0"/>
            <c:showVal val="0"/>
            <c:showCatName val="0"/>
            <c:showSerName val="0"/>
            <c:showPercent val="0"/>
            <c:separator> </c:separator>
            <c:showLeaderLines val="1"/>
          </c:dLbls>
          <c:val>
            <c:numRef>
              <c:f>Synthèse!$C$4:$C$10</c:f>
              <c:numCache>
                <c:formatCode>General</c:formatCode>
                <c:ptCount val="7"/>
                <c:pt idx="0">
                  <c:v>217</c:v>
                </c:pt>
                <c:pt idx="1">
                  <c:v>84</c:v>
                </c:pt>
                <c:pt idx="2">
                  <c:v>307</c:v>
                </c:pt>
                <c:pt idx="3">
                  <c:v>69</c:v>
                </c:pt>
                <c:pt idx="4">
                  <c:v>100</c:v>
                </c:pt>
                <c:pt idx="5">
                  <c:v>283</c:v>
                </c:pt>
                <c:pt idx="6">
                  <c:v>1060</c:v>
                </c:pt>
              </c:numCache>
            </c:numRef>
          </c:val>
        </c:ser>
        <c:ser>
          <c:idx val="5"/>
          <c:order val="5"/>
          <c:tx>
            <c:strRef>
              <c:f>Synthèse!$D$3</c:f>
              <c:strCache>
                <c:ptCount val="1"/>
                <c:pt idx="0">
                  <c:v>Total NON</c:v>
                </c:pt>
              </c:strCache>
            </c:strRef>
          </c:tx>
          <c:spPr>
            <a:solidFill>
              <a:srgbClr val="83caff"/>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Pt>
            <c:idx val="3"/>
            <c:spPr>
              <a:solidFill>
                <a:srgbClr val="579d1c"/>
              </a:solidFill>
              <a:ln w="0">
                <a:noFill/>
              </a:ln>
            </c:spPr>
          </c:dPt>
          <c:dPt>
            <c:idx val="4"/>
            <c:spPr>
              <a:solidFill>
                <a:srgbClr val="7e0021"/>
              </a:solidFill>
              <a:ln w="0">
                <a:noFill/>
              </a:ln>
            </c:spPr>
          </c:dPt>
          <c:dPt>
            <c:idx val="5"/>
            <c:spPr>
              <a:solidFill>
                <a:srgbClr val="83caff"/>
              </a:solidFill>
              <a:ln w="0">
                <a:noFill/>
              </a:ln>
            </c:spPr>
          </c:dPt>
          <c:dPt>
            <c:idx val="6"/>
            <c:spPr>
              <a:solidFill>
                <a:srgbClr val="314004"/>
              </a:solidFill>
              <a:ln w="0">
                <a:noFill/>
              </a:ln>
            </c:spPr>
          </c:dPt>
          <c:dLbls>
            <c:dLbl>
              <c:idx val="0"/>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3"/>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4"/>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5"/>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6"/>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txPr>
              <a:bodyPr wrap="none"/>
              <a:lstStyle/>
              <a:p>
                <a:pPr>
                  <a:defRPr b="0" lang="en-US" sz="1000" spc="-1" strike="noStrike">
                    <a:solidFill>
                      <a:srgbClr val="000000"/>
                    </a:solidFill>
                    <a:latin typeface="Arial"/>
                    <a:ea typeface="Aptos Narrow"/>
                  </a:defRPr>
                </a:pPr>
              </a:p>
            </c:txPr>
            <c:dLblPos val="bestFit"/>
            <c:showLegendKey val="0"/>
            <c:showVal val="0"/>
            <c:showCatName val="0"/>
            <c:showSerName val="0"/>
            <c:showPercent val="0"/>
            <c:separator> </c:separator>
            <c:showLeaderLines val="1"/>
          </c:dLbls>
          <c:val>
            <c:numRef>
              <c:f>Synthèse!$D$4:$D$10</c:f>
              <c:numCache>
                <c:formatCode>General</c:formatCode>
                <c:ptCount val="7"/>
                <c:pt idx="0">
                  <c:v>219</c:v>
                </c:pt>
                <c:pt idx="1">
                  <c:v>75</c:v>
                </c:pt>
                <c:pt idx="2">
                  <c:v>312</c:v>
                </c:pt>
                <c:pt idx="3">
                  <c:v>312</c:v>
                </c:pt>
                <c:pt idx="4">
                  <c:v>100</c:v>
                </c:pt>
                <c:pt idx="5">
                  <c:v>146</c:v>
                </c:pt>
                <c:pt idx="6">
                  <c:v>1164</c:v>
                </c:pt>
              </c:numCache>
            </c:numRef>
          </c:val>
        </c:ser>
        <c:ser>
          <c:idx val="6"/>
          <c:order val="6"/>
          <c:tx>
            <c:strRef>
              <c:f>Synthèse!$G$3</c:f>
              <c:strCache>
                <c:ptCount val="1"/>
                <c:pt idx="0">
                  <c:v>Score</c:v>
                </c:pt>
              </c:strCache>
            </c:strRef>
          </c:tx>
          <c:spPr>
            <a:solidFill>
              <a:srgbClr val="314004"/>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Pt>
            <c:idx val="3"/>
            <c:spPr>
              <a:solidFill>
                <a:srgbClr val="579d1c"/>
              </a:solidFill>
              <a:ln w="0">
                <a:noFill/>
              </a:ln>
            </c:spPr>
          </c:dPt>
          <c:dPt>
            <c:idx val="4"/>
            <c:spPr>
              <a:solidFill>
                <a:srgbClr val="7e0021"/>
              </a:solidFill>
              <a:ln w="0">
                <a:noFill/>
              </a:ln>
            </c:spPr>
          </c:dPt>
          <c:dPt>
            <c:idx val="5"/>
            <c:spPr>
              <a:solidFill>
                <a:srgbClr val="83caff"/>
              </a:solidFill>
              <a:ln w="0">
                <a:noFill/>
              </a:ln>
            </c:spPr>
          </c:dPt>
          <c:dPt>
            <c:idx val="6"/>
            <c:spPr>
              <a:solidFill>
                <a:srgbClr val="314004"/>
              </a:solidFill>
              <a:ln w="0">
                <a:noFill/>
              </a:ln>
            </c:spPr>
          </c:dPt>
          <c:dLbls>
            <c:dLbl>
              <c:idx val="0"/>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3"/>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4"/>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5"/>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6"/>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txPr>
              <a:bodyPr wrap="none"/>
              <a:lstStyle/>
              <a:p>
                <a:pPr>
                  <a:defRPr b="0" lang="en-US" sz="1000" spc="-1" strike="noStrike">
                    <a:solidFill>
                      <a:srgbClr val="000000"/>
                    </a:solidFill>
                    <a:latin typeface="Arial"/>
                    <a:ea typeface="Aptos Narrow"/>
                  </a:defRPr>
                </a:pPr>
              </a:p>
            </c:txPr>
            <c:dLblPos val="bestFit"/>
            <c:showLegendKey val="0"/>
            <c:showVal val="0"/>
            <c:showCatName val="0"/>
            <c:showSerName val="0"/>
            <c:showPercent val="0"/>
            <c:separator> </c:separator>
            <c:showLeaderLines val="1"/>
          </c:dLbls>
          <c:val>
            <c:numRef>
              <c:f>Synthèse!$G$4:$G$10</c:f>
              <c:numCache>
                <c:formatCode>0\ %</c:formatCode>
                <c:ptCount val="7"/>
                <c:pt idx="0">
                  <c:v>0.426326129666012</c:v>
                </c:pt>
                <c:pt idx="1">
                  <c:v>0.380090497737557</c:v>
                </c:pt>
                <c:pt idx="2">
                  <c:v>0.495961227786753</c:v>
                </c:pt>
                <c:pt idx="3">
                  <c:v>0.181102362204724</c:v>
                </c:pt>
                <c:pt idx="4">
                  <c:v>0.333333333333333</c:v>
                </c:pt>
                <c:pt idx="5">
                  <c:v>0.637387387387387</c:v>
                </c:pt>
                <c:pt idx="6">
                  <c:v>0.476404494382023</c:v>
                </c:pt>
              </c:numCache>
            </c:numRef>
          </c:val>
        </c:ser>
        <c:ser>
          <c:idx val="7"/>
          <c:order val="7"/>
          <c:tx>
            <c:strRef>
              <c:f>Synthèse!$H$3</c:f>
              <c:strCache>
                <c:ptCount val="1"/>
                <c:pt idx="0">
                  <c:v>Score</c:v>
                </c:pt>
              </c:strCache>
            </c:strRef>
          </c:tx>
          <c:spPr>
            <a:solidFill>
              <a:srgbClr val="aecf00"/>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Pt>
            <c:idx val="3"/>
            <c:spPr>
              <a:solidFill>
                <a:srgbClr val="579d1c"/>
              </a:solidFill>
              <a:ln w="0">
                <a:noFill/>
              </a:ln>
            </c:spPr>
          </c:dPt>
          <c:dPt>
            <c:idx val="4"/>
            <c:spPr>
              <a:solidFill>
                <a:srgbClr val="7e0021"/>
              </a:solidFill>
              <a:ln w="0">
                <a:noFill/>
              </a:ln>
            </c:spPr>
          </c:dPt>
          <c:dPt>
            <c:idx val="5"/>
            <c:spPr>
              <a:solidFill>
                <a:srgbClr val="83caff"/>
              </a:solidFill>
              <a:ln w="0">
                <a:noFill/>
              </a:ln>
            </c:spPr>
          </c:dPt>
          <c:dPt>
            <c:idx val="6"/>
            <c:spPr>
              <a:solidFill>
                <a:srgbClr val="314004"/>
              </a:solidFill>
              <a:ln w="0">
                <a:noFill/>
              </a:ln>
            </c:spPr>
          </c:dPt>
          <c:dLbls>
            <c:dLbl>
              <c:idx val="0"/>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3"/>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4"/>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5"/>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dLbl>
              <c:idx val="6"/>
              <c:txPr>
                <a:bodyPr wrap="none"/>
                <a:lstStyle/>
                <a:p>
                  <a:pPr>
                    <a:defRPr b="0" lang="en-US" sz="1000" spc="-1" strike="noStrike">
                      <a:solidFill>
                        <a:srgbClr val="000000"/>
                      </a:solidFill>
                      <a:latin typeface="Arial"/>
                    </a:defRPr>
                  </a:pPr>
                </a:p>
              </c:txPr>
              <c:dLblPos val="bestFit"/>
              <c:showLegendKey val="0"/>
              <c:showVal val="0"/>
              <c:showCatName val="0"/>
              <c:showSerName val="0"/>
              <c:showPercent val="0"/>
              <c:separator> </c:separator>
            </c:dLbl>
            <c:txPr>
              <a:bodyPr wrap="none"/>
              <a:lstStyle/>
              <a:p>
                <a:pPr>
                  <a:defRPr b="0" lang="en-US" sz="1000" spc="-1" strike="noStrike">
                    <a:solidFill>
                      <a:srgbClr val="000000"/>
                    </a:solidFill>
                    <a:latin typeface="Arial"/>
                    <a:ea typeface="Aptos Narrow"/>
                  </a:defRPr>
                </a:pPr>
              </a:p>
            </c:txPr>
            <c:dLblPos val="bestFit"/>
            <c:showLegendKey val="0"/>
            <c:showVal val="0"/>
            <c:showCatName val="0"/>
            <c:showSerName val="0"/>
            <c:showPercent val="0"/>
            <c:separator> </c:separator>
            <c:showLeaderLines val="1"/>
          </c:dLbls>
          <c:val>
            <c:numRef>
              <c:f>Synthèse!$H$4:$H$10</c:f>
              <c:numCache>
                <c:formatCode>0\ %</c:formatCode>
                <c:ptCount val="7"/>
                <c:pt idx="0">
                  <c:v>0.426326129666012</c:v>
                </c:pt>
                <c:pt idx="1">
                  <c:v>0.380090497737557</c:v>
                </c:pt>
                <c:pt idx="2">
                  <c:v>0.495961227786753</c:v>
                </c:pt>
                <c:pt idx="3">
                  <c:v>0.181102362204724</c:v>
                </c:pt>
                <c:pt idx="4">
                  <c:v>0.333333333333333</c:v>
                </c:pt>
                <c:pt idx="5">
                  <c:v>0.637387387387387</c:v>
                </c:pt>
                <c:pt idx="6">
                  <c:v>0.476404494382023</c:v>
                </c:pt>
              </c:numCache>
            </c:numRef>
          </c:val>
        </c:ser>
        <c:firstSliceAng val="0"/>
      </c:pieChart>
      <c:spPr>
        <a:noFill/>
        <a:ln w="0">
          <a:noFill/>
        </a:ln>
      </c:spPr>
    </c:plotArea>
    <c:legend>
      <c:legendPos val="r"/>
      <c:overlay val="0"/>
      <c:spPr>
        <a:noFill/>
        <a:ln w="0">
          <a:noFill/>
        </a:ln>
      </c:spPr>
      <c:txPr>
        <a:bodyPr/>
        <a:lstStyle/>
        <a:p>
          <a:pPr>
            <a:defRPr b="0" lang="en-US" sz="1000" spc="-1" strike="noStrike">
              <a:solidFill>
                <a:srgbClr val="000000"/>
              </a:solidFill>
              <a:latin typeface="Arial"/>
              <a:ea typeface="Aptos Narrow"/>
            </a:defRPr>
          </a:pPr>
        </a:p>
      </c:txPr>
    </c:legend>
    <c:plotVisOnly val="1"/>
    <c:dispBlanksAs val="zero"/>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554040</xdr:colOff>
      <xdr:row>21</xdr:row>
      <xdr:rowOff>73080</xdr:rowOff>
    </xdr:from>
    <xdr:to>
      <xdr:col>2</xdr:col>
      <xdr:colOff>110160</xdr:colOff>
      <xdr:row>37</xdr:row>
      <xdr:rowOff>11520</xdr:rowOff>
    </xdr:to>
    <xdr:graphicFrame>
      <xdr:nvGraphicFramePr>
        <xdr:cNvPr id="0" name="Graphique 2"/>
        <xdr:cNvGraphicFramePr/>
      </xdr:nvGraphicFramePr>
      <xdr:xfrm>
        <a:off x="1792440" y="3873600"/>
        <a:ext cx="4789080" cy="2833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466560</xdr:colOff>
      <xdr:row>14</xdr:row>
      <xdr:rowOff>26280</xdr:rowOff>
    </xdr:from>
    <xdr:to>
      <xdr:col>11</xdr:col>
      <xdr:colOff>374040</xdr:colOff>
      <xdr:row>29</xdr:row>
      <xdr:rowOff>120240</xdr:rowOff>
    </xdr:to>
    <xdr:graphicFrame>
      <xdr:nvGraphicFramePr>
        <xdr:cNvPr id="1" name=""/>
        <xdr:cNvGraphicFramePr/>
      </xdr:nvGraphicFramePr>
      <xdr:xfrm>
        <a:off x="9826560" y="2559960"/>
        <a:ext cx="4997520" cy="28087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Mission_Winnie.xlsx" TargetMode="External"/>
</Relationships>
</file>

<file path=xl/externalLinks/externalLink1.xml><?xml version="1.0" encoding="utf-8"?>
<externalLink xmlns="http://schemas.openxmlformats.org/spreadsheetml/2006/main">
  <externalBook xmlns:r="http://schemas.openxmlformats.org/officeDocument/2006/relationships" r:id="rId1"/>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48576"/>
  <sheetViews>
    <sheetView showFormulas="false" showGridLines="true" showRowColHeaders="true" showZeros="true" rightToLeft="false" tabSelected="true" showOutlineSymbols="true" defaultGridColor="true" view="normal" topLeftCell="B13" colorId="64" zoomScale="124" zoomScaleNormal="124" zoomScalePageLayoutView="100" workbookViewId="0">
      <selection pane="topLeft" activeCell="C26" activeCellId="0" sqref="C26"/>
    </sheetView>
  </sheetViews>
  <sheetFormatPr defaultColWidth="14.30078125" defaultRowHeight="15" zeroHeight="false" outlineLevelRow="0" outlineLevelCol="0"/>
  <cols>
    <col collapsed="false" customWidth="true" hidden="false" outlineLevel="0" max="1" min="1" style="1" width="17.57"/>
    <col collapsed="false" customWidth="true" hidden="false" outlineLevel="0" max="2" min="2" style="1" width="74.24"/>
    <col collapsed="false" customWidth="true" hidden="false" outlineLevel="0" max="3" min="3" style="1" width="16.91"/>
    <col collapsed="false" customWidth="true" hidden="false" outlineLevel="0" max="26" min="4" style="1" width="12.04"/>
  </cols>
  <sheetData>
    <row r="1" customFormat="false" ht="14.25" hidden="false" customHeight="true" outlineLevel="0" collapsed="false"/>
    <row r="2" customFormat="false" ht="14.25" hidden="false" customHeight="true" outlineLevel="0" collapsed="false"/>
    <row r="3" customFormat="false" ht="14.25" hidden="false" customHeight="true" outlineLevel="0" collapsed="false">
      <c r="A3" s="2" t="s">
        <v>0</v>
      </c>
      <c r="B3" s="3" t="s">
        <v>1</v>
      </c>
      <c r="C3" s="3" t="s">
        <v>2</v>
      </c>
      <c r="D3" s="3" t="s">
        <v>3</v>
      </c>
      <c r="E3" s="3" t="s">
        <v>4</v>
      </c>
      <c r="F3" s="3" t="s">
        <v>5</v>
      </c>
      <c r="G3" s="4" t="s">
        <v>6</v>
      </c>
      <c r="H3" s="4" t="s">
        <v>6</v>
      </c>
      <c r="J3" s="5" t="s">
        <v>7</v>
      </c>
      <c r="K3" s="5"/>
      <c r="L3" s="5"/>
      <c r="M3" s="5"/>
      <c r="N3" s="5"/>
      <c r="O3" s="5"/>
      <c r="P3" s="5"/>
    </row>
    <row r="4" customFormat="false" ht="14.25" hidden="false" customHeight="true" outlineLevel="0" collapsed="false">
      <c r="A4" s="6" t="n">
        <v>1</v>
      </c>
      <c r="B4" s="7" t="s">
        <v>8</v>
      </c>
      <c r="C4" s="7" t="n">
        <f aca="false">COUNTIF('4.1'!G2:G1019, "OUI")</f>
        <v>217</v>
      </c>
      <c r="D4" s="8" t="n">
        <f aca="false">COUNTIF('4.1'!G2:G1019, "NON")</f>
        <v>219</v>
      </c>
      <c r="E4" s="8" t="n">
        <f aca="false">COUNTIF('4.1'!G2:G1019, "PAS")</f>
        <v>73</v>
      </c>
      <c r="F4" s="7" t="n">
        <f aca="false">SUM(C4:E4)</f>
        <v>509</v>
      </c>
      <c r="G4" s="9" t="n">
        <f aca="false">C4/F4</f>
        <v>0.426326129666012</v>
      </c>
      <c r="H4" s="9" t="n">
        <f aca="false">C4/F4</f>
        <v>0.426326129666012</v>
      </c>
    </row>
    <row r="5" customFormat="false" ht="14.25" hidden="false" customHeight="true" outlineLevel="0" collapsed="false">
      <c r="A5" s="6" t="n">
        <v>2</v>
      </c>
      <c r="B5" s="10" t="s">
        <v>9</v>
      </c>
      <c r="C5" s="7" t="n">
        <f aca="false">COUNTIF('4.2'!F2:F443,"oui")</f>
        <v>84</v>
      </c>
      <c r="D5" s="8" t="n">
        <f aca="false">COUNTIF('4.2'!F2:F443,"non")</f>
        <v>75</v>
      </c>
      <c r="E5" s="8" t="n">
        <f aca="false">COUNTIF('4.2'!F2:F443,"pas")</f>
        <v>62</v>
      </c>
      <c r="F5" s="7" t="n">
        <f aca="false">SUM(C5:E5)</f>
        <v>221</v>
      </c>
      <c r="G5" s="9" t="n">
        <f aca="false">C5/F5</f>
        <v>0.380090497737557</v>
      </c>
      <c r="H5" s="9" t="n">
        <f aca="false">C5/F5</f>
        <v>0.380090497737557</v>
      </c>
      <c r="J5" s="11"/>
      <c r="K5" s="12"/>
      <c r="L5" s="12"/>
      <c r="M5" s="12" t="s">
        <v>10</v>
      </c>
      <c r="N5" s="12" t="s">
        <v>11</v>
      </c>
      <c r="O5" s="12" t="s">
        <v>12</v>
      </c>
      <c r="P5" s="13"/>
    </row>
    <row r="6" customFormat="false" ht="14.25" hidden="false" customHeight="true" outlineLevel="0" collapsed="false">
      <c r="A6" s="6" t="n">
        <v>3</v>
      </c>
      <c r="B6" s="10" t="s">
        <v>13</v>
      </c>
      <c r="C6" s="7" t="n">
        <f aca="false">COUNTIF('4.3'!F2:F1239,"Oui")</f>
        <v>307</v>
      </c>
      <c r="D6" s="8" t="n">
        <f aca="false">COUNTIF('4.3'!F2:F1239,"Non")</f>
        <v>312</v>
      </c>
      <c r="E6" s="8" t="n">
        <f aca="false">COUNTIF('4.3'!F2:F1239,"Pas")</f>
        <v>0</v>
      </c>
      <c r="F6" s="7" t="n">
        <f aca="false">SUM(C6:E6)</f>
        <v>619</v>
      </c>
      <c r="G6" s="9" t="n">
        <f aca="false">C6/F6</f>
        <v>0.495961227786753</v>
      </c>
      <c r="H6" s="9" t="n">
        <f aca="false">C6/F6</f>
        <v>0.495961227786753</v>
      </c>
      <c r="J6" s="14"/>
      <c r="K6" s="1" t="s">
        <v>14</v>
      </c>
      <c r="M6" s="1" t="s">
        <v>15</v>
      </c>
      <c r="N6" s="1" t="s">
        <v>16</v>
      </c>
      <c r="P6" s="15"/>
    </row>
    <row r="7" customFormat="false" ht="14.25" hidden="false" customHeight="true" outlineLevel="0" collapsed="false">
      <c r="A7" s="6" t="n">
        <v>4</v>
      </c>
      <c r="B7" s="10" t="s">
        <v>17</v>
      </c>
      <c r="C7" s="7" t="n">
        <f aca="false">COUNTIF([1]Q_Resp_Facturation!B2:B109,"OUI")</f>
        <v>69</v>
      </c>
      <c r="D7" s="8" t="n">
        <f aca="false">COUNTIF('4.3'!F2:F1239,"Non")</f>
        <v>312</v>
      </c>
      <c r="E7" s="8" t="n">
        <f aca="false">COUNTIF('4.3'!F2:F1239,"Pas")</f>
        <v>0</v>
      </c>
      <c r="F7" s="7" t="n">
        <f aca="false">SUM(C7:E7)</f>
        <v>381</v>
      </c>
      <c r="G7" s="9" t="n">
        <f aca="false">C7/F7</f>
        <v>0.181102362204724</v>
      </c>
      <c r="H7" s="9" t="n">
        <f aca="false">C7/F7</f>
        <v>0.181102362204724</v>
      </c>
      <c r="J7" s="14"/>
      <c r="P7" s="15"/>
    </row>
    <row r="8" customFormat="false" ht="14.25" hidden="false" customHeight="true" outlineLevel="0" collapsed="false">
      <c r="A8" s="6" t="n">
        <v>5</v>
      </c>
      <c r="B8" s="10" t="s">
        <v>18</v>
      </c>
      <c r="C8" s="7" t="n">
        <f aca="false">COUNTIF('4.5'!F2:F601,"Oui")</f>
        <v>100</v>
      </c>
      <c r="D8" s="8" t="n">
        <f aca="false">COUNTIF('4.5'!F2:F601,"Non")</f>
        <v>100</v>
      </c>
      <c r="E8" s="8" t="n">
        <f aca="false">COUNTIF('4.5'!F2:F601,"Pas")</f>
        <v>100</v>
      </c>
      <c r="F8" s="7" t="n">
        <f aca="false">SUM(C8:E8)</f>
        <v>300</v>
      </c>
      <c r="G8" s="9" t="n">
        <f aca="false">C8/F8</f>
        <v>0.333333333333333</v>
      </c>
      <c r="H8" s="9" t="n">
        <f aca="false">C8/F8</f>
        <v>0.333333333333333</v>
      </c>
      <c r="J8" s="14"/>
      <c r="K8" s="1" t="s">
        <v>19</v>
      </c>
      <c r="P8" s="15"/>
    </row>
    <row r="9" customFormat="false" ht="14.25" hidden="false" customHeight="true" outlineLevel="0" collapsed="false">
      <c r="A9" s="6" t="n">
        <v>6</v>
      </c>
      <c r="B9" s="7" t="s">
        <v>20</v>
      </c>
      <c r="C9" s="7" t="n">
        <f aca="false">COUNTIF(Ref_COSO!F2:F1311,"OUI")</f>
        <v>283</v>
      </c>
      <c r="D9" s="8" t="n">
        <f aca="false">COUNTIF(Ref_COSO!F2:F1311,"NON")</f>
        <v>146</v>
      </c>
      <c r="E9" s="8" t="n">
        <f aca="false">COUNTIF(Ref_COSO!F2:F1311,"PAS")</f>
        <v>15</v>
      </c>
      <c r="F9" s="7" t="n">
        <f aca="false">SUM(C9:E9)</f>
        <v>444</v>
      </c>
      <c r="G9" s="9" t="n">
        <f aca="false">C9/F9</f>
        <v>0.637387387387387</v>
      </c>
      <c r="H9" s="9" t="n">
        <f aca="false">C9/F9</f>
        <v>0.637387387387387</v>
      </c>
      <c r="J9" s="14"/>
      <c r="L9" s="16" t="n">
        <v>1</v>
      </c>
      <c r="P9" s="15"/>
    </row>
    <row r="10" customFormat="false" ht="14.25" hidden="false" customHeight="true" outlineLevel="0" collapsed="false">
      <c r="A10" s="17" t="s">
        <v>5</v>
      </c>
      <c r="B10" s="17"/>
      <c r="C10" s="18" t="n">
        <f aca="false">SUM(C4:C9)</f>
        <v>1060</v>
      </c>
      <c r="D10" s="18" t="n">
        <f aca="false">SUM(D4:D9)</f>
        <v>1164</v>
      </c>
      <c r="E10" s="18" t="n">
        <v>1</v>
      </c>
      <c r="F10" s="7" t="n">
        <f aca="false">SUM(C10:E10)</f>
        <v>2225</v>
      </c>
      <c r="G10" s="19" t="n">
        <f aca="false">C10/F10</f>
        <v>0.476404494382023</v>
      </c>
      <c r="H10" s="19" t="n">
        <f aca="false">C10/F10</f>
        <v>0.476404494382023</v>
      </c>
      <c r="J10" s="14"/>
      <c r="L10" s="16" t="n">
        <v>4</v>
      </c>
      <c r="P10" s="15"/>
    </row>
    <row r="11" customFormat="false" ht="14.25" hidden="false" customHeight="true" outlineLevel="0" collapsed="false">
      <c r="J11" s="14"/>
      <c r="K11" s="1" t="s">
        <v>21</v>
      </c>
      <c r="L11" s="16"/>
      <c r="P11" s="15"/>
    </row>
    <row r="12" customFormat="false" ht="14.25" hidden="false" customHeight="true" outlineLevel="0" collapsed="false">
      <c r="J12" s="20"/>
      <c r="K12" s="21"/>
      <c r="L12" s="21"/>
      <c r="M12" s="21"/>
      <c r="N12" s="21"/>
      <c r="O12" s="21"/>
      <c r="P12" s="22"/>
    </row>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1048575" customFormat="false" ht="12.8" hidden="false" customHeight="false" outlineLevel="0" collapsed="false"/>
    <row r="1048576" customFormat="false" ht="12.8" hidden="false" customHeight="false" outlineLevel="0" collapsed="false"/>
  </sheetData>
  <mergeCells count="2">
    <mergeCell ref="J3:P3"/>
    <mergeCell ref="A10:B10"/>
  </mergeCells>
  <conditionalFormatting sqref="G4:G9">
    <cfRule type="iconSet" priority="2">
      <iconSet iconSet="3TrafficLights1">
        <cfvo type="percent" val="0"/>
        <cfvo type="percent" val="33"/>
        <cfvo type="percent" val="67"/>
      </iconSet>
    </cfRule>
  </conditionalFormatting>
  <conditionalFormatting sqref="G10">
    <cfRule type="iconSet" priority="3">
      <iconSet iconSet="3TrafficLights1">
        <cfvo type="percent" val="0"/>
        <cfvo type="percent" val="33"/>
        <cfvo type="percent" val="67"/>
      </iconSet>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extLst>
    <ext xmlns:x14="http://schemas.microsoft.com/office/spreadsheetml/2009/9/main" uri="{78C0D931-6437-407d-A8EE-F0AAD7539E65}">
      <x14:conditionalFormattings>
        <x14:conditionalFormatting xmlns:xm="http://schemas.microsoft.com/office/excel/2006/main">
          <x14:cfRule type="iconSet" priority="4" id="{A07C30A6-675A-4552-BE3A-ED18D36AF6D0}">
            <x14:iconSet iconSet="3Triangles" reverse="0" showValue="1">
              <x14:cfvo type="percent">
                <xm:f>0</xm:f>
              </x14:cfvo>
              <x14:cfvo type="percent">
                <xm:f>50</xm:f>
              </x14:cfvo>
              <x14:cfvo type="percent">
                <xm:f>75</xm:f>
              </x14:cfvo>
            </x14:iconSet>
          </x14:cfRule>
          <xm:sqref>H4:H9</xm:sqref>
        </x14:conditionalFormatting>
        <x14:conditionalFormatting xmlns:xm="http://schemas.microsoft.com/office/excel/2006/main">
          <x14:cfRule type="iconSet" priority="5" id="{C568BA1C-6AE1-48D8-BFDA-CCDA24ACF6EB}">
            <x14:iconSet iconSet="3Triangles" reverse="0" showValue="1">
              <x14:cfvo type="percent">
                <xm:f>0</xm:f>
              </x14:cfvo>
              <x14:cfvo type="percent">
                <xm:f>50</xm:f>
              </x14:cfvo>
              <x14:cfvo type="percent">
                <xm:f>75</xm:f>
              </x14:cfvo>
            </x14:iconSet>
          </x14:cfRule>
          <xm:sqref>H10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1"/>
  <sheetViews>
    <sheetView showFormulas="false" showGridLines="true" showRowColHeaders="true" showZeros="true" rightToLeft="false" tabSelected="false" showOutlineSymbols="true" defaultGridColor="true" view="normal" topLeftCell="F728" colorId="64" zoomScale="124" zoomScaleNormal="124" zoomScalePageLayoutView="100" workbookViewId="0">
      <selection pane="topLeft" activeCell="J10" activeCellId="0" sqref="J10"/>
    </sheetView>
  </sheetViews>
  <sheetFormatPr defaultColWidth="14.30078125" defaultRowHeight="15" zeroHeight="false" outlineLevelRow="0" outlineLevelCol="0"/>
  <cols>
    <col collapsed="false" customWidth="true" hidden="false" outlineLevel="0" max="1" min="1" style="1" width="33.71"/>
    <col collapsed="false" customWidth="true" hidden="false" outlineLevel="0" max="2" min="2" style="1" width="48.13"/>
    <col collapsed="false" customWidth="true" hidden="false" outlineLevel="0" max="3" min="3" style="1" width="53.01"/>
    <col collapsed="false" customWidth="true" hidden="false" outlineLevel="0" max="4" min="4" style="1" width="68.68"/>
    <col collapsed="false" customWidth="true" hidden="false" outlineLevel="0" max="5" min="5" style="1" width="57.78"/>
    <col collapsed="false" customWidth="true" hidden="false" outlineLevel="0" max="6" min="6" style="1" width="48.25"/>
    <col collapsed="false" customWidth="true" hidden="false" outlineLevel="0" max="7" min="7" style="1" width="12.04"/>
    <col collapsed="false" customWidth="true" hidden="false" outlineLevel="0" max="8" min="8" style="1" width="61.98"/>
    <col collapsed="false" customWidth="true" hidden="false" outlineLevel="0" max="9" min="9" style="1" width="12.04"/>
    <col collapsed="false" customWidth="true" hidden="false" outlineLevel="0" max="10" min="10" style="1" width="86.37"/>
    <col collapsed="false" customWidth="true" hidden="false" outlineLevel="0" max="11" min="11" style="1" width="96.59"/>
    <col collapsed="false" customWidth="true" hidden="false" outlineLevel="0" max="26" min="12" style="1" width="12.04"/>
  </cols>
  <sheetData>
    <row r="1" customFormat="false" ht="14.25" hidden="false" customHeight="true" outlineLevel="0" collapsed="false">
      <c r="A1" s="23" t="s">
        <v>1</v>
      </c>
      <c r="B1" s="23" t="s">
        <v>22</v>
      </c>
      <c r="C1" s="24" t="s">
        <v>23</v>
      </c>
      <c r="D1" s="24" t="s">
        <v>24</v>
      </c>
      <c r="E1" s="24" t="s">
        <v>25</v>
      </c>
      <c r="F1" s="25" t="s">
        <v>26</v>
      </c>
      <c r="G1" s="26" t="s">
        <v>27</v>
      </c>
      <c r="H1" s="25" t="s">
        <v>28</v>
      </c>
      <c r="I1" s="26" t="s">
        <v>29</v>
      </c>
      <c r="J1" s="24" t="s">
        <v>30</v>
      </c>
      <c r="K1" s="24" t="s">
        <v>31</v>
      </c>
    </row>
    <row r="2" customFormat="false" ht="14.25" hidden="false" customHeight="true" outlineLevel="0" collapsed="false">
      <c r="A2" s="27" t="s">
        <v>32</v>
      </c>
      <c r="B2" s="28" t="s">
        <v>33</v>
      </c>
      <c r="C2" s="29" t="s">
        <v>34</v>
      </c>
      <c r="D2" s="29" t="s">
        <v>35</v>
      </c>
      <c r="E2" s="30" t="s">
        <v>36</v>
      </c>
      <c r="F2" s="31" t="s">
        <v>37</v>
      </c>
      <c r="G2" s="32" t="s">
        <v>38</v>
      </c>
      <c r="H2" s="33" t="s">
        <v>39</v>
      </c>
      <c r="I2" s="34" t="s">
        <v>40</v>
      </c>
      <c r="J2" s="35" t="s">
        <v>41</v>
      </c>
      <c r="K2" s="36" t="s">
        <v>42</v>
      </c>
    </row>
    <row r="3" customFormat="false" ht="14.25" hidden="false" customHeight="true" outlineLevel="0" collapsed="false">
      <c r="A3" s="27"/>
      <c r="B3" s="27"/>
      <c r="C3" s="27"/>
      <c r="D3" s="27"/>
      <c r="E3" s="30" t="s">
        <v>43</v>
      </c>
      <c r="F3" s="31"/>
      <c r="G3" s="32"/>
      <c r="H3" s="33"/>
      <c r="I3" s="34"/>
      <c r="J3" s="35"/>
      <c r="K3" s="36" t="s">
        <v>44</v>
      </c>
    </row>
    <row r="4" customFormat="false" ht="14.25" hidden="false" customHeight="true" outlineLevel="0" collapsed="false">
      <c r="A4" s="27"/>
      <c r="B4" s="27"/>
      <c r="C4" s="27"/>
      <c r="D4" s="29" t="s">
        <v>45</v>
      </c>
      <c r="E4" s="30" t="s">
        <v>46</v>
      </c>
      <c r="F4" s="31" t="s">
        <v>47</v>
      </c>
      <c r="G4" s="32" t="s">
        <v>48</v>
      </c>
      <c r="H4" s="33" t="s">
        <v>49</v>
      </c>
      <c r="I4" s="37" t="s">
        <v>50</v>
      </c>
      <c r="J4" s="35" t="s">
        <v>51</v>
      </c>
      <c r="K4" s="36" t="s">
        <v>52</v>
      </c>
    </row>
    <row r="5" customFormat="false" ht="14.25" hidden="false" customHeight="true" outlineLevel="0" collapsed="false">
      <c r="A5" s="27"/>
      <c r="B5" s="27"/>
      <c r="C5" s="27"/>
      <c r="D5" s="27"/>
      <c r="E5" s="30" t="s">
        <v>53</v>
      </c>
      <c r="F5" s="31"/>
      <c r="G5" s="32"/>
      <c r="H5" s="33"/>
      <c r="I5" s="37"/>
      <c r="J5" s="35"/>
      <c r="K5" s="36" t="s">
        <v>54</v>
      </c>
    </row>
    <row r="6" customFormat="false" ht="14.25" hidden="false" customHeight="true" outlineLevel="0" collapsed="false">
      <c r="A6" s="27"/>
      <c r="B6" s="27"/>
      <c r="C6" s="27"/>
      <c r="D6" s="29" t="s">
        <v>55</v>
      </c>
      <c r="E6" s="30" t="s">
        <v>56</v>
      </c>
      <c r="F6" s="31" t="s">
        <v>57</v>
      </c>
      <c r="G6" s="32" t="s">
        <v>58</v>
      </c>
      <c r="H6" s="38" t="s">
        <v>59</v>
      </c>
      <c r="I6" s="34" t="s">
        <v>40</v>
      </c>
      <c r="J6" s="35" t="s">
        <v>60</v>
      </c>
      <c r="K6" s="36" t="s">
        <v>61</v>
      </c>
    </row>
    <row r="7" customFormat="false" ht="14.25" hidden="false" customHeight="true" outlineLevel="0" collapsed="false">
      <c r="A7" s="27"/>
      <c r="B7" s="27"/>
      <c r="C7" s="27"/>
      <c r="D7" s="27"/>
      <c r="E7" s="30" t="s">
        <v>46</v>
      </c>
      <c r="F7" s="31"/>
      <c r="G7" s="32"/>
      <c r="H7" s="38"/>
      <c r="I7" s="34"/>
      <c r="J7" s="35"/>
      <c r="K7" s="36" t="s">
        <v>62</v>
      </c>
    </row>
    <row r="8" customFormat="false" ht="14.25" hidden="false" customHeight="true" outlineLevel="0" collapsed="false">
      <c r="A8" s="27"/>
      <c r="B8" s="27"/>
      <c r="C8" s="27"/>
      <c r="D8" s="29" t="s">
        <v>63</v>
      </c>
      <c r="E8" s="36" t="s">
        <v>64</v>
      </c>
      <c r="F8" s="31" t="s">
        <v>65</v>
      </c>
      <c r="G8" s="32" t="s">
        <v>48</v>
      </c>
      <c r="H8" s="38" t="s">
        <v>66</v>
      </c>
      <c r="I8" s="39" t="s">
        <v>67</v>
      </c>
      <c r="J8" s="35" t="s">
        <v>68</v>
      </c>
      <c r="K8" s="36" t="s">
        <v>69</v>
      </c>
    </row>
    <row r="9" customFormat="false" ht="14.25" hidden="false" customHeight="true" outlineLevel="0" collapsed="false">
      <c r="A9" s="27"/>
      <c r="B9" s="27"/>
      <c r="C9" s="27"/>
      <c r="D9" s="27"/>
      <c r="E9" s="36" t="s">
        <v>70</v>
      </c>
      <c r="F9" s="31"/>
      <c r="G9" s="32"/>
      <c r="H9" s="38"/>
      <c r="I9" s="39"/>
      <c r="J9" s="35"/>
      <c r="K9" s="36" t="s">
        <v>71</v>
      </c>
    </row>
    <row r="10" customFormat="false" ht="14.25" hidden="false" customHeight="true" outlineLevel="0" collapsed="false">
      <c r="A10" s="27"/>
      <c r="B10" s="27"/>
      <c r="C10" s="27"/>
      <c r="D10" s="29" t="s">
        <v>72</v>
      </c>
      <c r="E10" s="36" t="s">
        <v>73</v>
      </c>
      <c r="F10" s="31" t="s">
        <v>74</v>
      </c>
      <c r="G10" s="32" t="s">
        <v>48</v>
      </c>
      <c r="H10" s="33" t="s">
        <v>75</v>
      </c>
      <c r="I10" s="34" t="s">
        <v>40</v>
      </c>
      <c r="J10" s="35" t="s">
        <v>76</v>
      </c>
      <c r="K10" s="36" t="s">
        <v>77</v>
      </c>
    </row>
    <row r="11" customFormat="false" ht="14.25" hidden="false" customHeight="true" outlineLevel="0" collapsed="false">
      <c r="A11" s="27"/>
      <c r="B11" s="27"/>
      <c r="C11" s="27"/>
      <c r="D11" s="27"/>
      <c r="E11" s="36" t="s">
        <v>78</v>
      </c>
      <c r="F11" s="31"/>
      <c r="G11" s="32"/>
      <c r="H11" s="33"/>
      <c r="I11" s="34"/>
      <c r="J11" s="35"/>
      <c r="K11" s="36" t="s">
        <v>79</v>
      </c>
    </row>
    <row r="12" customFormat="false" ht="14.25" hidden="false" customHeight="true" outlineLevel="0" collapsed="false">
      <c r="A12" s="27"/>
      <c r="B12" s="27"/>
      <c r="C12" s="40" t="s">
        <v>80</v>
      </c>
      <c r="D12" s="29" t="s">
        <v>81</v>
      </c>
      <c r="E12" s="36" t="s">
        <v>82</v>
      </c>
      <c r="F12" s="31" t="s">
        <v>83</v>
      </c>
      <c r="G12" s="32" t="s">
        <v>38</v>
      </c>
      <c r="H12" s="33" t="s">
        <v>84</v>
      </c>
      <c r="I12" s="37" t="s">
        <v>50</v>
      </c>
      <c r="J12" s="35" t="s">
        <v>85</v>
      </c>
      <c r="K12" s="36" t="s">
        <v>86</v>
      </c>
    </row>
    <row r="13" customFormat="false" ht="14.25" hidden="false" customHeight="true" outlineLevel="0" collapsed="false">
      <c r="A13" s="27"/>
      <c r="B13" s="27"/>
      <c r="C13" s="27"/>
      <c r="D13" s="27"/>
      <c r="E13" s="36" t="s">
        <v>87</v>
      </c>
      <c r="F13" s="31"/>
      <c r="G13" s="32"/>
      <c r="H13" s="33"/>
      <c r="I13" s="37"/>
      <c r="J13" s="35"/>
      <c r="K13" s="36" t="s">
        <v>88</v>
      </c>
    </row>
    <row r="14" customFormat="false" ht="14.25" hidden="false" customHeight="true" outlineLevel="0" collapsed="false">
      <c r="A14" s="27"/>
      <c r="B14" s="27"/>
      <c r="C14" s="27"/>
      <c r="D14" s="29" t="s">
        <v>89</v>
      </c>
      <c r="E14" s="36" t="s">
        <v>90</v>
      </c>
      <c r="F14" s="31" t="s">
        <v>91</v>
      </c>
      <c r="G14" s="32" t="s">
        <v>38</v>
      </c>
      <c r="H14" s="33" t="s">
        <v>92</v>
      </c>
      <c r="I14" s="34" t="s">
        <v>40</v>
      </c>
      <c r="J14" s="35" t="s">
        <v>93</v>
      </c>
      <c r="K14" s="36" t="s">
        <v>94</v>
      </c>
    </row>
    <row r="15" customFormat="false" ht="14.25" hidden="false" customHeight="true" outlineLevel="0" collapsed="false">
      <c r="A15" s="27"/>
      <c r="B15" s="27"/>
      <c r="C15" s="27"/>
      <c r="D15" s="27"/>
      <c r="E15" s="36" t="s">
        <v>95</v>
      </c>
      <c r="F15" s="31"/>
      <c r="G15" s="32"/>
      <c r="H15" s="33"/>
      <c r="I15" s="34"/>
      <c r="J15" s="35"/>
      <c r="K15" s="36" t="s">
        <v>96</v>
      </c>
    </row>
    <row r="16" customFormat="false" ht="14.25" hidden="false" customHeight="true" outlineLevel="0" collapsed="false">
      <c r="A16" s="27"/>
      <c r="B16" s="27"/>
      <c r="C16" s="27"/>
      <c r="D16" s="29" t="s">
        <v>97</v>
      </c>
      <c r="E16" s="36" t="s">
        <v>98</v>
      </c>
      <c r="F16" s="31" t="s">
        <v>99</v>
      </c>
      <c r="G16" s="32" t="s">
        <v>38</v>
      </c>
      <c r="H16" s="33" t="s">
        <v>100</v>
      </c>
      <c r="I16" s="39" t="s">
        <v>67</v>
      </c>
      <c r="J16" s="35" t="s">
        <v>101</v>
      </c>
      <c r="K16" s="36" t="s">
        <v>102</v>
      </c>
    </row>
    <row r="17" customFormat="false" ht="14.25" hidden="false" customHeight="true" outlineLevel="0" collapsed="false">
      <c r="A17" s="27"/>
      <c r="B17" s="27"/>
      <c r="C17" s="27"/>
      <c r="D17" s="27"/>
      <c r="E17" s="36" t="s">
        <v>103</v>
      </c>
      <c r="F17" s="31"/>
      <c r="G17" s="32"/>
      <c r="H17" s="33"/>
      <c r="I17" s="39"/>
      <c r="J17" s="35"/>
      <c r="K17" s="36" t="s">
        <v>104</v>
      </c>
    </row>
    <row r="18" customFormat="false" ht="14.25" hidden="false" customHeight="true" outlineLevel="0" collapsed="false">
      <c r="A18" s="27"/>
      <c r="B18" s="27"/>
      <c r="C18" s="27"/>
      <c r="D18" s="29" t="s">
        <v>105</v>
      </c>
      <c r="E18" s="36" t="s">
        <v>106</v>
      </c>
      <c r="F18" s="31" t="s">
        <v>107</v>
      </c>
      <c r="G18" s="32" t="s">
        <v>48</v>
      </c>
      <c r="H18" s="33" t="s">
        <v>108</v>
      </c>
      <c r="I18" s="34" t="s">
        <v>40</v>
      </c>
      <c r="J18" s="35" t="s">
        <v>109</v>
      </c>
      <c r="K18" s="36" t="s">
        <v>110</v>
      </c>
    </row>
    <row r="19" customFormat="false" ht="14.25" hidden="false" customHeight="true" outlineLevel="0" collapsed="false">
      <c r="A19" s="27"/>
      <c r="B19" s="27"/>
      <c r="C19" s="27"/>
      <c r="D19" s="27"/>
      <c r="E19" s="36" t="s">
        <v>111</v>
      </c>
      <c r="F19" s="31"/>
      <c r="G19" s="32"/>
      <c r="H19" s="33"/>
      <c r="I19" s="34"/>
      <c r="J19" s="35"/>
      <c r="K19" s="36" t="s">
        <v>112</v>
      </c>
    </row>
    <row r="20" customFormat="false" ht="14.25" hidden="false" customHeight="true" outlineLevel="0" collapsed="false">
      <c r="A20" s="27"/>
      <c r="B20" s="27"/>
      <c r="C20" s="27"/>
      <c r="D20" s="29" t="s">
        <v>113</v>
      </c>
      <c r="E20" s="36" t="s">
        <v>114</v>
      </c>
      <c r="F20" s="31" t="s">
        <v>115</v>
      </c>
      <c r="G20" s="32" t="s">
        <v>58</v>
      </c>
      <c r="H20" s="33" t="s">
        <v>116</v>
      </c>
      <c r="I20" s="37" t="s">
        <v>50</v>
      </c>
      <c r="J20" s="35" t="s">
        <v>117</v>
      </c>
      <c r="K20" s="36" t="s">
        <v>118</v>
      </c>
    </row>
    <row r="21" customFormat="false" ht="14.25" hidden="false" customHeight="true" outlineLevel="0" collapsed="false">
      <c r="A21" s="27"/>
      <c r="B21" s="27"/>
      <c r="C21" s="27"/>
      <c r="D21" s="27"/>
      <c r="E21" s="36" t="s">
        <v>119</v>
      </c>
      <c r="F21" s="31"/>
      <c r="G21" s="32"/>
      <c r="H21" s="33"/>
      <c r="I21" s="37"/>
      <c r="J21" s="35"/>
      <c r="K21" s="36" t="s">
        <v>120</v>
      </c>
    </row>
    <row r="22" customFormat="false" ht="14.25" hidden="false" customHeight="true" outlineLevel="0" collapsed="false">
      <c r="A22" s="27"/>
      <c r="B22" s="27"/>
      <c r="C22" s="27"/>
      <c r="D22" s="29" t="s">
        <v>121</v>
      </c>
      <c r="E22" s="36" t="s">
        <v>122</v>
      </c>
      <c r="F22" s="31" t="s">
        <v>123</v>
      </c>
      <c r="G22" s="32" t="s">
        <v>48</v>
      </c>
      <c r="H22" s="33" t="s">
        <v>124</v>
      </c>
      <c r="I22" s="34" t="s">
        <v>40</v>
      </c>
      <c r="J22" s="35" t="s">
        <v>125</v>
      </c>
      <c r="K22" s="36" t="s">
        <v>126</v>
      </c>
    </row>
    <row r="23" customFormat="false" ht="14.25" hidden="false" customHeight="true" outlineLevel="0" collapsed="false">
      <c r="A23" s="27"/>
      <c r="B23" s="27"/>
      <c r="C23" s="27"/>
      <c r="D23" s="27"/>
      <c r="E23" s="36" t="s">
        <v>127</v>
      </c>
      <c r="F23" s="31"/>
      <c r="G23" s="32"/>
      <c r="H23" s="33"/>
      <c r="I23" s="34"/>
      <c r="J23" s="35"/>
      <c r="K23" s="36" t="s">
        <v>128</v>
      </c>
    </row>
    <row r="24" customFormat="false" ht="14.25" hidden="false" customHeight="true" outlineLevel="0" collapsed="false">
      <c r="A24" s="27"/>
      <c r="B24" s="27"/>
      <c r="C24" s="27"/>
      <c r="D24" s="29" t="s">
        <v>129</v>
      </c>
      <c r="E24" s="36" t="s">
        <v>130</v>
      </c>
      <c r="F24" s="31" t="s">
        <v>131</v>
      </c>
      <c r="G24" s="32" t="s">
        <v>48</v>
      </c>
      <c r="H24" s="33" t="s">
        <v>132</v>
      </c>
      <c r="I24" s="39" t="s">
        <v>67</v>
      </c>
      <c r="J24" s="35" t="s">
        <v>133</v>
      </c>
      <c r="K24" s="36" t="s">
        <v>134</v>
      </c>
    </row>
    <row r="25" customFormat="false" ht="14.25" hidden="false" customHeight="true" outlineLevel="0" collapsed="false">
      <c r="A25" s="27"/>
      <c r="B25" s="27"/>
      <c r="C25" s="27"/>
      <c r="D25" s="27"/>
      <c r="E25" s="36" t="s">
        <v>135</v>
      </c>
      <c r="F25" s="31"/>
      <c r="G25" s="32"/>
      <c r="H25" s="33"/>
      <c r="I25" s="39"/>
      <c r="J25" s="35"/>
      <c r="K25" s="36" t="s">
        <v>136</v>
      </c>
    </row>
    <row r="26" customFormat="false" ht="14.25" hidden="false" customHeight="true" outlineLevel="0" collapsed="false">
      <c r="A26" s="27"/>
      <c r="B26" s="27"/>
      <c r="C26" s="40" t="s">
        <v>137</v>
      </c>
      <c r="D26" s="29" t="s">
        <v>138</v>
      </c>
      <c r="E26" s="36" t="s">
        <v>139</v>
      </c>
      <c r="F26" s="31" t="s">
        <v>140</v>
      </c>
      <c r="G26" s="32" t="s">
        <v>38</v>
      </c>
      <c r="H26" s="33" t="s">
        <v>141</v>
      </c>
      <c r="I26" s="34" t="s">
        <v>40</v>
      </c>
      <c r="J26" s="35" t="s">
        <v>142</v>
      </c>
      <c r="K26" s="36" t="s">
        <v>143</v>
      </c>
    </row>
    <row r="27" customFormat="false" ht="14.25" hidden="false" customHeight="true" outlineLevel="0" collapsed="false">
      <c r="A27" s="27"/>
      <c r="B27" s="27"/>
      <c r="C27" s="27"/>
      <c r="D27" s="27"/>
      <c r="E27" s="36" t="s">
        <v>144</v>
      </c>
      <c r="F27" s="31"/>
      <c r="G27" s="32"/>
      <c r="H27" s="33"/>
      <c r="I27" s="34"/>
      <c r="J27" s="35"/>
      <c r="K27" s="36" t="s">
        <v>145</v>
      </c>
    </row>
    <row r="28" customFormat="false" ht="14.25" hidden="false" customHeight="true" outlineLevel="0" collapsed="false">
      <c r="A28" s="27"/>
      <c r="B28" s="27"/>
      <c r="C28" s="27"/>
      <c r="D28" s="29" t="s">
        <v>146</v>
      </c>
      <c r="E28" s="36" t="s">
        <v>147</v>
      </c>
      <c r="F28" s="31" t="s">
        <v>148</v>
      </c>
      <c r="G28" s="32" t="s">
        <v>38</v>
      </c>
      <c r="H28" s="33" t="s">
        <v>149</v>
      </c>
      <c r="I28" s="37" t="s">
        <v>50</v>
      </c>
      <c r="J28" s="35" t="s">
        <v>150</v>
      </c>
      <c r="K28" s="36" t="s">
        <v>151</v>
      </c>
    </row>
    <row r="29" customFormat="false" ht="14.25" hidden="false" customHeight="true" outlineLevel="0" collapsed="false">
      <c r="A29" s="27"/>
      <c r="B29" s="27"/>
      <c r="C29" s="27"/>
      <c r="D29" s="27"/>
      <c r="E29" s="36" t="s">
        <v>152</v>
      </c>
      <c r="F29" s="31"/>
      <c r="G29" s="32"/>
      <c r="H29" s="33"/>
      <c r="I29" s="37"/>
      <c r="J29" s="35"/>
      <c r="K29" s="36" t="s">
        <v>153</v>
      </c>
    </row>
    <row r="30" customFormat="false" ht="14.25" hidden="false" customHeight="true" outlineLevel="0" collapsed="false">
      <c r="A30" s="27"/>
      <c r="B30" s="27"/>
      <c r="C30" s="27"/>
      <c r="D30" s="29" t="s">
        <v>154</v>
      </c>
      <c r="E30" s="36" t="s">
        <v>155</v>
      </c>
      <c r="F30" s="31" t="s">
        <v>156</v>
      </c>
      <c r="G30" s="32" t="s">
        <v>38</v>
      </c>
      <c r="H30" s="33" t="s">
        <v>157</v>
      </c>
      <c r="I30" s="34" t="s">
        <v>40</v>
      </c>
      <c r="J30" s="35" t="s">
        <v>158</v>
      </c>
      <c r="K30" s="36" t="s">
        <v>159</v>
      </c>
    </row>
    <row r="31" customFormat="false" ht="14.25" hidden="false" customHeight="true" outlineLevel="0" collapsed="false">
      <c r="A31" s="27"/>
      <c r="B31" s="27"/>
      <c r="C31" s="27"/>
      <c r="D31" s="27"/>
      <c r="E31" s="36" t="s">
        <v>160</v>
      </c>
      <c r="F31" s="31"/>
      <c r="G31" s="32"/>
      <c r="H31" s="33"/>
      <c r="I31" s="34"/>
      <c r="J31" s="35"/>
      <c r="K31" s="36" t="s">
        <v>161</v>
      </c>
    </row>
    <row r="32" customFormat="false" ht="14.25" hidden="false" customHeight="true" outlineLevel="0" collapsed="false">
      <c r="A32" s="27"/>
      <c r="B32" s="27"/>
      <c r="C32" s="27"/>
      <c r="D32" s="29" t="s">
        <v>162</v>
      </c>
      <c r="E32" s="36" t="s">
        <v>163</v>
      </c>
      <c r="F32" s="31" t="s">
        <v>164</v>
      </c>
      <c r="G32" s="32" t="s">
        <v>48</v>
      </c>
      <c r="H32" s="33" t="s">
        <v>165</v>
      </c>
      <c r="I32" s="39" t="s">
        <v>67</v>
      </c>
      <c r="J32" s="35" t="s">
        <v>166</v>
      </c>
      <c r="K32" s="36" t="s">
        <v>167</v>
      </c>
    </row>
    <row r="33" customFormat="false" ht="14.25" hidden="false" customHeight="true" outlineLevel="0" collapsed="false">
      <c r="A33" s="27"/>
      <c r="B33" s="27"/>
      <c r="C33" s="27"/>
      <c r="D33" s="27"/>
      <c r="E33" s="36" t="s">
        <v>168</v>
      </c>
      <c r="F33" s="31"/>
      <c r="G33" s="32"/>
      <c r="H33" s="33"/>
      <c r="I33" s="39"/>
      <c r="J33" s="35"/>
      <c r="K33" s="36" t="s">
        <v>169</v>
      </c>
    </row>
    <row r="34" customFormat="false" ht="14.25" hidden="false" customHeight="true" outlineLevel="0" collapsed="false">
      <c r="A34" s="27"/>
      <c r="B34" s="27"/>
      <c r="C34" s="27"/>
      <c r="D34" s="29" t="s">
        <v>170</v>
      </c>
      <c r="E34" s="36" t="s">
        <v>171</v>
      </c>
      <c r="F34" s="31" t="s">
        <v>172</v>
      </c>
      <c r="G34" s="32" t="s">
        <v>58</v>
      </c>
      <c r="H34" s="33" t="s">
        <v>173</v>
      </c>
      <c r="I34" s="34" t="s">
        <v>40</v>
      </c>
      <c r="J34" s="35" t="s">
        <v>174</v>
      </c>
      <c r="K34" s="36" t="s">
        <v>175</v>
      </c>
    </row>
    <row r="35" customFormat="false" ht="14.25" hidden="false" customHeight="true" outlineLevel="0" collapsed="false">
      <c r="A35" s="27"/>
      <c r="B35" s="27"/>
      <c r="C35" s="27"/>
      <c r="D35" s="27"/>
      <c r="E35" s="36" t="s">
        <v>176</v>
      </c>
      <c r="F35" s="31"/>
      <c r="G35" s="32"/>
      <c r="H35" s="33"/>
      <c r="I35" s="34"/>
      <c r="J35" s="35"/>
      <c r="K35" s="36" t="s">
        <v>177</v>
      </c>
    </row>
    <row r="36" customFormat="false" ht="14.25" hidden="false" customHeight="true" outlineLevel="0" collapsed="false">
      <c r="A36" s="27"/>
      <c r="B36" s="27"/>
      <c r="C36" s="29" t="s">
        <v>178</v>
      </c>
      <c r="D36" s="29" t="s">
        <v>179</v>
      </c>
      <c r="E36" s="36" t="s">
        <v>180</v>
      </c>
      <c r="F36" s="31" t="s">
        <v>181</v>
      </c>
      <c r="G36" s="32" t="s">
        <v>48</v>
      </c>
      <c r="H36" s="33" t="s">
        <v>182</v>
      </c>
      <c r="I36" s="37" t="s">
        <v>50</v>
      </c>
      <c r="J36" s="35" t="s">
        <v>182</v>
      </c>
      <c r="K36" s="36" t="s">
        <v>183</v>
      </c>
    </row>
    <row r="37" customFormat="false" ht="14.25" hidden="false" customHeight="true" outlineLevel="0" collapsed="false">
      <c r="A37" s="27"/>
      <c r="B37" s="27"/>
      <c r="C37" s="27"/>
      <c r="D37" s="27"/>
      <c r="E37" s="36" t="s">
        <v>184</v>
      </c>
      <c r="F37" s="31"/>
      <c r="G37" s="32"/>
      <c r="H37" s="33"/>
      <c r="I37" s="37"/>
      <c r="J37" s="35"/>
      <c r="K37" s="36" t="s">
        <v>185</v>
      </c>
    </row>
    <row r="38" customFormat="false" ht="14.25" hidden="false" customHeight="true" outlineLevel="0" collapsed="false">
      <c r="A38" s="27"/>
      <c r="B38" s="27"/>
      <c r="C38" s="27"/>
      <c r="D38" s="29" t="s">
        <v>186</v>
      </c>
      <c r="E38" s="36" t="s">
        <v>187</v>
      </c>
      <c r="F38" s="31" t="s">
        <v>188</v>
      </c>
      <c r="G38" s="32" t="s">
        <v>48</v>
      </c>
      <c r="H38" s="33" t="s">
        <v>189</v>
      </c>
      <c r="I38" s="34" t="s">
        <v>40</v>
      </c>
      <c r="J38" s="35" t="s">
        <v>190</v>
      </c>
      <c r="K38" s="36" t="s">
        <v>191</v>
      </c>
    </row>
    <row r="39" customFormat="false" ht="14.25" hidden="false" customHeight="true" outlineLevel="0" collapsed="false">
      <c r="A39" s="27"/>
      <c r="B39" s="27"/>
      <c r="C39" s="27"/>
      <c r="D39" s="27"/>
      <c r="E39" s="36" t="s">
        <v>192</v>
      </c>
      <c r="F39" s="31"/>
      <c r="G39" s="32"/>
      <c r="H39" s="33"/>
      <c r="I39" s="34"/>
      <c r="J39" s="35"/>
      <c r="K39" s="36" t="s">
        <v>193</v>
      </c>
    </row>
    <row r="40" customFormat="false" ht="14.25" hidden="false" customHeight="true" outlineLevel="0" collapsed="false">
      <c r="A40" s="27"/>
      <c r="B40" s="27"/>
      <c r="C40" s="27"/>
      <c r="D40" s="29" t="s">
        <v>194</v>
      </c>
      <c r="E40" s="36" t="s">
        <v>195</v>
      </c>
      <c r="F40" s="31" t="s">
        <v>196</v>
      </c>
      <c r="G40" s="32" t="s">
        <v>38</v>
      </c>
      <c r="H40" s="33" t="s">
        <v>197</v>
      </c>
      <c r="I40" s="39" t="s">
        <v>67</v>
      </c>
      <c r="J40" s="35" t="s">
        <v>197</v>
      </c>
      <c r="K40" s="36" t="s">
        <v>198</v>
      </c>
    </row>
    <row r="41" customFormat="false" ht="14.25" hidden="false" customHeight="true" outlineLevel="0" collapsed="false">
      <c r="A41" s="27"/>
      <c r="B41" s="27"/>
      <c r="C41" s="27"/>
      <c r="D41" s="27"/>
      <c r="E41" s="36" t="s">
        <v>199</v>
      </c>
      <c r="F41" s="31"/>
      <c r="G41" s="32"/>
      <c r="H41" s="33"/>
      <c r="I41" s="39"/>
      <c r="J41" s="35"/>
      <c r="K41" s="36" t="s">
        <v>200</v>
      </c>
    </row>
    <row r="42" customFormat="false" ht="14.25" hidden="false" customHeight="true" outlineLevel="0" collapsed="false">
      <c r="A42" s="27"/>
      <c r="B42" s="27"/>
      <c r="C42" s="27"/>
      <c r="D42" s="29" t="s">
        <v>201</v>
      </c>
      <c r="E42" s="36" t="s">
        <v>202</v>
      </c>
      <c r="F42" s="31" t="s">
        <v>203</v>
      </c>
      <c r="G42" s="32" t="s">
        <v>38</v>
      </c>
      <c r="H42" s="33" t="s">
        <v>204</v>
      </c>
      <c r="I42" s="34" t="s">
        <v>40</v>
      </c>
      <c r="J42" s="35" t="s">
        <v>204</v>
      </c>
      <c r="K42" s="36" t="s">
        <v>205</v>
      </c>
    </row>
    <row r="43" customFormat="false" ht="14.25" hidden="false" customHeight="true" outlineLevel="0" collapsed="false">
      <c r="A43" s="27"/>
      <c r="B43" s="27"/>
      <c r="C43" s="27"/>
      <c r="D43" s="27"/>
      <c r="E43" s="36" t="s">
        <v>206</v>
      </c>
      <c r="F43" s="31"/>
      <c r="G43" s="32"/>
      <c r="H43" s="33"/>
      <c r="I43" s="34"/>
      <c r="J43" s="35"/>
      <c r="K43" s="36" t="s">
        <v>207</v>
      </c>
    </row>
    <row r="44" customFormat="false" ht="14.25" hidden="false" customHeight="true" outlineLevel="0" collapsed="false">
      <c r="A44" s="27"/>
      <c r="B44" s="27"/>
      <c r="C44" s="27"/>
      <c r="D44" s="29" t="s">
        <v>208</v>
      </c>
      <c r="E44" s="36" t="s">
        <v>209</v>
      </c>
      <c r="F44" s="31" t="s">
        <v>210</v>
      </c>
      <c r="G44" s="32" t="s">
        <v>38</v>
      </c>
      <c r="H44" s="33" t="s">
        <v>211</v>
      </c>
      <c r="I44" s="37" t="s">
        <v>50</v>
      </c>
      <c r="J44" s="35" t="s">
        <v>211</v>
      </c>
      <c r="K44" s="36" t="s">
        <v>212</v>
      </c>
    </row>
    <row r="45" customFormat="false" ht="14.25" hidden="false" customHeight="true" outlineLevel="0" collapsed="false">
      <c r="A45" s="27"/>
      <c r="B45" s="27"/>
      <c r="C45" s="27"/>
      <c r="D45" s="27"/>
      <c r="E45" s="36" t="s">
        <v>213</v>
      </c>
      <c r="F45" s="31"/>
      <c r="G45" s="32"/>
      <c r="H45" s="33"/>
      <c r="I45" s="37"/>
      <c r="J45" s="35"/>
      <c r="K45" s="36" t="s">
        <v>214</v>
      </c>
    </row>
    <row r="46" customFormat="false" ht="14.25" hidden="false" customHeight="true" outlineLevel="0" collapsed="false">
      <c r="A46" s="27"/>
      <c r="B46" s="27"/>
      <c r="C46" s="29" t="s">
        <v>215</v>
      </c>
      <c r="D46" s="29" t="s">
        <v>216</v>
      </c>
      <c r="E46" s="36" t="s">
        <v>217</v>
      </c>
      <c r="F46" s="31" t="s">
        <v>218</v>
      </c>
      <c r="G46" s="32" t="s">
        <v>48</v>
      </c>
      <c r="H46" s="33" t="s">
        <v>219</v>
      </c>
      <c r="I46" s="34" t="s">
        <v>40</v>
      </c>
      <c r="J46" s="35" t="s">
        <v>219</v>
      </c>
      <c r="K46" s="36" t="s">
        <v>220</v>
      </c>
    </row>
    <row r="47" customFormat="false" ht="14.25" hidden="false" customHeight="true" outlineLevel="0" collapsed="false">
      <c r="A47" s="27"/>
      <c r="B47" s="27"/>
      <c r="C47" s="27"/>
      <c r="D47" s="27"/>
      <c r="E47" s="36" t="s">
        <v>221</v>
      </c>
      <c r="F47" s="31"/>
      <c r="G47" s="32"/>
      <c r="H47" s="33"/>
      <c r="I47" s="34"/>
      <c r="J47" s="35"/>
      <c r="K47" s="36" t="s">
        <v>222</v>
      </c>
    </row>
    <row r="48" customFormat="false" ht="14.25" hidden="false" customHeight="true" outlineLevel="0" collapsed="false">
      <c r="A48" s="27"/>
      <c r="B48" s="27"/>
      <c r="C48" s="27"/>
      <c r="D48" s="29" t="s">
        <v>223</v>
      </c>
      <c r="E48" s="36" t="s">
        <v>224</v>
      </c>
      <c r="F48" s="31" t="s">
        <v>225</v>
      </c>
      <c r="G48" s="32" t="s">
        <v>58</v>
      </c>
      <c r="H48" s="33" t="s">
        <v>226</v>
      </c>
      <c r="I48" s="39" t="s">
        <v>67</v>
      </c>
      <c r="J48" s="35" t="s">
        <v>226</v>
      </c>
      <c r="K48" s="36" t="s">
        <v>227</v>
      </c>
    </row>
    <row r="49" customFormat="false" ht="14.25" hidden="false" customHeight="true" outlineLevel="0" collapsed="false">
      <c r="A49" s="27"/>
      <c r="B49" s="27"/>
      <c r="C49" s="27"/>
      <c r="D49" s="27"/>
      <c r="E49" s="36" t="s">
        <v>228</v>
      </c>
      <c r="F49" s="31"/>
      <c r="G49" s="32"/>
      <c r="H49" s="33"/>
      <c r="I49" s="39"/>
      <c r="J49" s="35"/>
      <c r="K49" s="36" t="s">
        <v>229</v>
      </c>
    </row>
    <row r="50" customFormat="false" ht="14.25" hidden="false" customHeight="true" outlineLevel="0" collapsed="false">
      <c r="A50" s="27"/>
      <c r="B50" s="27"/>
      <c r="C50" s="27"/>
      <c r="D50" s="29" t="s">
        <v>230</v>
      </c>
      <c r="E50" s="36" t="s">
        <v>231</v>
      </c>
      <c r="F50" s="31" t="s">
        <v>232</v>
      </c>
      <c r="G50" s="32" t="s">
        <v>48</v>
      </c>
      <c r="H50" s="33" t="s">
        <v>233</v>
      </c>
      <c r="I50" s="34" t="s">
        <v>40</v>
      </c>
      <c r="J50" s="35" t="s">
        <v>233</v>
      </c>
      <c r="K50" s="36" t="s">
        <v>234</v>
      </c>
    </row>
    <row r="51" customFormat="false" ht="14.25" hidden="false" customHeight="true" outlineLevel="0" collapsed="false">
      <c r="A51" s="27"/>
      <c r="B51" s="27"/>
      <c r="C51" s="27"/>
      <c r="D51" s="27"/>
      <c r="E51" s="36" t="s">
        <v>235</v>
      </c>
      <c r="F51" s="31"/>
      <c r="G51" s="32"/>
      <c r="H51" s="33"/>
      <c r="I51" s="34"/>
      <c r="J51" s="35"/>
      <c r="K51" s="36" t="s">
        <v>236</v>
      </c>
    </row>
    <row r="52" customFormat="false" ht="14.25" hidden="false" customHeight="true" outlineLevel="0" collapsed="false">
      <c r="A52" s="27"/>
      <c r="B52" s="27"/>
      <c r="C52" s="27"/>
      <c r="D52" s="29" t="s">
        <v>237</v>
      </c>
      <c r="E52" s="36" t="s">
        <v>238</v>
      </c>
      <c r="F52" s="31" t="s">
        <v>239</v>
      </c>
      <c r="G52" s="32" t="s">
        <v>48</v>
      </c>
      <c r="H52" s="33" t="s">
        <v>240</v>
      </c>
      <c r="I52" s="37" t="s">
        <v>50</v>
      </c>
      <c r="J52" s="35" t="s">
        <v>240</v>
      </c>
      <c r="K52" s="36" t="s">
        <v>241</v>
      </c>
    </row>
    <row r="53" customFormat="false" ht="14.25" hidden="false" customHeight="true" outlineLevel="0" collapsed="false">
      <c r="A53" s="27"/>
      <c r="B53" s="27"/>
      <c r="C53" s="27"/>
      <c r="D53" s="27"/>
      <c r="E53" s="36" t="s">
        <v>242</v>
      </c>
      <c r="F53" s="31"/>
      <c r="G53" s="32"/>
      <c r="H53" s="33"/>
      <c r="I53" s="37"/>
      <c r="J53" s="35"/>
      <c r="K53" s="36" t="s">
        <v>243</v>
      </c>
    </row>
    <row r="54" customFormat="false" ht="14.25" hidden="false" customHeight="true" outlineLevel="0" collapsed="false">
      <c r="A54" s="27"/>
      <c r="B54" s="27"/>
      <c r="C54" s="27"/>
      <c r="D54" s="29" t="s">
        <v>244</v>
      </c>
      <c r="E54" s="36" t="s">
        <v>245</v>
      </c>
      <c r="F54" s="31" t="s">
        <v>246</v>
      </c>
      <c r="G54" s="32" t="s">
        <v>38</v>
      </c>
      <c r="H54" s="33" t="s">
        <v>247</v>
      </c>
      <c r="I54" s="34" t="s">
        <v>40</v>
      </c>
      <c r="J54" s="35" t="s">
        <v>247</v>
      </c>
      <c r="K54" s="36" t="s">
        <v>248</v>
      </c>
    </row>
    <row r="55" customFormat="false" ht="14.25" hidden="false" customHeight="true" outlineLevel="0" collapsed="false">
      <c r="A55" s="27"/>
      <c r="B55" s="27"/>
      <c r="C55" s="27"/>
      <c r="D55" s="27"/>
      <c r="E55" s="36" t="s">
        <v>249</v>
      </c>
      <c r="F55" s="31"/>
      <c r="G55" s="32"/>
      <c r="H55" s="33"/>
      <c r="I55" s="34"/>
      <c r="J55" s="35"/>
      <c r="K55" s="36" t="s">
        <v>250</v>
      </c>
    </row>
    <row r="56" customFormat="false" ht="14.25" hidden="false" customHeight="true" outlineLevel="0" collapsed="false">
      <c r="A56" s="27"/>
      <c r="B56" s="27"/>
      <c r="C56" s="29" t="s">
        <v>251</v>
      </c>
      <c r="D56" s="29" t="s">
        <v>252</v>
      </c>
      <c r="E56" s="36" t="s">
        <v>253</v>
      </c>
      <c r="F56" s="31" t="s">
        <v>252</v>
      </c>
      <c r="G56" s="32" t="s">
        <v>38</v>
      </c>
      <c r="H56" s="33" t="s">
        <v>254</v>
      </c>
      <c r="I56" s="39" t="s">
        <v>67</v>
      </c>
      <c r="J56" s="35" t="s">
        <v>254</v>
      </c>
      <c r="K56" s="36" t="s">
        <v>255</v>
      </c>
    </row>
    <row r="57" customFormat="false" ht="14.25" hidden="false" customHeight="true" outlineLevel="0" collapsed="false">
      <c r="A57" s="27"/>
      <c r="B57" s="27"/>
      <c r="C57" s="27"/>
      <c r="D57" s="27"/>
      <c r="E57" s="36" t="s">
        <v>256</v>
      </c>
      <c r="F57" s="31"/>
      <c r="G57" s="32"/>
      <c r="H57" s="33"/>
      <c r="I57" s="39"/>
      <c r="J57" s="35"/>
      <c r="K57" s="36" t="s">
        <v>257</v>
      </c>
    </row>
    <row r="58" customFormat="false" ht="14.25" hidden="false" customHeight="true" outlineLevel="0" collapsed="false">
      <c r="A58" s="27"/>
      <c r="B58" s="27"/>
      <c r="C58" s="27"/>
      <c r="D58" s="29" t="s">
        <v>258</v>
      </c>
      <c r="E58" s="36" t="s">
        <v>259</v>
      </c>
      <c r="F58" s="31" t="s">
        <v>260</v>
      </c>
      <c r="G58" s="32" t="s">
        <v>38</v>
      </c>
      <c r="H58" s="33" t="s">
        <v>261</v>
      </c>
      <c r="I58" s="34" t="s">
        <v>40</v>
      </c>
      <c r="J58" s="35" t="s">
        <v>261</v>
      </c>
      <c r="K58" s="36" t="s">
        <v>262</v>
      </c>
    </row>
    <row r="59" customFormat="false" ht="14.25" hidden="false" customHeight="true" outlineLevel="0" collapsed="false">
      <c r="A59" s="27"/>
      <c r="B59" s="27"/>
      <c r="C59" s="27"/>
      <c r="D59" s="27"/>
      <c r="E59" s="36" t="s">
        <v>263</v>
      </c>
      <c r="F59" s="31"/>
      <c r="G59" s="32"/>
      <c r="H59" s="33"/>
      <c r="I59" s="34"/>
      <c r="J59" s="35"/>
      <c r="K59" s="36" t="s">
        <v>264</v>
      </c>
    </row>
    <row r="60" customFormat="false" ht="14.25" hidden="false" customHeight="true" outlineLevel="0" collapsed="false">
      <c r="A60" s="27"/>
      <c r="B60" s="27"/>
      <c r="C60" s="27"/>
      <c r="D60" s="29" t="s">
        <v>265</v>
      </c>
      <c r="E60" s="36" t="s">
        <v>266</v>
      </c>
      <c r="F60" s="31" t="s">
        <v>265</v>
      </c>
      <c r="G60" s="32" t="s">
        <v>48</v>
      </c>
      <c r="H60" s="33" t="s">
        <v>267</v>
      </c>
      <c r="I60" s="37" t="s">
        <v>50</v>
      </c>
      <c r="J60" s="35" t="s">
        <v>267</v>
      </c>
      <c r="K60" s="36" t="s">
        <v>268</v>
      </c>
    </row>
    <row r="61" customFormat="false" ht="14.25" hidden="false" customHeight="true" outlineLevel="0" collapsed="false">
      <c r="A61" s="27"/>
      <c r="B61" s="27"/>
      <c r="C61" s="27"/>
      <c r="D61" s="27"/>
      <c r="E61" s="36" t="s">
        <v>269</v>
      </c>
      <c r="F61" s="31"/>
      <c r="G61" s="32"/>
      <c r="H61" s="33"/>
      <c r="I61" s="37"/>
      <c r="J61" s="35"/>
      <c r="K61" s="36" t="s">
        <v>193</v>
      </c>
    </row>
    <row r="62" customFormat="false" ht="14.25" hidden="false" customHeight="true" outlineLevel="0" collapsed="false">
      <c r="A62" s="27"/>
      <c r="B62" s="27"/>
      <c r="C62" s="27"/>
      <c r="D62" s="29" t="s">
        <v>270</v>
      </c>
      <c r="E62" s="36" t="s">
        <v>271</v>
      </c>
      <c r="F62" s="31" t="s">
        <v>270</v>
      </c>
      <c r="G62" s="32" t="s">
        <v>58</v>
      </c>
      <c r="H62" s="33" t="s">
        <v>272</v>
      </c>
      <c r="I62" s="34" t="s">
        <v>40</v>
      </c>
      <c r="J62" s="35" t="s">
        <v>272</v>
      </c>
      <c r="K62" s="36" t="s">
        <v>198</v>
      </c>
    </row>
    <row r="63" customFormat="false" ht="14.25" hidden="false" customHeight="true" outlineLevel="0" collapsed="false">
      <c r="A63" s="27"/>
      <c r="B63" s="27"/>
      <c r="C63" s="27"/>
      <c r="D63" s="27"/>
      <c r="E63" s="36" t="s">
        <v>273</v>
      </c>
      <c r="F63" s="31"/>
      <c r="G63" s="32"/>
      <c r="H63" s="33"/>
      <c r="I63" s="34"/>
      <c r="J63" s="35"/>
      <c r="K63" s="36" t="s">
        <v>200</v>
      </c>
    </row>
    <row r="64" customFormat="false" ht="14.25" hidden="false" customHeight="true" outlineLevel="0" collapsed="false">
      <c r="A64" s="27"/>
      <c r="B64" s="27"/>
      <c r="C64" s="27"/>
      <c r="D64" s="29" t="s">
        <v>274</v>
      </c>
      <c r="E64" s="36" t="s">
        <v>275</v>
      </c>
      <c r="F64" s="31" t="s">
        <v>274</v>
      </c>
      <c r="G64" s="32" t="s">
        <v>48</v>
      </c>
      <c r="H64" s="33" t="s">
        <v>276</v>
      </c>
      <c r="I64" s="39" t="s">
        <v>67</v>
      </c>
      <c r="J64" s="35" t="s">
        <v>277</v>
      </c>
      <c r="K64" s="36" t="s">
        <v>278</v>
      </c>
    </row>
    <row r="65" customFormat="false" ht="14.25" hidden="false" customHeight="true" outlineLevel="0" collapsed="false">
      <c r="A65" s="27"/>
      <c r="B65" s="27"/>
      <c r="C65" s="27"/>
      <c r="D65" s="27"/>
      <c r="E65" s="36" t="s">
        <v>279</v>
      </c>
      <c r="F65" s="31"/>
      <c r="G65" s="32"/>
      <c r="H65" s="33"/>
      <c r="I65" s="39"/>
      <c r="J65" s="35"/>
      <c r="K65" s="36" t="s">
        <v>280</v>
      </c>
    </row>
    <row r="66" customFormat="false" ht="14.25" hidden="false" customHeight="true" outlineLevel="0" collapsed="false">
      <c r="A66" s="27"/>
      <c r="B66" s="27"/>
      <c r="C66" s="29" t="s">
        <v>281</v>
      </c>
      <c r="D66" s="29" t="s">
        <v>282</v>
      </c>
      <c r="E66" s="36" t="s">
        <v>283</v>
      </c>
      <c r="F66" s="31" t="s">
        <v>284</v>
      </c>
      <c r="G66" s="32" t="s">
        <v>48</v>
      </c>
      <c r="H66" s="33" t="s">
        <v>285</v>
      </c>
      <c r="I66" s="34" t="s">
        <v>40</v>
      </c>
      <c r="J66" s="35" t="s">
        <v>286</v>
      </c>
      <c r="K66" s="36" t="s">
        <v>287</v>
      </c>
    </row>
    <row r="67" customFormat="false" ht="14.25" hidden="false" customHeight="true" outlineLevel="0" collapsed="false">
      <c r="A67" s="27"/>
      <c r="B67" s="27"/>
      <c r="C67" s="27"/>
      <c r="D67" s="27"/>
      <c r="E67" s="36" t="s">
        <v>288</v>
      </c>
      <c r="F67" s="31"/>
      <c r="G67" s="32"/>
      <c r="H67" s="33"/>
      <c r="I67" s="34"/>
      <c r="J67" s="35"/>
      <c r="K67" s="36" t="s">
        <v>289</v>
      </c>
    </row>
    <row r="68" customFormat="false" ht="14.25" hidden="false" customHeight="true" outlineLevel="0" collapsed="false">
      <c r="A68" s="27"/>
      <c r="B68" s="27"/>
      <c r="C68" s="27"/>
      <c r="D68" s="29" t="s">
        <v>290</v>
      </c>
      <c r="E68" s="36" t="s">
        <v>291</v>
      </c>
      <c r="F68" s="31" t="s">
        <v>292</v>
      </c>
      <c r="G68" s="32" t="s">
        <v>38</v>
      </c>
      <c r="H68" s="33" t="s">
        <v>293</v>
      </c>
      <c r="I68" s="37" t="s">
        <v>50</v>
      </c>
      <c r="J68" s="35" t="s">
        <v>294</v>
      </c>
      <c r="K68" s="36" t="s">
        <v>295</v>
      </c>
    </row>
    <row r="69" customFormat="false" ht="14.25" hidden="false" customHeight="true" outlineLevel="0" collapsed="false">
      <c r="A69" s="27"/>
      <c r="B69" s="27"/>
      <c r="C69" s="27"/>
      <c r="D69" s="27"/>
      <c r="E69" s="36" t="s">
        <v>296</v>
      </c>
      <c r="F69" s="31"/>
      <c r="G69" s="32"/>
      <c r="H69" s="33"/>
      <c r="I69" s="37"/>
      <c r="J69" s="35"/>
      <c r="K69" s="36" t="s">
        <v>297</v>
      </c>
    </row>
    <row r="70" customFormat="false" ht="14.25" hidden="false" customHeight="true" outlineLevel="0" collapsed="false">
      <c r="A70" s="27"/>
      <c r="B70" s="27"/>
      <c r="C70" s="27"/>
      <c r="D70" s="29" t="s">
        <v>298</v>
      </c>
      <c r="E70" s="36" t="s">
        <v>299</v>
      </c>
      <c r="F70" s="31" t="s">
        <v>300</v>
      </c>
      <c r="G70" s="32" t="s">
        <v>38</v>
      </c>
      <c r="H70" s="33" t="s">
        <v>301</v>
      </c>
      <c r="I70" s="34" t="s">
        <v>40</v>
      </c>
      <c r="J70" s="35" t="s">
        <v>302</v>
      </c>
      <c r="K70" s="36" t="s">
        <v>303</v>
      </c>
    </row>
    <row r="71" customFormat="false" ht="14.25" hidden="false" customHeight="true" outlineLevel="0" collapsed="false">
      <c r="A71" s="27"/>
      <c r="B71" s="27"/>
      <c r="C71" s="27"/>
      <c r="D71" s="27"/>
      <c r="E71" s="36" t="s">
        <v>304</v>
      </c>
      <c r="F71" s="31"/>
      <c r="G71" s="32"/>
      <c r="H71" s="33"/>
      <c r="I71" s="34"/>
      <c r="J71" s="35"/>
      <c r="K71" s="36" t="s">
        <v>305</v>
      </c>
    </row>
    <row r="72" customFormat="false" ht="14.25" hidden="false" customHeight="true" outlineLevel="0" collapsed="false">
      <c r="A72" s="27"/>
      <c r="B72" s="27"/>
      <c r="C72" s="27"/>
      <c r="D72" s="29" t="s">
        <v>306</v>
      </c>
      <c r="E72" s="36" t="s">
        <v>307</v>
      </c>
      <c r="F72" s="31" t="s">
        <v>308</v>
      </c>
      <c r="G72" s="32" t="s">
        <v>38</v>
      </c>
      <c r="H72" s="33" t="s">
        <v>309</v>
      </c>
      <c r="I72" s="39" t="s">
        <v>67</v>
      </c>
      <c r="J72" s="35" t="s">
        <v>286</v>
      </c>
      <c r="K72" s="36" t="s">
        <v>310</v>
      </c>
    </row>
    <row r="73" customFormat="false" ht="14.25" hidden="false" customHeight="true" outlineLevel="0" collapsed="false">
      <c r="A73" s="27"/>
      <c r="B73" s="27"/>
      <c r="C73" s="27"/>
      <c r="D73" s="27"/>
      <c r="E73" s="36" t="s">
        <v>311</v>
      </c>
      <c r="F73" s="31"/>
      <c r="G73" s="32"/>
      <c r="H73" s="33"/>
      <c r="I73" s="39"/>
      <c r="J73" s="35"/>
      <c r="K73" s="36" t="s">
        <v>312</v>
      </c>
    </row>
    <row r="74" customFormat="false" ht="14.25" hidden="false" customHeight="true" outlineLevel="0" collapsed="false">
      <c r="A74" s="27"/>
      <c r="B74" s="27"/>
      <c r="C74" s="27"/>
      <c r="D74" s="29" t="s">
        <v>313</v>
      </c>
      <c r="E74" s="36" t="s">
        <v>314</v>
      </c>
      <c r="F74" s="31" t="s">
        <v>315</v>
      </c>
      <c r="G74" s="32" t="s">
        <v>48</v>
      </c>
      <c r="H74" s="33" t="s">
        <v>316</v>
      </c>
      <c r="I74" s="34" t="s">
        <v>40</v>
      </c>
      <c r="J74" s="35" t="s">
        <v>317</v>
      </c>
      <c r="K74" s="36" t="s">
        <v>318</v>
      </c>
    </row>
    <row r="75" customFormat="false" ht="14.25" hidden="false" customHeight="true" outlineLevel="0" collapsed="false">
      <c r="A75" s="27"/>
      <c r="B75" s="27"/>
      <c r="C75" s="27"/>
      <c r="D75" s="27"/>
      <c r="E75" s="36" t="s">
        <v>319</v>
      </c>
      <c r="F75" s="31"/>
      <c r="G75" s="32"/>
      <c r="H75" s="33"/>
      <c r="I75" s="34"/>
      <c r="J75" s="35"/>
      <c r="K75" s="36" t="s">
        <v>320</v>
      </c>
    </row>
    <row r="76" customFormat="false" ht="14.25" hidden="false" customHeight="true" outlineLevel="0" collapsed="false">
      <c r="A76" s="27"/>
      <c r="B76" s="27"/>
      <c r="C76" s="27"/>
      <c r="D76" s="29" t="s">
        <v>321</v>
      </c>
      <c r="E76" s="36" t="s">
        <v>322</v>
      </c>
      <c r="F76" s="31" t="s">
        <v>323</v>
      </c>
      <c r="G76" s="32" t="s">
        <v>58</v>
      </c>
      <c r="H76" s="33" t="s">
        <v>324</v>
      </c>
      <c r="I76" s="37" t="s">
        <v>50</v>
      </c>
      <c r="J76" s="35" t="s">
        <v>325</v>
      </c>
      <c r="K76" s="36" t="s">
        <v>326</v>
      </c>
    </row>
    <row r="77" customFormat="false" ht="14.25" hidden="false" customHeight="true" outlineLevel="0" collapsed="false">
      <c r="A77" s="27"/>
      <c r="B77" s="27"/>
      <c r="C77" s="27"/>
      <c r="D77" s="27"/>
      <c r="E77" s="36" t="s">
        <v>327</v>
      </c>
      <c r="F77" s="31"/>
      <c r="G77" s="32"/>
      <c r="H77" s="33"/>
      <c r="I77" s="37"/>
      <c r="J77" s="35"/>
      <c r="K77" s="36" t="s">
        <v>328</v>
      </c>
    </row>
    <row r="78" customFormat="false" ht="14.25" hidden="false" customHeight="true" outlineLevel="0" collapsed="false">
      <c r="A78" s="27"/>
      <c r="B78" s="27"/>
      <c r="C78" s="29" t="s">
        <v>329</v>
      </c>
      <c r="D78" s="29" t="s">
        <v>330</v>
      </c>
      <c r="E78" s="36" t="s">
        <v>331</v>
      </c>
      <c r="F78" s="31" t="s">
        <v>332</v>
      </c>
      <c r="G78" s="32" t="s">
        <v>48</v>
      </c>
      <c r="H78" s="33" t="s">
        <v>333</v>
      </c>
      <c r="I78" s="34" t="s">
        <v>40</v>
      </c>
      <c r="J78" s="35" t="s">
        <v>334</v>
      </c>
      <c r="K78" s="36" t="s">
        <v>335</v>
      </c>
    </row>
    <row r="79" customFormat="false" ht="14.25" hidden="false" customHeight="true" outlineLevel="0" collapsed="false">
      <c r="A79" s="27"/>
      <c r="B79" s="27"/>
      <c r="C79" s="27"/>
      <c r="D79" s="27"/>
      <c r="E79" s="36" t="s">
        <v>336</v>
      </c>
      <c r="F79" s="31"/>
      <c r="G79" s="32"/>
      <c r="H79" s="33"/>
      <c r="I79" s="34"/>
      <c r="J79" s="35"/>
      <c r="K79" s="36" t="s">
        <v>337</v>
      </c>
    </row>
    <row r="80" customFormat="false" ht="14.25" hidden="false" customHeight="true" outlineLevel="0" collapsed="false">
      <c r="A80" s="27"/>
      <c r="B80" s="27"/>
      <c r="C80" s="27"/>
      <c r="D80" s="29" t="s">
        <v>338</v>
      </c>
      <c r="E80" s="36" t="s">
        <v>339</v>
      </c>
      <c r="F80" s="31" t="s">
        <v>340</v>
      </c>
      <c r="G80" s="32" t="s">
        <v>48</v>
      </c>
      <c r="H80" s="33" t="s">
        <v>341</v>
      </c>
      <c r="I80" s="39" t="s">
        <v>67</v>
      </c>
      <c r="J80" s="35" t="s">
        <v>342</v>
      </c>
      <c r="K80" s="36" t="s">
        <v>343</v>
      </c>
    </row>
    <row r="81" customFormat="false" ht="14.25" hidden="false" customHeight="true" outlineLevel="0" collapsed="false">
      <c r="A81" s="27"/>
      <c r="B81" s="27"/>
      <c r="C81" s="27"/>
      <c r="D81" s="27"/>
      <c r="E81" s="36" t="s">
        <v>344</v>
      </c>
      <c r="F81" s="31"/>
      <c r="G81" s="32"/>
      <c r="H81" s="33"/>
      <c r="I81" s="39"/>
      <c r="J81" s="35"/>
      <c r="K81" s="36" t="s">
        <v>345</v>
      </c>
    </row>
    <row r="82" customFormat="false" ht="14.25" hidden="false" customHeight="true" outlineLevel="0" collapsed="false">
      <c r="A82" s="27"/>
      <c r="B82" s="27"/>
      <c r="C82" s="27"/>
      <c r="D82" s="29" t="s">
        <v>346</v>
      </c>
      <c r="E82" s="36" t="s">
        <v>347</v>
      </c>
      <c r="F82" s="31" t="s">
        <v>348</v>
      </c>
      <c r="G82" s="32" t="s">
        <v>38</v>
      </c>
      <c r="H82" s="33" t="s">
        <v>349</v>
      </c>
      <c r="I82" s="34" t="s">
        <v>40</v>
      </c>
      <c r="J82" s="35" t="s">
        <v>350</v>
      </c>
      <c r="K82" s="36" t="s">
        <v>351</v>
      </c>
    </row>
    <row r="83" customFormat="false" ht="14.25" hidden="false" customHeight="true" outlineLevel="0" collapsed="false">
      <c r="A83" s="27"/>
      <c r="B83" s="27"/>
      <c r="C83" s="27"/>
      <c r="D83" s="27"/>
      <c r="E83" s="36" t="s">
        <v>352</v>
      </c>
      <c r="F83" s="31"/>
      <c r="G83" s="32"/>
      <c r="H83" s="33"/>
      <c r="I83" s="34"/>
      <c r="J83" s="35"/>
      <c r="K83" s="36" t="s">
        <v>353</v>
      </c>
    </row>
    <row r="84" customFormat="false" ht="14.25" hidden="false" customHeight="true" outlineLevel="0" collapsed="false">
      <c r="A84" s="27"/>
      <c r="B84" s="27"/>
      <c r="C84" s="27"/>
      <c r="D84" s="29" t="s">
        <v>354</v>
      </c>
      <c r="E84" s="36" t="s">
        <v>355</v>
      </c>
      <c r="F84" s="31" t="s">
        <v>356</v>
      </c>
      <c r="G84" s="32" t="s">
        <v>38</v>
      </c>
      <c r="H84" s="33" t="s">
        <v>357</v>
      </c>
      <c r="I84" s="37" t="s">
        <v>50</v>
      </c>
      <c r="J84" s="35" t="s">
        <v>358</v>
      </c>
      <c r="K84" s="36" t="s">
        <v>359</v>
      </c>
    </row>
    <row r="85" customFormat="false" ht="14.25" hidden="false" customHeight="true" outlineLevel="0" collapsed="false">
      <c r="A85" s="27"/>
      <c r="B85" s="27"/>
      <c r="C85" s="27"/>
      <c r="D85" s="27"/>
      <c r="E85" s="36" t="s">
        <v>360</v>
      </c>
      <c r="F85" s="31"/>
      <c r="G85" s="32"/>
      <c r="H85" s="33"/>
      <c r="I85" s="37"/>
      <c r="J85" s="35"/>
      <c r="K85" s="36" t="s">
        <v>361</v>
      </c>
    </row>
    <row r="86" customFormat="false" ht="14.25" hidden="false" customHeight="true" outlineLevel="0" collapsed="false">
      <c r="A86" s="27"/>
      <c r="B86" s="27"/>
      <c r="C86" s="27"/>
      <c r="D86" s="29" t="s">
        <v>362</v>
      </c>
      <c r="E86" s="36" t="s">
        <v>363</v>
      </c>
      <c r="F86" s="31" t="s">
        <v>364</v>
      </c>
      <c r="G86" s="32" t="s">
        <v>38</v>
      </c>
      <c r="H86" s="33" t="s">
        <v>365</v>
      </c>
      <c r="I86" s="34" t="s">
        <v>40</v>
      </c>
      <c r="J86" s="35" t="s">
        <v>350</v>
      </c>
      <c r="K86" s="36" t="s">
        <v>366</v>
      </c>
    </row>
    <row r="87" customFormat="false" ht="14.25" hidden="false" customHeight="true" outlineLevel="0" collapsed="false">
      <c r="A87" s="27"/>
      <c r="B87" s="27"/>
      <c r="C87" s="27"/>
      <c r="D87" s="27"/>
      <c r="E87" s="36" t="s">
        <v>367</v>
      </c>
      <c r="F87" s="31"/>
      <c r="G87" s="32"/>
      <c r="H87" s="33"/>
      <c r="I87" s="34"/>
      <c r="J87" s="35"/>
      <c r="K87" s="36" t="s">
        <v>368</v>
      </c>
    </row>
    <row r="88" customFormat="false" ht="14.25" hidden="false" customHeight="true" outlineLevel="0" collapsed="false">
      <c r="A88" s="27"/>
      <c r="B88" s="27"/>
      <c r="C88" s="29" t="s">
        <v>369</v>
      </c>
      <c r="D88" s="29" t="s">
        <v>370</v>
      </c>
      <c r="E88" s="36" t="s">
        <v>371</v>
      </c>
      <c r="F88" s="31" t="s">
        <v>372</v>
      </c>
      <c r="G88" s="32" t="s">
        <v>48</v>
      </c>
      <c r="H88" s="33" t="s">
        <v>373</v>
      </c>
      <c r="I88" s="39" t="s">
        <v>67</v>
      </c>
      <c r="J88" s="35" t="s">
        <v>374</v>
      </c>
      <c r="K88" s="36" t="s">
        <v>375</v>
      </c>
    </row>
    <row r="89" customFormat="false" ht="14.25" hidden="false" customHeight="true" outlineLevel="0" collapsed="false">
      <c r="A89" s="27"/>
      <c r="B89" s="27"/>
      <c r="C89" s="27"/>
      <c r="D89" s="27"/>
      <c r="E89" s="36" t="s">
        <v>376</v>
      </c>
      <c r="F89" s="31"/>
      <c r="G89" s="32"/>
      <c r="H89" s="33"/>
      <c r="I89" s="39"/>
      <c r="J89" s="35"/>
      <c r="K89" s="36" t="s">
        <v>377</v>
      </c>
    </row>
    <row r="90" customFormat="false" ht="14.25" hidden="false" customHeight="true" outlineLevel="0" collapsed="false">
      <c r="A90" s="27"/>
      <c r="B90" s="27"/>
      <c r="C90" s="27"/>
      <c r="D90" s="29" t="s">
        <v>378</v>
      </c>
      <c r="E90" s="36" t="s">
        <v>379</v>
      </c>
      <c r="F90" s="31" t="s">
        <v>380</v>
      </c>
      <c r="G90" s="32" t="s">
        <v>58</v>
      </c>
      <c r="H90" s="33" t="s">
        <v>381</v>
      </c>
      <c r="I90" s="34" t="s">
        <v>40</v>
      </c>
      <c r="J90" s="35" t="s">
        <v>382</v>
      </c>
      <c r="K90" s="36" t="s">
        <v>383</v>
      </c>
    </row>
    <row r="91" customFormat="false" ht="14.25" hidden="false" customHeight="true" outlineLevel="0" collapsed="false">
      <c r="A91" s="27"/>
      <c r="B91" s="27"/>
      <c r="C91" s="27"/>
      <c r="D91" s="27"/>
      <c r="E91" s="36" t="s">
        <v>384</v>
      </c>
      <c r="F91" s="31"/>
      <c r="G91" s="32"/>
      <c r="H91" s="33"/>
      <c r="I91" s="34"/>
      <c r="J91" s="35"/>
      <c r="K91" s="36" t="s">
        <v>385</v>
      </c>
    </row>
    <row r="92" customFormat="false" ht="14.25" hidden="false" customHeight="true" outlineLevel="0" collapsed="false">
      <c r="A92" s="27"/>
      <c r="B92" s="27"/>
      <c r="C92" s="27"/>
      <c r="D92" s="29" t="s">
        <v>386</v>
      </c>
      <c r="E92" s="36" t="s">
        <v>387</v>
      </c>
      <c r="F92" s="31" t="s">
        <v>388</v>
      </c>
      <c r="G92" s="32" t="s">
        <v>48</v>
      </c>
      <c r="H92" s="33" t="s">
        <v>389</v>
      </c>
      <c r="I92" s="37" t="s">
        <v>50</v>
      </c>
      <c r="J92" s="35" t="s">
        <v>390</v>
      </c>
      <c r="K92" s="36" t="s">
        <v>391</v>
      </c>
    </row>
    <row r="93" customFormat="false" ht="14.25" hidden="false" customHeight="true" outlineLevel="0" collapsed="false">
      <c r="A93" s="27"/>
      <c r="B93" s="27"/>
      <c r="C93" s="27"/>
      <c r="D93" s="27"/>
      <c r="E93" s="36" t="s">
        <v>392</v>
      </c>
      <c r="F93" s="31"/>
      <c r="G93" s="32"/>
      <c r="H93" s="33"/>
      <c r="I93" s="37"/>
      <c r="J93" s="35"/>
      <c r="K93" s="36" t="s">
        <v>393</v>
      </c>
    </row>
    <row r="94" customFormat="false" ht="14.25" hidden="false" customHeight="true" outlineLevel="0" collapsed="false">
      <c r="A94" s="27"/>
      <c r="B94" s="27"/>
      <c r="C94" s="27"/>
      <c r="D94" s="29" t="s">
        <v>394</v>
      </c>
      <c r="E94" s="36" t="s">
        <v>395</v>
      </c>
      <c r="F94" s="31" t="s">
        <v>396</v>
      </c>
      <c r="G94" s="32" t="s">
        <v>48</v>
      </c>
      <c r="H94" s="33" t="s">
        <v>397</v>
      </c>
      <c r="I94" s="34" t="s">
        <v>40</v>
      </c>
      <c r="J94" s="35" t="s">
        <v>398</v>
      </c>
      <c r="K94" s="36" t="s">
        <v>399</v>
      </c>
    </row>
    <row r="95" customFormat="false" ht="14.25" hidden="false" customHeight="true" outlineLevel="0" collapsed="false">
      <c r="A95" s="27"/>
      <c r="B95" s="27"/>
      <c r="C95" s="27"/>
      <c r="D95" s="27"/>
      <c r="E95" s="36" t="s">
        <v>400</v>
      </c>
      <c r="F95" s="31"/>
      <c r="G95" s="32"/>
      <c r="H95" s="33"/>
      <c r="I95" s="34"/>
      <c r="J95" s="35"/>
      <c r="K95" s="36" t="s">
        <v>401</v>
      </c>
    </row>
    <row r="96" customFormat="false" ht="14.25" hidden="false" customHeight="true" outlineLevel="0" collapsed="false">
      <c r="A96" s="27"/>
      <c r="B96" s="27"/>
      <c r="C96" s="27"/>
      <c r="D96" s="29" t="s">
        <v>402</v>
      </c>
      <c r="E96" s="36" t="s">
        <v>403</v>
      </c>
      <c r="F96" s="31" t="s">
        <v>404</v>
      </c>
      <c r="G96" s="32" t="s">
        <v>38</v>
      </c>
      <c r="H96" s="33" t="s">
        <v>405</v>
      </c>
      <c r="I96" s="39" t="s">
        <v>67</v>
      </c>
      <c r="J96" s="35" t="s">
        <v>406</v>
      </c>
      <c r="K96" s="36" t="s">
        <v>407</v>
      </c>
    </row>
    <row r="97" customFormat="false" ht="14.25" hidden="false" customHeight="true" outlineLevel="0" collapsed="false">
      <c r="A97" s="27"/>
      <c r="B97" s="27"/>
      <c r="C97" s="27"/>
      <c r="D97" s="27"/>
      <c r="E97" s="36" t="s">
        <v>408</v>
      </c>
      <c r="F97" s="31"/>
      <c r="G97" s="32"/>
      <c r="H97" s="33"/>
      <c r="I97" s="39"/>
      <c r="J97" s="35"/>
      <c r="K97" s="36" t="s">
        <v>409</v>
      </c>
    </row>
    <row r="98" customFormat="false" ht="14.25" hidden="false" customHeight="true" outlineLevel="0" collapsed="false">
      <c r="A98" s="27"/>
      <c r="B98" s="27"/>
      <c r="C98" s="40" t="s">
        <v>410</v>
      </c>
      <c r="D98" s="29" t="s">
        <v>411</v>
      </c>
      <c r="E98" s="36" t="s">
        <v>412</v>
      </c>
      <c r="F98" s="31" t="s">
        <v>413</v>
      </c>
      <c r="G98" s="32" t="s">
        <v>38</v>
      </c>
      <c r="H98" s="33" t="s">
        <v>414</v>
      </c>
      <c r="I98" s="34" t="s">
        <v>40</v>
      </c>
      <c r="J98" s="35" t="s">
        <v>415</v>
      </c>
      <c r="K98" s="36" t="s">
        <v>416</v>
      </c>
    </row>
    <row r="99" customFormat="false" ht="14.25" hidden="false" customHeight="true" outlineLevel="0" collapsed="false">
      <c r="A99" s="27"/>
      <c r="B99" s="27"/>
      <c r="C99" s="27"/>
      <c r="D99" s="27"/>
      <c r="E99" s="36" t="s">
        <v>417</v>
      </c>
      <c r="F99" s="31"/>
      <c r="G99" s="32"/>
      <c r="H99" s="33"/>
      <c r="I99" s="34"/>
      <c r="J99" s="35"/>
      <c r="K99" s="36" t="s">
        <v>418</v>
      </c>
    </row>
    <row r="100" customFormat="false" ht="14.25" hidden="false" customHeight="true" outlineLevel="0" collapsed="false">
      <c r="A100" s="27"/>
      <c r="B100" s="27"/>
      <c r="C100" s="27"/>
      <c r="D100" s="29" t="s">
        <v>419</v>
      </c>
      <c r="E100" s="36" t="s">
        <v>420</v>
      </c>
      <c r="F100" s="31" t="s">
        <v>421</v>
      </c>
      <c r="G100" s="32" t="s">
        <v>38</v>
      </c>
      <c r="H100" s="33" t="s">
        <v>422</v>
      </c>
      <c r="I100" s="37" t="s">
        <v>50</v>
      </c>
      <c r="J100" s="35" t="s">
        <v>423</v>
      </c>
      <c r="K100" s="36" t="s">
        <v>424</v>
      </c>
    </row>
    <row r="101" customFormat="false" ht="14.25" hidden="false" customHeight="true" outlineLevel="0" collapsed="false">
      <c r="A101" s="27"/>
      <c r="B101" s="27"/>
      <c r="C101" s="27"/>
      <c r="D101" s="27"/>
      <c r="E101" s="36" t="s">
        <v>425</v>
      </c>
      <c r="F101" s="31"/>
      <c r="G101" s="32"/>
      <c r="H101" s="33"/>
      <c r="I101" s="37"/>
      <c r="J101" s="35"/>
      <c r="K101" s="36" t="s">
        <v>426</v>
      </c>
    </row>
    <row r="102" customFormat="false" ht="14.25" hidden="false" customHeight="true" outlineLevel="0" collapsed="false">
      <c r="A102" s="27"/>
      <c r="B102" s="27"/>
      <c r="C102" s="27"/>
      <c r="D102" s="29" t="s">
        <v>290</v>
      </c>
      <c r="E102" s="36" t="s">
        <v>427</v>
      </c>
      <c r="F102" s="31" t="s">
        <v>428</v>
      </c>
      <c r="G102" s="32" t="s">
        <v>48</v>
      </c>
      <c r="H102" s="33" t="s">
        <v>429</v>
      </c>
      <c r="I102" s="34" t="s">
        <v>40</v>
      </c>
      <c r="J102" s="35" t="s">
        <v>430</v>
      </c>
      <c r="K102" s="36" t="s">
        <v>431</v>
      </c>
    </row>
    <row r="103" customFormat="false" ht="14.25" hidden="false" customHeight="true" outlineLevel="0" collapsed="false">
      <c r="A103" s="27"/>
      <c r="B103" s="27"/>
      <c r="C103" s="27"/>
      <c r="D103" s="27"/>
      <c r="E103" s="36" t="s">
        <v>432</v>
      </c>
      <c r="F103" s="31"/>
      <c r="G103" s="32"/>
      <c r="H103" s="33"/>
      <c r="I103" s="34"/>
      <c r="J103" s="35"/>
      <c r="K103" s="36" t="s">
        <v>433</v>
      </c>
    </row>
    <row r="104" customFormat="false" ht="14.25" hidden="false" customHeight="true" outlineLevel="0" collapsed="false">
      <c r="A104" s="27"/>
      <c r="B104" s="27"/>
      <c r="C104" s="27"/>
      <c r="D104" s="29" t="s">
        <v>298</v>
      </c>
      <c r="E104" s="36" t="s">
        <v>434</v>
      </c>
      <c r="F104" s="31" t="s">
        <v>435</v>
      </c>
      <c r="G104" s="32" t="s">
        <v>58</v>
      </c>
      <c r="H104" s="33" t="s">
        <v>436</v>
      </c>
      <c r="I104" s="39" t="s">
        <v>67</v>
      </c>
      <c r="J104" s="35" t="s">
        <v>437</v>
      </c>
      <c r="K104" s="36" t="s">
        <v>438</v>
      </c>
    </row>
    <row r="105" customFormat="false" ht="14.25" hidden="false" customHeight="true" outlineLevel="0" collapsed="false">
      <c r="A105" s="27"/>
      <c r="B105" s="27"/>
      <c r="C105" s="27"/>
      <c r="D105" s="27"/>
      <c r="E105" s="36" t="s">
        <v>439</v>
      </c>
      <c r="F105" s="31"/>
      <c r="G105" s="32"/>
      <c r="H105" s="33"/>
      <c r="I105" s="39"/>
      <c r="J105" s="35"/>
      <c r="K105" s="36" t="s">
        <v>440</v>
      </c>
    </row>
    <row r="106" customFormat="false" ht="14.25" hidden="false" customHeight="true" outlineLevel="0" collapsed="false">
      <c r="A106" s="27"/>
      <c r="B106" s="27"/>
      <c r="C106" s="27"/>
      <c r="D106" s="29" t="s">
        <v>441</v>
      </c>
      <c r="E106" s="36" t="s">
        <v>442</v>
      </c>
      <c r="F106" s="31" t="s">
        <v>443</v>
      </c>
      <c r="G106" s="32" t="s">
        <v>48</v>
      </c>
      <c r="H106" s="33" t="s">
        <v>444</v>
      </c>
      <c r="I106" s="34" t="s">
        <v>40</v>
      </c>
      <c r="J106" s="35" t="s">
        <v>445</v>
      </c>
      <c r="K106" s="36" t="s">
        <v>446</v>
      </c>
    </row>
    <row r="107" customFormat="false" ht="14.25" hidden="false" customHeight="true" outlineLevel="0" collapsed="false">
      <c r="A107" s="27"/>
      <c r="B107" s="27"/>
      <c r="C107" s="27"/>
      <c r="D107" s="27"/>
      <c r="E107" s="36" t="s">
        <v>447</v>
      </c>
      <c r="F107" s="31"/>
      <c r="G107" s="32"/>
      <c r="H107" s="33"/>
      <c r="I107" s="34"/>
      <c r="J107" s="35"/>
      <c r="K107" s="36" t="s">
        <v>448</v>
      </c>
    </row>
    <row r="108" customFormat="false" ht="14.25" hidden="false" customHeight="true" outlineLevel="0" collapsed="false">
      <c r="A108" s="27"/>
      <c r="B108" s="27"/>
      <c r="C108" s="27"/>
      <c r="D108" s="29" t="s">
        <v>449</v>
      </c>
      <c r="E108" s="36" t="s">
        <v>450</v>
      </c>
      <c r="F108" s="31" t="s">
        <v>451</v>
      </c>
      <c r="G108" s="32" t="s">
        <v>48</v>
      </c>
      <c r="H108" s="33" t="s">
        <v>452</v>
      </c>
      <c r="I108" s="37" t="s">
        <v>50</v>
      </c>
      <c r="J108" s="35" t="s">
        <v>453</v>
      </c>
      <c r="K108" s="36" t="s">
        <v>454</v>
      </c>
    </row>
    <row r="109" customFormat="false" ht="14.25" hidden="false" customHeight="true" outlineLevel="0" collapsed="false">
      <c r="A109" s="27"/>
      <c r="B109" s="27"/>
      <c r="C109" s="27"/>
      <c r="D109" s="27"/>
      <c r="E109" s="36" t="s">
        <v>455</v>
      </c>
      <c r="F109" s="31"/>
      <c r="G109" s="32"/>
      <c r="H109" s="33"/>
      <c r="I109" s="37"/>
      <c r="J109" s="35"/>
      <c r="K109" s="36" t="s">
        <v>456</v>
      </c>
    </row>
    <row r="110" customFormat="false" ht="14.25" hidden="false" customHeight="true" outlineLevel="0" collapsed="false">
      <c r="A110" s="27"/>
      <c r="B110" s="28" t="s">
        <v>457</v>
      </c>
      <c r="C110" s="29" t="s">
        <v>458</v>
      </c>
      <c r="D110" s="29" t="s">
        <v>459</v>
      </c>
      <c r="E110" s="30" t="s">
        <v>460</v>
      </c>
      <c r="F110" s="31" t="s">
        <v>461</v>
      </c>
      <c r="G110" s="32" t="s">
        <v>38</v>
      </c>
      <c r="H110" s="33" t="s">
        <v>462</v>
      </c>
      <c r="I110" s="34" t="s">
        <v>40</v>
      </c>
      <c r="J110" s="35" t="s">
        <v>463</v>
      </c>
      <c r="K110" s="36" t="s">
        <v>464</v>
      </c>
    </row>
    <row r="111" customFormat="false" ht="14.25" hidden="false" customHeight="true" outlineLevel="0" collapsed="false">
      <c r="A111" s="27"/>
      <c r="B111" s="27"/>
      <c r="C111" s="27"/>
      <c r="D111" s="27"/>
      <c r="E111" s="30" t="s">
        <v>465</v>
      </c>
      <c r="F111" s="31"/>
      <c r="G111" s="32"/>
      <c r="H111" s="33"/>
      <c r="I111" s="34"/>
      <c r="J111" s="35"/>
      <c r="K111" s="36" t="s">
        <v>466</v>
      </c>
    </row>
    <row r="112" customFormat="false" ht="14.25" hidden="false" customHeight="true" outlineLevel="0" collapsed="false">
      <c r="A112" s="27"/>
      <c r="B112" s="27"/>
      <c r="C112" s="27"/>
      <c r="D112" s="29" t="s">
        <v>467</v>
      </c>
      <c r="E112" s="30" t="s">
        <v>314</v>
      </c>
      <c r="F112" s="31" t="s">
        <v>468</v>
      </c>
      <c r="G112" s="32" t="s">
        <v>38</v>
      </c>
      <c r="H112" s="33" t="s">
        <v>469</v>
      </c>
      <c r="I112" s="39" t="s">
        <v>67</v>
      </c>
      <c r="J112" s="35" t="s">
        <v>470</v>
      </c>
      <c r="K112" s="36" t="s">
        <v>471</v>
      </c>
    </row>
    <row r="113" customFormat="false" ht="14.25" hidden="false" customHeight="true" outlineLevel="0" collapsed="false">
      <c r="A113" s="27"/>
      <c r="B113" s="27"/>
      <c r="C113" s="27"/>
      <c r="D113" s="27"/>
      <c r="E113" s="30" t="s">
        <v>455</v>
      </c>
      <c r="F113" s="31"/>
      <c r="G113" s="32"/>
      <c r="H113" s="33"/>
      <c r="I113" s="39"/>
      <c r="J113" s="35"/>
      <c r="K113" s="36" t="s">
        <v>472</v>
      </c>
    </row>
    <row r="114" customFormat="false" ht="14.25" hidden="false" customHeight="true" outlineLevel="0" collapsed="false">
      <c r="A114" s="27"/>
      <c r="B114" s="27"/>
      <c r="C114" s="27"/>
      <c r="D114" s="29" t="s">
        <v>473</v>
      </c>
      <c r="E114" s="30" t="s">
        <v>474</v>
      </c>
      <c r="F114" s="31" t="s">
        <v>475</v>
      </c>
      <c r="G114" s="32" t="s">
        <v>38</v>
      </c>
      <c r="H114" s="33" t="s">
        <v>476</v>
      </c>
      <c r="I114" s="34" t="s">
        <v>40</v>
      </c>
      <c r="J114" s="35" t="s">
        <v>477</v>
      </c>
      <c r="K114" s="36" t="s">
        <v>478</v>
      </c>
    </row>
    <row r="115" customFormat="false" ht="14.25" hidden="false" customHeight="true" outlineLevel="0" collapsed="false">
      <c r="A115" s="27"/>
      <c r="B115" s="27"/>
      <c r="C115" s="27"/>
      <c r="D115" s="27"/>
      <c r="E115" s="30" t="s">
        <v>479</v>
      </c>
      <c r="F115" s="31"/>
      <c r="G115" s="32"/>
      <c r="H115" s="33"/>
      <c r="I115" s="34"/>
      <c r="J115" s="35"/>
      <c r="K115" s="36" t="s">
        <v>480</v>
      </c>
    </row>
    <row r="116" customFormat="false" ht="14.25" hidden="false" customHeight="true" outlineLevel="0" collapsed="false">
      <c r="A116" s="27"/>
      <c r="B116" s="27"/>
      <c r="C116" s="27"/>
      <c r="D116" s="29" t="s">
        <v>481</v>
      </c>
      <c r="E116" s="30" t="s">
        <v>482</v>
      </c>
      <c r="F116" s="31" t="s">
        <v>483</v>
      </c>
      <c r="G116" s="32" t="s">
        <v>48</v>
      </c>
      <c r="H116" s="33" t="s">
        <v>484</v>
      </c>
      <c r="I116" s="37" t="s">
        <v>50</v>
      </c>
      <c r="J116" s="35" t="s">
        <v>485</v>
      </c>
      <c r="K116" s="36" t="s">
        <v>486</v>
      </c>
    </row>
    <row r="117" customFormat="false" ht="14.25" hidden="false" customHeight="true" outlineLevel="0" collapsed="false">
      <c r="A117" s="27"/>
      <c r="B117" s="27"/>
      <c r="C117" s="27"/>
      <c r="D117" s="27"/>
      <c r="E117" s="30" t="s">
        <v>487</v>
      </c>
      <c r="F117" s="31"/>
      <c r="G117" s="32"/>
      <c r="H117" s="33"/>
      <c r="I117" s="37"/>
      <c r="J117" s="35"/>
      <c r="K117" s="36" t="s">
        <v>488</v>
      </c>
    </row>
    <row r="118" customFormat="false" ht="14.25" hidden="false" customHeight="true" outlineLevel="0" collapsed="false">
      <c r="A118" s="27"/>
      <c r="B118" s="27"/>
      <c r="C118" s="27"/>
      <c r="D118" s="29" t="s">
        <v>489</v>
      </c>
      <c r="E118" s="24" t="s">
        <v>490</v>
      </c>
      <c r="F118" s="31" t="s">
        <v>491</v>
      </c>
      <c r="G118" s="32" t="s">
        <v>58</v>
      </c>
      <c r="H118" s="33" t="s">
        <v>492</v>
      </c>
      <c r="I118" s="34" t="s">
        <v>40</v>
      </c>
      <c r="J118" s="35" t="s">
        <v>437</v>
      </c>
      <c r="K118" s="36" t="s">
        <v>493</v>
      </c>
    </row>
    <row r="119" customFormat="false" ht="14.25" hidden="false" customHeight="true" outlineLevel="0" collapsed="false">
      <c r="A119" s="27"/>
      <c r="B119" s="27"/>
      <c r="C119" s="27"/>
      <c r="D119" s="27"/>
      <c r="E119" s="24" t="s">
        <v>494</v>
      </c>
      <c r="F119" s="31"/>
      <c r="G119" s="32"/>
      <c r="H119" s="33"/>
      <c r="I119" s="34"/>
      <c r="J119" s="35"/>
      <c r="K119" s="36" t="s">
        <v>495</v>
      </c>
    </row>
    <row r="120" customFormat="false" ht="14.25" hidden="false" customHeight="true" outlineLevel="0" collapsed="false">
      <c r="A120" s="27"/>
      <c r="B120" s="27"/>
      <c r="C120" s="29" t="s">
        <v>496</v>
      </c>
      <c r="D120" s="29" t="s">
        <v>497</v>
      </c>
      <c r="E120" s="41" t="s">
        <v>498</v>
      </c>
      <c r="F120" s="31" t="s">
        <v>499</v>
      </c>
      <c r="G120" s="32" t="s">
        <v>48</v>
      </c>
      <c r="H120" s="33" t="s">
        <v>500</v>
      </c>
      <c r="I120" s="39" t="s">
        <v>67</v>
      </c>
      <c r="J120" s="35" t="s">
        <v>501</v>
      </c>
      <c r="K120" s="36" t="s">
        <v>502</v>
      </c>
    </row>
    <row r="121" customFormat="false" ht="14.25" hidden="false" customHeight="true" outlineLevel="0" collapsed="false">
      <c r="A121" s="27"/>
      <c r="B121" s="27"/>
      <c r="C121" s="27"/>
      <c r="D121" s="27"/>
      <c r="E121" s="41" t="s">
        <v>503</v>
      </c>
      <c r="F121" s="31"/>
      <c r="G121" s="32"/>
      <c r="H121" s="33"/>
      <c r="I121" s="39"/>
      <c r="J121" s="35"/>
      <c r="K121" s="36" t="s">
        <v>504</v>
      </c>
    </row>
    <row r="122" customFormat="false" ht="14.25" hidden="false" customHeight="true" outlineLevel="0" collapsed="false">
      <c r="A122" s="27"/>
      <c r="B122" s="27"/>
      <c r="C122" s="27"/>
      <c r="D122" s="29" t="s">
        <v>505</v>
      </c>
      <c r="E122" s="41" t="s">
        <v>506</v>
      </c>
      <c r="F122" s="31" t="s">
        <v>507</v>
      </c>
      <c r="G122" s="32" t="s">
        <v>48</v>
      </c>
      <c r="H122" s="33" t="s">
        <v>508</v>
      </c>
      <c r="I122" s="34" t="s">
        <v>40</v>
      </c>
      <c r="J122" s="35" t="s">
        <v>509</v>
      </c>
      <c r="K122" s="36" t="s">
        <v>510</v>
      </c>
    </row>
    <row r="123" customFormat="false" ht="14.25" hidden="false" customHeight="true" outlineLevel="0" collapsed="false">
      <c r="A123" s="27"/>
      <c r="B123" s="27"/>
      <c r="C123" s="27"/>
      <c r="D123" s="27"/>
      <c r="E123" s="41" t="s">
        <v>511</v>
      </c>
      <c r="F123" s="31"/>
      <c r="G123" s="32"/>
      <c r="H123" s="33"/>
      <c r="I123" s="34"/>
      <c r="J123" s="35"/>
      <c r="K123" s="36" t="s">
        <v>512</v>
      </c>
    </row>
    <row r="124" customFormat="false" ht="14.25" hidden="false" customHeight="true" outlineLevel="0" collapsed="false">
      <c r="A124" s="27"/>
      <c r="B124" s="27"/>
      <c r="C124" s="27"/>
      <c r="D124" s="29" t="s">
        <v>513</v>
      </c>
      <c r="E124" s="30" t="s">
        <v>514</v>
      </c>
      <c r="F124" s="31" t="s">
        <v>515</v>
      </c>
      <c r="G124" s="32" t="s">
        <v>38</v>
      </c>
      <c r="H124" s="33" t="s">
        <v>516</v>
      </c>
      <c r="I124" s="37" t="s">
        <v>50</v>
      </c>
      <c r="J124" s="35" t="s">
        <v>517</v>
      </c>
      <c r="K124" s="36" t="s">
        <v>518</v>
      </c>
    </row>
    <row r="125" customFormat="false" ht="14.25" hidden="false" customHeight="true" outlineLevel="0" collapsed="false">
      <c r="A125" s="27"/>
      <c r="B125" s="27"/>
      <c r="C125" s="27"/>
      <c r="D125" s="27"/>
      <c r="E125" s="41" t="s">
        <v>519</v>
      </c>
      <c r="F125" s="31"/>
      <c r="G125" s="32"/>
      <c r="H125" s="33"/>
      <c r="I125" s="37"/>
      <c r="J125" s="35"/>
      <c r="K125" s="36" t="s">
        <v>520</v>
      </c>
    </row>
    <row r="126" customFormat="false" ht="14.25" hidden="false" customHeight="true" outlineLevel="0" collapsed="false">
      <c r="A126" s="27"/>
      <c r="B126" s="27"/>
      <c r="C126" s="27"/>
      <c r="D126" s="29" t="s">
        <v>521</v>
      </c>
      <c r="E126" s="36" t="s">
        <v>522</v>
      </c>
      <c r="F126" s="31" t="s">
        <v>523</v>
      </c>
      <c r="G126" s="32" t="s">
        <v>38</v>
      </c>
      <c r="H126" s="33" t="s">
        <v>524</v>
      </c>
      <c r="I126" s="34" t="s">
        <v>40</v>
      </c>
      <c r="J126" s="35" t="s">
        <v>525</v>
      </c>
      <c r="K126" s="36" t="s">
        <v>526</v>
      </c>
    </row>
    <row r="127" customFormat="false" ht="14.25" hidden="false" customHeight="true" outlineLevel="0" collapsed="false">
      <c r="A127" s="27"/>
      <c r="B127" s="27"/>
      <c r="C127" s="27"/>
      <c r="D127" s="27"/>
      <c r="E127" s="36" t="s">
        <v>527</v>
      </c>
      <c r="F127" s="31"/>
      <c r="G127" s="32"/>
      <c r="H127" s="33"/>
      <c r="I127" s="34"/>
      <c r="J127" s="35"/>
      <c r="K127" s="36" t="s">
        <v>528</v>
      </c>
    </row>
    <row r="128" customFormat="false" ht="14.25" hidden="false" customHeight="true" outlineLevel="0" collapsed="false">
      <c r="A128" s="27"/>
      <c r="B128" s="27"/>
      <c r="C128" s="27"/>
      <c r="D128" s="29" t="s">
        <v>529</v>
      </c>
      <c r="E128" s="36" t="s">
        <v>530</v>
      </c>
      <c r="F128" s="31" t="s">
        <v>531</v>
      </c>
      <c r="G128" s="32" t="s">
        <v>38</v>
      </c>
      <c r="H128" s="33" t="s">
        <v>532</v>
      </c>
      <c r="I128" s="39" t="s">
        <v>67</v>
      </c>
      <c r="J128" s="35" t="s">
        <v>533</v>
      </c>
      <c r="K128" s="36" t="s">
        <v>534</v>
      </c>
    </row>
    <row r="129" customFormat="false" ht="14.25" hidden="false" customHeight="true" outlineLevel="0" collapsed="false">
      <c r="A129" s="27"/>
      <c r="B129" s="27"/>
      <c r="C129" s="27"/>
      <c r="D129" s="27"/>
      <c r="E129" s="36" t="s">
        <v>535</v>
      </c>
      <c r="F129" s="31"/>
      <c r="G129" s="32"/>
      <c r="H129" s="33"/>
      <c r="I129" s="39"/>
      <c r="J129" s="35"/>
      <c r="K129" s="36" t="s">
        <v>536</v>
      </c>
    </row>
    <row r="130" customFormat="false" ht="14.25" hidden="false" customHeight="true" outlineLevel="0" collapsed="false">
      <c r="A130" s="27"/>
      <c r="B130" s="27"/>
      <c r="C130" s="29" t="s">
        <v>537</v>
      </c>
      <c r="D130" s="29" t="s">
        <v>538</v>
      </c>
      <c r="E130" s="36" t="s">
        <v>539</v>
      </c>
      <c r="F130" s="31" t="s">
        <v>540</v>
      </c>
      <c r="G130" s="32" t="s">
        <v>48</v>
      </c>
      <c r="H130" s="33" t="s">
        <v>541</v>
      </c>
      <c r="I130" s="34" t="s">
        <v>40</v>
      </c>
      <c r="J130" s="35" t="s">
        <v>542</v>
      </c>
      <c r="K130" s="36" t="s">
        <v>543</v>
      </c>
    </row>
    <row r="131" customFormat="false" ht="14.25" hidden="false" customHeight="true" outlineLevel="0" collapsed="false">
      <c r="A131" s="27"/>
      <c r="B131" s="27"/>
      <c r="C131" s="27"/>
      <c r="D131" s="27"/>
      <c r="E131" s="36" t="s">
        <v>544</v>
      </c>
      <c r="F131" s="31"/>
      <c r="G131" s="32"/>
      <c r="H131" s="33"/>
      <c r="I131" s="34"/>
      <c r="J131" s="35"/>
      <c r="K131" s="36" t="s">
        <v>545</v>
      </c>
    </row>
    <row r="132" customFormat="false" ht="14.25" hidden="false" customHeight="true" outlineLevel="0" collapsed="false">
      <c r="A132" s="27"/>
      <c r="B132" s="27"/>
      <c r="C132" s="27"/>
      <c r="D132" s="29" t="s">
        <v>546</v>
      </c>
      <c r="E132" s="36" t="s">
        <v>547</v>
      </c>
      <c r="F132" s="31" t="s">
        <v>548</v>
      </c>
      <c r="G132" s="32" t="s">
        <v>58</v>
      </c>
      <c r="H132" s="33" t="s">
        <v>549</v>
      </c>
      <c r="I132" s="37" t="s">
        <v>50</v>
      </c>
      <c r="J132" s="35" t="s">
        <v>550</v>
      </c>
      <c r="K132" s="36" t="s">
        <v>551</v>
      </c>
    </row>
    <row r="133" customFormat="false" ht="14.25" hidden="false" customHeight="true" outlineLevel="0" collapsed="false">
      <c r="A133" s="27"/>
      <c r="B133" s="27"/>
      <c r="C133" s="27"/>
      <c r="D133" s="27"/>
      <c r="E133" s="36" t="s">
        <v>552</v>
      </c>
      <c r="F133" s="31"/>
      <c r="G133" s="32"/>
      <c r="H133" s="33"/>
      <c r="I133" s="37"/>
      <c r="J133" s="35"/>
      <c r="K133" s="36" t="s">
        <v>553</v>
      </c>
    </row>
    <row r="134" customFormat="false" ht="14.25" hidden="false" customHeight="true" outlineLevel="0" collapsed="false">
      <c r="A134" s="27"/>
      <c r="B134" s="27"/>
      <c r="C134" s="27"/>
      <c r="D134" s="29" t="s">
        <v>554</v>
      </c>
      <c r="E134" s="36" t="s">
        <v>555</v>
      </c>
      <c r="F134" s="31" t="s">
        <v>556</v>
      </c>
      <c r="G134" s="32" t="s">
        <v>48</v>
      </c>
      <c r="H134" s="33" t="s">
        <v>557</v>
      </c>
      <c r="I134" s="34" t="s">
        <v>40</v>
      </c>
      <c r="J134" s="35" t="s">
        <v>558</v>
      </c>
      <c r="K134" s="36" t="s">
        <v>559</v>
      </c>
    </row>
    <row r="135" customFormat="false" ht="14.25" hidden="false" customHeight="true" outlineLevel="0" collapsed="false">
      <c r="A135" s="27"/>
      <c r="B135" s="27"/>
      <c r="C135" s="27"/>
      <c r="D135" s="27"/>
      <c r="E135" s="36" t="s">
        <v>560</v>
      </c>
      <c r="F135" s="31"/>
      <c r="G135" s="32"/>
      <c r="H135" s="33"/>
      <c r="I135" s="34"/>
      <c r="J135" s="35"/>
      <c r="K135" s="36" t="s">
        <v>561</v>
      </c>
    </row>
    <row r="136" customFormat="false" ht="14.25" hidden="false" customHeight="true" outlineLevel="0" collapsed="false">
      <c r="A136" s="27"/>
      <c r="B136" s="27"/>
      <c r="C136" s="27"/>
      <c r="D136" s="29" t="s">
        <v>562</v>
      </c>
      <c r="E136" s="36" t="s">
        <v>563</v>
      </c>
      <c r="F136" s="31" t="s">
        <v>564</v>
      </c>
      <c r="G136" s="32" t="s">
        <v>48</v>
      </c>
      <c r="H136" s="33" t="s">
        <v>565</v>
      </c>
      <c r="I136" s="39" t="s">
        <v>67</v>
      </c>
      <c r="J136" s="35" t="s">
        <v>566</v>
      </c>
      <c r="K136" s="36" t="s">
        <v>567</v>
      </c>
    </row>
    <row r="137" customFormat="false" ht="14.25" hidden="false" customHeight="true" outlineLevel="0" collapsed="false">
      <c r="A137" s="27"/>
      <c r="B137" s="27"/>
      <c r="C137" s="27"/>
      <c r="D137" s="27"/>
      <c r="E137" s="36" t="s">
        <v>568</v>
      </c>
      <c r="F137" s="31"/>
      <c r="G137" s="32"/>
      <c r="H137" s="33"/>
      <c r="I137" s="39"/>
      <c r="J137" s="35"/>
      <c r="K137" s="36" t="s">
        <v>569</v>
      </c>
    </row>
    <row r="138" customFormat="false" ht="14.25" hidden="false" customHeight="true" outlineLevel="0" collapsed="false">
      <c r="A138" s="27"/>
      <c r="B138" s="27"/>
      <c r="C138" s="27"/>
      <c r="D138" s="29" t="s">
        <v>570</v>
      </c>
      <c r="E138" s="36" t="s">
        <v>571</v>
      </c>
      <c r="F138" s="31" t="s">
        <v>572</v>
      </c>
      <c r="G138" s="32" t="s">
        <v>38</v>
      </c>
      <c r="H138" s="33" t="s">
        <v>573</v>
      </c>
      <c r="I138" s="34" t="s">
        <v>40</v>
      </c>
      <c r="J138" s="35" t="s">
        <v>574</v>
      </c>
      <c r="K138" s="36" t="s">
        <v>575</v>
      </c>
    </row>
    <row r="139" customFormat="false" ht="14.25" hidden="false" customHeight="true" outlineLevel="0" collapsed="false">
      <c r="A139" s="27"/>
      <c r="B139" s="27"/>
      <c r="C139" s="27"/>
      <c r="D139" s="27"/>
      <c r="E139" s="36" t="s">
        <v>576</v>
      </c>
      <c r="F139" s="31"/>
      <c r="G139" s="32"/>
      <c r="H139" s="33"/>
      <c r="I139" s="34"/>
      <c r="J139" s="35"/>
      <c r="K139" s="36" t="s">
        <v>488</v>
      </c>
    </row>
    <row r="140" customFormat="false" ht="14.25" hidden="false" customHeight="true" outlineLevel="0" collapsed="false">
      <c r="A140" s="27"/>
      <c r="B140" s="27"/>
      <c r="C140" s="29" t="s">
        <v>577</v>
      </c>
      <c r="D140" s="29" t="s">
        <v>578</v>
      </c>
      <c r="E140" s="36" t="s">
        <v>579</v>
      </c>
      <c r="F140" s="31" t="s">
        <v>580</v>
      </c>
      <c r="G140" s="32" t="s">
        <v>38</v>
      </c>
      <c r="H140" s="33" t="s">
        <v>581</v>
      </c>
      <c r="I140" s="37" t="s">
        <v>50</v>
      </c>
      <c r="J140" s="35" t="s">
        <v>582</v>
      </c>
      <c r="K140" s="36" t="s">
        <v>583</v>
      </c>
    </row>
    <row r="141" customFormat="false" ht="14.25" hidden="false" customHeight="true" outlineLevel="0" collapsed="false">
      <c r="A141" s="27"/>
      <c r="B141" s="27"/>
      <c r="C141" s="27"/>
      <c r="D141" s="27"/>
      <c r="E141" s="36" t="s">
        <v>584</v>
      </c>
      <c r="F141" s="31"/>
      <c r="G141" s="32"/>
      <c r="H141" s="33"/>
      <c r="I141" s="37"/>
      <c r="J141" s="35"/>
      <c r="K141" s="36" t="s">
        <v>585</v>
      </c>
    </row>
    <row r="142" customFormat="false" ht="14.25" hidden="false" customHeight="true" outlineLevel="0" collapsed="false">
      <c r="A142" s="27"/>
      <c r="B142" s="27"/>
      <c r="C142" s="27"/>
      <c r="D142" s="29" t="s">
        <v>586</v>
      </c>
      <c r="E142" s="36" t="s">
        <v>587</v>
      </c>
      <c r="F142" s="31" t="s">
        <v>588</v>
      </c>
      <c r="G142" s="32" t="s">
        <v>38</v>
      </c>
      <c r="H142" s="33" t="s">
        <v>589</v>
      </c>
      <c r="I142" s="34" t="s">
        <v>40</v>
      </c>
      <c r="J142" s="35" t="s">
        <v>590</v>
      </c>
      <c r="K142" s="36" t="s">
        <v>591</v>
      </c>
    </row>
    <row r="143" customFormat="false" ht="14.25" hidden="false" customHeight="true" outlineLevel="0" collapsed="false">
      <c r="A143" s="27"/>
      <c r="B143" s="27"/>
      <c r="C143" s="27"/>
      <c r="D143" s="27"/>
      <c r="E143" s="36" t="s">
        <v>592</v>
      </c>
      <c r="F143" s="31"/>
      <c r="G143" s="32"/>
      <c r="H143" s="33"/>
      <c r="I143" s="34"/>
      <c r="J143" s="35"/>
      <c r="K143" s="36" t="s">
        <v>593</v>
      </c>
    </row>
    <row r="144" customFormat="false" ht="14.25" hidden="false" customHeight="true" outlineLevel="0" collapsed="false">
      <c r="A144" s="27"/>
      <c r="B144" s="27"/>
      <c r="C144" s="27"/>
      <c r="D144" s="29" t="s">
        <v>594</v>
      </c>
      <c r="E144" s="36" t="s">
        <v>595</v>
      </c>
      <c r="F144" s="31" t="s">
        <v>596</v>
      </c>
      <c r="G144" s="32" t="s">
        <v>48</v>
      </c>
      <c r="H144" s="33" t="s">
        <v>597</v>
      </c>
      <c r="I144" s="39" t="s">
        <v>67</v>
      </c>
      <c r="J144" s="35" t="s">
        <v>598</v>
      </c>
      <c r="K144" s="36" t="s">
        <v>599</v>
      </c>
    </row>
    <row r="145" customFormat="false" ht="14.25" hidden="false" customHeight="true" outlineLevel="0" collapsed="false">
      <c r="A145" s="27"/>
      <c r="B145" s="27"/>
      <c r="C145" s="27"/>
      <c r="D145" s="27"/>
      <c r="E145" s="36" t="s">
        <v>600</v>
      </c>
      <c r="F145" s="31"/>
      <c r="G145" s="32"/>
      <c r="H145" s="33"/>
      <c r="I145" s="39"/>
      <c r="J145" s="35"/>
      <c r="K145" s="36" t="s">
        <v>601</v>
      </c>
    </row>
    <row r="146" customFormat="false" ht="14.25" hidden="false" customHeight="true" outlineLevel="0" collapsed="false">
      <c r="A146" s="27"/>
      <c r="B146" s="27"/>
      <c r="C146" s="27"/>
      <c r="D146" s="29" t="s">
        <v>602</v>
      </c>
      <c r="E146" s="36" t="s">
        <v>603</v>
      </c>
      <c r="F146" s="31" t="s">
        <v>604</v>
      </c>
      <c r="G146" s="32" t="s">
        <v>58</v>
      </c>
      <c r="H146" s="33" t="s">
        <v>605</v>
      </c>
      <c r="I146" s="34" t="s">
        <v>40</v>
      </c>
      <c r="J146" s="35" t="s">
        <v>606</v>
      </c>
      <c r="K146" s="36" t="s">
        <v>607</v>
      </c>
    </row>
    <row r="147" customFormat="false" ht="14.25" hidden="false" customHeight="true" outlineLevel="0" collapsed="false">
      <c r="A147" s="27"/>
      <c r="B147" s="27"/>
      <c r="C147" s="27"/>
      <c r="D147" s="27"/>
      <c r="E147" s="36" t="s">
        <v>608</v>
      </c>
      <c r="F147" s="31"/>
      <c r="G147" s="32"/>
      <c r="H147" s="33"/>
      <c r="I147" s="34"/>
      <c r="J147" s="35"/>
      <c r="K147" s="36" t="s">
        <v>609</v>
      </c>
    </row>
    <row r="148" customFormat="false" ht="14.25" hidden="false" customHeight="true" outlineLevel="0" collapsed="false">
      <c r="A148" s="27"/>
      <c r="B148" s="27"/>
      <c r="C148" s="27"/>
      <c r="D148" s="29" t="s">
        <v>610</v>
      </c>
      <c r="E148" s="36" t="s">
        <v>611</v>
      </c>
      <c r="F148" s="31" t="s">
        <v>612</v>
      </c>
      <c r="G148" s="32" t="s">
        <v>48</v>
      </c>
      <c r="H148" s="33" t="s">
        <v>613</v>
      </c>
      <c r="I148" s="37" t="s">
        <v>50</v>
      </c>
      <c r="J148" s="35" t="s">
        <v>614</v>
      </c>
      <c r="K148" s="36" t="s">
        <v>615</v>
      </c>
    </row>
    <row r="149" customFormat="false" ht="14.25" hidden="false" customHeight="true" outlineLevel="0" collapsed="false">
      <c r="A149" s="27"/>
      <c r="B149" s="27"/>
      <c r="C149" s="27"/>
      <c r="D149" s="27"/>
      <c r="E149" s="36" t="s">
        <v>616</v>
      </c>
      <c r="F149" s="31"/>
      <c r="G149" s="32"/>
      <c r="H149" s="33"/>
      <c r="I149" s="37"/>
      <c r="J149" s="35"/>
      <c r="K149" s="36" t="s">
        <v>617</v>
      </c>
    </row>
    <row r="150" customFormat="false" ht="14.25" hidden="false" customHeight="true" outlineLevel="0" collapsed="false">
      <c r="A150" s="27"/>
      <c r="B150" s="27"/>
      <c r="C150" s="29" t="s">
        <v>618</v>
      </c>
      <c r="D150" s="29" t="s">
        <v>619</v>
      </c>
      <c r="E150" s="36" t="s">
        <v>620</v>
      </c>
      <c r="F150" s="31" t="s">
        <v>621</v>
      </c>
      <c r="G150" s="32" t="s">
        <v>48</v>
      </c>
      <c r="H150" s="33" t="s">
        <v>622</v>
      </c>
      <c r="I150" s="34" t="s">
        <v>40</v>
      </c>
      <c r="J150" s="35" t="s">
        <v>623</v>
      </c>
      <c r="K150" s="36" t="s">
        <v>624</v>
      </c>
    </row>
    <row r="151" customFormat="false" ht="14.25" hidden="false" customHeight="true" outlineLevel="0" collapsed="false">
      <c r="A151" s="27"/>
      <c r="B151" s="27"/>
      <c r="C151" s="27"/>
      <c r="D151" s="27"/>
      <c r="E151" s="36" t="s">
        <v>625</v>
      </c>
      <c r="F151" s="31"/>
      <c r="G151" s="32"/>
      <c r="H151" s="33"/>
      <c r="I151" s="34"/>
      <c r="J151" s="35"/>
      <c r="K151" s="36" t="s">
        <v>626</v>
      </c>
    </row>
    <row r="152" customFormat="false" ht="14.25" hidden="false" customHeight="true" outlineLevel="0" collapsed="false">
      <c r="A152" s="27"/>
      <c r="B152" s="27"/>
      <c r="C152" s="27"/>
      <c r="D152" s="29" t="s">
        <v>627</v>
      </c>
      <c r="E152" s="36" t="s">
        <v>628</v>
      </c>
      <c r="F152" s="31" t="s">
        <v>629</v>
      </c>
      <c r="G152" s="32" t="s">
        <v>38</v>
      </c>
      <c r="H152" s="33" t="s">
        <v>630</v>
      </c>
      <c r="I152" s="39" t="s">
        <v>67</v>
      </c>
      <c r="J152" s="35" t="s">
        <v>485</v>
      </c>
      <c r="K152" s="36" t="s">
        <v>631</v>
      </c>
    </row>
    <row r="153" customFormat="false" ht="14.25" hidden="false" customHeight="true" outlineLevel="0" collapsed="false">
      <c r="A153" s="27"/>
      <c r="B153" s="27"/>
      <c r="C153" s="27"/>
      <c r="D153" s="27"/>
      <c r="E153" s="36" t="s">
        <v>632</v>
      </c>
      <c r="F153" s="31"/>
      <c r="G153" s="32"/>
      <c r="H153" s="33"/>
      <c r="I153" s="39"/>
      <c r="J153" s="35"/>
      <c r="K153" s="36" t="s">
        <v>633</v>
      </c>
    </row>
    <row r="154" customFormat="false" ht="14.25" hidden="false" customHeight="true" outlineLevel="0" collapsed="false">
      <c r="A154" s="27"/>
      <c r="B154" s="27"/>
      <c r="C154" s="27"/>
      <c r="D154" s="29" t="s">
        <v>634</v>
      </c>
      <c r="E154" s="36" t="s">
        <v>635</v>
      </c>
      <c r="F154" s="31" t="s">
        <v>636</v>
      </c>
      <c r="G154" s="32" t="s">
        <v>38</v>
      </c>
      <c r="H154" s="33" t="s">
        <v>637</v>
      </c>
      <c r="I154" s="34" t="s">
        <v>40</v>
      </c>
      <c r="J154" s="35" t="s">
        <v>638</v>
      </c>
      <c r="K154" s="36" t="s">
        <v>639</v>
      </c>
    </row>
    <row r="155" customFormat="false" ht="14.25" hidden="false" customHeight="true" outlineLevel="0" collapsed="false">
      <c r="A155" s="27"/>
      <c r="B155" s="27"/>
      <c r="C155" s="27"/>
      <c r="D155" s="27"/>
      <c r="E155" s="36" t="s">
        <v>640</v>
      </c>
      <c r="F155" s="31"/>
      <c r="G155" s="32"/>
      <c r="H155" s="33"/>
      <c r="I155" s="34"/>
      <c r="J155" s="35"/>
      <c r="K155" s="36" t="s">
        <v>641</v>
      </c>
    </row>
    <row r="156" customFormat="false" ht="14.25" hidden="false" customHeight="true" outlineLevel="0" collapsed="false">
      <c r="A156" s="27"/>
      <c r="B156" s="27"/>
      <c r="C156" s="27"/>
      <c r="D156" s="29" t="s">
        <v>642</v>
      </c>
      <c r="E156" s="36" t="s">
        <v>643</v>
      </c>
      <c r="F156" s="31" t="s">
        <v>644</v>
      </c>
      <c r="G156" s="32" t="s">
        <v>38</v>
      </c>
      <c r="H156" s="33" t="s">
        <v>645</v>
      </c>
      <c r="I156" s="34" t="s">
        <v>40</v>
      </c>
      <c r="J156" s="35" t="s">
        <v>646</v>
      </c>
      <c r="K156" s="36" t="s">
        <v>647</v>
      </c>
    </row>
    <row r="157" customFormat="false" ht="14.25" hidden="false" customHeight="true" outlineLevel="0" collapsed="false">
      <c r="A157" s="27"/>
      <c r="B157" s="27"/>
      <c r="C157" s="27"/>
      <c r="D157" s="27"/>
      <c r="E157" s="36" t="s">
        <v>648</v>
      </c>
      <c r="F157" s="31"/>
      <c r="G157" s="32"/>
      <c r="H157" s="33"/>
      <c r="I157" s="34"/>
      <c r="J157" s="35"/>
      <c r="K157" s="36" t="s">
        <v>649</v>
      </c>
    </row>
    <row r="158" customFormat="false" ht="14.25" hidden="false" customHeight="true" outlineLevel="0" collapsed="false">
      <c r="A158" s="27"/>
      <c r="B158" s="27"/>
      <c r="C158" s="27"/>
      <c r="D158" s="29" t="s">
        <v>650</v>
      </c>
      <c r="E158" s="36" t="s">
        <v>651</v>
      </c>
      <c r="F158" s="31" t="s">
        <v>652</v>
      </c>
      <c r="G158" s="32" t="s">
        <v>48</v>
      </c>
      <c r="H158" s="33" t="s">
        <v>653</v>
      </c>
      <c r="I158" s="39" t="s">
        <v>67</v>
      </c>
      <c r="J158" s="35" t="s">
        <v>654</v>
      </c>
      <c r="K158" s="36" t="s">
        <v>655</v>
      </c>
    </row>
    <row r="159" customFormat="false" ht="14.25" hidden="false" customHeight="true" outlineLevel="0" collapsed="false">
      <c r="A159" s="27"/>
      <c r="B159" s="27"/>
      <c r="C159" s="27"/>
      <c r="D159" s="27"/>
      <c r="E159" s="36" t="s">
        <v>656</v>
      </c>
      <c r="F159" s="31"/>
      <c r="G159" s="32"/>
      <c r="H159" s="33"/>
      <c r="I159" s="39"/>
      <c r="J159" s="35"/>
      <c r="K159" s="36" t="s">
        <v>657</v>
      </c>
    </row>
    <row r="160" customFormat="false" ht="14.25" hidden="false" customHeight="true" outlineLevel="0" collapsed="false">
      <c r="A160" s="27"/>
      <c r="B160" s="27"/>
      <c r="C160" s="29" t="s">
        <v>658</v>
      </c>
      <c r="D160" s="29" t="s">
        <v>659</v>
      </c>
      <c r="E160" s="36" t="s">
        <v>660</v>
      </c>
      <c r="F160" s="31" t="s">
        <v>661</v>
      </c>
      <c r="G160" s="32" t="s">
        <v>58</v>
      </c>
      <c r="H160" s="33" t="s">
        <v>662</v>
      </c>
      <c r="I160" s="37" t="s">
        <v>50</v>
      </c>
      <c r="J160" s="35" t="s">
        <v>663</v>
      </c>
      <c r="K160" s="36" t="s">
        <v>664</v>
      </c>
    </row>
    <row r="161" customFormat="false" ht="14.25" hidden="false" customHeight="true" outlineLevel="0" collapsed="false">
      <c r="A161" s="27"/>
      <c r="B161" s="27"/>
      <c r="C161" s="27"/>
      <c r="D161" s="27"/>
      <c r="E161" s="36" t="s">
        <v>665</v>
      </c>
      <c r="F161" s="31"/>
      <c r="G161" s="32"/>
      <c r="H161" s="33"/>
      <c r="I161" s="37"/>
      <c r="J161" s="35"/>
      <c r="K161" s="36" t="s">
        <v>666</v>
      </c>
    </row>
    <row r="162" customFormat="false" ht="14.25" hidden="false" customHeight="true" outlineLevel="0" collapsed="false">
      <c r="A162" s="27"/>
      <c r="B162" s="27"/>
      <c r="C162" s="27"/>
      <c r="D162" s="29" t="s">
        <v>667</v>
      </c>
      <c r="E162" s="36" t="s">
        <v>668</v>
      </c>
      <c r="F162" s="31" t="s">
        <v>669</v>
      </c>
      <c r="G162" s="32" t="s">
        <v>48</v>
      </c>
      <c r="H162" s="33" t="s">
        <v>670</v>
      </c>
      <c r="I162" s="37" t="s">
        <v>50</v>
      </c>
      <c r="J162" s="35" t="s">
        <v>671</v>
      </c>
      <c r="K162" s="36" t="s">
        <v>672</v>
      </c>
    </row>
    <row r="163" customFormat="false" ht="14.25" hidden="false" customHeight="true" outlineLevel="0" collapsed="false">
      <c r="A163" s="27"/>
      <c r="B163" s="27"/>
      <c r="C163" s="27"/>
      <c r="D163" s="27"/>
      <c r="E163" s="36" t="s">
        <v>673</v>
      </c>
      <c r="F163" s="31"/>
      <c r="G163" s="32"/>
      <c r="H163" s="33"/>
      <c r="I163" s="37"/>
      <c r="J163" s="35"/>
      <c r="K163" s="36" t="s">
        <v>674</v>
      </c>
    </row>
    <row r="164" customFormat="false" ht="14.25" hidden="false" customHeight="true" outlineLevel="0" collapsed="false">
      <c r="A164" s="27"/>
      <c r="B164" s="27"/>
      <c r="C164" s="27"/>
      <c r="D164" s="29" t="s">
        <v>675</v>
      </c>
      <c r="E164" s="36" t="s">
        <v>676</v>
      </c>
      <c r="F164" s="31" t="s">
        <v>677</v>
      </c>
      <c r="G164" s="32" t="s">
        <v>48</v>
      </c>
      <c r="H164" s="33" t="s">
        <v>678</v>
      </c>
      <c r="I164" s="39" t="s">
        <v>67</v>
      </c>
      <c r="J164" s="35" t="s">
        <v>679</v>
      </c>
      <c r="K164" s="36" t="s">
        <v>680</v>
      </c>
    </row>
    <row r="165" customFormat="false" ht="14.25" hidden="false" customHeight="true" outlineLevel="0" collapsed="false">
      <c r="A165" s="27"/>
      <c r="B165" s="27"/>
      <c r="C165" s="27"/>
      <c r="D165" s="27"/>
      <c r="E165" s="36" t="s">
        <v>681</v>
      </c>
      <c r="F165" s="31"/>
      <c r="G165" s="32"/>
      <c r="H165" s="33"/>
      <c r="I165" s="39"/>
      <c r="J165" s="35"/>
      <c r="K165" s="36" t="s">
        <v>682</v>
      </c>
    </row>
    <row r="166" customFormat="false" ht="14.25" hidden="false" customHeight="true" outlineLevel="0" collapsed="false">
      <c r="A166" s="27"/>
      <c r="B166" s="27"/>
      <c r="C166" s="27"/>
      <c r="D166" s="29" t="s">
        <v>683</v>
      </c>
      <c r="E166" s="36" t="s">
        <v>684</v>
      </c>
      <c r="F166" s="31" t="s">
        <v>685</v>
      </c>
      <c r="G166" s="32" t="s">
        <v>38</v>
      </c>
      <c r="H166" s="33" t="s">
        <v>686</v>
      </c>
      <c r="I166" s="34" t="s">
        <v>40</v>
      </c>
      <c r="J166" s="35" t="s">
        <v>687</v>
      </c>
      <c r="K166" s="36" t="s">
        <v>688</v>
      </c>
    </row>
    <row r="167" customFormat="false" ht="14.25" hidden="false" customHeight="true" outlineLevel="0" collapsed="false">
      <c r="A167" s="27"/>
      <c r="B167" s="27"/>
      <c r="C167" s="27"/>
      <c r="D167" s="27"/>
      <c r="E167" s="36" t="s">
        <v>689</v>
      </c>
      <c r="F167" s="31"/>
      <c r="G167" s="32"/>
      <c r="H167" s="33"/>
      <c r="I167" s="34"/>
      <c r="J167" s="35"/>
      <c r="K167" s="36" t="s">
        <v>690</v>
      </c>
    </row>
    <row r="168" customFormat="false" ht="14.25" hidden="false" customHeight="true" outlineLevel="0" collapsed="false">
      <c r="A168" s="27"/>
      <c r="B168" s="27"/>
      <c r="C168" s="27"/>
      <c r="D168" s="29" t="s">
        <v>691</v>
      </c>
      <c r="E168" s="36" t="s">
        <v>692</v>
      </c>
      <c r="F168" s="31" t="s">
        <v>693</v>
      </c>
      <c r="G168" s="32" t="s">
        <v>38</v>
      </c>
      <c r="H168" s="33" t="s">
        <v>694</v>
      </c>
      <c r="I168" s="39" t="s">
        <v>67</v>
      </c>
      <c r="J168" s="35" t="s">
        <v>695</v>
      </c>
      <c r="K168" s="36" t="s">
        <v>696</v>
      </c>
    </row>
    <row r="169" customFormat="false" ht="14.25" hidden="false" customHeight="true" outlineLevel="0" collapsed="false">
      <c r="A169" s="27"/>
      <c r="B169" s="27"/>
      <c r="C169" s="27"/>
      <c r="D169" s="27"/>
      <c r="E169" s="36" t="s">
        <v>697</v>
      </c>
      <c r="F169" s="31"/>
      <c r="G169" s="32"/>
      <c r="H169" s="33"/>
      <c r="I169" s="39"/>
      <c r="J169" s="35"/>
      <c r="K169" s="36" t="s">
        <v>698</v>
      </c>
    </row>
    <row r="170" customFormat="false" ht="14.25" hidden="false" customHeight="true" outlineLevel="0" collapsed="false">
      <c r="A170" s="27"/>
      <c r="B170" s="27"/>
      <c r="C170" s="29" t="s">
        <v>699</v>
      </c>
      <c r="D170" s="29" t="s">
        <v>700</v>
      </c>
      <c r="E170" s="36" t="s">
        <v>701</v>
      </c>
      <c r="F170" s="31" t="s">
        <v>702</v>
      </c>
      <c r="G170" s="32" t="s">
        <v>38</v>
      </c>
      <c r="H170" s="33" t="s">
        <v>703</v>
      </c>
      <c r="I170" s="37" t="s">
        <v>50</v>
      </c>
      <c r="J170" s="35" t="s">
        <v>704</v>
      </c>
      <c r="K170" s="36" t="s">
        <v>705</v>
      </c>
    </row>
    <row r="171" customFormat="false" ht="14.25" hidden="false" customHeight="true" outlineLevel="0" collapsed="false">
      <c r="A171" s="27"/>
      <c r="B171" s="27"/>
      <c r="C171" s="27"/>
      <c r="D171" s="27"/>
      <c r="E171" s="36" t="s">
        <v>706</v>
      </c>
      <c r="F171" s="31"/>
      <c r="G171" s="32"/>
      <c r="H171" s="33"/>
      <c r="I171" s="37"/>
      <c r="J171" s="35"/>
      <c r="K171" s="36" t="s">
        <v>707</v>
      </c>
    </row>
    <row r="172" customFormat="false" ht="14.25" hidden="false" customHeight="true" outlineLevel="0" collapsed="false">
      <c r="A172" s="27"/>
      <c r="B172" s="27"/>
      <c r="C172" s="27"/>
      <c r="D172" s="29" t="s">
        <v>708</v>
      </c>
      <c r="E172" s="36" t="s">
        <v>709</v>
      </c>
      <c r="F172" s="31" t="s">
        <v>710</v>
      </c>
      <c r="G172" s="32" t="s">
        <v>48</v>
      </c>
      <c r="H172" s="33" t="s">
        <v>711</v>
      </c>
      <c r="I172" s="37" t="s">
        <v>50</v>
      </c>
      <c r="J172" s="35" t="s">
        <v>712</v>
      </c>
      <c r="K172" s="30" t="s">
        <v>713</v>
      </c>
    </row>
    <row r="173" customFormat="false" ht="14.25" hidden="false" customHeight="true" outlineLevel="0" collapsed="false">
      <c r="A173" s="27"/>
      <c r="B173" s="27"/>
      <c r="C173" s="27"/>
      <c r="D173" s="27"/>
      <c r="E173" s="36" t="s">
        <v>714</v>
      </c>
      <c r="F173" s="31"/>
      <c r="G173" s="32"/>
      <c r="H173" s="33"/>
      <c r="I173" s="37"/>
      <c r="J173" s="35"/>
      <c r="K173" s="30" t="s">
        <v>715</v>
      </c>
    </row>
    <row r="174" customFormat="false" ht="14.25" hidden="false" customHeight="true" outlineLevel="0" collapsed="false">
      <c r="A174" s="27"/>
      <c r="B174" s="27"/>
      <c r="C174" s="27"/>
      <c r="D174" s="29" t="s">
        <v>716</v>
      </c>
      <c r="E174" s="36" t="s">
        <v>717</v>
      </c>
      <c r="F174" s="31" t="s">
        <v>718</v>
      </c>
      <c r="G174" s="32" t="s">
        <v>58</v>
      </c>
      <c r="H174" s="33" t="s">
        <v>719</v>
      </c>
      <c r="I174" s="39" t="s">
        <v>67</v>
      </c>
      <c r="J174" s="35" t="s">
        <v>720</v>
      </c>
      <c r="K174" s="30" t="s">
        <v>721</v>
      </c>
    </row>
    <row r="175" customFormat="false" ht="14.25" hidden="false" customHeight="true" outlineLevel="0" collapsed="false">
      <c r="A175" s="27"/>
      <c r="B175" s="27"/>
      <c r="C175" s="27"/>
      <c r="D175" s="27"/>
      <c r="E175" s="36" t="s">
        <v>722</v>
      </c>
      <c r="F175" s="31"/>
      <c r="G175" s="32"/>
      <c r="H175" s="33"/>
      <c r="I175" s="39"/>
      <c r="J175" s="35"/>
      <c r="K175" s="30" t="s">
        <v>723</v>
      </c>
    </row>
    <row r="176" customFormat="false" ht="14.25" hidden="false" customHeight="true" outlineLevel="0" collapsed="false">
      <c r="A176" s="27"/>
      <c r="B176" s="27"/>
      <c r="C176" s="27"/>
      <c r="D176" s="29" t="s">
        <v>724</v>
      </c>
      <c r="E176" s="36" t="s">
        <v>725</v>
      </c>
      <c r="F176" s="31" t="s">
        <v>726</v>
      </c>
      <c r="G176" s="32" t="s">
        <v>48</v>
      </c>
      <c r="H176" s="33" t="s">
        <v>727</v>
      </c>
      <c r="I176" s="34" t="s">
        <v>40</v>
      </c>
      <c r="J176" s="35" t="s">
        <v>728</v>
      </c>
      <c r="K176" s="30" t="s">
        <v>729</v>
      </c>
    </row>
    <row r="177" customFormat="false" ht="14.25" hidden="false" customHeight="true" outlineLevel="0" collapsed="false">
      <c r="A177" s="27"/>
      <c r="B177" s="27"/>
      <c r="C177" s="27"/>
      <c r="D177" s="27"/>
      <c r="E177" s="36" t="s">
        <v>730</v>
      </c>
      <c r="F177" s="31"/>
      <c r="G177" s="32"/>
      <c r="H177" s="33"/>
      <c r="I177" s="34"/>
      <c r="J177" s="35"/>
      <c r="K177" s="30" t="s">
        <v>731</v>
      </c>
    </row>
    <row r="178" customFormat="false" ht="14.25" hidden="false" customHeight="true" outlineLevel="0" collapsed="false">
      <c r="A178" s="27"/>
      <c r="B178" s="27"/>
      <c r="C178" s="27"/>
      <c r="D178" s="29" t="s">
        <v>732</v>
      </c>
      <c r="E178" s="36" t="s">
        <v>733</v>
      </c>
      <c r="F178" s="31" t="s">
        <v>734</v>
      </c>
      <c r="G178" s="32" t="s">
        <v>48</v>
      </c>
      <c r="H178" s="33" t="s">
        <v>735</v>
      </c>
      <c r="I178" s="39" t="s">
        <v>67</v>
      </c>
      <c r="J178" s="35" t="s">
        <v>736</v>
      </c>
      <c r="K178" s="30" t="s">
        <v>737</v>
      </c>
    </row>
    <row r="179" customFormat="false" ht="14.25" hidden="false" customHeight="true" outlineLevel="0" collapsed="false">
      <c r="A179" s="27"/>
      <c r="B179" s="27"/>
      <c r="C179" s="27"/>
      <c r="D179" s="27"/>
      <c r="E179" s="36" t="s">
        <v>709</v>
      </c>
      <c r="F179" s="31"/>
      <c r="G179" s="32"/>
      <c r="H179" s="33"/>
      <c r="I179" s="39"/>
      <c r="J179" s="35"/>
      <c r="K179" s="30" t="s">
        <v>738</v>
      </c>
    </row>
    <row r="180" customFormat="false" ht="14.25" hidden="false" customHeight="true" outlineLevel="0" collapsed="false">
      <c r="A180" s="27"/>
      <c r="B180" s="27"/>
      <c r="C180" s="29" t="s">
        <v>739</v>
      </c>
      <c r="D180" s="29" t="s">
        <v>740</v>
      </c>
      <c r="E180" s="36" t="s">
        <v>741</v>
      </c>
      <c r="F180" s="31" t="s">
        <v>742</v>
      </c>
      <c r="G180" s="32" t="s">
        <v>38</v>
      </c>
      <c r="H180" s="33" t="s">
        <v>743</v>
      </c>
      <c r="I180" s="37" t="s">
        <v>50</v>
      </c>
      <c r="J180" s="35" t="s">
        <v>744</v>
      </c>
      <c r="K180" s="30" t="s">
        <v>745</v>
      </c>
    </row>
    <row r="181" customFormat="false" ht="14.25" hidden="false" customHeight="true" outlineLevel="0" collapsed="false">
      <c r="A181" s="27"/>
      <c r="B181" s="27"/>
      <c r="C181" s="27"/>
      <c r="D181" s="27"/>
      <c r="E181" s="36" t="s">
        <v>746</v>
      </c>
      <c r="F181" s="31"/>
      <c r="G181" s="32"/>
      <c r="H181" s="33"/>
      <c r="I181" s="37"/>
      <c r="J181" s="35"/>
      <c r="K181" s="30" t="s">
        <v>747</v>
      </c>
    </row>
    <row r="182" customFormat="false" ht="14.25" hidden="false" customHeight="true" outlineLevel="0" collapsed="false">
      <c r="A182" s="27"/>
      <c r="B182" s="27"/>
      <c r="C182" s="27"/>
      <c r="D182" s="29" t="s">
        <v>748</v>
      </c>
      <c r="E182" s="36" t="s">
        <v>749</v>
      </c>
      <c r="F182" s="31" t="s">
        <v>750</v>
      </c>
      <c r="G182" s="32" t="s">
        <v>38</v>
      </c>
      <c r="H182" s="33" t="s">
        <v>751</v>
      </c>
      <c r="I182" s="37" t="s">
        <v>50</v>
      </c>
      <c r="J182" s="35" t="s">
        <v>752</v>
      </c>
      <c r="K182" s="30" t="s">
        <v>753</v>
      </c>
    </row>
    <row r="183" customFormat="false" ht="14.25" hidden="false" customHeight="true" outlineLevel="0" collapsed="false">
      <c r="A183" s="27"/>
      <c r="B183" s="27"/>
      <c r="C183" s="27"/>
      <c r="D183" s="27"/>
      <c r="E183" s="36" t="s">
        <v>754</v>
      </c>
      <c r="F183" s="31"/>
      <c r="G183" s="32"/>
      <c r="H183" s="33"/>
      <c r="I183" s="37"/>
      <c r="J183" s="35"/>
      <c r="K183" s="30" t="s">
        <v>755</v>
      </c>
    </row>
    <row r="184" customFormat="false" ht="14.25" hidden="false" customHeight="true" outlineLevel="0" collapsed="false">
      <c r="A184" s="27"/>
      <c r="B184" s="27"/>
      <c r="C184" s="27"/>
      <c r="D184" s="29" t="s">
        <v>756</v>
      </c>
      <c r="E184" s="36" t="s">
        <v>757</v>
      </c>
      <c r="F184" s="31" t="s">
        <v>758</v>
      </c>
      <c r="G184" s="32" t="s">
        <v>38</v>
      </c>
      <c r="H184" s="33" t="s">
        <v>759</v>
      </c>
      <c r="I184" s="39" t="s">
        <v>67</v>
      </c>
      <c r="J184" s="35" t="s">
        <v>760</v>
      </c>
      <c r="K184" s="30" t="s">
        <v>761</v>
      </c>
    </row>
    <row r="185" customFormat="false" ht="14.25" hidden="false" customHeight="true" outlineLevel="0" collapsed="false">
      <c r="A185" s="27"/>
      <c r="B185" s="27"/>
      <c r="C185" s="27"/>
      <c r="D185" s="27"/>
      <c r="E185" s="36" t="s">
        <v>762</v>
      </c>
      <c r="F185" s="31"/>
      <c r="G185" s="32"/>
      <c r="H185" s="33"/>
      <c r="I185" s="39"/>
      <c r="J185" s="35"/>
      <c r="K185" s="30" t="s">
        <v>763</v>
      </c>
    </row>
    <row r="186" customFormat="false" ht="14.25" hidden="false" customHeight="true" outlineLevel="0" collapsed="false">
      <c r="A186" s="27"/>
      <c r="B186" s="27"/>
      <c r="C186" s="27"/>
      <c r="D186" s="29" t="s">
        <v>764</v>
      </c>
      <c r="E186" s="36" t="s">
        <v>765</v>
      </c>
      <c r="F186" s="31" t="s">
        <v>766</v>
      </c>
      <c r="G186" s="32" t="s">
        <v>48</v>
      </c>
      <c r="H186" s="33" t="s">
        <v>767</v>
      </c>
      <c r="I186" s="34" t="s">
        <v>40</v>
      </c>
      <c r="J186" s="35" t="s">
        <v>768</v>
      </c>
      <c r="K186" s="30" t="s">
        <v>769</v>
      </c>
    </row>
    <row r="187" customFormat="false" ht="14.25" hidden="false" customHeight="true" outlineLevel="0" collapsed="false">
      <c r="A187" s="27"/>
      <c r="B187" s="27"/>
      <c r="C187" s="27"/>
      <c r="D187" s="27"/>
      <c r="E187" s="36" t="s">
        <v>770</v>
      </c>
      <c r="F187" s="31"/>
      <c r="G187" s="32"/>
      <c r="H187" s="33"/>
      <c r="I187" s="34"/>
      <c r="J187" s="35"/>
      <c r="K187" s="30" t="s">
        <v>771</v>
      </c>
    </row>
    <row r="188" customFormat="false" ht="14.25" hidden="false" customHeight="true" outlineLevel="0" collapsed="false">
      <c r="A188" s="27"/>
      <c r="B188" s="27"/>
      <c r="C188" s="27"/>
      <c r="D188" s="29" t="s">
        <v>772</v>
      </c>
      <c r="E188" s="36" t="s">
        <v>773</v>
      </c>
      <c r="F188" s="31" t="s">
        <v>774</v>
      </c>
      <c r="G188" s="32" t="s">
        <v>58</v>
      </c>
      <c r="H188" s="33" t="s">
        <v>775</v>
      </c>
      <c r="I188" s="39" t="s">
        <v>67</v>
      </c>
      <c r="J188" s="35" t="s">
        <v>776</v>
      </c>
      <c r="K188" s="30" t="s">
        <v>777</v>
      </c>
    </row>
    <row r="189" customFormat="false" ht="14.25" hidden="false" customHeight="true" outlineLevel="0" collapsed="false">
      <c r="A189" s="27"/>
      <c r="B189" s="27"/>
      <c r="C189" s="27"/>
      <c r="D189" s="27"/>
      <c r="E189" s="36" t="s">
        <v>778</v>
      </c>
      <c r="F189" s="31"/>
      <c r="G189" s="32"/>
      <c r="H189" s="33"/>
      <c r="I189" s="39"/>
      <c r="J189" s="35"/>
      <c r="K189" s="30" t="s">
        <v>779</v>
      </c>
    </row>
    <row r="190" customFormat="false" ht="14.25" hidden="false" customHeight="true" outlineLevel="0" collapsed="false">
      <c r="A190" s="27"/>
      <c r="B190" s="27"/>
      <c r="C190" s="29" t="s">
        <v>780</v>
      </c>
      <c r="D190" s="29" t="s">
        <v>781</v>
      </c>
      <c r="E190" s="36" t="s">
        <v>782</v>
      </c>
      <c r="F190" s="31" t="s">
        <v>783</v>
      </c>
      <c r="G190" s="32" t="s">
        <v>48</v>
      </c>
      <c r="H190" s="33" t="s">
        <v>784</v>
      </c>
      <c r="I190" s="37" t="s">
        <v>50</v>
      </c>
      <c r="J190" s="35" t="s">
        <v>785</v>
      </c>
      <c r="K190" s="30" t="s">
        <v>786</v>
      </c>
    </row>
    <row r="191" customFormat="false" ht="14.25" hidden="false" customHeight="true" outlineLevel="0" collapsed="false">
      <c r="A191" s="27"/>
      <c r="B191" s="27"/>
      <c r="C191" s="27"/>
      <c r="D191" s="27"/>
      <c r="E191" s="36" t="s">
        <v>787</v>
      </c>
      <c r="F191" s="31"/>
      <c r="G191" s="32"/>
      <c r="H191" s="33"/>
      <c r="I191" s="37"/>
      <c r="J191" s="35"/>
      <c r="K191" s="30" t="s">
        <v>788</v>
      </c>
    </row>
    <row r="192" customFormat="false" ht="14.25" hidden="false" customHeight="true" outlineLevel="0" collapsed="false">
      <c r="A192" s="27"/>
      <c r="B192" s="27"/>
      <c r="C192" s="27"/>
      <c r="D192" s="29" t="s">
        <v>789</v>
      </c>
      <c r="E192" s="36" t="s">
        <v>790</v>
      </c>
      <c r="F192" s="31" t="s">
        <v>791</v>
      </c>
      <c r="G192" s="32" t="s">
        <v>48</v>
      </c>
      <c r="H192" s="33" t="s">
        <v>792</v>
      </c>
      <c r="I192" s="37" t="s">
        <v>50</v>
      </c>
      <c r="J192" s="35" t="s">
        <v>793</v>
      </c>
      <c r="K192" s="30" t="s">
        <v>794</v>
      </c>
    </row>
    <row r="193" customFormat="false" ht="14.25" hidden="false" customHeight="true" outlineLevel="0" collapsed="false">
      <c r="A193" s="27"/>
      <c r="B193" s="27"/>
      <c r="C193" s="27"/>
      <c r="D193" s="27"/>
      <c r="E193" s="36" t="s">
        <v>795</v>
      </c>
      <c r="F193" s="31"/>
      <c r="G193" s="32"/>
      <c r="H193" s="33"/>
      <c r="I193" s="37"/>
      <c r="J193" s="35"/>
      <c r="K193" s="30" t="s">
        <v>796</v>
      </c>
    </row>
    <row r="194" customFormat="false" ht="14.25" hidden="false" customHeight="true" outlineLevel="0" collapsed="false">
      <c r="A194" s="27"/>
      <c r="B194" s="27"/>
      <c r="C194" s="27"/>
      <c r="D194" s="29" t="s">
        <v>797</v>
      </c>
      <c r="E194" s="36" t="s">
        <v>798</v>
      </c>
      <c r="F194" s="31" t="s">
        <v>799</v>
      </c>
      <c r="G194" s="32" t="s">
        <v>38</v>
      </c>
      <c r="H194" s="33" t="s">
        <v>800</v>
      </c>
      <c r="I194" s="39" t="s">
        <v>67</v>
      </c>
      <c r="J194" s="35" t="s">
        <v>801</v>
      </c>
      <c r="K194" s="30" t="s">
        <v>802</v>
      </c>
    </row>
    <row r="195" customFormat="false" ht="14.25" hidden="false" customHeight="true" outlineLevel="0" collapsed="false">
      <c r="A195" s="27"/>
      <c r="B195" s="27"/>
      <c r="C195" s="27"/>
      <c r="D195" s="27"/>
      <c r="E195" s="36" t="s">
        <v>803</v>
      </c>
      <c r="F195" s="31"/>
      <c r="G195" s="32"/>
      <c r="H195" s="33"/>
      <c r="I195" s="39"/>
      <c r="J195" s="35"/>
      <c r="K195" s="30" t="s">
        <v>804</v>
      </c>
    </row>
    <row r="196" customFormat="false" ht="14.25" hidden="false" customHeight="true" outlineLevel="0" collapsed="false">
      <c r="A196" s="27"/>
      <c r="B196" s="27"/>
      <c r="C196" s="27"/>
      <c r="D196" s="29" t="s">
        <v>805</v>
      </c>
      <c r="E196" s="36" t="s">
        <v>806</v>
      </c>
      <c r="F196" s="31" t="s">
        <v>807</v>
      </c>
      <c r="G196" s="32" t="s">
        <v>38</v>
      </c>
      <c r="H196" s="33" t="s">
        <v>808</v>
      </c>
      <c r="I196" s="34" t="s">
        <v>40</v>
      </c>
      <c r="J196" s="35" t="s">
        <v>809</v>
      </c>
      <c r="K196" s="30" t="s">
        <v>810</v>
      </c>
    </row>
    <row r="197" customFormat="false" ht="14.25" hidden="false" customHeight="true" outlineLevel="0" collapsed="false">
      <c r="A197" s="27"/>
      <c r="B197" s="27"/>
      <c r="C197" s="27"/>
      <c r="D197" s="27"/>
      <c r="E197" s="36" t="s">
        <v>811</v>
      </c>
      <c r="F197" s="31"/>
      <c r="G197" s="32"/>
      <c r="H197" s="33"/>
      <c r="I197" s="34"/>
      <c r="J197" s="35"/>
      <c r="K197" s="30" t="s">
        <v>812</v>
      </c>
    </row>
    <row r="198" customFormat="false" ht="14.25" hidden="false" customHeight="true" outlineLevel="0" collapsed="false">
      <c r="A198" s="27"/>
      <c r="B198" s="27"/>
      <c r="C198" s="27"/>
      <c r="D198" s="29" t="s">
        <v>813</v>
      </c>
      <c r="E198" s="36" t="s">
        <v>814</v>
      </c>
      <c r="F198" s="31" t="s">
        <v>815</v>
      </c>
      <c r="G198" s="32" t="s">
        <v>38</v>
      </c>
      <c r="H198" s="33" t="s">
        <v>816</v>
      </c>
      <c r="I198" s="39" t="s">
        <v>67</v>
      </c>
      <c r="J198" s="35" t="s">
        <v>817</v>
      </c>
      <c r="K198" s="30" t="s">
        <v>818</v>
      </c>
    </row>
    <row r="199" customFormat="false" ht="14.25" hidden="false" customHeight="true" outlineLevel="0" collapsed="false">
      <c r="A199" s="27"/>
      <c r="B199" s="27"/>
      <c r="C199" s="27"/>
      <c r="D199" s="27"/>
      <c r="E199" s="36" t="s">
        <v>819</v>
      </c>
      <c r="F199" s="31"/>
      <c r="G199" s="32"/>
      <c r="H199" s="33"/>
      <c r="I199" s="39"/>
      <c r="J199" s="35"/>
      <c r="K199" s="30" t="s">
        <v>820</v>
      </c>
    </row>
    <row r="200" customFormat="false" ht="14.25" hidden="false" customHeight="true" outlineLevel="0" collapsed="false">
      <c r="A200" s="27"/>
      <c r="B200" s="27"/>
      <c r="C200" s="29" t="s">
        <v>821</v>
      </c>
      <c r="D200" s="29" t="s">
        <v>822</v>
      </c>
      <c r="E200" s="36" t="s">
        <v>823</v>
      </c>
      <c r="F200" s="31" t="s">
        <v>824</v>
      </c>
      <c r="G200" s="32" t="s">
        <v>48</v>
      </c>
      <c r="H200" s="33" t="s">
        <v>825</v>
      </c>
      <c r="I200" s="37" t="s">
        <v>50</v>
      </c>
      <c r="J200" s="35" t="s">
        <v>826</v>
      </c>
      <c r="K200" s="30" t="s">
        <v>827</v>
      </c>
    </row>
    <row r="201" customFormat="false" ht="14.25" hidden="false" customHeight="true" outlineLevel="0" collapsed="false">
      <c r="A201" s="27"/>
      <c r="B201" s="27"/>
      <c r="C201" s="27"/>
      <c r="D201" s="27"/>
      <c r="E201" s="36" t="s">
        <v>828</v>
      </c>
      <c r="F201" s="31"/>
      <c r="G201" s="32"/>
      <c r="H201" s="33"/>
      <c r="I201" s="37"/>
      <c r="J201" s="35"/>
      <c r="K201" s="30" t="s">
        <v>829</v>
      </c>
    </row>
    <row r="202" customFormat="false" ht="14.25" hidden="false" customHeight="true" outlineLevel="0" collapsed="false">
      <c r="A202" s="27"/>
      <c r="B202" s="27"/>
      <c r="C202" s="27"/>
      <c r="D202" s="29" t="s">
        <v>830</v>
      </c>
      <c r="E202" s="36" t="s">
        <v>831</v>
      </c>
      <c r="F202" s="31" t="s">
        <v>832</v>
      </c>
      <c r="G202" s="32" t="s">
        <v>58</v>
      </c>
      <c r="H202" s="33" t="s">
        <v>833</v>
      </c>
      <c r="I202" s="37" t="s">
        <v>50</v>
      </c>
      <c r="J202" s="35" t="s">
        <v>834</v>
      </c>
      <c r="K202" s="30" t="s">
        <v>835</v>
      </c>
    </row>
    <row r="203" customFormat="false" ht="14.25" hidden="false" customHeight="true" outlineLevel="0" collapsed="false">
      <c r="A203" s="27"/>
      <c r="B203" s="27"/>
      <c r="C203" s="27"/>
      <c r="D203" s="27"/>
      <c r="E203" s="36" t="s">
        <v>836</v>
      </c>
      <c r="F203" s="31"/>
      <c r="G203" s="32"/>
      <c r="H203" s="33"/>
      <c r="I203" s="37"/>
      <c r="J203" s="35"/>
      <c r="K203" s="30" t="s">
        <v>837</v>
      </c>
    </row>
    <row r="204" customFormat="false" ht="14.25" hidden="false" customHeight="true" outlineLevel="0" collapsed="false">
      <c r="A204" s="27"/>
      <c r="B204" s="27"/>
      <c r="C204" s="27"/>
      <c r="D204" s="29" t="s">
        <v>838</v>
      </c>
      <c r="E204" s="36" t="s">
        <v>839</v>
      </c>
      <c r="F204" s="31" t="s">
        <v>840</v>
      </c>
      <c r="G204" s="32" t="s">
        <v>48</v>
      </c>
      <c r="H204" s="33" t="s">
        <v>841</v>
      </c>
      <c r="I204" s="39" t="s">
        <v>67</v>
      </c>
      <c r="J204" s="35" t="s">
        <v>842</v>
      </c>
      <c r="K204" s="30" t="s">
        <v>843</v>
      </c>
    </row>
    <row r="205" customFormat="false" ht="14.25" hidden="false" customHeight="true" outlineLevel="0" collapsed="false">
      <c r="A205" s="27"/>
      <c r="B205" s="27"/>
      <c r="C205" s="27"/>
      <c r="D205" s="27"/>
      <c r="E205" s="36" t="s">
        <v>844</v>
      </c>
      <c r="F205" s="31"/>
      <c r="G205" s="32"/>
      <c r="H205" s="33"/>
      <c r="I205" s="39"/>
      <c r="J205" s="35"/>
      <c r="K205" s="30" t="s">
        <v>845</v>
      </c>
    </row>
    <row r="206" customFormat="false" ht="14.25" hidden="false" customHeight="true" outlineLevel="0" collapsed="false">
      <c r="A206" s="27"/>
      <c r="B206" s="27"/>
      <c r="C206" s="27"/>
      <c r="D206" s="29" t="s">
        <v>846</v>
      </c>
      <c r="E206" s="36" t="s">
        <v>847</v>
      </c>
      <c r="F206" s="31" t="s">
        <v>848</v>
      </c>
      <c r="G206" s="32" t="s">
        <v>48</v>
      </c>
      <c r="H206" s="33" t="s">
        <v>849</v>
      </c>
      <c r="I206" s="34" t="s">
        <v>40</v>
      </c>
      <c r="J206" s="35" t="s">
        <v>850</v>
      </c>
      <c r="K206" s="30" t="s">
        <v>851</v>
      </c>
    </row>
    <row r="207" customFormat="false" ht="14.25" hidden="false" customHeight="true" outlineLevel="0" collapsed="false">
      <c r="A207" s="27"/>
      <c r="B207" s="27"/>
      <c r="C207" s="27"/>
      <c r="D207" s="27"/>
      <c r="E207" s="36" t="s">
        <v>852</v>
      </c>
      <c r="F207" s="31"/>
      <c r="G207" s="32"/>
      <c r="H207" s="33"/>
      <c r="I207" s="34"/>
      <c r="J207" s="35"/>
      <c r="K207" s="30" t="s">
        <v>853</v>
      </c>
    </row>
    <row r="208" customFormat="false" ht="14.25" hidden="false" customHeight="true" outlineLevel="0" collapsed="false">
      <c r="A208" s="27"/>
      <c r="B208" s="27"/>
      <c r="C208" s="27"/>
      <c r="D208" s="29" t="s">
        <v>854</v>
      </c>
      <c r="E208" s="36" t="s">
        <v>855</v>
      </c>
      <c r="F208" s="31" t="s">
        <v>856</v>
      </c>
      <c r="G208" s="32" t="s">
        <v>38</v>
      </c>
      <c r="H208" s="33" t="s">
        <v>857</v>
      </c>
      <c r="I208" s="39" t="s">
        <v>67</v>
      </c>
      <c r="J208" s="35" t="s">
        <v>858</v>
      </c>
      <c r="K208" s="30" t="s">
        <v>859</v>
      </c>
    </row>
    <row r="209" customFormat="false" ht="14.25" hidden="false" customHeight="true" outlineLevel="0" collapsed="false">
      <c r="A209" s="27"/>
      <c r="B209" s="27"/>
      <c r="C209" s="27"/>
      <c r="D209" s="27"/>
      <c r="E209" s="36" t="s">
        <v>860</v>
      </c>
      <c r="F209" s="31"/>
      <c r="G209" s="32"/>
      <c r="H209" s="33"/>
      <c r="I209" s="39"/>
      <c r="J209" s="35"/>
      <c r="K209" s="30" t="s">
        <v>861</v>
      </c>
    </row>
    <row r="210" customFormat="false" ht="14.25" hidden="false" customHeight="true" outlineLevel="0" collapsed="false">
      <c r="A210" s="27"/>
      <c r="B210" s="27"/>
      <c r="C210" s="29" t="s">
        <v>862</v>
      </c>
      <c r="D210" s="29" t="s">
        <v>863</v>
      </c>
      <c r="E210" s="36" t="s">
        <v>864</v>
      </c>
      <c r="F210" s="31" t="s">
        <v>865</v>
      </c>
      <c r="G210" s="32" t="s">
        <v>38</v>
      </c>
      <c r="H210" s="33" t="s">
        <v>866</v>
      </c>
      <c r="I210" s="37" t="s">
        <v>50</v>
      </c>
      <c r="J210" s="35" t="s">
        <v>867</v>
      </c>
      <c r="K210" s="30" t="s">
        <v>868</v>
      </c>
    </row>
    <row r="211" customFormat="false" ht="14.25" hidden="false" customHeight="true" outlineLevel="0" collapsed="false">
      <c r="A211" s="27"/>
      <c r="B211" s="27"/>
      <c r="C211" s="27"/>
      <c r="D211" s="27"/>
      <c r="E211" s="36" t="s">
        <v>869</v>
      </c>
      <c r="F211" s="31"/>
      <c r="G211" s="32"/>
      <c r="H211" s="33"/>
      <c r="I211" s="37"/>
      <c r="J211" s="35"/>
      <c r="K211" s="30" t="s">
        <v>870</v>
      </c>
    </row>
    <row r="212" customFormat="false" ht="14.25" hidden="false" customHeight="true" outlineLevel="0" collapsed="false">
      <c r="A212" s="27"/>
      <c r="B212" s="27"/>
      <c r="C212" s="27"/>
      <c r="D212" s="29" t="s">
        <v>871</v>
      </c>
      <c r="E212" s="36" t="s">
        <v>872</v>
      </c>
      <c r="F212" s="31" t="s">
        <v>873</v>
      </c>
      <c r="G212" s="32" t="s">
        <v>38</v>
      </c>
      <c r="H212" s="33" t="s">
        <v>874</v>
      </c>
      <c r="I212" s="37" t="s">
        <v>50</v>
      </c>
      <c r="J212" s="35" t="s">
        <v>875</v>
      </c>
      <c r="K212" s="30" t="s">
        <v>876</v>
      </c>
    </row>
    <row r="213" customFormat="false" ht="14.25" hidden="false" customHeight="true" outlineLevel="0" collapsed="false">
      <c r="A213" s="27"/>
      <c r="B213" s="27"/>
      <c r="C213" s="27"/>
      <c r="D213" s="27"/>
      <c r="E213" s="36" t="s">
        <v>877</v>
      </c>
      <c r="F213" s="31"/>
      <c r="G213" s="32"/>
      <c r="H213" s="33"/>
      <c r="I213" s="37"/>
      <c r="J213" s="35"/>
      <c r="K213" s="30" t="s">
        <v>878</v>
      </c>
    </row>
    <row r="214" customFormat="false" ht="14.25" hidden="false" customHeight="true" outlineLevel="0" collapsed="false">
      <c r="A214" s="27"/>
      <c r="B214" s="27"/>
      <c r="C214" s="27"/>
      <c r="D214" s="29" t="s">
        <v>879</v>
      </c>
      <c r="E214" s="36" t="s">
        <v>880</v>
      </c>
      <c r="F214" s="31" t="s">
        <v>881</v>
      </c>
      <c r="G214" s="32" t="s">
        <v>48</v>
      </c>
      <c r="H214" s="33" t="s">
        <v>882</v>
      </c>
      <c r="I214" s="39" t="s">
        <v>67</v>
      </c>
      <c r="J214" s="35" t="s">
        <v>883</v>
      </c>
      <c r="K214" s="30" t="s">
        <v>884</v>
      </c>
    </row>
    <row r="215" customFormat="false" ht="14.25" hidden="false" customHeight="true" outlineLevel="0" collapsed="false">
      <c r="A215" s="27"/>
      <c r="B215" s="27"/>
      <c r="C215" s="27"/>
      <c r="D215" s="27"/>
      <c r="E215" s="36" t="s">
        <v>885</v>
      </c>
      <c r="F215" s="31"/>
      <c r="G215" s="32"/>
      <c r="H215" s="33"/>
      <c r="I215" s="39"/>
      <c r="J215" s="35"/>
      <c r="K215" s="30" t="s">
        <v>886</v>
      </c>
    </row>
    <row r="216" customFormat="false" ht="14.25" hidden="false" customHeight="true" outlineLevel="0" collapsed="false">
      <c r="A216" s="27"/>
      <c r="B216" s="27"/>
      <c r="C216" s="27"/>
      <c r="D216" s="29" t="s">
        <v>887</v>
      </c>
      <c r="E216" s="36" t="s">
        <v>888</v>
      </c>
      <c r="F216" s="31" t="s">
        <v>889</v>
      </c>
      <c r="G216" s="32" t="s">
        <v>58</v>
      </c>
      <c r="H216" s="33" t="s">
        <v>890</v>
      </c>
      <c r="I216" s="34" t="s">
        <v>40</v>
      </c>
      <c r="J216" s="35" t="s">
        <v>891</v>
      </c>
      <c r="K216" s="30" t="s">
        <v>892</v>
      </c>
    </row>
    <row r="217" customFormat="false" ht="14.25" hidden="false" customHeight="true" outlineLevel="0" collapsed="false">
      <c r="A217" s="27"/>
      <c r="B217" s="27"/>
      <c r="C217" s="27"/>
      <c r="D217" s="27"/>
      <c r="E217" s="36" t="s">
        <v>893</v>
      </c>
      <c r="F217" s="31"/>
      <c r="G217" s="32"/>
      <c r="H217" s="33"/>
      <c r="I217" s="34"/>
      <c r="J217" s="35"/>
      <c r="K217" s="30" t="s">
        <v>894</v>
      </c>
    </row>
    <row r="218" customFormat="false" ht="14.25" hidden="false" customHeight="true" outlineLevel="0" collapsed="false">
      <c r="A218" s="27"/>
      <c r="B218" s="27"/>
      <c r="C218" s="27"/>
      <c r="D218" s="29" t="s">
        <v>895</v>
      </c>
      <c r="E218" s="36" t="s">
        <v>896</v>
      </c>
      <c r="F218" s="31" t="s">
        <v>897</v>
      </c>
      <c r="G218" s="32" t="s">
        <v>48</v>
      </c>
      <c r="H218" s="33" t="s">
        <v>898</v>
      </c>
      <c r="I218" s="39" t="s">
        <v>67</v>
      </c>
      <c r="J218" s="35" t="s">
        <v>899</v>
      </c>
      <c r="K218" s="30" t="s">
        <v>900</v>
      </c>
    </row>
    <row r="219" customFormat="false" ht="14.25" hidden="false" customHeight="true" outlineLevel="0" collapsed="false">
      <c r="A219" s="27"/>
      <c r="B219" s="27"/>
      <c r="C219" s="27"/>
      <c r="D219" s="27"/>
      <c r="E219" s="36" t="s">
        <v>901</v>
      </c>
      <c r="F219" s="31"/>
      <c r="G219" s="32"/>
      <c r="H219" s="33"/>
      <c r="I219" s="39"/>
      <c r="J219" s="35"/>
      <c r="K219" s="30" t="s">
        <v>902</v>
      </c>
    </row>
    <row r="220" customFormat="false" ht="14.25" hidden="false" customHeight="true" outlineLevel="0" collapsed="false">
      <c r="A220" s="27"/>
      <c r="B220" s="27"/>
      <c r="C220" s="29" t="s">
        <v>903</v>
      </c>
      <c r="D220" s="29" t="s">
        <v>904</v>
      </c>
      <c r="E220" s="36" t="s">
        <v>905</v>
      </c>
      <c r="F220" s="31" t="s">
        <v>906</v>
      </c>
      <c r="G220" s="32" t="s">
        <v>48</v>
      </c>
      <c r="H220" s="33" t="s">
        <v>907</v>
      </c>
      <c r="I220" s="37" t="s">
        <v>50</v>
      </c>
      <c r="J220" s="35" t="s">
        <v>908</v>
      </c>
      <c r="K220" s="30" t="s">
        <v>909</v>
      </c>
    </row>
    <row r="221" customFormat="false" ht="14.25" hidden="false" customHeight="true" outlineLevel="0" collapsed="false">
      <c r="A221" s="27"/>
      <c r="B221" s="27"/>
      <c r="C221" s="27"/>
      <c r="D221" s="27"/>
      <c r="E221" s="36" t="s">
        <v>910</v>
      </c>
      <c r="F221" s="31"/>
      <c r="G221" s="32"/>
      <c r="H221" s="33"/>
      <c r="I221" s="37"/>
      <c r="J221" s="35"/>
      <c r="K221" s="30" t="s">
        <v>911</v>
      </c>
    </row>
    <row r="222" customFormat="false" ht="14.25" hidden="false" customHeight="true" outlineLevel="0" collapsed="false">
      <c r="A222" s="27"/>
      <c r="B222" s="27"/>
      <c r="C222" s="27"/>
      <c r="D222" s="29" t="s">
        <v>912</v>
      </c>
      <c r="E222" s="36" t="s">
        <v>913</v>
      </c>
      <c r="F222" s="31" t="s">
        <v>914</v>
      </c>
      <c r="G222" s="32" t="s">
        <v>38</v>
      </c>
      <c r="H222" s="33" t="s">
        <v>915</v>
      </c>
      <c r="I222" s="37" t="s">
        <v>50</v>
      </c>
      <c r="J222" s="35" t="s">
        <v>916</v>
      </c>
      <c r="K222" s="30" t="s">
        <v>917</v>
      </c>
    </row>
    <row r="223" customFormat="false" ht="14.25" hidden="false" customHeight="true" outlineLevel="0" collapsed="false">
      <c r="A223" s="27"/>
      <c r="B223" s="27"/>
      <c r="C223" s="27"/>
      <c r="D223" s="27"/>
      <c r="E223" s="36" t="s">
        <v>918</v>
      </c>
      <c r="F223" s="31"/>
      <c r="G223" s="32"/>
      <c r="H223" s="33"/>
      <c r="I223" s="37"/>
      <c r="J223" s="35"/>
      <c r="K223" s="30" t="s">
        <v>919</v>
      </c>
    </row>
    <row r="224" customFormat="false" ht="14.25" hidden="false" customHeight="true" outlineLevel="0" collapsed="false">
      <c r="A224" s="27"/>
      <c r="B224" s="27"/>
      <c r="C224" s="27"/>
      <c r="D224" s="29" t="s">
        <v>920</v>
      </c>
      <c r="E224" s="36" t="s">
        <v>921</v>
      </c>
      <c r="F224" s="31" t="s">
        <v>922</v>
      </c>
      <c r="G224" s="32" t="s">
        <v>38</v>
      </c>
      <c r="H224" s="33" t="s">
        <v>923</v>
      </c>
      <c r="I224" s="39" t="s">
        <v>67</v>
      </c>
      <c r="J224" s="35" t="s">
        <v>924</v>
      </c>
      <c r="K224" s="30" t="s">
        <v>925</v>
      </c>
    </row>
    <row r="225" customFormat="false" ht="14.25" hidden="false" customHeight="true" outlineLevel="0" collapsed="false">
      <c r="A225" s="27"/>
      <c r="B225" s="27"/>
      <c r="C225" s="27"/>
      <c r="D225" s="27"/>
      <c r="E225" s="36" t="s">
        <v>926</v>
      </c>
      <c r="F225" s="31"/>
      <c r="G225" s="32"/>
      <c r="H225" s="33"/>
      <c r="I225" s="39"/>
      <c r="J225" s="35"/>
      <c r="K225" s="30" t="s">
        <v>927</v>
      </c>
    </row>
    <row r="226" customFormat="false" ht="14.25" hidden="false" customHeight="true" outlineLevel="0" collapsed="false">
      <c r="A226" s="27"/>
      <c r="B226" s="27"/>
      <c r="C226" s="27"/>
      <c r="D226" s="29" t="s">
        <v>928</v>
      </c>
      <c r="E226" s="36" t="s">
        <v>929</v>
      </c>
      <c r="F226" s="31" t="s">
        <v>930</v>
      </c>
      <c r="G226" s="32" t="s">
        <v>38</v>
      </c>
      <c r="H226" s="33" t="s">
        <v>931</v>
      </c>
      <c r="I226" s="34" t="s">
        <v>40</v>
      </c>
      <c r="J226" s="35" t="s">
        <v>932</v>
      </c>
      <c r="K226" s="30" t="s">
        <v>933</v>
      </c>
    </row>
    <row r="227" customFormat="false" ht="14.25" hidden="false" customHeight="true" outlineLevel="0" collapsed="false">
      <c r="A227" s="27"/>
      <c r="B227" s="27"/>
      <c r="C227" s="27"/>
      <c r="D227" s="27"/>
      <c r="E227" s="36" t="s">
        <v>934</v>
      </c>
      <c r="F227" s="31"/>
      <c r="G227" s="32"/>
      <c r="H227" s="33"/>
      <c r="I227" s="34"/>
      <c r="J227" s="35"/>
      <c r="K227" s="30" t="s">
        <v>935</v>
      </c>
    </row>
    <row r="228" customFormat="false" ht="14.25" hidden="false" customHeight="true" outlineLevel="0" collapsed="false">
      <c r="A228" s="27"/>
      <c r="B228" s="27"/>
      <c r="C228" s="27"/>
      <c r="D228" s="29" t="s">
        <v>936</v>
      </c>
      <c r="E228" s="36" t="s">
        <v>937</v>
      </c>
      <c r="F228" s="31" t="s">
        <v>938</v>
      </c>
      <c r="G228" s="32" t="s">
        <v>48</v>
      </c>
      <c r="H228" s="33" t="s">
        <v>939</v>
      </c>
      <c r="I228" s="39" t="s">
        <v>67</v>
      </c>
      <c r="J228" s="35" t="s">
        <v>940</v>
      </c>
      <c r="K228" s="30" t="s">
        <v>941</v>
      </c>
    </row>
    <row r="229" customFormat="false" ht="14.25" hidden="false" customHeight="true" outlineLevel="0" collapsed="false">
      <c r="A229" s="27"/>
      <c r="B229" s="27"/>
      <c r="C229" s="27"/>
      <c r="D229" s="27"/>
      <c r="E229" s="36" t="s">
        <v>942</v>
      </c>
      <c r="F229" s="31"/>
      <c r="G229" s="32"/>
      <c r="H229" s="33"/>
      <c r="I229" s="39"/>
      <c r="J229" s="35"/>
      <c r="K229" s="30" t="s">
        <v>943</v>
      </c>
    </row>
    <row r="230" customFormat="false" ht="14.25" hidden="false" customHeight="true" outlineLevel="0" collapsed="false">
      <c r="A230" s="27"/>
      <c r="B230" s="27"/>
      <c r="C230" s="29" t="s">
        <v>944</v>
      </c>
      <c r="D230" s="29" t="s">
        <v>945</v>
      </c>
      <c r="E230" s="36" t="s">
        <v>946</v>
      </c>
      <c r="F230" s="31" t="s">
        <v>947</v>
      </c>
      <c r="G230" s="32" t="s">
        <v>58</v>
      </c>
      <c r="H230" s="33" t="s">
        <v>948</v>
      </c>
      <c r="I230" s="37" t="s">
        <v>50</v>
      </c>
      <c r="J230" s="35" t="s">
        <v>949</v>
      </c>
      <c r="K230" s="30" t="s">
        <v>950</v>
      </c>
    </row>
    <row r="231" customFormat="false" ht="14.25" hidden="false" customHeight="true" outlineLevel="0" collapsed="false">
      <c r="A231" s="27"/>
      <c r="B231" s="27"/>
      <c r="C231" s="27"/>
      <c r="D231" s="27"/>
      <c r="E231" s="36" t="s">
        <v>951</v>
      </c>
      <c r="F231" s="31"/>
      <c r="G231" s="32"/>
      <c r="H231" s="33"/>
      <c r="I231" s="37"/>
      <c r="J231" s="35"/>
      <c r="K231" s="30" t="s">
        <v>952</v>
      </c>
    </row>
    <row r="232" customFormat="false" ht="14.25" hidden="false" customHeight="true" outlineLevel="0" collapsed="false">
      <c r="A232" s="27"/>
      <c r="B232" s="27"/>
      <c r="C232" s="27"/>
      <c r="D232" s="29" t="s">
        <v>953</v>
      </c>
      <c r="E232" s="36" t="s">
        <v>954</v>
      </c>
      <c r="F232" s="31" t="s">
        <v>955</v>
      </c>
      <c r="G232" s="32" t="s">
        <v>48</v>
      </c>
      <c r="H232" s="33" t="s">
        <v>956</v>
      </c>
      <c r="I232" s="37" t="s">
        <v>50</v>
      </c>
      <c r="J232" s="35" t="s">
        <v>957</v>
      </c>
      <c r="K232" s="30" t="s">
        <v>958</v>
      </c>
    </row>
    <row r="233" customFormat="false" ht="14.25" hidden="false" customHeight="true" outlineLevel="0" collapsed="false">
      <c r="A233" s="27"/>
      <c r="B233" s="27"/>
      <c r="C233" s="27"/>
      <c r="D233" s="27"/>
      <c r="E233" s="36" t="s">
        <v>959</v>
      </c>
      <c r="F233" s="31"/>
      <c r="G233" s="32"/>
      <c r="H233" s="33"/>
      <c r="I233" s="37"/>
      <c r="J233" s="35"/>
      <c r="K233" s="30" t="s">
        <v>960</v>
      </c>
    </row>
    <row r="234" customFormat="false" ht="14.25" hidden="false" customHeight="true" outlineLevel="0" collapsed="false">
      <c r="A234" s="27"/>
      <c r="B234" s="27"/>
      <c r="C234" s="27"/>
      <c r="D234" s="29" t="s">
        <v>961</v>
      </c>
      <c r="E234" s="36" t="s">
        <v>962</v>
      </c>
      <c r="F234" s="42" t="s">
        <v>963</v>
      </c>
      <c r="G234" s="32" t="s">
        <v>48</v>
      </c>
      <c r="H234" s="33" t="s">
        <v>964</v>
      </c>
      <c r="I234" s="39" t="s">
        <v>67</v>
      </c>
      <c r="J234" s="35" t="s">
        <v>965</v>
      </c>
      <c r="K234" s="30" t="s">
        <v>966</v>
      </c>
    </row>
    <row r="235" customFormat="false" ht="14.25" hidden="false" customHeight="true" outlineLevel="0" collapsed="false">
      <c r="A235" s="27"/>
      <c r="B235" s="27"/>
      <c r="C235" s="27"/>
      <c r="D235" s="27"/>
      <c r="E235" s="36" t="s">
        <v>967</v>
      </c>
      <c r="F235" s="42"/>
      <c r="G235" s="32"/>
      <c r="H235" s="33"/>
      <c r="I235" s="39"/>
      <c r="J235" s="35"/>
      <c r="K235" s="30" t="s">
        <v>968</v>
      </c>
    </row>
    <row r="236" customFormat="false" ht="14.25" hidden="false" customHeight="true" outlineLevel="0" collapsed="false">
      <c r="A236" s="27"/>
      <c r="B236" s="27"/>
      <c r="C236" s="27"/>
      <c r="D236" s="29" t="s">
        <v>969</v>
      </c>
      <c r="E236" s="36" t="s">
        <v>970</v>
      </c>
      <c r="F236" s="31" t="s">
        <v>971</v>
      </c>
      <c r="G236" s="32" t="s">
        <v>38</v>
      </c>
      <c r="H236" s="33" t="s">
        <v>972</v>
      </c>
      <c r="I236" s="34" t="s">
        <v>40</v>
      </c>
      <c r="J236" s="35" t="s">
        <v>973</v>
      </c>
      <c r="K236" s="30" t="s">
        <v>974</v>
      </c>
    </row>
    <row r="237" customFormat="false" ht="14.25" hidden="false" customHeight="true" outlineLevel="0" collapsed="false">
      <c r="A237" s="27"/>
      <c r="B237" s="27"/>
      <c r="C237" s="27"/>
      <c r="D237" s="27"/>
      <c r="E237" s="36" t="s">
        <v>975</v>
      </c>
      <c r="F237" s="31"/>
      <c r="G237" s="32"/>
      <c r="H237" s="33"/>
      <c r="I237" s="34"/>
      <c r="J237" s="35"/>
      <c r="K237" s="30" t="s">
        <v>976</v>
      </c>
    </row>
    <row r="238" customFormat="false" ht="14.25" hidden="false" customHeight="true" outlineLevel="0" collapsed="false">
      <c r="A238" s="27"/>
      <c r="B238" s="27"/>
      <c r="C238" s="27"/>
      <c r="D238" s="29" t="s">
        <v>977</v>
      </c>
      <c r="E238" s="36" t="s">
        <v>978</v>
      </c>
      <c r="F238" s="31" t="s">
        <v>979</v>
      </c>
      <c r="G238" s="32" t="s">
        <v>38</v>
      </c>
      <c r="H238" s="33" t="s">
        <v>980</v>
      </c>
      <c r="I238" s="39" t="s">
        <v>67</v>
      </c>
      <c r="J238" s="35" t="s">
        <v>981</v>
      </c>
      <c r="K238" s="30" t="s">
        <v>982</v>
      </c>
    </row>
    <row r="239" customFormat="false" ht="14.25" hidden="false" customHeight="true" outlineLevel="0" collapsed="false">
      <c r="A239" s="27"/>
      <c r="B239" s="27"/>
      <c r="C239" s="27"/>
      <c r="D239" s="27"/>
      <c r="E239" s="36" t="s">
        <v>983</v>
      </c>
      <c r="F239" s="31"/>
      <c r="G239" s="32"/>
      <c r="H239" s="33"/>
      <c r="I239" s="39"/>
      <c r="J239" s="35"/>
      <c r="K239" s="30" t="s">
        <v>984</v>
      </c>
    </row>
    <row r="240" customFormat="false" ht="14.25" hidden="false" customHeight="true" outlineLevel="0" collapsed="false">
      <c r="A240" s="27"/>
      <c r="B240" s="27"/>
      <c r="C240" s="40" t="s">
        <v>985</v>
      </c>
      <c r="D240" s="29" t="s">
        <v>986</v>
      </c>
      <c r="E240" s="36" t="s">
        <v>987</v>
      </c>
      <c r="F240" s="42" t="s">
        <v>988</v>
      </c>
      <c r="G240" s="32" t="s">
        <v>38</v>
      </c>
      <c r="H240" s="33" t="s">
        <v>989</v>
      </c>
      <c r="I240" s="37" t="s">
        <v>50</v>
      </c>
      <c r="J240" s="35" t="s">
        <v>981</v>
      </c>
      <c r="K240" s="30" t="s">
        <v>990</v>
      </c>
    </row>
    <row r="241" customFormat="false" ht="14.25" hidden="false" customHeight="true" outlineLevel="0" collapsed="false">
      <c r="A241" s="27"/>
      <c r="B241" s="27"/>
      <c r="C241" s="27"/>
      <c r="D241" s="27"/>
      <c r="E241" s="36" t="s">
        <v>991</v>
      </c>
      <c r="F241" s="42"/>
      <c r="G241" s="32"/>
      <c r="H241" s="33"/>
      <c r="I241" s="37"/>
      <c r="J241" s="35"/>
      <c r="K241" s="30" t="s">
        <v>992</v>
      </c>
    </row>
    <row r="242" customFormat="false" ht="14.25" hidden="false" customHeight="true" outlineLevel="0" collapsed="false">
      <c r="A242" s="27"/>
      <c r="B242" s="27"/>
      <c r="C242" s="27"/>
      <c r="D242" s="29" t="s">
        <v>993</v>
      </c>
      <c r="E242" s="36" t="s">
        <v>994</v>
      </c>
      <c r="F242" s="42" t="s">
        <v>995</v>
      </c>
      <c r="G242" s="32" t="s">
        <v>48</v>
      </c>
      <c r="H242" s="33" t="s">
        <v>996</v>
      </c>
      <c r="I242" s="37" t="s">
        <v>50</v>
      </c>
      <c r="J242" s="35" t="s">
        <v>997</v>
      </c>
      <c r="K242" s="30" t="s">
        <v>900</v>
      </c>
    </row>
    <row r="243" customFormat="false" ht="14.25" hidden="false" customHeight="true" outlineLevel="0" collapsed="false">
      <c r="A243" s="27"/>
      <c r="B243" s="27"/>
      <c r="C243" s="27"/>
      <c r="D243" s="27"/>
      <c r="E243" s="36" t="s">
        <v>998</v>
      </c>
      <c r="F243" s="42"/>
      <c r="G243" s="32"/>
      <c r="H243" s="33"/>
      <c r="I243" s="37"/>
      <c r="J243" s="35"/>
      <c r="K243" s="30" t="s">
        <v>999</v>
      </c>
    </row>
    <row r="244" customFormat="false" ht="14.25" hidden="false" customHeight="true" outlineLevel="0" collapsed="false">
      <c r="A244" s="27"/>
      <c r="B244" s="27"/>
      <c r="C244" s="27"/>
      <c r="D244" s="29" t="s">
        <v>1000</v>
      </c>
      <c r="E244" s="36" t="s">
        <v>1001</v>
      </c>
      <c r="F244" s="42" t="s">
        <v>1002</v>
      </c>
      <c r="G244" s="32" t="s">
        <v>58</v>
      </c>
      <c r="H244" s="33" t="s">
        <v>1003</v>
      </c>
      <c r="I244" s="39" t="s">
        <v>67</v>
      </c>
      <c r="J244" s="35" t="s">
        <v>1004</v>
      </c>
      <c r="K244" s="30" t="s">
        <v>1005</v>
      </c>
    </row>
    <row r="245" customFormat="false" ht="14.25" hidden="false" customHeight="true" outlineLevel="0" collapsed="false">
      <c r="A245" s="27"/>
      <c r="B245" s="27"/>
      <c r="C245" s="27"/>
      <c r="D245" s="27"/>
      <c r="E245" s="36" t="s">
        <v>1006</v>
      </c>
      <c r="F245" s="42"/>
      <c r="G245" s="32"/>
      <c r="H245" s="33"/>
      <c r="I245" s="39"/>
      <c r="J245" s="35"/>
      <c r="K245" s="30" t="s">
        <v>1007</v>
      </c>
    </row>
    <row r="246" customFormat="false" ht="14.25" hidden="false" customHeight="true" outlineLevel="0" collapsed="false">
      <c r="A246" s="27"/>
      <c r="B246" s="27"/>
      <c r="C246" s="27"/>
      <c r="D246" s="29" t="s">
        <v>1008</v>
      </c>
      <c r="E246" s="36" t="s">
        <v>1009</v>
      </c>
      <c r="F246" s="42" t="s">
        <v>1010</v>
      </c>
      <c r="G246" s="32" t="s">
        <v>48</v>
      </c>
      <c r="H246" s="33" t="s">
        <v>1011</v>
      </c>
      <c r="I246" s="34" t="s">
        <v>40</v>
      </c>
      <c r="J246" s="35" t="s">
        <v>1012</v>
      </c>
      <c r="K246" s="30" t="s">
        <v>1013</v>
      </c>
    </row>
    <row r="247" customFormat="false" ht="14.25" hidden="false" customHeight="true" outlineLevel="0" collapsed="false">
      <c r="A247" s="27"/>
      <c r="B247" s="27"/>
      <c r="C247" s="27"/>
      <c r="D247" s="27"/>
      <c r="E247" s="36" t="s">
        <v>1014</v>
      </c>
      <c r="F247" s="42"/>
      <c r="G247" s="32"/>
      <c r="H247" s="33"/>
      <c r="I247" s="34"/>
      <c r="J247" s="35"/>
      <c r="K247" s="30" t="s">
        <v>1015</v>
      </c>
    </row>
    <row r="248" customFormat="false" ht="14.25" hidden="false" customHeight="true" outlineLevel="0" collapsed="false">
      <c r="A248" s="27"/>
      <c r="B248" s="27"/>
      <c r="C248" s="27"/>
      <c r="D248" s="29" t="s">
        <v>1016</v>
      </c>
      <c r="E248" s="36" t="s">
        <v>1017</v>
      </c>
      <c r="F248" s="42" t="s">
        <v>1018</v>
      </c>
      <c r="G248" s="32" t="s">
        <v>48</v>
      </c>
      <c r="H248" s="33" t="s">
        <v>1019</v>
      </c>
      <c r="I248" s="39" t="s">
        <v>67</v>
      </c>
      <c r="J248" s="35" t="s">
        <v>1020</v>
      </c>
      <c r="K248" s="30" t="s">
        <v>1021</v>
      </c>
    </row>
    <row r="249" customFormat="false" ht="14.25" hidden="false" customHeight="true" outlineLevel="0" collapsed="false">
      <c r="A249" s="27"/>
      <c r="B249" s="27"/>
      <c r="C249" s="27"/>
      <c r="D249" s="27"/>
      <c r="E249" s="36" t="s">
        <v>1022</v>
      </c>
      <c r="F249" s="42"/>
      <c r="G249" s="32"/>
      <c r="H249" s="33"/>
      <c r="I249" s="39"/>
      <c r="J249" s="35"/>
      <c r="K249" s="30" t="s">
        <v>1023</v>
      </c>
    </row>
    <row r="250" customFormat="false" ht="14.25" hidden="false" customHeight="true" outlineLevel="0" collapsed="false">
      <c r="A250" s="27"/>
      <c r="B250" s="27"/>
      <c r="C250" s="29" t="s">
        <v>1024</v>
      </c>
      <c r="D250" s="29" t="s">
        <v>1025</v>
      </c>
      <c r="E250" s="36" t="s">
        <v>1026</v>
      </c>
      <c r="F250" s="42" t="s">
        <v>1027</v>
      </c>
      <c r="G250" s="32" t="s">
        <v>38</v>
      </c>
      <c r="H250" s="33" t="s">
        <v>1028</v>
      </c>
      <c r="I250" s="37" t="s">
        <v>50</v>
      </c>
      <c r="J250" s="35" t="s">
        <v>1029</v>
      </c>
      <c r="K250" s="30" t="s">
        <v>1030</v>
      </c>
    </row>
    <row r="251" customFormat="false" ht="14.25" hidden="false" customHeight="true" outlineLevel="0" collapsed="false">
      <c r="A251" s="27"/>
      <c r="B251" s="27"/>
      <c r="C251" s="27"/>
      <c r="D251" s="27"/>
      <c r="E251" s="36" t="s">
        <v>1031</v>
      </c>
      <c r="F251" s="42"/>
      <c r="G251" s="32"/>
      <c r="H251" s="33"/>
      <c r="I251" s="37"/>
      <c r="J251" s="35"/>
      <c r="K251" s="30" t="s">
        <v>1032</v>
      </c>
    </row>
    <row r="252" customFormat="false" ht="14.25" hidden="false" customHeight="true" outlineLevel="0" collapsed="false">
      <c r="A252" s="27"/>
      <c r="B252" s="27"/>
      <c r="C252" s="27"/>
      <c r="D252" s="29" t="s">
        <v>1033</v>
      </c>
      <c r="E252" s="36" t="s">
        <v>1034</v>
      </c>
      <c r="F252" s="42" t="s">
        <v>1035</v>
      </c>
      <c r="G252" s="32" t="s">
        <v>38</v>
      </c>
      <c r="H252" s="33" t="s">
        <v>1036</v>
      </c>
      <c r="I252" s="37" t="s">
        <v>50</v>
      </c>
      <c r="J252" s="35" t="s">
        <v>1037</v>
      </c>
      <c r="K252" s="30" t="s">
        <v>1038</v>
      </c>
    </row>
    <row r="253" customFormat="false" ht="14.25" hidden="false" customHeight="true" outlineLevel="0" collapsed="false">
      <c r="A253" s="27"/>
      <c r="B253" s="27"/>
      <c r="C253" s="27"/>
      <c r="D253" s="27"/>
      <c r="E253" s="36" t="s">
        <v>1039</v>
      </c>
      <c r="F253" s="42"/>
      <c r="G253" s="32"/>
      <c r="H253" s="33"/>
      <c r="I253" s="37"/>
      <c r="J253" s="35"/>
      <c r="K253" s="30" t="s">
        <v>1040</v>
      </c>
    </row>
    <row r="254" customFormat="false" ht="14.25" hidden="false" customHeight="true" outlineLevel="0" collapsed="false">
      <c r="A254" s="27"/>
      <c r="B254" s="27"/>
      <c r="C254" s="27"/>
      <c r="D254" s="29" t="s">
        <v>1041</v>
      </c>
      <c r="E254" s="36" t="s">
        <v>1042</v>
      </c>
      <c r="F254" s="42" t="s">
        <v>1043</v>
      </c>
      <c r="G254" s="32" t="s">
        <v>38</v>
      </c>
      <c r="H254" s="33" t="s">
        <v>516</v>
      </c>
      <c r="I254" s="39" t="s">
        <v>67</v>
      </c>
      <c r="J254" s="35" t="s">
        <v>1044</v>
      </c>
      <c r="K254" s="30" t="s">
        <v>1045</v>
      </c>
    </row>
    <row r="255" customFormat="false" ht="14.25" hidden="false" customHeight="true" outlineLevel="0" collapsed="false">
      <c r="A255" s="27"/>
      <c r="B255" s="27"/>
      <c r="C255" s="27"/>
      <c r="D255" s="27"/>
      <c r="E255" s="36" t="s">
        <v>1046</v>
      </c>
      <c r="F255" s="42"/>
      <c r="G255" s="32"/>
      <c r="H255" s="33"/>
      <c r="I255" s="39"/>
      <c r="J255" s="35"/>
      <c r="K255" s="30" t="s">
        <v>1047</v>
      </c>
    </row>
    <row r="256" customFormat="false" ht="14.25" hidden="false" customHeight="true" outlineLevel="0" collapsed="false">
      <c r="A256" s="27"/>
      <c r="B256" s="27"/>
      <c r="C256" s="27"/>
      <c r="D256" s="29" t="s">
        <v>1048</v>
      </c>
      <c r="E256" s="36" t="s">
        <v>1049</v>
      </c>
      <c r="F256" s="42" t="s">
        <v>1050</v>
      </c>
      <c r="G256" s="32" t="s">
        <v>48</v>
      </c>
      <c r="H256" s="33" t="s">
        <v>1051</v>
      </c>
      <c r="I256" s="34" t="s">
        <v>40</v>
      </c>
      <c r="J256" s="35" t="s">
        <v>1052</v>
      </c>
      <c r="K256" s="30" t="s">
        <v>1053</v>
      </c>
    </row>
    <row r="257" customFormat="false" ht="14.25" hidden="false" customHeight="true" outlineLevel="0" collapsed="false">
      <c r="A257" s="27"/>
      <c r="B257" s="27"/>
      <c r="C257" s="27"/>
      <c r="D257" s="27"/>
      <c r="E257" s="36" t="s">
        <v>1054</v>
      </c>
      <c r="F257" s="42"/>
      <c r="G257" s="32"/>
      <c r="H257" s="33"/>
      <c r="I257" s="34"/>
      <c r="J257" s="35"/>
      <c r="K257" s="30" t="s">
        <v>1055</v>
      </c>
    </row>
    <row r="258" customFormat="false" ht="14.25" hidden="false" customHeight="true" outlineLevel="0" collapsed="false">
      <c r="A258" s="27"/>
      <c r="B258" s="27"/>
      <c r="C258" s="27"/>
      <c r="D258" s="29" t="s">
        <v>1056</v>
      </c>
      <c r="E258" s="36" t="s">
        <v>1057</v>
      </c>
      <c r="F258" s="42" t="s">
        <v>1058</v>
      </c>
      <c r="G258" s="32" t="s">
        <v>58</v>
      </c>
      <c r="H258" s="33" t="s">
        <v>1059</v>
      </c>
      <c r="I258" s="39" t="s">
        <v>67</v>
      </c>
      <c r="J258" s="35" t="s">
        <v>1060</v>
      </c>
      <c r="K258" s="30" t="s">
        <v>1061</v>
      </c>
    </row>
    <row r="259" customFormat="false" ht="14.25" hidden="false" customHeight="true" outlineLevel="0" collapsed="false">
      <c r="A259" s="27"/>
      <c r="B259" s="27"/>
      <c r="C259" s="27"/>
      <c r="D259" s="27"/>
      <c r="E259" s="36" t="s">
        <v>1062</v>
      </c>
      <c r="F259" s="42"/>
      <c r="G259" s="32"/>
      <c r="H259" s="33"/>
      <c r="I259" s="39"/>
      <c r="J259" s="35"/>
      <c r="K259" s="30" t="s">
        <v>1063</v>
      </c>
    </row>
    <row r="260" customFormat="false" ht="14.25" hidden="false" customHeight="true" outlineLevel="0" collapsed="false">
      <c r="A260" s="27"/>
      <c r="B260" s="27"/>
      <c r="C260" s="40" t="s">
        <v>1064</v>
      </c>
      <c r="D260" s="29" t="s">
        <v>1065</v>
      </c>
      <c r="E260" s="36" t="s">
        <v>1065</v>
      </c>
      <c r="F260" s="42" t="s">
        <v>1066</v>
      </c>
      <c r="G260" s="32" t="s">
        <v>48</v>
      </c>
      <c r="H260" s="33" t="s">
        <v>1067</v>
      </c>
      <c r="I260" s="37" t="s">
        <v>50</v>
      </c>
      <c r="J260" s="35" t="s">
        <v>1068</v>
      </c>
      <c r="K260" s="30" t="s">
        <v>1069</v>
      </c>
    </row>
    <row r="261" customFormat="false" ht="14.25" hidden="false" customHeight="true" outlineLevel="0" collapsed="false">
      <c r="A261" s="27"/>
      <c r="B261" s="27"/>
      <c r="C261" s="27"/>
      <c r="D261" s="27"/>
      <c r="E261" s="36" t="s">
        <v>1070</v>
      </c>
      <c r="F261" s="42"/>
      <c r="G261" s="32"/>
      <c r="H261" s="33"/>
      <c r="I261" s="37"/>
      <c r="J261" s="35"/>
      <c r="K261" s="30" t="s">
        <v>1071</v>
      </c>
    </row>
    <row r="262" customFormat="false" ht="14.25" hidden="false" customHeight="true" outlineLevel="0" collapsed="false">
      <c r="A262" s="27"/>
      <c r="B262" s="27"/>
      <c r="C262" s="27"/>
      <c r="D262" s="29" t="s">
        <v>1072</v>
      </c>
      <c r="E262" s="36" t="s">
        <v>1072</v>
      </c>
      <c r="F262" s="42" t="s">
        <v>1073</v>
      </c>
      <c r="G262" s="32" t="s">
        <v>48</v>
      </c>
      <c r="H262" s="33" t="s">
        <v>1074</v>
      </c>
      <c r="I262" s="37" t="s">
        <v>50</v>
      </c>
      <c r="J262" s="35" t="s">
        <v>1075</v>
      </c>
      <c r="K262" s="30" t="s">
        <v>1076</v>
      </c>
    </row>
    <row r="263" customFormat="false" ht="14.25" hidden="false" customHeight="true" outlineLevel="0" collapsed="false">
      <c r="A263" s="27"/>
      <c r="B263" s="27"/>
      <c r="C263" s="27"/>
      <c r="D263" s="27"/>
      <c r="E263" s="36" t="s">
        <v>1077</v>
      </c>
      <c r="F263" s="42"/>
      <c r="G263" s="32"/>
      <c r="H263" s="33"/>
      <c r="I263" s="37"/>
      <c r="J263" s="35"/>
      <c r="K263" s="30" t="s">
        <v>1078</v>
      </c>
    </row>
    <row r="264" customFormat="false" ht="14.25" hidden="false" customHeight="true" outlineLevel="0" collapsed="false">
      <c r="A264" s="27"/>
      <c r="B264" s="27"/>
      <c r="C264" s="27"/>
      <c r="D264" s="29" t="s">
        <v>1079</v>
      </c>
      <c r="E264" s="36" t="s">
        <v>1080</v>
      </c>
      <c r="F264" s="42" t="s">
        <v>1081</v>
      </c>
      <c r="G264" s="32" t="s">
        <v>38</v>
      </c>
      <c r="H264" s="33" t="s">
        <v>1082</v>
      </c>
      <c r="I264" s="39" t="s">
        <v>67</v>
      </c>
      <c r="J264" s="35" t="s">
        <v>1083</v>
      </c>
      <c r="K264" s="30" t="s">
        <v>1084</v>
      </c>
    </row>
    <row r="265" customFormat="false" ht="14.25" hidden="false" customHeight="true" outlineLevel="0" collapsed="false">
      <c r="A265" s="27"/>
      <c r="B265" s="27"/>
      <c r="C265" s="27"/>
      <c r="D265" s="27"/>
      <c r="E265" s="36" t="s">
        <v>1085</v>
      </c>
      <c r="F265" s="42"/>
      <c r="G265" s="32"/>
      <c r="H265" s="33"/>
      <c r="I265" s="39"/>
      <c r="J265" s="35"/>
      <c r="K265" s="30" t="s">
        <v>1086</v>
      </c>
    </row>
    <row r="266" customFormat="false" ht="14.25" hidden="false" customHeight="true" outlineLevel="0" collapsed="false">
      <c r="A266" s="27"/>
      <c r="B266" s="27"/>
      <c r="C266" s="27"/>
      <c r="D266" s="29" t="s">
        <v>1087</v>
      </c>
      <c r="E266" s="36" t="s">
        <v>1088</v>
      </c>
      <c r="F266" s="42" t="s">
        <v>1089</v>
      </c>
      <c r="G266" s="32" t="s">
        <v>38</v>
      </c>
      <c r="H266" s="33" t="s">
        <v>1090</v>
      </c>
      <c r="I266" s="34" t="s">
        <v>40</v>
      </c>
      <c r="J266" s="35" t="s">
        <v>1091</v>
      </c>
      <c r="K266" s="30" t="s">
        <v>1092</v>
      </c>
    </row>
    <row r="267" customFormat="false" ht="14.25" hidden="false" customHeight="true" outlineLevel="0" collapsed="false">
      <c r="A267" s="27"/>
      <c r="B267" s="27"/>
      <c r="C267" s="27"/>
      <c r="D267" s="27"/>
      <c r="E267" s="36" t="s">
        <v>1093</v>
      </c>
      <c r="F267" s="42"/>
      <c r="G267" s="32"/>
      <c r="H267" s="33"/>
      <c r="I267" s="34"/>
      <c r="J267" s="35"/>
      <c r="K267" s="30" t="s">
        <v>1094</v>
      </c>
    </row>
    <row r="268" customFormat="false" ht="14.25" hidden="false" customHeight="true" outlineLevel="0" collapsed="false">
      <c r="A268" s="27"/>
      <c r="B268" s="27"/>
      <c r="C268" s="27"/>
      <c r="D268" s="29" t="s">
        <v>1095</v>
      </c>
      <c r="E268" s="36" t="s">
        <v>1096</v>
      </c>
      <c r="F268" s="42" t="s">
        <v>1097</v>
      </c>
      <c r="G268" s="32" t="s">
        <v>38</v>
      </c>
      <c r="H268" s="33" t="s">
        <v>1098</v>
      </c>
      <c r="I268" s="39" t="s">
        <v>67</v>
      </c>
      <c r="J268" s="35" t="s">
        <v>1099</v>
      </c>
      <c r="K268" s="30" t="s">
        <v>1100</v>
      </c>
    </row>
    <row r="269" customFormat="false" ht="14.25" hidden="false" customHeight="true" outlineLevel="0" collapsed="false">
      <c r="A269" s="27"/>
      <c r="B269" s="27"/>
      <c r="C269" s="27"/>
      <c r="D269" s="27"/>
      <c r="E269" s="36" t="s">
        <v>1101</v>
      </c>
      <c r="F269" s="42"/>
      <c r="G269" s="32"/>
      <c r="H269" s="33"/>
      <c r="I269" s="39"/>
      <c r="J269" s="35"/>
      <c r="K269" s="30" t="s">
        <v>1102</v>
      </c>
    </row>
    <row r="270" customFormat="false" ht="14.25" hidden="false" customHeight="true" outlineLevel="0" collapsed="false">
      <c r="A270" s="27"/>
      <c r="B270" s="27"/>
      <c r="C270" s="40" t="s">
        <v>1103</v>
      </c>
      <c r="D270" s="29" t="s">
        <v>1104</v>
      </c>
      <c r="E270" s="36" t="s">
        <v>1105</v>
      </c>
      <c r="F270" s="42" t="s">
        <v>1106</v>
      </c>
      <c r="G270" s="32" t="s">
        <v>48</v>
      </c>
      <c r="H270" s="33" t="s">
        <v>1107</v>
      </c>
      <c r="I270" s="37" t="s">
        <v>50</v>
      </c>
      <c r="J270" s="35" t="s">
        <v>1108</v>
      </c>
      <c r="K270" s="30" t="s">
        <v>1109</v>
      </c>
    </row>
    <row r="271" customFormat="false" ht="14.25" hidden="false" customHeight="true" outlineLevel="0" collapsed="false">
      <c r="A271" s="27"/>
      <c r="B271" s="27"/>
      <c r="C271" s="27"/>
      <c r="D271" s="27"/>
      <c r="E271" s="36" t="s">
        <v>1110</v>
      </c>
      <c r="F271" s="42"/>
      <c r="G271" s="32"/>
      <c r="H271" s="33"/>
      <c r="I271" s="37"/>
      <c r="J271" s="35"/>
      <c r="K271" s="30" t="s">
        <v>1111</v>
      </c>
    </row>
    <row r="272" customFormat="false" ht="14.25" hidden="false" customHeight="true" outlineLevel="0" collapsed="false">
      <c r="A272" s="27"/>
      <c r="B272" s="27"/>
      <c r="C272" s="27"/>
      <c r="D272" s="29" t="s">
        <v>1112</v>
      </c>
      <c r="E272" s="36" t="s">
        <v>1113</v>
      </c>
      <c r="F272" s="42" t="s">
        <v>1114</v>
      </c>
      <c r="G272" s="32" t="s">
        <v>58</v>
      </c>
      <c r="H272" s="33" t="s">
        <v>1115</v>
      </c>
      <c r="I272" s="37" t="s">
        <v>50</v>
      </c>
      <c r="J272" s="35" t="s">
        <v>1116</v>
      </c>
      <c r="K272" s="30" t="s">
        <v>1117</v>
      </c>
    </row>
    <row r="273" customFormat="false" ht="14.25" hidden="false" customHeight="true" outlineLevel="0" collapsed="false">
      <c r="A273" s="27"/>
      <c r="B273" s="27"/>
      <c r="C273" s="27"/>
      <c r="D273" s="27"/>
      <c r="E273" s="36" t="s">
        <v>1118</v>
      </c>
      <c r="F273" s="42"/>
      <c r="G273" s="32"/>
      <c r="H273" s="33"/>
      <c r="I273" s="37"/>
      <c r="J273" s="35"/>
      <c r="K273" s="30" t="s">
        <v>1007</v>
      </c>
    </row>
    <row r="274" customFormat="false" ht="14.25" hidden="false" customHeight="true" outlineLevel="0" collapsed="false">
      <c r="A274" s="27"/>
      <c r="B274" s="27"/>
      <c r="C274" s="27"/>
      <c r="D274" s="29" t="s">
        <v>1119</v>
      </c>
      <c r="E274" s="36" t="s">
        <v>1120</v>
      </c>
      <c r="F274" s="42" t="s">
        <v>1121</v>
      </c>
      <c r="G274" s="32" t="s">
        <v>48</v>
      </c>
      <c r="H274" s="33" t="s">
        <v>1122</v>
      </c>
      <c r="I274" s="39" t="s">
        <v>67</v>
      </c>
      <c r="J274" s="35" t="s">
        <v>1123</v>
      </c>
      <c r="K274" s="30" t="s">
        <v>1124</v>
      </c>
    </row>
    <row r="275" customFormat="false" ht="14.25" hidden="false" customHeight="true" outlineLevel="0" collapsed="false">
      <c r="A275" s="27"/>
      <c r="B275" s="27"/>
      <c r="C275" s="27"/>
      <c r="D275" s="27"/>
      <c r="E275" s="36" t="s">
        <v>1125</v>
      </c>
      <c r="F275" s="42"/>
      <c r="G275" s="32"/>
      <c r="H275" s="33"/>
      <c r="I275" s="39"/>
      <c r="J275" s="35"/>
      <c r="K275" s="30" t="s">
        <v>1126</v>
      </c>
    </row>
    <row r="276" customFormat="false" ht="14.25" hidden="false" customHeight="true" outlineLevel="0" collapsed="false">
      <c r="A276" s="27"/>
      <c r="B276" s="27"/>
      <c r="C276" s="27"/>
      <c r="D276" s="29" t="s">
        <v>1127</v>
      </c>
      <c r="E276" s="36" t="s">
        <v>1128</v>
      </c>
      <c r="F276" s="42" t="s">
        <v>1129</v>
      </c>
      <c r="G276" s="32" t="s">
        <v>48</v>
      </c>
      <c r="H276" s="33" t="s">
        <v>1130</v>
      </c>
      <c r="I276" s="34" t="s">
        <v>40</v>
      </c>
      <c r="J276" s="35" t="s">
        <v>1131</v>
      </c>
      <c r="K276" s="30" t="s">
        <v>1132</v>
      </c>
    </row>
    <row r="277" customFormat="false" ht="14.25" hidden="false" customHeight="true" outlineLevel="0" collapsed="false">
      <c r="A277" s="27"/>
      <c r="B277" s="27"/>
      <c r="C277" s="27"/>
      <c r="D277" s="27"/>
      <c r="E277" s="36" t="s">
        <v>1133</v>
      </c>
      <c r="F277" s="42"/>
      <c r="G277" s="32"/>
      <c r="H277" s="33"/>
      <c r="I277" s="34"/>
      <c r="J277" s="35"/>
      <c r="K277" s="30" t="s">
        <v>1021</v>
      </c>
    </row>
    <row r="278" customFormat="false" ht="14.25" hidden="false" customHeight="true" outlineLevel="0" collapsed="false">
      <c r="A278" s="27"/>
      <c r="B278" s="27"/>
      <c r="C278" s="27"/>
      <c r="D278" s="29" t="s">
        <v>1134</v>
      </c>
      <c r="E278" s="36" t="s">
        <v>1134</v>
      </c>
      <c r="F278" s="42" t="s">
        <v>1135</v>
      </c>
      <c r="G278" s="32" t="s">
        <v>38</v>
      </c>
      <c r="H278" s="33" t="s">
        <v>613</v>
      </c>
      <c r="I278" s="39" t="s">
        <v>67</v>
      </c>
      <c r="J278" s="35" t="s">
        <v>1136</v>
      </c>
      <c r="K278" s="30" t="s">
        <v>1023</v>
      </c>
    </row>
    <row r="279" customFormat="false" ht="14.25" hidden="false" customHeight="true" outlineLevel="0" collapsed="false">
      <c r="A279" s="27"/>
      <c r="B279" s="27"/>
      <c r="C279" s="27"/>
      <c r="D279" s="27"/>
      <c r="E279" s="36" t="s">
        <v>1137</v>
      </c>
      <c r="F279" s="42"/>
      <c r="G279" s="32"/>
      <c r="H279" s="33"/>
      <c r="I279" s="39"/>
      <c r="J279" s="35"/>
      <c r="K279" s="30" t="s">
        <v>1138</v>
      </c>
    </row>
    <row r="280" customFormat="false" ht="14.25" hidden="false" customHeight="true" outlineLevel="0" collapsed="false">
      <c r="A280" s="27"/>
      <c r="B280" s="27"/>
      <c r="C280" s="29" t="s">
        <v>1139</v>
      </c>
      <c r="D280" s="29" t="s">
        <v>1140</v>
      </c>
      <c r="E280" s="36" t="s">
        <v>1141</v>
      </c>
      <c r="F280" s="42" t="s">
        <v>1142</v>
      </c>
      <c r="G280" s="32" t="s">
        <v>38</v>
      </c>
      <c r="H280" s="33" t="s">
        <v>1143</v>
      </c>
      <c r="I280" s="37" t="s">
        <v>50</v>
      </c>
      <c r="J280" s="35" t="s">
        <v>1144</v>
      </c>
      <c r="K280" s="30" t="s">
        <v>1032</v>
      </c>
    </row>
    <row r="281" customFormat="false" ht="14.25" hidden="false" customHeight="true" outlineLevel="0" collapsed="false">
      <c r="A281" s="27"/>
      <c r="B281" s="27"/>
      <c r="C281" s="27"/>
      <c r="D281" s="27"/>
      <c r="E281" s="36" t="s">
        <v>1145</v>
      </c>
      <c r="F281" s="42"/>
      <c r="G281" s="32"/>
      <c r="H281" s="33"/>
      <c r="I281" s="37"/>
      <c r="J281" s="35"/>
      <c r="K281" s="30" t="s">
        <v>1038</v>
      </c>
    </row>
    <row r="282" customFormat="false" ht="14.25" hidden="false" customHeight="true" outlineLevel="0" collapsed="false">
      <c r="A282" s="27"/>
      <c r="B282" s="27"/>
      <c r="C282" s="27"/>
      <c r="D282" s="29" t="s">
        <v>1146</v>
      </c>
      <c r="E282" s="36" t="s">
        <v>1147</v>
      </c>
      <c r="F282" s="42" t="s">
        <v>1148</v>
      </c>
      <c r="G282" s="32" t="s">
        <v>38</v>
      </c>
      <c r="H282" s="33" t="s">
        <v>1149</v>
      </c>
      <c r="I282" s="37" t="s">
        <v>50</v>
      </c>
      <c r="J282" s="35" t="s">
        <v>1150</v>
      </c>
      <c r="K282" s="30" t="s">
        <v>1040</v>
      </c>
    </row>
    <row r="283" customFormat="false" ht="14.25" hidden="false" customHeight="true" outlineLevel="0" collapsed="false">
      <c r="A283" s="27"/>
      <c r="B283" s="27"/>
      <c r="C283" s="27"/>
      <c r="D283" s="27"/>
      <c r="E283" s="36" t="s">
        <v>1151</v>
      </c>
      <c r="F283" s="42"/>
      <c r="G283" s="32"/>
      <c r="H283" s="33"/>
      <c r="I283" s="37"/>
      <c r="J283" s="35"/>
      <c r="K283" s="30" t="s">
        <v>1045</v>
      </c>
    </row>
    <row r="284" customFormat="false" ht="14.25" hidden="false" customHeight="true" outlineLevel="0" collapsed="false">
      <c r="A284" s="27"/>
      <c r="B284" s="27"/>
      <c r="C284" s="27"/>
      <c r="D284" s="29" t="s">
        <v>1152</v>
      </c>
      <c r="E284" s="36" t="s">
        <v>1153</v>
      </c>
      <c r="F284" s="42" t="s">
        <v>1154</v>
      </c>
      <c r="G284" s="32" t="s">
        <v>48</v>
      </c>
      <c r="H284" s="33" t="s">
        <v>1155</v>
      </c>
      <c r="I284" s="39" t="s">
        <v>67</v>
      </c>
      <c r="J284" s="35" t="s">
        <v>1156</v>
      </c>
      <c r="K284" s="30" t="s">
        <v>1047</v>
      </c>
    </row>
    <row r="285" customFormat="false" ht="14.25" hidden="false" customHeight="true" outlineLevel="0" collapsed="false">
      <c r="A285" s="27"/>
      <c r="B285" s="27"/>
      <c r="C285" s="27"/>
      <c r="D285" s="27"/>
      <c r="E285" s="36" t="s">
        <v>1157</v>
      </c>
      <c r="F285" s="42"/>
      <c r="G285" s="32"/>
      <c r="H285" s="33"/>
      <c r="I285" s="39"/>
      <c r="J285" s="35"/>
      <c r="K285" s="30" t="s">
        <v>1053</v>
      </c>
    </row>
    <row r="286" customFormat="false" ht="14.25" hidden="false" customHeight="true" outlineLevel="0" collapsed="false">
      <c r="A286" s="27"/>
      <c r="B286" s="27"/>
      <c r="C286" s="27"/>
      <c r="D286" s="29" t="s">
        <v>1158</v>
      </c>
      <c r="E286" s="36" t="s">
        <v>1159</v>
      </c>
      <c r="F286" s="42" t="s">
        <v>1160</v>
      </c>
      <c r="G286" s="32" t="s">
        <v>58</v>
      </c>
      <c r="H286" s="33" t="s">
        <v>1161</v>
      </c>
      <c r="I286" s="34" t="s">
        <v>40</v>
      </c>
      <c r="J286" s="35" t="s">
        <v>1162</v>
      </c>
      <c r="K286" s="30" t="s">
        <v>1055</v>
      </c>
    </row>
    <row r="287" customFormat="false" ht="14.25" hidden="false" customHeight="true" outlineLevel="0" collapsed="false">
      <c r="A287" s="27"/>
      <c r="B287" s="27"/>
      <c r="C287" s="27"/>
      <c r="D287" s="27"/>
      <c r="E287" s="36" t="s">
        <v>1163</v>
      </c>
      <c r="F287" s="42"/>
      <c r="G287" s="32"/>
      <c r="H287" s="33"/>
      <c r="I287" s="34"/>
      <c r="J287" s="35"/>
      <c r="K287" s="30" t="s">
        <v>1164</v>
      </c>
    </row>
    <row r="288" customFormat="false" ht="14.25" hidden="false" customHeight="true" outlineLevel="0" collapsed="false">
      <c r="A288" s="27"/>
      <c r="B288" s="27"/>
      <c r="C288" s="27"/>
      <c r="D288" s="29" t="s">
        <v>1165</v>
      </c>
      <c r="E288" s="36" t="s">
        <v>1166</v>
      </c>
      <c r="F288" s="42" t="s">
        <v>1167</v>
      </c>
      <c r="G288" s="32" t="s">
        <v>48</v>
      </c>
      <c r="H288" s="33" t="s">
        <v>1168</v>
      </c>
      <c r="I288" s="39" t="s">
        <v>67</v>
      </c>
      <c r="J288" s="35" t="s">
        <v>1169</v>
      </c>
      <c r="K288" s="30" t="s">
        <v>1063</v>
      </c>
    </row>
    <row r="289" customFormat="false" ht="14.25" hidden="false" customHeight="true" outlineLevel="0" collapsed="false">
      <c r="A289" s="27"/>
      <c r="B289" s="27"/>
      <c r="C289" s="27"/>
      <c r="D289" s="27"/>
      <c r="E289" s="36" t="s">
        <v>1170</v>
      </c>
      <c r="F289" s="42"/>
      <c r="G289" s="32"/>
      <c r="H289" s="33"/>
      <c r="I289" s="39"/>
      <c r="J289" s="35"/>
      <c r="K289" s="30" t="s">
        <v>1069</v>
      </c>
    </row>
    <row r="290" customFormat="false" ht="14.25" hidden="false" customHeight="true" outlineLevel="0" collapsed="false">
      <c r="A290" s="27"/>
      <c r="B290" s="27"/>
      <c r="C290" s="29" t="s">
        <v>1171</v>
      </c>
      <c r="D290" s="29" t="s">
        <v>1172</v>
      </c>
      <c r="E290" s="36" t="s">
        <v>1173</v>
      </c>
      <c r="F290" s="42" t="s">
        <v>1174</v>
      </c>
      <c r="G290" s="32" t="s">
        <v>48</v>
      </c>
      <c r="H290" s="33" t="s">
        <v>1175</v>
      </c>
      <c r="I290" s="37" t="s">
        <v>50</v>
      </c>
      <c r="J290" s="35" t="s">
        <v>1176</v>
      </c>
      <c r="K290" s="30" t="s">
        <v>1071</v>
      </c>
    </row>
    <row r="291" customFormat="false" ht="14.25" hidden="false" customHeight="true" outlineLevel="0" collapsed="false">
      <c r="A291" s="27"/>
      <c r="B291" s="27"/>
      <c r="C291" s="27"/>
      <c r="D291" s="27"/>
      <c r="E291" s="36" t="s">
        <v>1177</v>
      </c>
      <c r="F291" s="42"/>
      <c r="G291" s="32"/>
      <c r="H291" s="33"/>
      <c r="I291" s="37"/>
      <c r="J291" s="35"/>
      <c r="K291" s="30" t="s">
        <v>1076</v>
      </c>
    </row>
    <row r="292" customFormat="false" ht="14.25" hidden="false" customHeight="true" outlineLevel="0" collapsed="false">
      <c r="A292" s="27"/>
      <c r="B292" s="27"/>
      <c r="C292" s="27"/>
      <c r="D292" s="29" t="s">
        <v>1178</v>
      </c>
      <c r="E292" s="36" t="s">
        <v>1179</v>
      </c>
      <c r="F292" s="42" t="s">
        <v>1180</v>
      </c>
      <c r="G292" s="32" t="s">
        <v>38</v>
      </c>
      <c r="H292" s="33" t="s">
        <v>1181</v>
      </c>
      <c r="I292" s="37" t="s">
        <v>50</v>
      </c>
      <c r="J292" s="35" t="s">
        <v>1182</v>
      </c>
      <c r="K292" s="30" t="s">
        <v>1084</v>
      </c>
    </row>
    <row r="293" customFormat="false" ht="14.25" hidden="false" customHeight="true" outlineLevel="0" collapsed="false">
      <c r="A293" s="27"/>
      <c r="B293" s="27"/>
      <c r="C293" s="27"/>
      <c r="D293" s="27"/>
      <c r="E293" s="36" t="s">
        <v>1183</v>
      </c>
      <c r="F293" s="42"/>
      <c r="G293" s="32"/>
      <c r="H293" s="33"/>
      <c r="I293" s="37"/>
      <c r="J293" s="35"/>
      <c r="K293" s="30" t="s">
        <v>1086</v>
      </c>
    </row>
    <row r="294" customFormat="false" ht="14.25" hidden="false" customHeight="true" outlineLevel="0" collapsed="false">
      <c r="A294" s="27"/>
      <c r="B294" s="27"/>
      <c r="C294" s="27"/>
      <c r="D294" s="29" t="s">
        <v>1184</v>
      </c>
      <c r="E294" s="36" t="s">
        <v>1185</v>
      </c>
      <c r="F294" s="42" t="s">
        <v>1186</v>
      </c>
      <c r="G294" s="32" t="s">
        <v>38</v>
      </c>
      <c r="H294" s="33" t="s">
        <v>1187</v>
      </c>
      <c r="I294" s="39" t="s">
        <v>67</v>
      </c>
      <c r="J294" s="35" t="s">
        <v>1188</v>
      </c>
      <c r="K294" s="30" t="s">
        <v>1092</v>
      </c>
    </row>
    <row r="295" customFormat="false" ht="14.25" hidden="false" customHeight="true" outlineLevel="0" collapsed="false">
      <c r="A295" s="27"/>
      <c r="B295" s="27"/>
      <c r="C295" s="27"/>
      <c r="D295" s="27"/>
      <c r="E295" s="36" t="s">
        <v>1189</v>
      </c>
      <c r="F295" s="42"/>
      <c r="G295" s="32"/>
      <c r="H295" s="33"/>
      <c r="I295" s="39"/>
      <c r="J295" s="35"/>
      <c r="K295" s="30" t="s">
        <v>1094</v>
      </c>
    </row>
    <row r="296" customFormat="false" ht="14.25" hidden="false" customHeight="true" outlineLevel="0" collapsed="false">
      <c r="A296" s="27"/>
      <c r="B296" s="27"/>
      <c r="C296" s="27"/>
      <c r="D296" s="29" t="s">
        <v>1190</v>
      </c>
      <c r="E296" s="36" t="s">
        <v>1191</v>
      </c>
      <c r="F296" s="42" t="s">
        <v>1192</v>
      </c>
      <c r="G296" s="32" t="s">
        <v>38</v>
      </c>
      <c r="H296" s="33" t="s">
        <v>1193</v>
      </c>
      <c r="I296" s="34" t="s">
        <v>40</v>
      </c>
      <c r="J296" s="35" t="s">
        <v>1194</v>
      </c>
      <c r="K296" s="30" t="s">
        <v>1195</v>
      </c>
    </row>
    <row r="297" customFormat="false" ht="14.25" hidden="false" customHeight="true" outlineLevel="0" collapsed="false">
      <c r="A297" s="27"/>
      <c r="B297" s="27"/>
      <c r="C297" s="27"/>
      <c r="D297" s="27"/>
      <c r="E297" s="36" t="s">
        <v>1196</v>
      </c>
      <c r="F297" s="42"/>
      <c r="G297" s="32"/>
      <c r="H297" s="33"/>
      <c r="I297" s="34"/>
      <c r="J297" s="35"/>
      <c r="K297" s="30" t="s">
        <v>1197</v>
      </c>
    </row>
    <row r="298" customFormat="false" ht="14.25" hidden="false" customHeight="true" outlineLevel="0" collapsed="false">
      <c r="A298" s="27"/>
      <c r="B298" s="27"/>
      <c r="C298" s="27"/>
      <c r="D298" s="29" t="s">
        <v>1198</v>
      </c>
      <c r="E298" s="36" t="s">
        <v>1199</v>
      </c>
      <c r="F298" s="42" t="s">
        <v>1200</v>
      </c>
      <c r="G298" s="32" t="s">
        <v>48</v>
      </c>
      <c r="H298" s="33" t="s">
        <v>1201</v>
      </c>
      <c r="I298" s="39" t="s">
        <v>67</v>
      </c>
      <c r="J298" s="35" t="s">
        <v>1202</v>
      </c>
      <c r="K298" s="30" t="s">
        <v>1109</v>
      </c>
    </row>
    <row r="299" customFormat="false" ht="14.25" hidden="false" customHeight="true" outlineLevel="0" collapsed="false">
      <c r="A299" s="27"/>
      <c r="B299" s="27"/>
      <c r="C299" s="27"/>
      <c r="D299" s="27"/>
      <c r="E299" s="36" t="s">
        <v>1203</v>
      </c>
      <c r="F299" s="42"/>
      <c r="G299" s="32"/>
      <c r="H299" s="33"/>
      <c r="I299" s="39"/>
      <c r="J299" s="35"/>
      <c r="K299" s="30" t="s">
        <v>1111</v>
      </c>
    </row>
    <row r="300" customFormat="false" ht="14.25" hidden="false" customHeight="true" outlineLevel="0" collapsed="false">
      <c r="A300" s="27"/>
      <c r="B300" s="27"/>
      <c r="C300" s="29" t="s">
        <v>1204</v>
      </c>
      <c r="D300" s="29" t="s">
        <v>1205</v>
      </c>
      <c r="E300" s="36" t="s">
        <v>1206</v>
      </c>
      <c r="F300" s="42" t="s">
        <v>1207</v>
      </c>
      <c r="G300" s="32" t="s">
        <v>58</v>
      </c>
      <c r="H300" s="33" t="s">
        <v>1208</v>
      </c>
      <c r="I300" s="37" t="s">
        <v>50</v>
      </c>
      <c r="J300" s="35" t="s">
        <v>1209</v>
      </c>
      <c r="K300" s="30" t="s">
        <v>1210</v>
      </c>
    </row>
    <row r="301" customFormat="false" ht="14.25" hidden="false" customHeight="true" outlineLevel="0" collapsed="false">
      <c r="A301" s="27"/>
      <c r="B301" s="27"/>
      <c r="C301" s="27"/>
      <c r="D301" s="27"/>
      <c r="E301" s="36" t="s">
        <v>1211</v>
      </c>
      <c r="F301" s="42"/>
      <c r="G301" s="32"/>
      <c r="H301" s="33"/>
      <c r="I301" s="37"/>
      <c r="J301" s="35"/>
      <c r="K301" s="30" t="s">
        <v>1212</v>
      </c>
    </row>
    <row r="302" customFormat="false" ht="14.25" hidden="false" customHeight="true" outlineLevel="0" collapsed="false">
      <c r="A302" s="27"/>
      <c r="B302" s="27"/>
      <c r="C302" s="27"/>
      <c r="D302" s="29" t="s">
        <v>1213</v>
      </c>
      <c r="E302" s="36" t="s">
        <v>1214</v>
      </c>
      <c r="F302" s="42" t="s">
        <v>1215</v>
      </c>
      <c r="G302" s="32" t="s">
        <v>48</v>
      </c>
      <c r="H302" s="33" t="s">
        <v>1216</v>
      </c>
      <c r="I302" s="37" t="s">
        <v>50</v>
      </c>
      <c r="J302" s="35" t="s">
        <v>1217</v>
      </c>
      <c r="K302" s="30" t="s">
        <v>1218</v>
      </c>
    </row>
    <row r="303" customFormat="false" ht="14.25" hidden="false" customHeight="true" outlineLevel="0" collapsed="false">
      <c r="A303" s="27"/>
      <c r="B303" s="27"/>
      <c r="C303" s="27"/>
      <c r="D303" s="27"/>
      <c r="E303" s="36" t="s">
        <v>1219</v>
      </c>
      <c r="F303" s="42"/>
      <c r="G303" s="32"/>
      <c r="H303" s="33"/>
      <c r="I303" s="37"/>
      <c r="J303" s="35"/>
      <c r="K303" s="30" t="s">
        <v>1220</v>
      </c>
    </row>
    <row r="304" customFormat="false" ht="14.25" hidden="false" customHeight="true" outlineLevel="0" collapsed="false">
      <c r="A304" s="27"/>
      <c r="B304" s="27"/>
      <c r="C304" s="27"/>
      <c r="D304" s="29" t="s">
        <v>1221</v>
      </c>
      <c r="E304" s="36" t="s">
        <v>1222</v>
      </c>
      <c r="F304" s="42" t="s">
        <v>1223</v>
      </c>
      <c r="G304" s="32" t="s">
        <v>48</v>
      </c>
      <c r="H304" s="33" t="s">
        <v>1116</v>
      </c>
      <c r="I304" s="39" t="s">
        <v>67</v>
      </c>
      <c r="J304" s="35" t="s">
        <v>1224</v>
      </c>
      <c r="K304" s="30" t="s">
        <v>1225</v>
      </c>
    </row>
    <row r="305" customFormat="false" ht="14.25" hidden="false" customHeight="true" outlineLevel="0" collapsed="false">
      <c r="A305" s="27"/>
      <c r="B305" s="27"/>
      <c r="C305" s="27"/>
      <c r="D305" s="27"/>
      <c r="E305" s="36" t="s">
        <v>1226</v>
      </c>
      <c r="F305" s="42"/>
      <c r="G305" s="32"/>
      <c r="H305" s="33"/>
      <c r="I305" s="39"/>
      <c r="J305" s="35"/>
      <c r="K305" s="30" t="s">
        <v>1227</v>
      </c>
    </row>
    <row r="306" customFormat="false" ht="14.25" hidden="false" customHeight="true" outlineLevel="0" collapsed="false">
      <c r="A306" s="27"/>
      <c r="B306" s="27"/>
      <c r="C306" s="27"/>
      <c r="D306" s="29" t="s">
        <v>1228</v>
      </c>
      <c r="E306" s="36" t="s">
        <v>1229</v>
      </c>
      <c r="F306" s="42" t="s">
        <v>1230</v>
      </c>
      <c r="G306" s="32" t="s">
        <v>38</v>
      </c>
      <c r="H306" s="33" t="s">
        <v>1231</v>
      </c>
      <c r="I306" s="34" t="s">
        <v>40</v>
      </c>
      <c r="J306" s="35" t="s">
        <v>1232</v>
      </c>
      <c r="K306" s="30" t="s">
        <v>1233</v>
      </c>
    </row>
    <row r="307" customFormat="false" ht="14.25" hidden="false" customHeight="true" outlineLevel="0" collapsed="false">
      <c r="A307" s="27"/>
      <c r="B307" s="27"/>
      <c r="C307" s="27"/>
      <c r="D307" s="27"/>
      <c r="E307" s="36" t="s">
        <v>1234</v>
      </c>
      <c r="F307" s="42"/>
      <c r="G307" s="32"/>
      <c r="H307" s="33"/>
      <c r="I307" s="34"/>
      <c r="J307" s="35"/>
      <c r="K307" s="30" t="s">
        <v>1235</v>
      </c>
    </row>
    <row r="308" customFormat="false" ht="14.25" hidden="false" customHeight="true" outlineLevel="0" collapsed="false">
      <c r="A308" s="27"/>
      <c r="B308" s="27"/>
      <c r="C308" s="27"/>
      <c r="D308" s="29" t="s">
        <v>1236</v>
      </c>
      <c r="E308" s="36" t="s">
        <v>1237</v>
      </c>
      <c r="F308" s="42" t="s">
        <v>1238</v>
      </c>
      <c r="G308" s="32" t="s">
        <v>38</v>
      </c>
      <c r="H308" s="33" t="s">
        <v>1239</v>
      </c>
      <c r="I308" s="39" t="s">
        <v>67</v>
      </c>
      <c r="J308" s="35" t="s">
        <v>1240</v>
      </c>
      <c r="K308" s="30" t="s">
        <v>1241</v>
      </c>
    </row>
    <row r="309" customFormat="false" ht="14.25" hidden="false" customHeight="true" outlineLevel="0" collapsed="false">
      <c r="A309" s="27"/>
      <c r="B309" s="27"/>
      <c r="C309" s="27"/>
      <c r="D309" s="27"/>
      <c r="E309" s="36" t="s">
        <v>1242</v>
      </c>
      <c r="F309" s="42"/>
      <c r="G309" s="32"/>
      <c r="H309" s="33"/>
      <c r="I309" s="39"/>
      <c r="J309" s="35"/>
      <c r="K309" s="30" t="s">
        <v>1243</v>
      </c>
    </row>
    <row r="310" customFormat="false" ht="14.25" hidden="false" customHeight="true" outlineLevel="0" collapsed="false">
      <c r="A310" s="27"/>
      <c r="B310" s="27"/>
      <c r="C310" s="40" t="s">
        <v>1244</v>
      </c>
      <c r="D310" s="29" t="s">
        <v>1245</v>
      </c>
      <c r="E310" s="36" t="s">
        <v>1246</v>
      </c>
      <c r="F310" s="42" t="s">
        <v>1247</v>
      </c>
      <c r="G310" s="32" t="s">
        <v>38</v>
      </c>
      <c r="H310" s="33" t="s">
        <v>1248</v>
      </c>
      <c r="I310" s="37" t="s">
        <v>50</v>
      </c>
      <c r="J310" s="35" t="s">
        <v>1249</v>
      </c>
      <c r="K310" s="30" t="s">
        <v>1250</v>
      </c>
    </row>
    <row r="311" customFormat="false" ht="14.25" hidden="false" customHeight="true" outlineLevel="0" collapsed="false">
      <c r="A311" s="27"/>
      <c r="B311" s="27"/>
      <c r="C311" s="27"/>
      <c r="D311" s="27"/>
      <c r="E311" s="36" t="s">
        <v>1251</v>
      </c>
      <c r="F311" s="42"/>
      <c r="G311" s="32"/>
      <c r="H311" s="33"/>
      <c r="I311" s="37"/>
      <c r="J311" s="35"/>
      <c r="K311" s="30" t="s">
        <v>1252</v>
      </c>
    </row>
    <row r="312" customFormat="false" ht="14.25" hidden="false" customHeight="true" outlineLevel="0" collapsed="false">
      <c r="A312" s="27"/>
      <c r="B312" s="27"/>
      <c r="C312" s="27"/>
      <c r="D312" s="29" t="s">
        <v>1253</v>
      </c>
      <c r="E312" s="36" t="s">
        <v>1254</v>
      </c>
      <c r="F312" s="42" t="s">
        <v>1255</v>
      </c>
      <c r="G312" s="32" t="s">
        <v>48</v>
      </c>
      <c r="H312" s="33" t="s">
        <v>1256</v>
      </c>
      <c r="I312" s="37" t="s">
        <v>50</v>
      </c>
      <c r="J312" s="35" t="s">
        <v>1194</v>
      </c>
      <c r="K312" s="30" t="s">
        <v>1257</v>
      </c>
    </row>
    <row r="313" customFormat="false" ht="14.25" hidden="false" customHeight="true" outlineLevel="0" collapsed="false">
      <c r="A313" s="27"/>
      <c r="B313" s="27"/>
      <c r="C313" s="27"/>
      <c r="D313" s="27"/>
      <c r="E313" s="36" t="s">
        <v>1151</v>
      </c>
      <c r="F313" s="42"/>
      <c r="G313" s="32"/>
      <c r="H313" s="33"/>
      <c r="I313" s="37"/>
      <c r="J313" s="35"/>
      <c r="K313" s="30" t="s">
        <v>1258</v>
      </c>
    </row>
    <row r="314" customFormat="false" ht="14.25" hidden="false" customHeight="true" outlineLevel="0" collapsed="false">
      <c r="A314" s="27"/>
      <c r="B314" s="27"/>
      <c r="C314" s="27"/>
      <c r="D314" s="29" t="s">
        <v>1259</v>
      </c>
      <c r="E314" s="36" t="s">
        <v>1260</v>
      </c>
      <c r="F314" s="42" t="s">
        <v>1261</v>
      </c>
      <c r="G314" s="32" t="s">
        <v>58</v>
      </c>
      <c r="H314" s="33" t="s">
        <v>1262</v>
      </c>
      <c r="I314" s="39" t="s">
        <v>67</v>
      </c>
      <c r="J314" s="35" t="s">
        <v>1263</v>
      </c>
      <c r="K314" s="30" t="s">
        <v>1264</v>
      </c>
    </row>
    <row r="315" customFormat="false" ht="14.25" hidden="false" customHeight="true" outlineLevel="0" collapsed="false">
      <c r="A315" s="27"/>
      <c r="B315" s="27"/>
      <c r="C315" s="27"/>
      <c r="D315" s="27"/>
      <c r="E315" s="36" t="s">
        <v>1265</v>
      </c>
      <c r="F315" s="42"/>
      <c r="G315" s="32"/>
      <c r="H315" s="33"/>
      <c r="I315" s="39"/>
      <c r="J315" s="35"/>
      <c r="K315" s="30" t="s">
        <v>1266</v>
      </c>
    </row>
    <row r="316" customFormat="false" ht="14.25" hidden="false" customHeight="true" outlineLevel="0" collapsed="false">
      <c r="A316" s="27"/>
      <c r="B316" s="27"/>
      <c r="C316" s="27"/>
      <c r="D316" s="29" t="s">
        <v>1267</v>
      </c>
      <c r="E316" s="36" t="s">
        <v>1268</v>
      </c>
      <c r="F316" s="42" t="s">
        <v>1269</v>
      </c>
      <c r="G316" s="32" t="s">
        <v>48</v>
      </c>
      <c r="H316" s="33" t="s">
        <v>1270</v>
      </c>
      <c r="I316" s="34" t="s">
        <v>40</v>
      </c>
      <c r="J316" s="35" t="s">
        <v>1271</v>
      </c>
      <c r="K316" s="30" t="s">
        <v>1272</v>
      </c>
    </row>
    <row r="317" customFormat="false" ht="14.25" hidden="false" customHeight="true" outlineLevel="0" collapsed="false">
      <c r="A317" s="27"/>
      <c r="B317" s="27"/>
      <c r="C317" s="27"/>
      <c r="D317" s="27"/>
      <c r="E317" s="36" t="s">
        <v>1273</v>
      </c>
      <c r="F317" s="42"/>
      <c r="G317" s="32"/>
      <c r="H317" s="33"/>
      <c r="I317" s="34"/>
      <c r="J317" s="35"/>
      <c r="K317" s="30" t="s">
        <v>1274</v>
      </c>
    </row>
    <row r="318" customFormat="false" ht="14.25" hidden="false" customHeight="true" outlineLevel="0" collapsed="false">
      <c r="A318" s="27"/>
      <c r="B318" s="27"/>
      <c r="C318" s="27"/>
      <c r="D318" s="29" t="s">
        <v>1275</v>
      </c>
      <c r="E318" s="36" t="s">
        <v>1276</v>
      </c>
      <c r="F318" s="42" t="s">
        <v>1277</v>
      </c>
      <c r="G318" s="32" t="s">
        <v>48</v>
      </c>
      <c r="H318" s="33" t="s">
        <v>1278</v>
      </c>
      <c r="I318" s="39" t="s">
        <v>67</v>
      </c>
      <c r="J318" s="35" t="s">
        <v>1279</v>
      </c>
      <c r="K318" s="30" t="s">
        <v>1280</v>
      </c>
    </row>
    <row r="319" customFormat="false" ht="14.25" hidden="false" customHeight="true" outlineLevel="0" collapsed="false">
      <c r="A319" s="27"/>
      <c r="B319" s="27"/>
      <c r="C319" s="27"/>
      <c r="D319" s="27"/>
      <c r="E319" s="36" t="s">
        <v>1281</v>
      </c>
      <c r="F319" s="42"/>
      <c r="G319" s="32"/>
      <c r="H319" s="33"/>
      <c r="I319" s="39"/>
      <c r="J319" s="35"/>
      <c r="K319" s="30" t="s">
        <v>1282</v>
      </c>
    </row>
    <row r="320" customFormat="false" ht="14.25" hidden="false" customHeight="true" outlineLevel="0" collapsed="false">
      <c r="A320" s="27"/>
      <c r="B320" s="27"/>
      <c r="C320" s="40" t="s">
        <v>1283</v>
      </c>
      <c r="D320" s="29" t="s">
        <v>1284</v>
      </c>
      <c r="E320" s="36" t="s">
        <v>1285</v>
      </c>
      <c r="F320" s="42" t="s">
        <v>1286</v>
      </c>
      <c r="G320" s="32" t="s">
        <v>38</v>
      </c>
      <c r="H320" s="33" t="s">
        <v>1287</v>
      </c>
      <c r="I320" s="37" t="s">
        <v>50</v>
      </c>
      <c r="J320" s="35" t="s">
        <v>1288</v>
      </c>
      <c r="K320" s="30" t="s">
        <v>1289</v>
      </c>
    </row>
    <row r="321" customFormat="false" ht="14.25" hidden="false" customHeight="true" outlineLevel="0" collapsed="false">
      <c r="A321" s="27"/>
      <c r="B321" s="27"/>
      <c r="C321" s="27"/>
      <c r="D321" s="27"/>
      <c r="E321" s="36" t="s">
        <v>1290</v>
      </c>
      <c r="F321" s="42"/>
      <c r="G321" s="32"/>
      <c r="H321" s="33"/>
      <c r="I321" s="37"/>
      <c r="J321" s="35"/>
      <c r="K321" s="30" t="s">
        <v>1291</v>
      </c>
    </row>
    <row r="322" customFormat="false" ht="14.25" hidden="false" customHeight="true" outlineLevel="0" collapsed="false">
      <c r="A322" s="27"/>
      <c r="B322" s="27"/>
      <c r="C322" s="27"/>
      <c r="D322" s="29" t="s">
        <v>1292</v>
      </c>
      <c r="E322" s="36" t="s">
        <v>1293</v>
      </c>
      <c r="F322" s="42" t="s">
        <v>1294</v>
      </c>
      <c r="G322" s="32" t="s">
        <v>38</v>
      </c>
      <c r="H322" s="33" t="s">
        <v>1295</v>
      </c>
      <c r="I322" s="37" t="s">
        <v>50</v>
      </c>
      <c r="J322" s="35" t="s">
        <v>1296</v>
      </c>
      <c r="K322" s="30" t="s">
        <v>1297</v>
      </c>
    </row>
    <row r="323" customFormat="false" ht="14.25" hidden="false" customHeight="true" outlineLevel="0" collapsed="false">
      <c r="A323" s="27"/>
      <c r="B323" s="27"/>
      <c r="C323" s="27"/>
      <c r="D323" s="27"/>
      <c r="E323" s="36" t="s">
        <v>1298</v>
      </c>
      <c r="F323" s="42"/>
      <c r="G323" s="32"/>
      <c r="H323" s="33"/>
      <c r="I323" s="37"/>
      <c r="J323" s="35"/>
      <c r="K323" s="30" t="s">
        <v>1299</v>
      </c>
    </row>
    <row r="324" customFormat="false" ht="14.25" hidden="false" customHeight="true" outlineLevel="0" collapsed="false">
      <c r="A324" s="27"/>
      <c r="B324" s="27"/>
      <c r="C324" s="27"/>
      <c r="D324" s="29" t="s">
        <v>1300</v>
      </c>
      <c r="E324" s="36" t="s">
        <v>1301</v>
      </c>
      <c r="F324" s="42" t="s">
        <v>1302</v>
      </c>
      <c r="G324" s="32" t="s">
        <v>38</v>
      </c>
      <c r="H324" s="33" t="s">
        <v>1116</v>
      </c>
      <c r="I324" s="39" t="s">
        <v>67</v>
      </c>
      <c r="J324" s="35" t="s">
        <v>1303</v>
      </c>
      <c r="K324" s="30" t="s">
        <v>1304</v>
      </c>
    </row>
    <row r="325" customFormat="false" ht="14.25" hidden="false" customHeight="true" outlineLevel="0" collapsed="false">
      <c r="A325" s="27"/>
      <c r="B325" s="27"/>
      <c r="C325" s="27"/>
      <c r="D325" s="27"/>
      <c r="E325" s="36" t="s">
        <v>1305</v>
      </c>
      <c r="F325" s="42"/>
      <c r="G325" s="32"/>
      <c r="H325" s="33"/>
      <c r="I325" s="39"/>
      <c r="J325" s="35"/>
      <c r="K325" s="30" t="s">
        <v>1306</v>
      </c>
    </row>
    <row r="326" customFormat="false" ht="14.25" hidden="false" customHeight="true" outlineLevel="0" collapsed="false">
      <c r="A326" s="27"/>
      <c r="B326" s="27"/>
      <c r="C326" s="27"/>
      <c r="D326" s="29" t="s">
        <v>1307</v>
      </c>
      <c r="E326" s="36" t="s">
        <v>1308</v>
      </c>
      <c r="F326" s="42" t="s">
        <v>1309</v>
      </c>
      <c r="G326" s="32" t="s">
        <v>48</v>
      </c>
      <c r="H326" s="33" t="s">
        <v>1310</v>
      </c>
      <c r="I326" s="34" t="s">
        <v>40</v>
      </c>
      <c r="J326" s="35" t="s">
        <v>1311</v>
      </c>
      <c r="K326" s="30" t="s">
        <v>1312</v>
      </c>
    </row>
    <row r="327" customFormat="false" ht="14.25" hidden="false" customHeight="true" outlineLevel="0" collapsed="false">
      <c r="A327" s="27"/>
      <c r="B327" s="27"/>
      <c r="C327" s="27"/>
      <c r="D327" s="27"/>
      <c r="E327" s="36" t="s">
        <v>1313</v>
      </c>
      <c r="F327" s="42"/>
      <c r="G327" s="32"/>
      <c r="H327" s="33"/>
      <c r="I327" s="34"/>
      <c r="J327" s="35"/>
      <c r="K327" s="30" t="s">
        <v>1314</v>
      </c>
    </row>
    <row r="328" customFormat="false" ht="14.25" hidden="false" customHeight="true" outlineLevel="0" collapsed="false">
      <c r="A328" s="27"/>
      <c r="B328" s="27"/>
      <c r="C328" s="27"/>
      <c r="D328" s="29" t="s">
        <v>1315</v>
      </c>
      <c r="E328" s="36" t="s">
        <v>1316</v>
      </c>
      <c r="F328" s="42" t="s">
        <v>1317</v>
      </c>
      <c r="G328" s="32" t="s">
        <v>58</v>
      </c>
      <c r="H328" s="33" t="s">
        <v>1318</v>
      </c>
      <c r="I328" s="39" t="s">
        <v>67</v>
      </c>
      <c r="J328" s="35" t="s">
        <v>1319</v>
      </c>
      <c r="K328" s="30" t="s">
        <v>1320</v>
      </c>
    </row>
    <row r="329" customFormat="false" ht="14.25" hidden="false" customHeight="true" outlineLevel="0" collapsed="false">
      <c r="A329" s="27"/>
      <c r="B329" s="27"/>
      <c r="C329" s="27"/>
      <c r="D329" s="27"/>
      <c r="E329" s="36" t="s">
        <v>1321</v>
      </c>
      <c r="F329" s="42"/>
      <c r="G329" s="32"/>
      <c r="H329" s="33"/>
      <c r="I329" s="39"/>
      <c r="J329" s="35"/>
      <c r="K329" s="30" t="s">
        <v>1322</v>
      </c>
    </row>
    <row r="330" customFormat="false" ht="14.25" hidden="false" customHeight="true" outlineLevel="0" collapsed="false">
      <c r="A330" s="27"/>
      <c r="B330" s="27"/>
      <c r="C330" s="40" t="s">
        <v>1323</v>
      </c>
      <c r="D330" s="29" t="s">
        <v>1324</v>
      </c>
      <c r="E330" s="36" t="s">
        <v>1325</v>
      </c>
      <c r="F330" s="42" t="s">
        <v>1326</v>
      </c>
      <c r="G330" s="32" t="s">
        <v>48</v>
      </c>
      <c r="H330" s="33" t="s">
        <v>1327</v>
      </c>
      <c r="I330" s="37" t="s">
        <v>50</v>
      </c>
      <c r="J330" s="35" t="s">
        <v>1328</v>
      </c>
      <c r="K330" s="30" t="s">
        <v>1329</v>
      </c>
    </row>
    <row r="331" customFormat="false" ht="14.25" hidden="false" customHeight="true" outlineLevel="0" collapsed="false">
      <c r="A331" s="27"/>
      <c r="B331" s="27"/>
      <c r="C331" s="27"/>
      <c r="D331" s="27"/>
      <c r="E331" s="36" t="s">
        <v>1330</v>
      </c>
      <c r="F331" s="42"/>
      <c r="G331" s="32"/>
      <c r="H331" s="33"/>
      <c r="I331" s="37"/>
      <c r="J331" s="35"/>
      <c r="K331" s="30" t="s">
        <v>1331</v>
      </c>
    </row>
    <row r="332" customFormat="false" ht="14.25" hidden="false" customHeight="true" outlineLevel="0" collapsed="false">
      <c r="A332" s="27"/>
      <c r="B332" s="27"/>
      <c r="C332" s="27"/>
      <c r="D332" s="29" t="s">
        <v>1332</v>
      </c>
      <c r="E332" s="36" t="s">
        <v>1333</v>
      </c>
      <c r="F332" s="42" t="s">
        <v>1334</v>
      </c>
      <c r="G332" s="32" t="s">
        <v>48</v>
      </c>
      <c r="H332" s="33" t="s">
        <v>1335</v>
      </c>
      <c r="I332" s="37" t="s">
        <v>50</v>
      </c>
      <c r="J332" s="35" t="s">
        <v>1336</v>
      </c>
      <c r="K332" s="30" t="s">
        <v>1337</v>
      </c>
    </row>
    <row r="333" customFormat="false" ht="14.25" hidden="false" customHeight="true" outlineLevel="0" collapsed="false">
      <c r="A333" s="27"/>
      <c r="B333" s="27"/>
      <c r="C333" s="27"/>
      <c r="D333" s="27"/>
      <c r="E333" s="36" t="s">
        <v>1338</v>
      </c>
      <c r="F333" s="42"/>
      <c r="G333" s="32"/>
      <c r="H333" s="33"/>
      <c r="I333" s="37"/>
      <c r="J333" s="35"/>
      <c r="K333" s="30" t="s">
        <v>1339</v>
      </c>
    </row>
    <row r="334" customFormat="false" ht="14.25" hidden="false" customHeight="true" outlineLevel="0" collapsed="false">
      <c r="A334" s="27"/>
      <c r="B334" s="27"/>
      <c r="C334" s="27"/>
      <c r="D334" s="29" t="s">
        <v>1340</v>
      </c>
      <c r="E334" s="36" t="s">
        <v>1341</v>
      </c>
      <c r="F334" s="42" t="s">
        <v>1342</v>
      </c>
      <c r="G334" s="32" t="s">
        <v>38</v>
      </c>
      <c r="H334" s="33" t="s">
        <v>1343</v>
      </c>
      <c r="I334" s="39" t="s">
        <v>67</v>
      </c>
      <c r="J334" s="35" t="s">
        <v>1344</v>
      </c>
      <c r="K334" s="30" t="s">
        <v>1345</v>
      </c>
    </row>
    <row r="335" customFormat="false" ht="14.25" hidden="false" customHeight="true" outlineLevel="0" collapsed="false">
      <c r="A335" s="27"/>
      <c r="B335" s="27"/>
      <c r="C335" s="27"/>
      <c r="D335" s="27"/>
      <c r="E335" s="36" t="s">
        <v>1346</v>
      </c>
      <c r="F335" s="42"/>
      <c r="G335" s="32"/>
      <c r="H335" s="33"/>
      <c r="I335" s="39"/>
      <c r="J335" s="35"/>
      <c r="K335" s="30" t="s">
        <v>1347</v>
      </c>
    </row>
    <row r="336" customFormat="false" ht="14.25" hidden="false" customHeight="true" outlineLevel="0" collapsed="false">
      <c r="A336" s="27"/>
      <c r="B336" s="27"/>
      <c r="C336" s="27"/>
      <c r="D336" s="29" t="s">
        <v>1348</v>
      </c>
      <c r="E336" s="36" t="s">
        <v>1349</v>
      </c>
      <c r="F336" s="42" t="s">
        <v>1350</v>
      </c>
      <c r="G336" s="32" t="s">
        <v>38</v>
      </c>
      <c r="H336" s="33" t="s">
        <v>1351</v>
      </c>
      <c r="I336" s="34" t="s">
        <v>40</v>
      </c>
      <c r="J336" s="35" t="s">
        <v>1352</v>
      </c>
      <c r="K336" s="30" t="s">
        <v>1353</v>
      </c>
    </row>
    <row r="337" customFormat="false" ht="14.25" hidden="false" customHeight="true" outlineLevel="0" collapsed="false">
      <c r="A337" s="27"/>
      <c r="B337" s="27"/>
      <c r="C337" s="27"/>
      <c r="D337" s="27"/>
      <c r="E337" s="36" t="s">
        <v>1354</v>
      </c>
      <c r="F337" s="42"/>
      <c r="G337" s="32"/>
      <c r="H337" s="33"/>
      <c r="I337" s="34"/>
      <c r="J337" s="35"/>
      <c r="K337" s="30" t="s">
        <v>1355</v>
      </c>
    </row>
    <row r="338" customFormat="false" ht="14.25" hidden="false" customHeight="true" outlineLevel="0" collapsed="false">
      <c r="A338" s="27"/>
      <c r="B338" s="27"/>
      <c r="C338" s="27"/>
      <c r="D338" s="29" t="s">
        <v>1356</v>
      </c>
      <c r="E338" s="36" t="s">
        <v>1357</v>
      </c>
      <c r="F338" s="42" t="s">
        <v>1358</v>
      </c>
      <c r="G338" s="32" t="s">
        <v>38</v>
      </c>
      <c r="H338" s="33" t="s">
        <v>1359</v>
      </c>
      <c r="I338" s="39" t="s">
        <v>67</v>
      </c>
      <c r="J338" s="35" t="s">
        <v>1360</v>
      </c>
      <c r="K338" s="30" t="s">
        <v>1361</v>
      </c>
    </row>
    <row r="339" customFormat="false" ht="14.25" hidden="false" customHeight="true" outlineLevel="0" collapsed="false">
      <c r="A339" s="27"/>
      <c r="B339" s="27"/>
      <c r="C339" s="27"/>
      <c r="D339" s="27"/>
      <c r="E339" s="36" t="s">
        <v>1362</v>
      </c>
      <c r="F339" s="42"/>
      <c r="G339" s="32"/>
      <c r="H339" s="33"/>
      <c r="I339" s="39"/>
      <c r="J339" s="35"/>
      <c r="K339" s="30" t="s">
        <v>1363</v>
      </c>
    </row>
    <row r="340" customFormat="false" ht="14.25" hidden="false" customHeight="true" outlineLevel="0" collapsed="false">
      <c r="A340" s="27"/>
      <c r="B340" s="27"/>
      <c r="C340" s="29" t="s">
        <v>1364</v>
      </c>
      <c r="D340" s="29" t="s">
        <v>1365</v>
      </c>
      <c r="E340" s="36" t="s">
        <v>1366</v>
      </c>
      <c r="F340" s="42" t="s">
        <v>1367</v>
      </c>
      <c r="G340" s="32" t="s">
        <v>48</v>
      </c>
      <c r="H340" s="33" t="s">
        <v>1368</v>
      </c>
      <c r="I340" s="37" t="s">
        <v>50</v>
      </c>
      <c r="J340" s="35" t="s">
        <v>1369</v>
      </c>
      <c r="K340" s="30" t="s">
        <v>1370</v>
      </c>
    </row>
    <row r="341" customFormat="false" ht="14.25" hidden="false" customHeight="true" outlineLevel="0" collapsed="false">
      <c r="A341" s="27"/>
      <c r="B341" s="27"/>
      <c r="C341" s="27"/>
      <c r="D341" s="27"/>
      <c r="E341" s="36" t="s">
        <v>1371</v>
      </c>
      <c r="F341" s="42"/>
      <c r="G341" s="32"/>
      <c r="H341" s="33"/>
      <c r="I341" s="37"/>
      <c r="J341" s="35"/>
      <c r="K341" s="30" t="s">
        <v>1372</v>
      </c>
    </row>
    <row r="342" customFormat="false" ht="14.25" hidden="false" customHeight="true" outlineLevel="0" collapsed="false">
      <c r="A342" s="27"/>
      <c r="B342" s="27"/>
      <c r="C342" s="27"/>
      <c r="D342" s="29" t="s">
        <v>1373</v>
      </c>
      <c r="E342" s="36" t="s">
        <v>1374</v>
      </c>
      <c r="F342" s="42" t="s">
        <v>1375</v>
      </c>
      <c r="G342" s="32" t="s">
        <v>58</v>
      </c>
      <c r="H342" s="33" t="s">
        <v>1376</v>
      </c>
      <c r="I342" s="37" t="s">
        <v>50</v>
      </c>
      <c r="J342" s="35" t="s">
        <v>1377</v>
      </c>
      <c r="K342" s="30" t="s">
        <v>1378</v>
      </c>
    </row>
    <row r="343" customFormat="false" ht="14.25" hidden="false" customHeight="true" outlineLevel="0" collapsed="false">
      <c r="A343" s="27"/>
      <c r="B343" s="27"/>
      <c r="C343" s="27"/>
      <c r="D343" s="27"/>
      <c r="E343" s="36" t="s">
        <v>1379</v>
      </c>
      <c r="F343" s="42"/>
      <c r="G343" s="32"/>
      <c r="H343" s="33"/>
      <c r="I343" s="37"/>
      <c r="J343" s="35"/>
      <c r="K343" s="30" t="s">
        <v>1380</v>
      </c>
    </row>
    <row r="344" customFormat="false" ht="14.25" hidden="false" customHeight="true" outlineLevel="0" collapsed="false">
      <c r="A344" s="27"/>
      <c r="B344" s="27"/>
      <c r="C344" s="27"/>
      <c r="D344" s="29" t="s">
        <v>1381</v>
      </c>
      <c r="E344" s="36" t="s">
        <v>1382</v>
      </c>
      <c r="F344" s="42" t="s">
        <v>1383</v>
      </c>
      <c r="G344" s="32" t="s">
        <v>48</v>
      </c>
      <c r="H344" s="33" t="s">
        <v>1384</v>
      </c>
      <c r="I344" s="39" t="s">
        <v>67</v>
      </c>
      <c r="J344" s="35" t="s">
        <v>1385</v>
      </c>
      <c r="K344" s="30" t="s">
        <v>1386</v>
      </c>
    </row>
    <row r="345" customFormat="false" ht="14.25" hidden="false" customHeight="true" outlineLevel="0" collapsed="false">
      <c r="A345" s="27"/>
      <c r="B345" s="27"/>
      <c r="C345" s="27"/>
      <c r="D345" s="27"/>
      <c r="E345" s="36" t="s">
        <v>1387</v>
      </c>
      <c r="F345" s="42"/>
      <c r="G345" s="32"/>
      <c r="H345" s="33"/>
      <c r="I345" s="39"/>
      <c r="J345" s="35"/>
      <c r="K345" s="30" t="s">
        <v>1388</v>
      </c>
    </row>
    <row r="346" customFormat="false" ht="14.25" hidden="false" customHeight="true" outlineLevel="0" collapsed="false">
      <c r="A346" s="27"/>
      <c r="B346" s="27"/>
      <c r="C346" s="27"/>
      <c r="D346" s="29" t="s">
        <v>1389</v>
      </c>
      <c r="E346" s="36" t="s">
        <v>1390</v>
      </c>
      <c r="F346" s="42" t="s">
        <v>1391</v>
      </c>
      <c r="G346" s="32" t="s">
        <v>48</v>
      </c>
      <c r="H346" s="33" t="s">
        <v>1392</v>
      </c>
      <c r="I346" s="34" t="s">
        <v>40</v>
      </c>
      <c r="J346" s="35" t="s">
        <v>1393</v>
      </c>
      <c r="K346" s="30" t="s">
        <v>1394</v>
      </c>
    </row>
    <row r="347" customFormat="false" ht="14.25" hidden="false" customHeight="true" outlineLevel="0" collapsed="false">
      <c r="A347" s="27"/>
      <c r="B347" s="27"/>
      <c r="C347" s="27"/>
      <c r="D347" s="27"/>
      <c r="E347" s="36" t="s">
        <v>1395</v>
      </c>
      <c r="F347" s="42"/>
      <c r="G347" s="32"/>
      <c r="H347" s="33"/>
      <c r="I347" s="34"/>
      <c r="J347" s="35"/>
      <c r="K347" s="30" t="s">
        <v>1396</v>
      </c>
    </row>
    <row r="348" customFormat="false" ht="14.25" hidden="false" customHeight="true" outlineLevel="0" collapsed="false">
      <c r="A348" s="27"/>
      <c r="B348" s="27"/>
      <c r="C348" s="27"/>
      <c r="D348" s="29" t="s">
        <v>1397</v>
      </c>
      <c r="E348" s="36" t="s">
        <v>1397</v>
      </c>
      <c r="F348" s="42" t="s">
        <v>1398</v>
      </c>
      <c r="G348" s="32" t="s">
        <v>38</v>
      </c>
      <c r="H348" s="33" t="s">
        <v>1399</v>
      </c>
      <c r="I348" s="39" t="s">
        <v>67</v>
      </c>
      <c r="J348" s="35" t="s">
        <v>1400</v>
      </c>
      <c r="K348" s="30" t="s">
        <v>1401</v>
      </c>
    </row>
    <row r="349" customFormat="false" ht="14.25" hidden="false" customHeight="true" outlineLevel="0" collapsed="false">
      <c r="A349" s="27"/>
      <c r="B349" s="27"/>
      <c r="C349" s="27"/>
      <c r="D349" s="27"/>
      <c r="E349" s="36" t="s">
        <v>1402</v>
      </c>
      <c r="F349" s="42"/>
      <c r="G349" s="32"/>
      <c r="H349" s="33"/>
      <c r="I349" s="39"/>
      <c r="J349" s="35"/>
      <c r="K349" s="30" t="s">
        <v>1403</v>
      </c>
    </row>
    <row r="350" customFormat="false" ht="14.25" hidden="false" customHeight="true" outlineLevel="0" collapsed="false">
      <c r="A350" s="27"/>
      <c r="B350" s="27"/>
      <c r="C350" s="40" t="s">
        <v>1404</v>
      </c>
      <c r="D350" s="29" t="s">
        <v>1405</v>
      </c>
      <c r="E350" s="36" t="s">
        <v>1405</v>
      </c>
      <c r="F350" s="42" t="s">
        <v>1406</v>
      </c>
      <c r="G350" s="32" t="s">
        <v>38</v>
      </c>
      <c r="H350" s="33" t="s">
        <v>1407</v>
      </c>
      <c r="I350" s="37" t="s">
        <v>50</v>
      </c>
      <c r="J350" s="35" t="s">
        <v>1408</v>
      </c>
      <c r="K350" s="30" t="s">
        <v>1409</v>
      </c>
    </row>
    <row r="351" customFormat="false" ht="14.25" hidden="false" customHeight="true" outlineLevel="0" collapsed="false">
      <c r="A351" s="27"/>
      <c r="B351" s="27"/>
      <c r="C351" s="27"/>
      <c r="D351" s="27"/>
      <c r="E351" s="36" t="s">
        <v>1410</v>
      </c>
      <c r="F351" s="42"/>
      <c r="G351" s="32"/>
      <c r="H351" s="33"/>
      <c r="I351" s="37"/>
      <c r="J351" s="35"/>
      <c r="K351" s="30" t="s">
        <v>1411</v>
      </c>
    </row>
    <row r="352" customFormat="false" ht="14.25" hidden="false" customHeight="true" outlineLevel="0" collapsed="false">
      <c r="A352" s="27"/>
      <c r="B352" s="27"/>
      <c r="C352" s="27"/>
      <c r="D352" s="29" t="s">
        <v>1412</v>
      </c>
      <c r="E352" s="36" t="s">
        <v>1413</v>
      </c>
      <c r="F352" s="42" t="s">
        <v>1414</v>
      </c>
      <c r="G352" s="32" t="s">
        <v>38</v>
      </c>
      <c r="H352" s="33" t="s">
        <v>1415</v>
      </c>
      <c r="I352" s="37" t="s">
        <v>50</v>
      </c>
      <c r="J352" s="35" t="s">
        <v>1416</v>
      </c>
      <c r="K352" s="30" t="s">
        <v>1417</v>
      </c>
    </row>
    <row r="353" customFormat="false" ht="14.25" hidden="false" customHeight="true" outlineLevel="0" collapsed="false">
      <c r="A353" s="27"/>
      <c r="B353" s="27"/>
      <c r="C353" s="27"/>
      <c r="D353" s="27"/>
      <c r="E353" s="36" t="s">
        <v>1418</v>
      </c>
      <c r="F353" s="42"/>
      <c r="G353" s="32"/>
      <c r="H353" s="33"/>
      <c r="I353" s="37"/>
      <c r="J353" s="35"/>
      <c r="K353" s="30" t="s">
        <v>1419</v>
      </c>
    </row>
    <row r="354" customFormat="false" ht="14.25" hidden="false" customHeight="true" outlineLevel="0" collapsed="false">
      <c r="A354" s="27"/>
      <c r="B354" s="27"/>
      <c r="C354" s="27"/>
      <c r="D354" s="29" t="s">
        <v>1420</v>
      </c>
      <c r="E354" s="36" t="s">
        <v>1420</v>
      </c>
      <c r="F354" s="42" t="s">
        <v>1421</v>
      </c>
      <c r="G354" s="32" t="s">
        <v>48</v>
      </c>
      <c r="H354" s="33" t="s">
        <v>1422</v>
      </c>
      <c r="I354" s="39" t="s">
        <v>67</v>
      </c>
      <c r="J354" s="35" t="s">
        <v>1423</v>
      </c>
      <c r="K354" s="30" t="s">
        <v>1424</v>
      </c>
    </row>
    <row r="355" customFormat="false" ht="14.25" hidden="false" customHeight="true" outlineLevel="0" collapsed="false">
      <c r="A355" s="27"/>
      <c r="B355" s="27"/>
      <c r="C355" s="27"/>
      <c r="D355" s="27"/>
      <c r="E355" s="36" t="s">
        <v>1425</v>
      </c>
      <c r="F355" s="42"/>
      <c r="G355" s="32"/>
      <c r="H355" s="33"/>
      <c r="I355" s="39"/>
      <c r="J355" s="35"/>
      <c r="K355" s="30" t="s">
        <v>1426</v>
      </c>
    </row>
    <row r="356" customFormat="false" ht="14.25" hidden="false" customHeight="true" outlineLevel="0" collapsed="false">
      <c r="A356" s="27"/>
      <c r="B356" s="27"/>
      <c r="C356" s="27"/>
      <c r="D356" s="29" t="s">
        <v>1427</v>
      </c>
      <c r="E356" s="36" t="s">
        <v>1428</v>
      </c>
      <c r="F356" s="42" t="s">
        <v>1429</v>
      </c>
      <c r="G356" s="32" t="s">
        <v>58</v>
      </c>
      <c r="H356" s="33" t="s">
        <v>1430</v>
      </c>
      <c r="I356" s="34" t="s">
        <v>40</v>
      </c>
      <c r="J356" s="35" t="s">
        <v>1431</v>
      </c>
      <c r="K356" s="30" t="s">
        <v>1432</v>
      </c>
    </row>
    <row r="357" customFormat="false" ht="14.25" hidden="false" customHeight="true" outlineLevel="0" collapsed="false">
      <c r="A357" s="27"/>
      <c r="B357" s="27"/>
      <c r="C357" s="27"/>
      <c r="D357" s="27"/>
      <c r="E357" s="36" t="s">
        <v>1433</v>
      </c>
      <c r="F357" s="42"/>
      <c r="G357" s="32"/>
      <c r="H357" s="33"/>
      <c r="I357" s="34"/>
      <c r="J357" s="35"/>
      <c r="K357" s="30" t="s">
        <v>1434</v>
      </c>
    </row>
    <row r="358" customFormat="false" ht="14.25" hidden="false" customHeight="true" outlineLevel="0" collapsed="false">
      <c r="A358" s="27"/>
      <c r="B358" s="27"/>
      <c r="C358" s="27"/>
      <c r="D358" s="29" t="s">
        <v>1435</v>
      </c>
      <c r="E358" s="36" t="s">
        <v>1436</v>
      </c>
      <c r="F358" s="42" t="s">
        <v>1437</v>
      </c>
      <c r="G358" s="32" t="s">
        <v>48</v>
      </c>
      <c r="H358" s="33" t="s">
        <v>1438</v>
      </c>
      <c r="I358" s="39" t="s">
        <v>67</v>
      </c>
      <c r="J358" s="35" t="s">
        <v>1439</v>
      </c>
      <c r="K358" s="30" t="s">
        <v>1274</v>
      </c>
    </row>
    <row r="359" customFormat="false" ht="14.25" hidden="false" customHeight="true" outlineLevel="0" collapsed="false">
      <c r="A359" s="27"/>
      <c r="B359" s="27"/>
      <c r="C359" s="27"/>
      <c r="D359" s="27"/>
      <c r="E359" s="36" t="s">
        <v>1440</v>
      </c>
      <c r="F359" s="42"/>
      <c r="G359" s="32"/>
      <c r="H359" s="33"/>
      <c r="I359" s="39"/>
      <c r="J359" s="35"/>
      <c r="K359" s="30" t="s">
        <v>1441</v>
      </c>
    </row>
    <row r="360" customFormat="false" ht="14.25" hidden="false" customHeight="true" outlineLevel="0" collapsed="false">
      <c r="A360" s="27"/>
      <c r="B360" s="27"/>
      <c r="C360" s="40" t="s">
        <v>1442</v>
      </c>
      <c r="D360" s="29" t="s">
        <v>1443</v>
      </c>
      <c r="E360" s="36" t="s">
        <v>1444</v>
      </c>
      <c r="F360" s="42" t="s">
        <v>1445</v>
      </c>
      <c r="G360" s="32" t="s">
        <v>48</v>
      </c>
      <c r="H360" s="33" t="s">
        <v>1446</v>
      </c>
      <c r="I360" s="37" t="s">
        <v>50</v>
      </c>
      <c r="J360" s="35" t="s">
        <v>1447</v>
      </c>
      <c r="K360" s="30" t="s">
        <v>1448</v>
      </c>
    </row>
    <row r="361" customFormat="false" ht="14.25" hidden="false" customHeight="true" outlineLevel="0" collapsed="false">
      <c r="A361" s="27"/>
      <c r="B361" s="27"/>
      <c r="C361" s="27"/>
      <c r="D361" s="27"/>
      <c r="E361" s="36" t="s">
        <v>1449</v>
      </c>
      <c r="F361" s="42"/>
      <c r="G361" s="32"/>
      <c r="H361" s="33"/>
      <c r="I361" s="37"/>
      <c r="J361" s="35"/>
      <c r="K361" s="30" t="s">
        <v>1450</v>
      </c>
    </row>
    <row r="362" customFormat="false" ht="14.25" hidden="false" customHeight="true" outlineLevel="0" collapsed="false">
      <c r="A362" s="27"/>
      <c r="B362" s="27"/>
      <c r="C362" s="27"/>
      <c r="D362" s="29" t="s">
        <v>1451</v>
      </c>
      <c r="E362" s="36" t="s">
        <v>1452</v>
      </c>
      <c r="F362" s="42" t="s">
        <v>1453</v>
      </c>
      <c r="G362" s="32" t="s">
        <v>38</v>
      </c>
      <c r="H362" s="33" t="s">
        <v>1454</v>
      </c>
      <c r="I362" s="37" t="s">
        <v>50</v>
      </c>
      <c r="J362" s="35" t="s">
        <v>1455</v>
      </c>
      <c r="K362" s="30" t="s">
        <v>1456</v>
      </c>
    </row>
    <row r="363" customFormat="false" ht="14.25" hidden="false" customHeight="true" outlineLevel="0" collapsed="false">
      <c r="A363" s="27"/>
      <c r="B363" s="27"/>
      <c r="C363" s="27"/>
      <c r="D363" s="27"/>
      <c r="E363" s="36" t="s">
        <v>1457</v>
      </c>
      <c r="F363" s="42"/>
      <c r="G363" s="32"/>
      <c r="H363" s="33"/>
      <c r="I363" s="37"/>
      <c r="J363" s="35"/>
      <c r="K363" s="30" t="s">
        <v>1458</v>
      </c>
    </row>
    <row r="364" customFormat="false" ht="14.25" hidden="false" customHeight="true" outlineLevel="0" collapsed="false">
      <c r="A364" s="27"/>
      <c r="B364" s="27"/>
      <c r="C364" s="27"/>
      <c r="D364" s="29" t="s">
        <v>1459</v>
      </c>
      <c r="E364" s="36" t="s">
        <v>1460</v>
      </c>
      <c r="F364" s="42" t="s">
        <v>1461</v>
      </c>
      <c r="G364" s="32" t="s">
        <v>38</v>
      </c>
      <c r="H364" s="33" t="s">
        <v>1462</v>
      </c>
      <c r="I364" s="39" t="s">
        <v>67</v>
      </c>
      <c r="J364" s="35" t="s">
        <v>1463</v>
      </c>
      <c r="K364" s="30" t="s">
        <v>1464</v>
      </c>
    </row>
    <row r="365" customFormat="false" ht="14.25" hidden="false" customHeight="true" outlineLevel="0" collapsed="false">
      <c r="A365" s="27"/>
      <c r="B365" s="27"/>
      <c r="C365" s="27"/>
      <c r="D365" s="27"/>
      <c r="E365" s="36" t="s">
        <v>1465</v>
      </c>
      <c r="F365" s="42"/>
      <c r="G365" s="32"/>
      <c r="H365" s="33"/>
      <c r="I365" s="39"/>
      <c r="J365" s="35"/>
      <c r="K365" s="30" t="s">
        <v>1466</v>
      </c>
    </row>
    <row r="366" customFormat="false" ht="14.25" hidden="false" customHeight="true" outlineLevel="0" collapsed="false">
      <c r="A366" s="27"/>
      <c r="B366" s="27"/>
      <c r="C366" s="27"/>
      <c r="D366" s="29" t="s">
        <v>1467</v>
      </c>
      <c r="E366" s="36" t="s">
        <v>1468</v>
      </c>
      <c r="F366" s="42" t="s">
        <v>1469</v>
      </c>
      <c r="G366" s="32" t="s">
        <v>38</v>
      </c>
      <c r="H366" s="33" t="s">
        <v>1470</v>
      </c>
      <c r="I366" s="34" t="s">
        <v>40</v>
      </c>
      <c r="J366" s="35" t="s">
        <v>1471</v>
      </c>
      <c r="K366" s="30" t="s">
        <v>1472</v>
      </c>
    </row>
    <row r="367" customFormat="false" ht="14.25" hidden="false" customHeight="true" outlineLevel="0" collapsed="false">
      <c r="A367" s="27"/>
      <c r="B367" s="27"/>
      <c r="C367" s="27"/>
      <c r="D367" s="27"/>
      <c r="E367" s="36" t="s">
        <v>1473</v>
      </c>
      <c r="F367" s="42"/>
      <c r="G367" s="32"/>
      <c r="H367" s="33"/>
      <c r="I367" s="34"/>
      <c r="J367" s="35"/>
      <c r="K367" s="30" t="s">
        <v>1474</v>
      </c>
    </row>
    <row r="368" customFormat="false" ht="14.25" hidden="false" customHeight="true" outlineLevel="0" collapsed="false">
      <c r="A368" s="27"/>
      <c r="B368" s="27"/>
      <c r="C368" s="27"/>
      <c r="D368" s="29" t="s">
        <v>1475</v>
      </c>
      <c r="E368" s="36" t="s">
        <v>1476</v>
      </c>
      <c r="F368" s="31" t="s">
        <v>1477</v>
      </c>
      <c r="G368" s="32" t="s">
        <v>48</v>
      </c>
      <c r="H368" s="33" t="s">
        <v>1478</v>
      </c>
      <c r="I368" s="39" t="s">
        <v>67</v>
      </c>
      <c r="J368" s="35" t="s">
        <v>1479</v>
      </c>
      <c r="K368" s="30" t="s">
        <v>1480</v>
      </c>
    </row>
    <row r="369" customFormat="false" ht="14.25" hidden="false" customHeight="true" outlineLevel="0" collapsed="false">
      <c r="A369" s="27"/>
      <c r="B369" s="27"/>
      <c r="C369" s="27"/>
      <c r="D369" s="27"/>
      <c r="E369" s="36" t="s">
        <v>1481</v>
      </c>
      <c r="F369" s="31"/>
      <c r="G369" s="32"/>
      <c r="H369" s="33"/>
      <c r="I369" s="39"/>
      <c r="J369" s="35"/>
      <c r="K369" s="30" t="s">
        <v>1482</v>
      </c>
    </row>
    <row r="370" customFormat="false" ht="14.25" hidden="false" customHeight="true" outlineLevel="0" collapsed="false">
      <c r="A370" s="27"/>
      <c r="B370" s="27"/>
      <c r="C370" s="40" t="s">
        <v>1483</v>
      </c>
      <c r="D370" s="29" t="s">
        <v>1484</v>
      </c>
      <c r="E370" s="36" t="s">
        <v>1485</v>
      </c>
      <c r="F370" s="31" t="s">
        <v>1486</v>
      </c>
      <c r="G370" s="32" t="s">
        <v>58</v>
      </c>
      <c r="H370" s="33" t="s">
        <v>1487</v>
      </c>
      <c r="I370" s="37" t="s">
        <v>50</v>
      </c>
      <c r="J370" s="35" t="s">
        <v>1488</v>
      </c>
      <c r="K370" s="30" t="s">
        <v>1489</v>
      </c>
    </row>
    <row r="371" customFormat="false" ht="14.25" hidden="false" customHeight="true" outlineLevel="0" collapsed="false">
      <c r="A371" s="27"/>
      <c r="B371" s="27"/>
      <c r="C371" s="27"/>
      <c r="D371" s="27"/>
      <c r="E371" s="36" t="s">
        <v>1490</v>
      </c>
      <c r="F371" s="31"/>
      <c r="G371" s="32"/>
      <c r="H371" s="33"/>
      <c r="I371" s="37"/>
      <c r="J371" s="35"/>
      <c r="K371" s="30" t="s">
        <v>1491</v>
      </c>
    </row>
    <row r="372" customFormat="false" ht="14.25" hidden="false" customHeight="true" outlineLevel="0" collapsed="false">
      <c r="A372" s="27"/>
      <c r="B372" s="27"/>
      <c r="C372" s="27"/>
      <c r="D372" s="29" t="s">
        <v>1492</v>
      </c>
      <c r="E372" s="36" t="s">
        <v>1493</v>
      </c>
      <c r="F372" s="31" t="s">
        <v>1494</v>
      </c>
      <c r="G372" s="32" t="s">
        <v>48</v>
      </c>
      <c r="H372" s="33" t="s">
        <v>1495</v>
      </c>
      <c r="I372" s="37" t="s">
        <v>50</v>
      </c>
      <c r="J372" s="35" t="s">
        <v>1496</v>
      </c>
      <c r="K372" s="30" t="s">
        <v>1497</v>
      </c>
    </row>
    <row r="373" customFormat="false" ht="14.25" hidden="false" customHeight="true" outlineLevel="0" collapsed="false">
      <c r="A373" s="27"/>
      <c r="B373" s="27"/>
      <c r="C373" s="27"/>
      <c r="D373" s="27"/>
      <c r="E373" s="36" t="s">
        <v>1498</v>
      </c>
      <c r="F373" s="31"/>
      <c r="G373" s="32"/>
      <c r="H373" s="33"/>
      <c r="I373" s="37"/>
      <c r="J373" s="35"/>
      <c r="K373" s="30" t="s">
        <v>1499</v>
      </c>
    </row>
    <row r="374" customFormat="false" ht="14.25" hidden="false" customHeight="true" outlineLevel="0" collapsed="false">
      <c r="A374" s="27"/>
      <c r="B374" s="27"/>
      <c r="C374" s="27"/>
      <c r="D374" s="29" t="s">
        <v>1500</v>
      </c>
      <c r="E374" s="36" t="s">
        <v>1501</v>
      </c>
      <c r="F374" s="31" t="s">
        <v>1502</v>
      </c>
      <c r="G374" s="32" t="s">
        <v>48</v>
      </c>
      <c r="H374" s="33" t="s">
        <v>1503</v>
      </c>
      <c r="I374" s="39" t="s">
        <v>67</v>
      </c>
      <c r="J374" s="35" t="s">
        <v>1504</v>
      </c>
      <c r="K374" s="30" t="s">
        <v>1505</v>
      </c>
    </row>
    <row r="375" customFormat="false" ht="14.25" hidden="false" customHeight="true" outlineLevel="0" collapsed="false">
      <c r="A375" s="27"/>
      <c r="B375" s="27"/>
      <c r="C375" s="27"/>
      <c r="D375" s="27"/>
      <c r="E375" s="36" t="s">
        <v>1506</v>
      </c>
      <c r="F375" s="31"/>
      <c r="G375" s="32"/>
      <c r="H375" s="33"/>
      <c r="I375" s="39"/>
      <c r="J375" s="35"/>
      <c r="K375" s="30" t="s">
        <v>1507</v>
      </c>
    </row>
    <row r="376" customFormat="false" ht="14.25" hidden="false" customHeight="true" outlineLevel="0" collapsed="false">
      <c r="A376" s="27"/>
      <c r="B376" s="27"/>
      <c r="C376" s="27"/>
      <c r="D376" s="29" t="s">
        <v>1508</v>
      </c>
      <c r="E376" s="36" t="s">
        <v>1509</v>
      </c>
      <c r="F376" s="31" t="s">
        <v>1510</v>
      </c>
      <c r="G376" s="32" t="s">
        <v>38</v>
      </c>
      <c r="H376" s="33" t="s">
        <v>1511</v>
      </c>
      <c r="I376" s="34" t="s">
        <v>40</v>
      </c>
      <c r="J376" s="35" t="s">
        <v>1512</v>
      </c>
      <c r="K376" s="30" t="s">
        <v>1513</v>
      </c>
    </row>
    <row r="377" customFormat="false" ht="14.25" hidden="false" customHeight="true" outlineLevel="0" collapsed="false">
      <c r="A377" s="27"/>
      <c r="B377" s="27"/>
      <c r="C377" s="27"/>
      <c r="D377" s="27"/>
      <c r="E377" s="36" t="s">
        <v>1514</v>
      </c>
      <c r="F377" s="31"/>
      <c r="G377" s="32"/>
      <c r="H377" s="33"/>
      <c r="I377" s="34"/>
      <c r="J377" s="35"/>
      <c r="K377" s="30" t="s">
        <v>1515</v>
      </c>
    </row>
    <row r="378" customFormat="false" ht="14.25" hidden="false" customHeight="true" outlineLevel="0" collapsed="false">
      <c r="A378" s="27"/>
      <c r="B378" s="27"/>
      <c r="C378" s="27"/>
      <c r="D378" s="29" t="s">
        <v>1516</v>
      </c>
      <c r="E378" s="36" t="s">
        <v>1516</v>
      </c>
      <c r="F378" s="42" t="s">
        <v>1517</v>
      </c>
      <c r="G378" s="32" t="s">
        <v>38</v>
      </c>
      <c r="H378" s="33" t="s">
        <v>1518</v>
      </c>
      <c r="I378" s="39" t="s">
        <v>67</v>
      </c>
      <c r="J378" s="35" t="s">
        <v>1518</v>
      </c>
      <c r="K378" s="43" t="s">
        <v>1519</v>
      </c>
    </row>
    <row r="379" customFormat="false" ht="14.25" hidden="false" customHeight="true" outlineLevel="0" collapsed="false">
      <c r="A379" s="27"/>
      <c r="B379" s="27"/>
      <c r="C379" s="27"/>
      <c r="D379" s="27"/>
      <c r="E379" s="36" t="s">
        <v>1520</v>
      </c>
      <c r="F379" s="42"/>
      <c r="G379" s="32"/>
      <c r="H379" s="33"/>
      <c r="I379" s="39"/>
      <c r="J379" s="35"/>
      <c r="K379" s="43" t="s">
        <v>1521</v>
      </c>
    </row>
    <row r="380" customFormat="false" ht="14.25" hidden="false" customHeight="true" outlineLevel="0" collapsed="false">
      <c r="A380" s="27"/>
      <c r="B380" s="27"/>
      <c r="C380" s="40" t="s">
        <v>1522</v>
      </c>
      <c r="D380" s="29" t="s">
        <v>1523</v>
      </c>
      <c r="E380" s="36" t="s">
        <v>1524</v>
      </c>
      <c r="F380" s="42" t="s">
        <v>1525</v>
      </c>
      <c r="G380" s="32" t="s">
        <v>38</v>
      </c>
      <c r="H380" s="33" t="s">
        <v>1526</v>
      </c>
      <c r="I380" s="37" t="s">
        <v>50</v>
      </c>
      <c r="J380" s="35" t="s">
        <v>1526</v>
      </c>
      <c r="K380" s="43" t="s">
        <v>1527</v>
      </c>
    </row>
    <row r="381" customFormat="false" ht="14.25" hidden="false" customHeight="true" outlineLevel="0" collapsed="false">
      <c r="A381" s="27"/>
      <c r="B381" s="27"/>
      <c r="C381" s="27"/>
      <c r="D381" s="27"/>
      <c r="E381" s="36" t="s">
        <v>1528</v>
      </c>
      <c r="F381" s="42"/>
      <c r="G381" s="32"/>
      <c r="H381" s="33"/>
      <c r="I381" s="37"/>
      <c r="J381" s="35"/>
      <c r="K381" s="43" t="s">
        <v>1529</v>
      </c>
    </row>
    <row r="382" customFormat="false" ht="14.25" hidden="false" customHeight="true" outlineLevel="0" collapsed="false">
      <c r="A382" s="27"/>
      <c r="B382" s="27"/>
      <c r="C382" s="27"/>
      <c r="D382" s="29" t="s">
        <v>1530</v>
      </c>
      <c r="E382" s="36" t="s">
        <v>1531</v>
      </c>
      <c r="F382" s="42" t="s">
        <v>1532</v>
      </c>
      <c r="G382" s="32" t="s">
        <v>48</v>
      </c>
      <c r="H382" s="33" t="s">
        <v>1533</v>
      </c>
      <c r="I382" s="37" t="s">
        <v>50</v>
      </c>
      <c r="J382" s="35" t="s">
        <v>1533</v>
      </c>
      <c r="K382" s="43" t="s">
        <v>1534</v>
      </c>
    </row>
    <row r="383" customFormat="false" ht="14.25" hidden="false" customHeight="true" outlineLevel="0" collapsed="false">
      <c r="A383" s="27"/>
      <c r="B383" s="27"/>
      <c r="C383" s="27"/>
      <c r="D383" s="27"/>
      <c r="E383" s="36" t="s">
        <v>1535</v>
      </c>
      <c r="F383" s="42"/>
      <c r="G383" s="32"/>
      <c r="H383" s="33"/>
      <c r="I383" s="37"/>
      <c r="J383" s="35"/>
      <c r="K383" s="43" t="s">
        <v>1536</v>
      </c>
    </row>
    <row r="384" customFormat="false" ht="14.25" hidden="false" customHeight="true" outlineLevel="0" collapsed="false">
      <c r="A384" s="27"/>
      <c r="B384" s="27"/>
      <c r="C384" s="27"/>
      <c r="D384" s="29" t="s">
        <v>1537</v>
      </c>
      <c r="E384" s="36" t="s">
        <v>1538</v>
      </c>
      <c r="F384" s="42" t="s">
        <v>1539</v>
      </c>
      <c r="G384" s="32" t="s">
        <v>58</v>
      </c>
      <c r="H384" s="33" t="s">
        <v>1540</v>
      </c>
      <c r="I384" s="39" t="s">
        <v>67</v>
      </c>
      <c r="J384" s="35" t="s">
        <v>1541</v>
      </c>
      <c r="K384" s="30" t="s">
        <v>1542</v>
      </c>
    </row>
    <row r="385" customFormat="false" ht="14.25" hidden="false" customHeight="true" outlineLevel="0" collapsed="false">
      <c r="A385" s="27"/>
      <c r="B385" s="27"/>
      <c r="C385" s="27"/>
      <c r="D385" s="27"/>
      <c r="E385" s="36" t="s">
        <v>1543</v>
      </c>
      <c r="F385" s="42"/>
      <c r="G385" s="32"/>
      <c r="H385" s="33"/>
      <c r="I385" s="39"/>
      <c r="J385" s="35"/>
      <c r="K385" s="30" t="s">
        <v>1544</v>
      </c>
    </row>
    <row r="386" customFormat="false" ht="14.25" hidden="false" customHeight="true" outlineLevel="0" collapsed="false">
      <c r="A386" s="27"/>
      <c r="B386" s="27"/>
      <c r="C386" s="27"/>
      <c r="D386" s="29" t="s">
        <v>1545</v>
      </c>
      <c r="E386" s="36" t="s">
        <v>1546</v>
      </c>
      <c r="F386" s="42" t="s">
        <v>1547</v>
      </c>
      <c r="G386" s="32" t="s">
        <v>48</v>
      </c>
      <c r="H386" s="33" t="s">
        <v>1548</v>
      </c>
      <c r="I386" s="34" t="s">
        <v>40</v>
      </c>
      <c r="J386" s="35" t="s">
        <v>1549</v>
      </c>
      <c r="K386" s="30" t="s">
        <v>1550</v>
      </c>
    </row>
    <row r="387" customFormat="false" ht="14.25" hidden="false" customHeight="true" outlineLevel="0" collapsed="false">
      <c r="A387" s="27"/>
      <c r="B387" s="27"/>
      <c r="C387" s="27"/>
      <c r="D387" s="27"/>
      <c r="E387" s="36" t="s">
        <v>1551</v>
      </c>
      <c r="F387" s="42"/>
      <c r="G387" s="32"/>
      <c r="H387" s="33"/>
      <c r="I387" s="34"/>
      <c r="J387" s="35"/>
      <c r="K387" s="30" t="s">
        <v>1552</v>
      </c>
    </row>
    <row r="388" customFormat="false" ht="14.25" hidden="false" customHeight="true" outlineLevel="0" collapsed="false">
      <c r="A388" s="27"/>
      <c r="B388" s="27"/>
      <c r="C388" s="27"/>
      <c r="D388" s="29" t="s">
        <v>1553</v>
      </c>
      <c r="E388" s="36" t="s">
        <v>1554</v>
      </c>
      <c r="F388" s="42" t="s">
        <v>1555</v>
      </c>
      <c r="G388" s="32" t="s">
        <v>48</v>
      </c>
      <c r="H388" s="33" t="s">
        <v>1556</v>
      </c>
      <c r="I388" s="39" t="s">
        <v>67</v>
      </c>
      <c r="J388" s="35" t="s">
        <v>1557</v>
      </c>
      <c r="K388" s="30" t="s">
        <v>1558</v>
      </c>
    </row>
    <row r="389" customFormat="false" ht="14.25" hidden="false" customHeight="true" outlineLevel="0" collapsed="false">
      <c r="A389" s="27"/>
      <c r="B389" s="27"/>
      <c r="C389" s="27"/>
      <c r="D389" s="27"/>
      <c r="E389" s="36" t="s">
        <v>1559</v>
      </c>
      <c r="F389" s="42"/>
      <c r="G389" s="32"/>
      <c r="H389" s="33"/>
      <c r="I389" s="39"/>
      <c r="J389" s="35"/>
      <c r="K389" s="30" t="s">
        <v>1560</v>
      </c>
    </row>
    <row r="390" customFormat="false" ht="14.25" hidden="false" customHeight="true" outlineLevel="0" collapsed="false">
      <c r="A390" s="27"/>
      <c r="B390" s="28" t="s">
        <v>1561</v>
      </c>
      <c r="C390" s="40" t="s">
        <v>1562</v>
      </c>
      <c r="D390" s="29" t="s">
        <v>1523</v>
      </c>
      <c r="E390" s="36" t="s">
        <v>1563</v>
      </c>
      <c r="F390" s="42" t="s">
        <v>1564</v>
      </c>
      <c r="G390" s="32" t="s">
        <v>38</v>
      </c>
      <c r="H390" s="33" t="s">
        <v>1565</v>
      </c>
      <c r="I390" s="37" t="s">
        <v>50</v>
      </c>
      <c r="J390" s="35" t="s">
        <v>1566</v>
      </c>
      <c r="K390" s="30" t="s">
        <v>1567</v>
      </c>
    </row>
    <row r="391" customFormat="false" ht="14.25" hidden="false" customHeight="true" outlineLevel="0" collapsed="false">
      <c r="A391" s="27"/>
      <c r="B391" s="27"/>
      <c r="C391" s="27"/>
      <c r="D391" s="27"/>
      <c r="E391" s="36" t="s">
        <v>1568</v>
      </c>
      <c r="F391" s="42"/>
      <c r="G391" s="32"/>
      <c r="H391" s="33"/>
      <c r="I391" s="37"/>
      <c r="J391" s="35"/>
      <c r="K391" s="30" t="s">
        <v>1322</v>
      </c>
    </row>
    <row r="392" customFormat="false" ht="14.25" hidden="false" customHeight="true" outlineLevel="0" collapsed="false">
      <c r="A392" s="27"/>
      <c r="B392" s="27"/>
      <c r="C392" s="27"/>
      <c r="D392" s="29" t="s">
        <v>1530</v>
      </c>
      <c r="E392" s="36" t="s">
        <v>1569</v>
      </c>
      <c r="F392" s="42" t="s">
        <v>1570</v>
      </c>
      <c r="G392" s="32" t="s">
        <v>38</v>
      </c>
      <c r="H392" s="33" t="s">
        <v>1571</v>
      </c>
      <c r="I392" s="37" t="s">
        <v>50</v>
      </c>
      <c r="J392" s="35" t="s">
        <v>1572</v>
      </c>
      <c r="K392" s="30" t="s">
        <v>1573</v>
      </c>
    </row>
    <row r="393" customFormat="false" ht="14.25" hidden="false" customHeight="true" outlineLevel="0" collapsed="false">
      <c r="A393" s="27"/>
      <c r="B393" s="27"/>
      <c r="C393" s="27"/>
      <c r="D393" s="27"/>
      <c r="E393" s="36" t="s">
        <v>1574</v>
      </c>
      <c r="F393" s="42"/>
      <c r="G393" s="32"/>
      <c r="H393" s="33"/>
      <c r="I393" s="37"/>
      <c r="J393" s="35"/>
      <c r="K393" s="30" t="s">
        <v>1575</v>
      </c>
    </row>
    <row r="394" customFormat="false" ht="14.25" hidden="false" customHeight="true" outlineLevel="0" collapsed="false">
      <c r="A394" s="27"/>
      <c r="B394" s="27"/>
      <c r="C394" s="27"/>
      <c r="D394" s="29" t="s">
        <v>1537</v>
      </c>
      <c r="E394" s="36" t="s">
        <v>1524</v>
      </c>
      <c r="F394" s="42" t="s">
        <v>1576</v>
      </c>
      <c r="G394" s="32" t="s">
        <v>38</v>
      </c>
      <c r="H394" s="33" t="s">
        <v>1577</v>
      </c>
      <c r="I394" s="39" t="s">
        <v>67</v>
      </c>
      <c r="J394" s="35" t="s">
        <v>1578</v>
      </c>
      <c r="K394" s="30" t="s">
        <v>1579</v>
      </c>
    </row>
    <row r="395" customFormat="false" ht="14.25" hidden="false" customHeight="true" outlineLevel="0" collapsed="false">
      <c r="A395" s="27"/>
      <c r="B395" s="27"/>
      <c r="C395" s="27"/>
      <c r="D395" s="27"/>
      <c r="E395" s="36" t="s">
        <v>1528</v>
      </c>
      <c r="F395" s="42"/>
      <c r="G395" s="32"/>
      <c r="H395" s="33"/>
      <c r="I395" s="39"/>
      <c r="J395" s="35"/>
      <c r="K395" s="30" t="s">
        <v>1580</v>
      </c>
    </row>
    <row r="396" customFormat="false" ht="14.25" hidden="false" customHeight="true" outlineLevel="0" collapsed="false">
      <c r="A396" s="27"/>
      <c r="B396" s="27"/>
      <c r="C396" s="27"/>
      <c r="D396" s="29" t="s">
        <v>1545</v>
      </c>
      <c r="E396" s="36" t="s">
        <v>1531</v>
      </c>
      <c r="F396" s="42" t="s">
        <v>1581</v>
      </c>
      <c r="G396" s="32" t="s">
        <v>48</v>
      </c>
      <c r="H396" s="33" t="s">
        <v>1582</v>
      </c>
      <c r="I396" s="34" t="s">
        <v>40</v>
      </c>
      <c r="J396" s="35" t="s">
        <v>1583</v>
      </c>
      <c r="K396" s="30" t="s">
        <v>1584</v>
      </c>
    </row>
    <row r="397" customFormat="false" ht="14.25" hidden="false" customHeight="true" outlineLevel="0" collapsed="false">
      <c r="A397" s="27"/>
      <c r="B397" s="27"/>
      <c r="C397" s="27"/>
      <c r="D397" s="27"/>
      <c r="E397" s="36" t="s">
        <v>1535</v>
      </c>
      <c r="F397" s="42"/>
      <c r="G397" s="32"/>
      <c r="H397" s="33"/>
      <c r="I397" s="34"/>
      <c r="J397" s="35"/>
      <c r="K397" s="30" t="s">
        <v>1585</v>
      </c>
    </row>
    <row r="398" customFormat="false" ht="14.25" hidden="false" customHeight="true" outlineLevel="0" collapsed="false">
      <c r="A398" s="27"/>
      <c r="B398" s="27"/>
      <c r="C398" s="27"/>
      <c r="D398" s="29" t="s">
        <v>1553</v>
      </c>
      <c r="E398" s="36" t="s">
        <v>1538</v>
      </c>
      <c r="F398" s="42" t="s">
        <v>1586</v>
      </c>
      <c r="G398" s="32" t="s">
        <v>58</v>
      </c>
      <c r="H398" s="33" t="s">
        <v>1587</v>
      </c>
      <c r="I398" s="39" t="s">
        <v>67</v>
      </c>
      <c r="J398" s="35" t="s">
        <v>1588</v>
      </c>
      <c r="K398" s="30" t="s">
        <v>1589</v>
      </c>
    </row>
    <row r="399" customFormat="false" ht="14.25" hidden="false" customHeight="true" outlineLevel="0" collapsed="false">
      <c r="A399" s="27"/>
      <c r="B399" s="27"/>
      <c r="C399" s="27"/>
      <c r="D399" s="27"/>
      <c r="E399" s="36" t="s">
        <v>1543</v>
      </c>
      <c r="F399" s="42"/>
      <c r="G399" s="32"/>
      <c r="H399" s="33"/>
      <c r="I399" s="39"/>
      <c r="J399" s="35"/>
      <c r="K399" s="30" t="s">
        <v>1590</v>
      </c>
    </row>
    <row r="400" customFormat="false" ht="14.25" hidden="false" customHeight="true" outlineLevel="0" collapsed="false">
      <c r="A400" s="27"/>
      <c r="B400" s="27"/>
      <c r="C400" s="40" t="s">
        <v>1591</v>
      </c>
      <c r="D400" s="29" t="s">
        <v>1592</v>
      </c>
      <c r="E400" s="36" t="s">
        <v>1546</v>
      </c>
      <c r="F400" s="42" t="s">
        <v>1593</v>
      </c>
      <c r="G400" s="32" t="s">
        <v>48</v>
      </c>
      <c r="H400" s="33" t="s">
        <v>1594</v>
      </c>
      <c r="I400" s="37" t="s">
        <v>50</v>
      </c>
      <c r="J400" s="35" t="s">
        <v>1595</v>
      </c>
      <c r="K400" s="30" t="s">
        <v>1596</v>
      </c>
    </row>
    <row r="401" customFormat="false" ht="14.25" hidden="false" customHeight="true" outlineLevel="0" collapsed="false">
      <c r="A401" s="27"/>
      <c r="B401" s="27"/>
      <c r="C401" s="27"/>
      <c r="D401" s="27"/>
      <c r="E401" s="36" t="s">
        <v>1551</v>
      </c>
      <c r="F401" s="42"/>
      <c r="G401" s="32"/>
      <c r="H401" s="33"/>
      <c r="I401" s="37"/>
      <c r="J401" s="35"/>
      <c r="K401" s="30" t="s">
        <v>1597</v>
      </c>
    </row>
    <row r="402" customFormat="false" ht="14.25" hidden="false" customHeight="true" outlineLevel="0" collapsed="false">
      <c r="A402" s="27"/>
      <c r="B402" s="27"/>
      <c r="C402" s="27"/>
      <c r="D402" s="29" t="s">
        <v>1598</v>
      </c>
      <c r="E402" s="36" t="s">
        <v>1554</v>
      </c>
      <c r="F402" s="42" t="s">
        <v>1599</v>
      </c>
      <c r="G402" s="32" t="s">
        <v>48</v>
      </c>
      <c r="H402" s="33" t="s">
        <v>1600</v>
      </c>
      <c r="I402" s="37" t="s">
        <v>50</v>
      </c>
      <c r="J402" s="35" t="s">
        <v>1601</v>
      </c>
      <c r="K402" s="30" t="s">
        <v>1602</v>
      </c>
    </row>
    <row r="403" customFormat="false" ht="14.25" hidden="false" customHeight="true" outlineLevel="0" collapsed="false">
      <c r="A403" s="27"/>
      <c r="B403" s="27"/>
      <c r="C403" s="27"/>
      <c r="D403" s="27"/>
      <c r="E403" s="36" t="s">
        <v>1559</v>
      </c>
      <c r="F403" s="42"/>
      <c r="G403" s="32"/>
      <c r="H403" s="33"/>
      <c r="I403" s="37"/>
      <c r="J403" s="35"/>
      <c r="K403" s="30" t="s">
        <v>1603</v>
      </c>
    </row>
    <row r="404" customFormat="false" ht="14.25" hidden="false" customHeight="true" outlineLevel="0" collapsed="false">
      <c r="A404" s="27"/>
      <c r="B404" s="27"/>
      <c r="C404" s="27"/>
      <c r="D404" s="29" t="s">
        <v>1604</v>
      </c>
      <c r="E404" s="36" t="s">
        <v>1563</v>
      </c>
      <c r="F404" s="42" t="s">
        <v>1605</v>
      </c>
      <c r="G404" s="32" t="s">
        <v>38</v>
      </c>
      <c r="H404" s="33" t="s">
        <v>1606</v>
      </c>
      <c r="I404" s="39" t="s">
        <v>67</v>
      </c>
      <c r="J404" s="35" t="s">
        <v>1607</v>
      </c>
      <c r="K404" s="30" t="s">
        <v>1608</v>
      </c>
    </row>
    <row r="405" customFormat="false" ht="14.25" hidden="false" customHeight="true" outlineLevel="0" collapsed="false">
      <c r="A405" s="27"/>
      <c r="B405" s="27"/>
      <c r="C405" s="27"/>
      <c r="D405" s="27"/>
      <c r="E405" s="36" t="s">
        <v>1568</v>
      </c>
      <c r="F405" s="42"/>
      <c r="G405" s="32"/>
      <c r="H405" s="33"/>
      <c r="I405" s="39"/>
      <c r="J405" s="35"/>
      <c r="K405" s="30" t="s">
        <v>1609</v>
      </c>
    </row>
    <row r="406" customFormat="false" ht="14.25" hidden="false" customHeight="true" outlineLevel="0" collapsed="false">
      <c r="A406" s="27"/>
      <c r="B406" s="27"/>
      <c r="C406" s="27"/>
      <c r="D406" s="29" t="s">
        <v>1610</v>
      </c>
      <c r="E406" s="36" t="s">
        <v>1569</v>
      </c>
      <c r="F406" s="42" t="s">
        <v>1611</v>
      </c>
      <c r="G406" s="32" t="s">
        <v>38</v>
      </c>
      <c r="H406" s="33" t="s">
        <v>1612</v>
      </c>
      <c r="I406" s="34" t="s">
        <v>40</v>
      </c>
      <c r="J406" s="35" t="s">
        <v>1613</v>
      </c>
      <c r="K406" s="30" t="s">
        <v>1614</v>
      </c>
    </row>
    <row r="407" customFormat="false" ht="14.25" hidden="false" customHeight="true" outlineLevel="0" collapsed="false">
      <c r="A407" s="27"/>
      <c r="B407" s="27"/>
      <c r="C407" s="27"/>
      <c r="D407" s="27"/>
      <c r="E407" s="36" t="s">
        <v>1574</v>
      </c>
      <c r="F407" s="42"/>
      <c r="G407" s="32"/>
      <c r="H407" s="33"/>
      <c r="I407" s="34"/>
      <c r="J407" s="35"/>
      <c r="K407" s="30" t="s">
        <v>1615</v>
      </c>
    </row>
    <row r="408" customFormat="false" ht="14.25" hidden="false" customHeight="true" outlineLevel="0" collapsed="false">
      <c r="A408" s="27"/>
      <c r="B408" s="27"/>
      <c r="C408" s="27"/>
      <c r="D408" s="29" t="s">
        <v>1616</v>
      </c>
      <c r="E408" s="36" t="s">
        <v>1592</v>
      </c>
      <c r="F408" s="42" t="s">
        <v>1617</v>
      </c>
      <c r="G408" s="32" t="s">
        <v>38</v>
      </c>
      <c r="H408" s="33" t="s">
        <v>1618</v>
      </c>
      <c r="I408" s="39" t="s">
        <v>67</v>
      </c>
      <c r="J408" s="35" t="s">
        <v>1619</v>
      </c>
      <c r="K408" s="30" t="s">
        <v>1620</v>
      </c>
    </row>
    <row r="409" customFormat="false" ht="14.25" hidden="false" customHeight="true" outlineLevel="0" collapsed="false">
      <c r="A409" s="27"/>
      <c r="B409" s="27"/>
      <c r="C409" s="27"/>
      <c r="D409" s="27"/>
      <c r="E409" s="36" t="s">
        <v>1621</v>
      </c>
      <c r="F409" s="42"/>
      <c r="G409" s="32"/>
      <c r="H409" s="33"/>
      <c r="I409" s="39"/>
      <c r="J409" s="35"/>
      <c r="K409" s="30" t="s">
        <v>1622</v>
      </c>
    </row>
    <row r="410" customFormat="false" ht="14.25" hidden="false" customHeight="true" outlineLevel="0" collapsed="false">
      <c r="A410" s="27"/>
      <c r="B410" s="27"/>
      <c r="C410" s="40" t="s">
        <v>1623</v>
      </c>
      <c r="D410" s="29" t="s">
        <v>1624</v>
      </c>
      <c r="E410" s="36" t="s">
        <v>1598</v>
      </c>
      <c r="F410" s="42" t="s">
        <v>1625</v>
      </c>
      <c r="G410" s="32" t="s">
        <v>48</v>
      </c>
      <c r="H410" s="33" t="s">
        <v>1626</v>
      </c>
      <c r="I410" s="37" t="s">
        <v>50</v>
      </c>
      <c r="J410" s="35" t="s">
        <v>1627</v>
      </c>
      <c r="K410" s="30" t="s">
        <v>1628</v>
      </c>
    </row>
    <row r="411" customFormat="false" ht="14.25" hidden="false" customHeight="true" outlineLevel="0" collapsed="false">
      <c r="A411" s="27"/>
      <c r="B411" s="27"/>
      <c r="C411" s="27"/>
      <c r="D411" s="27"/>
      <c r="E411" s="36" t="s">
        <v>1629</v>
      </c>
      <c r="F411" s="42"/>
      <c r="G411" s="32"/>
      <c r="H411" s="33"/>
      <c r="I411" s="37"/>
      <c r="J411" s="35"/>
      <c r="K411" s="30" t="s">
        <v>1630</v>
      </c>
    </row>
    <row r="412" customFormat="false" ht="14.25" hidden="false" customHeight="true" outlineLevel="0" collapsed="false">
      <c r="A412" s="27"/>
      <c r="B412" s="27"/>
      <c r="C412" s="27"/>
      <c r="D412" s="29" t="s">
        <v>1631</v>
      </c>
      <c r="E412" s="36" t="s">
        <v>1632</v>
      </c>
      <c r="F412" s="42" t="s">
        <v>1633</v>
      </c>
      <c r="G412" s="32" t="s">
        <v>58</v>
      </c>
      <c r="H412" s="33" t="s">
        <v>1634</v>
      </c>
      <c r="I412" s="37" t="s">
        <v>50</v>
      </c>
      <c r="J412" s="35" t="s">
        <v>1635</v>
      </c>
      <c r="K412" s="30" t="s">
        <v>1636</v>
      </c>
    </row>
    <row r="413" customFormat="false" ht="14.25" hidden="false" customHeight="true" outlineLevel="0" collapsed="false">
      <c r="A413" s="27"/>
      <c r="B413" s="27"/>
      <c r="C413" s="27"/>
      <c r="D413" s="27"/>
      <c r="E413" s="36" t="s">
        <v>1637</v>
      </c>
      <c r="F413" s="42"/>
      <c r="G413" s="32"/>
      <c r="H413" s="33"/>
      <c r="I413" s="37"/>
      <c r="J413" s="35"/>
      <c r="K413" s="30" t="s">
        <v>1638</v>
      </c>
    </row>
    <row r="414" customFormat="false" ht="14.25" hidden="false" customHeight="true" outlineLevel="0" collapsed="false">
      <c r="A414" s="27"/>
      <c r="B414" s="27"/>
      <c r="C414" s="27"/>
      <c r="D414" s="29" t="s">
        <v>1639</v>
      </c>
      <c r="E414" s="36" t="s">
        <v>1640</v>
      </c>
      <c r="F414" s="42" t="s">
        <v>1641</v>
      </c>
      <c r="G414" s="32" t="s">
        <v>48</v>
      </c>
      <c r="H414" s="33" t="s">
        <v>1642</v>
      </c>
      <c r="I414" s="39" t="s">
        <v>67</v>
      </c>
      <c r="J414" s="35" t="s">
        <v>1643</v>
      </c>
      <c r="K414" s="30" t="s">
        <v>1644</v>
      </c>
    </row>
    <row r="415" customFormat="false" ht="14.25" hidden="false" customHeight="true" outlineLevel="0" collapsed="false">
      <c r="A415" s="27"/>
      <c r="B415" s="27"/>
      <c r="C415" s="27"/>
      <c r="D415" s="27"/>
      <c r="E415" s="36" t="s">
        <v>1645</v>
      </c>
      <c r="F415" s="42"/>
      <c r="G415" s="32"/>
      <c r="H415" s="33"/>
      <c r="I415" s="39"/>
      <c r="J415" s="35"/>
      <c r="K415" s="30" t="s">
        <v>1646</v>
      </c>
    </row>
    <row r="416" customFormat="false" ht="14.25" hidden="false" customHeight="true" outlineLevel="0" collapsed="false">
      <c r="A416" s="27"/>
      <c r="B416" s="27"/>
      <c r="C416" s="27"/>
      <c r="D416" s="29" t="s">
        <v>1647</v>
      </c>
      <c r="E416" s="36" t="s">
        <v>1648</v>
      </c>
      <c r="F416" s="42" t="s">
        <v>1649</v>
      </c>
      <c r="G416" s="32" t="s">
        <v>48</v>
      </c>
      <c r="H416" s="33" t="s">
        <v>1650</v>
      </c>
      <c r="I416" s="34" t="s">
        <v>40</v>
      </c>
      <c r="J416" s="35" t="s">
        <v>1651</v>
      </c>
      <c r="K416" s="30" t="s">
        <v>1652</v>
      </c>
    </row>
    <row r="417" customFormat="false" ht="14.25" hidden="false" customHeight="true" outlineLevel="0" collapsed="false">
      <c r="A417" s="27"/>
      <c r="B417" s="27"/>
      <c r="C417" s="27"/>
      <c r="D417" s="27"/>
      <c r="E417" s="36" t="s">
        <v>1653</v>
      </c>
      <c r="F417" s="42"/>
      <c r="G417" s="32"/>
      <c r="H417" s="33"/>
      <c r="I417" s="34"/>
      <c r="J417" s="35"/>
      <c r="K417" s="30" t="s">
        <v>1654</v>
      </c>
    </row>
    <row r="418" customFormat="false" ht="14.25" hidden="false" customHeight="true" outlineLevel="0" collapsed="false">
      <c r="A418" s="27"/>
      <c r="B418" s="27"/>
      <c r="C418" s="27"/>
      <c r="D418" s="29" t="s">
        <v>1655</v>
      </c>
      <c r="E418" s="36" t="s">
        <v>1655</v>
      </c>
      <c r="F418" s="42" t="s">
        <v>1656</v>
      </c>
      <c r="G418" s="32" t="s">
        <v>38</v>
      </c>
      <c r="H418" s="33" t="s">
        <v>1657</v>
      </c>
      <c r="I418" s="39" t="s">
        <v>67</v>
      </c>
      <c r="J418" s="35" t="s">
        <v>1658</v>
      </c>
      <c r="K418" s="30" t="s">
        <v>1659</v>
      </c>
    </row>
    <row r="419" customFormat="false" ht="14.25" hidden="false" customHeight="true" outlineLevel="0" collapsed="false">
      <c r="A419" s="27"/>
      <c r="B419" s="27"/>
      <c r="C419" s="27"/>
      <c r="D419" s="27"/>
      <c r="E419" s="36" t="s">
        <v>1660</v>
      </c>
      <c r="F419" s="42"/>
      <c r="G419" s="32"/>
      <c r="H419" s="33"/>
      <c r="I419" s="39"/>
      <c r="J419" s="35"/>
      <c r="K419" s="30" t="s">
        <v>1661</v>
      </c>
    </row>
    <row r="420" customFormat="false" ht="14.25" hidden="false" customHeight="true" outlineLevel="0" collapsed="false">
      <c r="A420" s="27"/>
      <c r="B420" s="27"/>
      <c r="C420" s="40" t="s">
        <v>1662</v>
      </c>
      <c r="D420" s="29" t="s">
        <v>1663</v>
      </c>
      <c r="E420" s="36" t="s">
        <v>1664</v>
      </c>
      <c r="F420" s="42" t="s">
        <v>1665</v>
      </c>
      <c r="G420" s="32" t="s">
        <v>38</v>
      </c>
      <c r="H420" s="33" t="s">
        <v>1658</v>
      </c>
      <c r="I420" s="37" t="s">
        <v>50</v>
      </c>
      <c r="J420" s="35" t="s">
        <v>1642</v>
      </c>
      <c r="K420" s="30" t="s">
        <v>1666</v>
      </c>
    </row>
    <row r="421" customFormat="false" ht="14.25" hidden="false" customHeight="true" outlineLevel="0" collapsed="false">
      <c r="A421" s="27"/>
      <c r="B421" s="27"/>
      <c r="C421" s="27"/>
      <c r="D421" s="27"/>
      <c r="E421" s="36" t="s">
        <v>1667</v>
      </c>
      <c r="F421" s="42"/>
      <c r="G421" s="32"/>
      <c r="H421" s="33"/>
      <c r="I421" s="37"/>
      <c r="J421" s="35"/>
      <c r="K421" s="30" t="s">
        <v>1668</v>
      </c>
    </row>
    <row r="422" customFormat="false" ht="14.25" hidden="false" customHeight="true" outlineLevel="0" collapsed="false">
      <c r="A422" s="27"/>
      <c r="B422" s="27"/>
      <c r="C422" s="27"/>
      <c r="D422" s="29" t="s">
        <v>1669</v>
      </c>
      <c r="E422" s="36" t="s">
        <v>1670</v>
      </c>
      <c r="F422" s="42" t="s">
        <v>1671</v>
      </c>
      <c r="G422" s="32" t="s">
        <v>38</v>
      </c>
      <c r="H422" s="33" t="s">
        <v>1672</v>
      </c>
      <c r="I422" s="37" t="s">
        <v>50</v>
      </c>
      <c r="J422" s="35" t="s">
        <v>1673</v>
      </c>
      <c r="K422" s="30" t="s">
        <v>1674</v>
      </c>
    </row>
    <row r="423" customFormat="false" ht="14.25" hidden="false" customHeight="true" outlineLevel="0" collapsed="false">
      <c r="A423" s="27"/>
      <c r="B423" s="27"/>
      <c r="C423" s="27"/>
      <c r="D423" s="27"/>
      <c r="E423" s="36" t="s">
        <v>1675</v>
      </c>
      <c r="F423" s="42"/>
      <c r="G423" s="32"/>
      <c r="H423" s="33"/>
      <c r="I423" s="37"/>
      <c r="J423" s="35"/>
      <c r="K423" s="30" t="s">
        <v>1676</v>
      </c>
    </row>
    <row r="424" customFormat="false" ht="14.25" hidden="false" customHeight="true" outlineLevel="0" collapsed="false">
      <c r="A424" s="27"/>
      <c r="B424" s="27"/>
      <c r="C424" s="27"/>
      <c r="D424" s="29" t="s">
        <v>1677</v>
      </c>
      <c r="E424" s="36" t="s">
        <v>1678</v>
      </c>
      <c r="F424" s="42" t="s">
        <v>1677</v>
      </c>
      <c r="G424" s="32" t="s">
        <v>48</v>
      </c>
      <c r="H424" s="33" t="s">
        <v>1679</v>
      </c>
      <c r="I424" s="39" t="s">
        <v>67</v>
      </c>
      <c r="J424" s="35" t="s">
        <v>1680</v>
      </c>
      <c r="K424" s="30" t="s">
        <v>1681</v>
      </c>
    </row>
    <row r="425" customFormat="false" ht="14.25" hidden="false" customHeight="true" outlineLevel="0" collapsed="false">
      <c r="A425" s="27"/>
      <c r="B425" s="27"/>
      <c r="C425" s="27"/>
      <c r="D425" s="27"/>
      <c r="E425" s="36" t="s">
        <v>1682</v>
      </c>
      <c r="F425" s="42"/>
      <c r="G425" s="32"/>
      <c r="H425" s="33"/>
      <c r="I425" s="39"/>
      <c r="J425" s="35"/>
      <c r="K425" s="30" t="s">
        <v>1683</v>
      </c>
    </row>
    <row r="426" customFormat="false" ht="14.25" hidden="false" customHeight="true" outlineLevel="0" collapsed="false">
      <c r="A426" s="27"/>
      <c r="B426" s="27"/>
      <c r="C426" s="27"/>
      <c r="D426" s="29" t="s">
        <v>1684</v>
      </c>
      <c r="E426" s="36" t="s">
        <v>1685</v>
      </c>
      <c r="F426" s="42" t="s">
        <v>1686</v>
      </c>
      <c r="G426" s="32" t="s">
        <v>58</v>
      </c>
      <c r="H426" s="33" t="s">
        <v>1672</v>
      </c>
      <c r="I426" s="34" t="s">
        <v>40</v>
      </c>
      <c r="J426" s="35" t="s">
        <v>1687</v>
      </c>
      <c r="K426" s="30" t="s">
        <v>1688</v>
      </c>
    </row>
    <row r="427" customFormat="false" ht="14.25" hidden="false" customHeight="true" outlineLevel="0" collapsed="false">
      <c r="A427" s="27"/>
      <c r="B427" s="27"/>
      <c r="C427" s="27"/>
      <c r="D427" s="27"/>
      <c r="E427" s="36" t="s">
        <v>1689</v>
      </c>
      <c r="F427" s="42"/>
      <c r="G427" s="32"/>
      <c r="H427" s="33"/>
      <c r="I427" s="34"/>
      <c r="J427" s="35"/>
      <c r="K427" s="30" t="s">
        <v>1690</v>
      </c>
    </row>
    <row r="428" customFormat="false" ht="14.25" hidden="false" customHeight="true" outlineLevel="0" collapsed="false">
      <c r="A428" s="27"/>
      <c r="B428" s="27"/>
      <c r="C428" s="27"/>
      <c r="D428" s="29" t="s">
        <v>1691</v>
      </c>
      <c r="E428" s="36" t="s">
        <v>1692</v>
      </c>
      <c r="F428" s="42" t="s">
        <v>1691</v>
      </c>
      <c r="G428" s="32" t="s">
        <v>48</v>
      </c>
      <c r="H428" s="33" t="s">
        <v>1693</v>
      </c>
      <c r="I428" s="39" t="s">
        <v>67</v>
      </c>
      <c r="J428" s="35" t="s">
        <v>1694</v>
      </c>
      <c r="K428" s="30" t="s">
        <v>1695</v>
      </c>
    </row>
    <row r="429" customFormat="false" ht="14.25" hidden="false" customHeight="true" outlineLevel="0" collapsed="false">
      <c r="A429" s="27"/>
      <c r="B429" s="27"/>
      <c r="C429" s="27"/>
      <c r="D429" s="27"/>
      <c r="E429" s="36" t="s">
        <v>1696</v>
      </c>
      <c r="F429" s="42"/>
      <c r="G429" s="32"/>
      <c r="H429" s="33"/>
      <c r="I429" s="39"/>
      <c r="J429" s="35"/>
      <c r="K429" s="30" t="s">
        <v>1697</v>
      </c>
    </row>
    <row r="430" customFormat="false" ht="14.25" hidden="false" customHeight="true" outlineLevel="0" collapsed="false">
      <c r="A430" s="27"/>
      <c r="B430" s="27"/>
      <c r="C430" s="40" t="s">
        <v>1698</v>
      </c>
      <c r="D430" s="29" t="s">
        <v>1699</v>
      </c>
      <c r="E430" s="36" t="s">
        <v>1700</v>
      </c>
      <c r="F430" s="42" t="s">
        <v>1701</v>
      </c>
      <c r="G430" s="32" t="s">
        <v>48</v>
      </c>
      <c r="H430" s="33" t="s">
        <v>1702</v>
      </c>
      <c r="I430" s="37" t="s">
        <v>50</v>
      </c>
      <c r="J430" s="35" t="s">
        <v>1703</v>
      </c>
      <c r="K430" s="30" t="s">
        <v>1704</v>
      </c>
    </row>
    <row r="431" customFormat="false" ht="14.25" hidden="false" customHeight="true" outlineLevel="0" collapsed="false">
      <c r="A431" s="27"/>
      <c r="B431" s="27"/>
      <c r="C431" s="27"/>
      <c r="D431" s="27"/>
      <c r="E431" s="36" t="s">
        <v>1705</v>
      </c>
      <c r="F431" s="42"/>
      <c r="G431" s="32"/>
      <c r="H431" s="33"/>
      <c r="I431" s="37"/>
      <c r="J431" s="35"/>
      <c r="K431" s="30" t="s">
        <v>1706</v>
      </c>
    </row>
    <row r="432" customFormat="false" ht="14.25" hidden="false" customHeight="true" outlineLevel="0" collapsed="false">
      <c r="A432" s="27"/>
      <c r="B432" s="27"/>
      <c r="C432" s="27"/>
      <c r="D432" s="29" t="s">
        <v>1707</v>
      </c>
      <c r="E432" s="36" t="s">
        <v>1708</v>
      </c>
      <c r="F432" s="42" t="s">
        <v>1707</v>
      </c>
      <c r="G432" s="32" t="s">
        <v>38</v>
      </c>
      <c r="H432" s="33" t="s">
        <v>1709</v>
      </c>
      <c r="I432" s="37" t="s">
        <v>50</v>
      </c>
      <c r="J432" s="35" t="s">
        <v>1710</v>
      </c>
      <c r="K432" s="30" t="s">
        <v>1711</v>
      </c>
    </row>
    <row r="433" customFormat="false" ht="14.25" hidden="false" customHeight="true" outlineLevel="0" collapsed="false">
      <c r="A433" s="27"/>
      <c r="B433" s="27"/>
      <c r="C433" s="27"/>
      <c r="D433" s="27"/>
      <c r="E433" s="36" t="s">
        <v>1712</v>
      </c>
      <c r="F433" s="42"/>
      <c r="G433" s="32"/>
      <c r="H433" s="33"/>
      <c r="I433" s="37"/>
      <c r="J433" s="35"/>
      <c r="K433" s="30" t="s">
        <v>1713</v>
      </c>
    </row>
    <row r="434" customFormat="false" ht="14.25" hidden="false" customHeight="true" outlineLevel="0" collapsed="false">
      <c r="A434" s="27"/>
      <c r="B434" s="27"/>
      <c r="C434" s="27"/>
      <c r="D434" s="29" t="s">
        <v>1714</v>
      </c>
      <c r="E434" s="36" t="s">
        <v>1715</v>
      </c>
      <c r="F434" s="42" t="s">
        <v>1716</v>
      </c>
      <c r="G434" s="32" t="s">
        <v>38</v>
      </c>
      <c r="H434" s="33" t="s">
        <v>1717</v>
      </c>
      <c r="I434" s="39" t="s">
        <v>67</v>
      </c>
      <c r="J434" s="35" t="s">
        <v>1718</v>
      </c>
      <c r="K434" s="30" t="s">
        <v>1719</v>
      </c>
    </row>
    <row r="435" customFormat="false" ht="14.25" hidden="false" customHeight="true" outlineLevel="0" collapsed="false">
      <c r="A435" s="27"/>
      <c r="B435" s="27"/>
      <c r="C435" s="27"/>
      <c r="D435" s="27"/>
      <c r="E435" s="36" t="s">
        <v>1720</v>
      </c>
      <c r="F435" s="42"/>
      <c r="G435" s="32"/>
      <c r="H435" s="33"/>
      <c r="I435" s="39"/>
      <c r="J435" s="35"/>
      <c r="K435" s="30" t="s">
        <v>1721</v>
      </c>
    </row>
    <row r="436" customFormat="false" ht="14.25" hidden="false" customHeight="true" outlineLevel="0" collapsed="false">
      <c r="A436" s="27"/>
      <c r="B436" s="27"/>
      <c r="C436" s="27"/>
      <c r="D436" s="29" t="s">
        <v>1647</v>
      </c>
      <c r="E436" s="36" t="s">
        <v>1722</v>
      </c>
      <c r="F436" s="42" t="s">
        <v>1647</v>
      </c>
      <c r="G436" s="32" t="s">
        <v>38</v>
      </c>
      <c r="H436" s="33" t="s">
        <v>1723</v>
      </c>
      <c r="I436" s="34" t="s">
        <v>40</v>
      </c>
      <c r="J436" s="35" t="s">
        <v>1724</v>
      </c>
      <c r="K436" s="30" t="s">
        <v>1725</v>
      </c>
    </row>
    <row r="437" customFormat="false" ht="14.25" hidden="false" customHeight="true" outlineLevel="0" collapsed="false">
      <c r="A437" s="27"/>
      <c r="B437" s="27"/>
      <c r="C437" s="27"/>
      <c r="D437" s="27"/>
      <c r="E437" s="36" t="s">
        <v>1726</v>
      </c>
      <c r="F437" s="42"/>
      <c r="G437" s="32"/>
      <c r="H437" s="33"/>
      <c r="I437" s="34"/>
      <c r="J437" s="35"/>
      <c r="K437" s="30" t="s">
        <v>1727</v>
      </c>
    </row>
    <row r="438" customFormat="false" ht="14.25" hidden="false" customHeight="true" outlineLevel="0" collapsed="false">
      <c r="A438" s="27"/>
      <c r="B438" s="27"/>
      <c r="C438" s="27"/>
      <c r="D438" s="29" t="s">
        <v>1728</v>
      </c>
      <c r="E438" s="36" t="s">
        <v>1729</v>
      </c>
      <c r="F438" s="42" t="s">
        <v>1730</v>
      </c>
      <c r="G438" s="32" t="s">
        <v>48</v>
      </c>
      <c r="H438" s="33" t="s">
        <v>1731</v>
      </c>
      <c r="I438" s="39" t="s">
        <v>67</v>
      </c>
      <c r="J438" s="35" t="s">
        <v>1732</v>
      </c>
      <c r="K438" s="30" t="s">
        <v>1733</v>
      </c>
    </row>
    <row r="439" customFormat="false" ht="14.25" hidden="false" customHeight="true" outlineLevel="0" collapsed="false">
      <c r="A439" s="27"/>
      <c r="B439" s="27"/>
      <c r="C439" s="27"/>
      <c r="D439" s="27"/>
      <c r="E439" s="36" t="s">
        <v>1734</v>
      </c>
      <c r="F439" s="42"/>
      <c r="G439" s="32"/>
      <c r="H439" s="33"/>
      <c r="I439" s="39"/>
      <c r="J439" s="35"/>
      <c r="K439" s="30" t="s">
        <v>1735</v>
      </c>
    </row>
    <row r="440" customFormat="false" ht="14.25" hidden="false" customHeight="true" outlineLevel="0" collapsed="false">
      <c r="A440" s="27"/>
      <c r="B440" s="27"/>
      <c r="C440" s="40" t="s">
        <v>1736</v>
      </c>
      <c r="D440" s="29" t="s">
        <v>1737</v>
      </c>
      <c r="E440" s="36" t="s">
        <v>1738</v>
      </c>
      <c r="F440" s="42" t="s">
        <v>1739</v>
      </c>
      <c r="G440" s="32" t="s">
        <v>58</v>
      </c>
      <c r="H440" s="33" t="s">
        <v>1740</v>
      </c>
      <c r="I440" s="37" t="s">
        <v>50</v>
      </c>
      <c r="J440" s="35" t="s">
        <v>1741</v>
      </c>
      <c r="K440" s="30" t="s">
        <v>1742</v>
      </c>
    </row>
    <row r="441" customFormat="false" ht="14.25" hidden="false" customHeight="true" outlineLevel="0" collapsed="false">
      <c r="A441" s="27"/>
      <c r="B441" s="27"/>
      <c r="C441" s="27"/>
      <c r="D441" s="27"/>
      <c r="E441" s="36" t="s">
        <v>1743</v>
      </c>
      <c r="F441" s="42"/>
      <c r="G441" s="32"/>
      <c r="H441" s="33"/>
      <c r="I441" s="37"/>
      <c r="J441" s="35"/>
      <c r="K441" s="30" t="s">
        <v>1744</v>
      </c>
    </row>
    <row r="442" customFormat="false" ht="14.25" hidden="false" customHeight="true" outlineLevel="0" collapsed="false">
      <c r="A442" s="27"/>
      <c r="B442" s="27"/>
      <c r="C442" s="27"/>
      <c r="D442" s="29" t="s">
        <v>1745</v>
      </c>
      <c r="E442" s="36" t="s">
        <v>1746</v>
      </c>
      <c r="F442" s="42" t="s">
        <v>1747</v>
      </c>
      <c r="G442" s="32" t="s">
        <v>48</v>
      </c>
      <c r="H442" s="33" t="s">
        <v>1748</v>
      </c>
      <c r="I442" s="37" t="s">
        <v>50</v>
      </c>
      <c r="J442" s="35" t="s">
        <v>1749</v>
      </c>
      <c r="K442" s="30" t="s">
        <v>1750</v>
      </c>
    </row>
    <row r="443" customFormat="false" ht="14.25" hidden="false" customHeight="true" outlineLevel="0" collapsed="false">
      <c r="A443" s="27"/>
      <c r="B443" s="27"/>
      <c r="C443" s="27"/>
      <c r="D443" s="27"/>
      <c r="E443" s="36" t="s">
        <v>1751</v>
      </c>
      <c r="F443" s="42"/>
      <c r="G443" s="32"/>
      <c r="H443" s="33"/>
      <c r="I443" s="37"/>
      <c r="J443" s="35"/>
      <c r="K443" s="30" t="s">
        <v>1752</v>
      </c>
    </row>
    <row r="444" customFormat="false" ht="14.25" hidden="false" customHeight="true" outlineLevel="0" collapsed="false">
      <c r="A444" s="27"/>
      <c r="B444" s="27"/>
      <c r="C444" s="27"/>
      <c r="D444" s="29" t="s">
        <v>1753</v>
      </c>
      <c r="E444" s="36" t="s">
        <v>1754</v>
      </c>
      <c r="F444" s="42" t="s">
        <v>1755</v>
      </c>
      <c r="G444" s="32" t="s">
        <v>48</v>
      </c>
      <c r="H444" s="33" t="s">
        <v>1756</v>
      </c>
      <c r="I444" s="39" t="s">
        <v>67</v>
      </c>
      <c r="J444" s="35" t="s">
        <v>1757</v>
      </c>
      <c r="K444" s="30" t="s">
        <v>1758</v>
      </c>
    </row>
    <row r="445" customFormat="false" ht="14.25" hidden="false" customHeight="true" outlineLevel="0" collapsed="false">
      <c r="A445" s="27"/>
      <c r="B445" s="27"/>
      <c r="C445" s="27"/>
      <c r="D445" s="27"/>
      <c r="E445" s="36" t="s">
        <v>1759</v>
      </c>
      <c r="F445" s="42"/>
      <c r="G445" s="32"/>
      <c r="H445" s="33"/>
      <c r="I445" s="39"/>
      <c r="J445" s="35"/>
      <c r="K445" s="30" t="s">
        <v>1760</v>
      </c>
    </row>
    <row r="446" customFormat="false" ht="14.25" hidden="false" customHeight="true" outlineLevel="0" collapsed="false">
      <c r="A446" s="27"/>
      <c r="B446" s="27"/>
      <c r="C446" s="27"/>
      <c r="D446" s="29" t="s">
        <v>1761</v>
      </c>
      <c r="E446" s="36" t="s">
        <v>1762</v>
      </c>
      <c r="F446" s="42" t="s">
        <v>1763</v>
      </c>
      <c r="G446" s="32" t="s">
        <v>38</v>
      </c>
      <c r="H446" s="33" t="s">
        <v>1764</v>
      </c>
      <c r="I446" s="34" t="s">
        <v>40</v>
      </c>
      <c r="J446" s="35" t="s">
        <v>1765</v>
      </c>
      <c r="K446" s="30" t="s">
        <v>1766</v>
      </c>
    </row>
    <row r="447" customFormat="false" ht="14.25" hidden="false" customHeight="true" outlineLevel="0" collapsed="false">
      <c r="A447" s="27"/>
      <c r="B447" s="27"/>
      <c r="C447" s="27"/>
      <c r="D447" s="27"/>
      <c r="E447" s="36" t="s">
        <v>1767</v>
      </c>
      <c r="F447" s="42"/>
      <c r="G447" s="32"/>
      <c r="H447" s="33"/>
      <c r="I447" s="34"/>
      <c r="J447" s="35"/>
      <c r="K447" s="30" t="s">
        <v>1609</v>
      </c>
    </row>
    <row r="448" customFormat="false" ht="14.25" hidden="false" customHeight="true" outlineLevel="0" collapsed="false">
      <c r="A448" s="27"/>
      <c r="B448" s="27"/>
      <c r="C448" s="27"/>
      <c r="D448" s="29" t="s">
        <v>1768</v>
      </c>
      <c r="E448" s="36" t="s">
        <v>1769</v>
      </c>
      <c r="F448" s="42" t="s">
        <v>1770</v>
      </c>
      <c r="G448" s="32" t="s">
        <v>38</v>
      </c>
      <c r="H448" s="33" t="s">
        <v>1771</v>
      </c>
      <c r="I448" s="39" t="s">
        <v>67</v>
      </c>
      <c r="J448" s="35" t="s">
        <v>1772</v>
      </c>
      <c r="K448" s="30" t="s">
        <v>1773</v>
      </c>
    </row>
    <row r="449" customFormat="false" ht="14.25" hidden="false" customHeight="true" outlineLevel="0" collapsed="false">
      <c r="A449" s="27"/>
      <c r="B449" s="27"/>
      <c r="C449" s="27"/>
      <c r="D449" s="27"/>
      <c r="E449" s="36" t="s">
        <v>1514</v>
      </c>
      <c r="F449" s="42"/>
      <c r="G449" s="32"/>
      <c r="H449" s="33"/>
      <c r="I449" s="39"/>
      <c r="J449" s="35"/>
      <c r="K449" s="30" t="s">
        <v>1774</v>
      </c>
    </row>
    <row r="450" customFormat="false" ht="14.25" hidden="false" customHeight="true" outlineLevel="0" collapsed="false">
      <c r="A450" s="27"/>
      <c r="B450" s="27"/>
      <c r="C450" s="40" t="s">
        <v>1775</v>
      </c>
      <c r="D450" s="29" t="s">
        <v>1776</v>
      </c>
      <c r="E450" s="36" t="s">
        <v>1777</v>
      </c>
      <c r="F450" s="42" t="s">
        <v>1778</v>
      </c>
      <c r="G450" s="32" t="s">
        <v>38</v>
      </c>
      <c r="H450" s="33" t="s">
        <v>1779</v>
      </c>
      <c r="I450" s="37" t="s">
        <v>50</v>
      </c>
      <c r="J450" s="35" t="s">
        <v>1780</v>
      </c>
      <c r="K450" s="30" t="s">
        <v>1781</v>
      </c>
    </row>
    <row r="451" customFormat="false" ht="14.25" hidden="false" customHeight="true" outlineLevel="0" collapsed="false">
      <c r="A451" s="27"/>
      <c r="B451" s="27"/>
      <c r="C451" s="27"/>
      <c r="D451" s="27"/>
      <c r="E451" s="36" t="s">
        <v>1782</v>
      </c>
      <c r="F451" s="42"/>
      <c r="G451" s="32"/>
      <c r="H451" s="33"/>
      <c r="I451" s="37"/>
      <c r="J451" s="35"/>
      <c r="K451" s="30" t="s">
        <v>1783</v>
      </c>
    </row>
    <row r="452" customFormat="false" ht="14.25" hidden="false" customHeight="true" outlineLevel="0" collapsed="false">
      <c r="A452" s="27"/>
      <c r="B452" s="27"/>
      <c r="C452" s="27"/>
      <c r="D452" s="29" t="s">
        <v>1784</v>
      </c>
      <c r="E452" s="36" t="s">
        <v>1785</v>
      </c>
      <c r="F452" s="42" t="s">
        <v>1786</v>
      </c>
      <c r="G452" s="32" t="s">
        <v>48</v>
      </c>
      <c r="H452" s="33" t="s">
        <v>1787</v>
      </c>
      <c r="I452" s="37" t="s">
        <v>50</v>
      </c>
      <c r="J452" s="35" t="s">
        <v>1788</v>
      </c>
      <c r="K452" s="30" t="s">
        <v>1789</v>
      </c>
    </row>
    <row r="453" customFormat="false" ht="14.25" hidden="false" customHeight="true" outlineLevel="0" collapsed="false">
      <c r="A453" s="27"/>
      <c r="B453" s="27"/>
      <c r="C453" s="27"/>
      <c r="D453" s="27"/>
      <c r="E453" s="36" t="s">
        <v>1790</v>
      </c>
      <c r="F453" s="42"/>
      <c r="G453" s="32"/>
      <c r="H453" s="33"/>
      <c r="I453" s="37"/>
      <c r="J453" s="35"/>
      <c r="K453" s="30" t="s">
        <v>1791</v>
      </c>
    </row>
    <row r="454" customFormat="false" ht="14.25" hidden="false" customHeight="true" outlineLevel="0" collapsed="false">
      <c r="A454" s="27"/>
      <c r="B454" s="27"/>
      <c r="C454" s="27"/>
      <c r="D454" s="29" t="s">
        <v>1792</v>
      </c>
      <c r="E454" s="36" t="s">
        <v>1793</v>
      </c>
      <c r="F454" s="42" t="s">
        <v>1794</v>
      </c>
      <c r="G454" s="32" t="s">
        <v>58</v>
      </c>
      <c r="H454" s="33" t="s">
        <v>1795</v>
      </c>
      <c r="I454" s="39" t="s">
        <v>67</v>
      </c>
      <c r="J454" s="35" t="s">
        <v>1796</v>
      </c>
      <c r="K454" s="30" t="s">
        <v>1797</v>
      </c>
    </row>
    <row r="455" customFormat="false" ht="14.25" hidden="false" customHeight="true" outlineLevel="0" collapsed="false">
      <c r="A455" s="27"/>
      <c r="B455" s="27"/>
      <c r="C455" s="27"/>
      <c r="D455" s="27"/>
      <c r="E455" s="36" t="s">
        <v>1798</v>
      </c>
      <c r="F455" s="42"/>
      <c r="G455" s="32"/>
      <c r="H455" s="33"/>
      <c r="I455" s="39"/>
      <c r="J455" s="35"/>
      <c r="K455" s="30" t="s">
        <v>1799</v>
      </c>
    </row>
    <row r="456" customFormat="false" ht="14.25" hidden="false" customHeight="true" outlineLevel="0" collapsed="false">
      <c r="A456" s="27"/>
      <c r="B456" s="27"/>
      <c r="C456" s="27"/>
      <c r="D456" s="29" t="s">
        <v>1800</v>
      </c>
      <c r="E456" s="36" t="s">
        <v>1801</v>
      </c>
      <c r="F456" s="42" t="s">
        <v>1802</v>
      </c>
      <c r="G456" s="32" t="s">
        <v>48</v>
      </c>
      <c r="H456" s="33" t="s">
        <v>719</v>
      </c>
      <c r="I456" s="34" t="s">
        <v>40</v>
      </c>
      <c r="J456" s="35" t="s">
        <v>1803</v>
      </c>
      <c r="K456" s="30" t="s">
        <v>1804</v>
      </c>
    </row>
    <row r="457" customFormat="false" ht="14.25" hidden="false" customHeight="true" outlineLevel="0" collapsed="false">
      <c r="A457" s="27"/>
      <c r="B457" s="27"/>
      <c r="C457" s="27"/>
      <c r="D457" s="27"/>
      <c r="E457" s="36" t="s">
        <v>1805</v>
      </c>
      <c r="F457" s="42"/>
      <c r="G457" s="32"/>
      <c r="H457" s="33"/>
      <c r="I457" s="34"/>
      <c r="J457" s="35"/>
      <c r="K457" s="30" t="s">
        <v>1806</v>
      </c>
    </row>
    <row r="458" customFormat="false" ht="14.25" hidden="false" customHeight="true" outlineLevel="0" collapsed="false">
      <c r="A458" s="27"/>
      <c r="B458" s="27"/>
      <c r="C458" s="27"/>
      <c r="D458" s="29" t="s">
        <v>1807</v>
      </c>
      <c r="E458" s="36" t="s">
        <v>1808</v>
      </c>
      <c r="F458" s="42" t="s">
        <v>1809</v>
      </c>
      <c r="G458" s="32" t="s">
        <v>48</v>
      </c>
      <c r="H458" s="33" t="s">
        <v>1731</v>
      </c>
      <c r="I458" s="39" t="s">
        <v>67</v>
      </c>
      <c r="J458" s="35" t="s">
        <v>1810</v>
      </c>
      <c r="K458" s="30" t="s">
        <v>1811</v>
      </c>
    </row>
    <row r="459" customFormat="false" ht="14.25" hidden="false" customHeight="true" outlineLevel="0" collapsed="false">
      <c r="A459" s="27"/>
      <c r="B459" s="27"/>
      <c r="C459" s="27"/>
      <c r="D459" s="27"/>
      <c r="E459" s="36" t="s">
        <v>1734</v>
      </c>
      <c r="F459" s="42"/>
      <c r="G459" s="32"/>
      <c r="H459" s="33"/>
      <c r="I459" s="39"/>
      <c r="J459" s="35"/>
      <c r="K459" s="30" t="s">
        <v>1812</v>
      </c>
    </row>
    <row r="460" customFormat="false" ht="14.25" hidden="false" customHeight="true" outlineLevel="0" collapsed="false">
      <c r="A460" s="27"/>
      <c r="B460" s="27"/>
      <c r="C460" s="29" t="s">
        <v>1813</v>
      </c>
      <c r="D460" s="29" t="s">
        <v>1814</v>
      </c>
      <c r="E460" s="36" t="s">
        <v>1815</v>
      </c>
      <c r="F460" s="42" t="s">
        <v>1816</v>
      </c>
      <c r="G460" s="32" t="s">
        <v>38</v>
      </c>
      <c r="H460" s="33" t="s">
        <v>1817</v>
      </c>
      <c r="I460" s="37" t="s">
        <v>50</v>
      </c>
      <c r="J460" s="35" t="s">
        <v>1818</v>
      </c>
      <c r="K460" s="30" t="s">
        <v>1819</v>
      </c>
    </row>
    <row r="461" customFormat="false" ht="14.25" hidden="false" customHeight="true" outlineLevel="0" collapsed="false">
      <c r="A461" s="27"/>
      <c r="B461" s="27"/>
      <c r="C461" s="27"/>
      <c r="D461" s="27"/>
      <c r="E461" s="36" t="s">
        <v>1820</v>
      </c>
      <c r="F461" s="42"/>
      <c r="G461" s="32"/>
      <c r="H461" s="33"/>
      <c r="I461" s="37"/>
      <c r="J461" s="35"/>
      <c r="K461" s="30" t="s">
        <v>1821</v>
      </c>
    </row>
    <row r="462" customFormat="false" ht="14.25" hidden="false" customHeight="true" outlineLevel="0" collapsed="false">
      <c r="A462" s="27"/>
      <c r="B462" s="27"/>
      <c r="C462" s="27"/>
      <c r="D462" s="29" t="s">
        <v>1822</v>
      </c>
      <c r="E462" s="36" t="s">
        <v>1823</v>
      </c>
      <c r="F462" s="42" t="s">
        <v>1824</v>
      </c>
      <c r="G462" s="32" t="s">
        <v>38</v>
      </c>
      <c r="H462" s="33" t="s">
        <v>1825</v>
      </c>
      <c r="I462" s="37" t="s">
        <v>50</v>
      </c>
      <c r="J462" s="35" t="s">
        <v>1826</v>
      </c>
      <c r="K462" s="30" t="s">
        <v>1827</v>
      </c>
    </row>
    <row r="463" customFormat="false" ht="14.25" hidden="false" customHeight="true" outlineLevel="0" collapsed="false">
      <c r="A463" s="27"/>
      <c r="B463" s="27"/>
      <c r="C463" s="27"/>
      <c r="D463" s="27"/>
      <c r="E463" s="36" t="s">
        <v>1828</v>
      </c>
      <c r="F463" s="42"/>
      <c r="G463" s="32"/>
      <c r="H463" s="33"/>
      <c r="I463" s="37"/>
      <c r="J463" s="35"/>
      <c r="K463" s="30" t="s">
        <v>1829</v>
      </c>
    </row>
    <row r="464" customFormat="false" ht="14.25" hidden="false" customHeight="true" outlineLevel="0" collapsed="false">
      <c r="A464" s="27"/>
      <c r="B464" s="27"/>
      <c r="C464" s="27"/>
      <c r="D464" s="29" t="s">
        <v>1830</v>
      </c>
      <c r="E464" s="36" t="s">
        <v>1831</v>
      </c>
      <c r="F464" s="42" t="s">
        <v>1832</v>
      </c>
      <c r="G464" s="32" t="s">
        <v>38</v>
      </c>
      <c r="H464" s="33" t="s">
        <v>1833</v>
      </c>
      <c r="I464" s="39" t="s">
        <v>67</v>
      </c>
      <c r="J464" s="35" t="s">
        <v>1834</v>
      </c>
      <c r="K464" s="30" t="s">
        <v>1835</v>
      </c>
    </row>
    <row r="465" customFormat="false" ht="14.25" hidden="false" customHeight="true" outlineLevel="0" collapsed="false">
      <c r="A465" s="27"/>
      <c r="B465" s="27"/>
      <c r="C465" s="27"/>
      <c r="D465" s="27"/>
      <c r="E465" s="36" t="s">
        <v>1836</v>
      </c>
      <c r="F465" s="42"/>
      <c r="G465" s="32"/>
      <c r="H465" s="33"/>
      <c r="I465" s="39"/>
      <c r="J465" s="35"/>
      <c r="K465" s="30" t="s">
        <v>1837</v>
      </c>
    </row>
    <row r="466" customFormat="false" ht="14.25" hidden="false" customHeight="true" outlineLevel="0" collapsed="false">
      <c r="A466" s="27"/>
      <c r="B466" s="27"/>
      <c r="C466" s="27"/>
      <c r="D466" s="29" t="s">
        <v>1838</v>
      </c>
      <c r="E466" s="36" t="s">
        <v>1839</v>
      </c>
      <c r="F466" s="42" t="s">
        <v>1840</v>
      </c>
      <c r="G466" s="32" t="s">
        <v>48</v>
      </c>
      <c r="H466" s="33" t="s">
        <v>1626</v>
      </c>
      <c r="I466" s="34" t="s">
        <v>40</v>
      </c>
      <c r="J466" s="35" t="s">
        <v>1841</v>
      </c>
      <c r="K466" s="30" t="s">
        <v>1842</v>
      </c>
    </row>
    <row r="467" customFormat="false" ht="14.25" hidden="false" customHeight="true" outlineLevel="0" collapsed="false">
      <c r="A467" s="27"/>
      <c r="B467" s="27"/>
      <c r="C467" s="27"/>
      <c r="D467" s="27"/>
      <c r="E467" s="36" t="s">
        <v>1843</v>
      </c>
      <c r="F467" s="42"/>
      <c r="G467" s="32"/>
      <c r="H467" s="33"/>
      <c r="I467" s="34"/>
      <c r="J467" s="35"/>
      <c r="K467" s="30" t="s">
        <v>1844</v>
      </c>
    </row>
    <row r="468" customFormat="false" ht="14.25" hidden="false" customHeight="true" outlineLevel="0" collapsed="false">
      <c r="A468" s="27"/>
      <c r="B468" s="27"/>
      <c r="C468" s="27"/>
      <c r="D468" s="29" t="s">
        <v>1845</v>
      </c>
      <c r="E468" s="36" t="s">
        <v>1846</v>
      </c>
      <c r="F468" s="42" t="s">
        <v>1847</v>
      </c>
      <c r="G468" s="32" t="s">
        <v>58</v>
      </c>
      <c r="H468" s="33" t="s">
        <v>1848</v>
      </c>
      <c r="I468" s="39" t="s">
        <v>67</v>
      </c>
      <c r="J468" s="35" t="s">
        <v>1849</v>
      </c>
      <c r="K468" s="30" t="s">
        <v>1850</v>
      </c>
    </row>
    <row r="469" customFormat="false" ht="14.25" hidden="false" customHeight="true" outlineLevel="0" collapsed="false">
      <c r="A469" s="27"/>
      <c r="B469" s="27"/>
      <c r="C469" s="27"/>
      <c r="D469" s="27"/>
      <c r="E469" s="36" t="s">
        <v>1851</v>
      </c>
      <c r="F469" s="42"/>
      <c r="G469" s="32"/>
      <c r="H469" s="33"/>
      <c r="I469" s="39"/>
      <c r="J469" s="35"/>
      <c r="K469" s="30" t="s">
        <v>1852</v>
      </c>
    </row>
    <row r="470" customFormat="false" ht="14.25" hidden="false" customHeight="true" outlineLevel="0" collapsed="false">
      <c r="A470" s="27"/>
      <c r="B470" s="27"/>
      <c r="C470" s="40" t="s">
        <v>1853</v>
      </c>
      <c r="D470" s="29" t="s">
        <v>1854</v>
      </c>
      <c r="E470" s="36" t="s">
        <v>1855</v>
      </c>
      <c r="F470" s="42" t="s">
        <v>1856</v>
      </c>
      <c r="G470" s="32" t="s">
        <v>48</v>
      </c>
      <c r="H470" s="33" t="s">
        <v>1857</v>
      </c>
      <c r="I470" s="37" t="s">
        <v>50</v>
      </c>
      <c r="J470" s="35" t="s">
        <v>1858</v>
      </c>
      <c r="K470" s="30" t="s">
        <v>1859</v>
      </c>
    </row>
    <row r="471" customFormat="false" ht="14.25" hidden="false" customHeight="true" outlineLevel="0" collapsed="false">
      <c r="A471" s="27"/>
      <c r="B471" s="27"/>
      <c r="C471" s="27"/>
      <c r="D471" s="27"/>
      <c r="E471" s="36" t="s">
        <v>1860</v>
      </c>
      <c r="F471" s="42"/>
      <c r="G471" s="32"/>
      <c r="H471" s="33"/>
      <c r="I471" s="37"/>
      <c r="J471" s="35"/>
      <c r="K471" s="30" t="s">
        <v>1861</v>
      </c>
    </row>
    <row r="472" customFormat="false" ht="14.25" hidden="false" customHeight="true" outlineLevel="0" collapsed="false">
      <c r="A472" s="27"/>
      <c r="B472" s="27"/>
      <c r="C472" s="27"/>
      <c r="D472" s="29" t="s">
        <v>1862</v>
      </c>
      <c r="E472" s="36" t="s">
        <v>1863</v>
      </c>
      <c r="F472" s="42" t="s">
        <v>1864</v>
      </c>
      <c r="G472" s="32" t="s">
        <v>48</v>
      </c>
      <c r="H472" s="33" t="s">
        <v>1865</v>
      </c>
      <c r="I472" s="37" t="s">
        <v>50</v>
      </c>
      <c r="J472" s="35" t="s">
        <v>1866</v>
      </c>
      <c r="K472" s="30" t="s">
        <v>1867</v>
      </c>
    </row>
    <row r="473" customFormat="false" ht="14.25" hidden="false" customHeight="true" outlineLevel="0" collapsed="false">
      <c r="A473" s="27"/>
      <c r="B473" s="27"/>
      <c r="C473" s="27"/>
      <c r="D473" s="27"/>
      <c r="E473" s="36" t="s">
        <v>1868</v>
      </c>
      <c r="F473" s="42"/>
      <c r="G473" s="32"/>
      <c r="H473" s="33"/>
      <c r="I473" s="37"/>
      <c r="J473" s="35"/>
      <c r="K473" s="30" t="s">
        <v>1869</v>
      </c>
    </row>
    <row r="474" customFormat="false" ht="14.25" hidden="false" customHeight="true" outlineLevel="0" collapsed="false">
      <c r="A474" s="27"/>
      <c r="B474" s="27"/>
      <c r="C474" s="27"/>
      <c r="D474" s="29" t="s">
        <v>1870</v>
      </c>
      <c r="E474" s="36" t="s">
        <v>1871</v>
      </c>
      <c r="F474" s="42" t="s">
        <v>1872</v>
      </c>
      <c r="G474" s="32" t="s">
        <v>38</v>
      </c>
      <c r="H474" s="33" t="s">
        <v>1873</v>
      </c>
      <c r="I474" s="39" t="s">
        <v>67</v>
      </c>
      <c r="J474" s="35" t="s">
        <v>1874</v>
      </c>
      <c r="K474" s="30" t="s">
        <v>1875</v>
      </c>
    </row>
    <row r="475" customFormat="false" ht="14.25" hidden="false" customHeight="true" outlineLevel="0" collapsed="false">
      <c r="A475" s="27"/>
      <c r="B475" s="27"/>
      <c r="C475" s="27"/>
      <c r="D475" s="27"/>
      <c r="E475" s="36" t="s">
        <v>1876</v>
      </c>
      <c r="F475" s="42"/>
      <c r="G475" s="32"/>
      <c r="H475" s="33"/>
      <c r="I475" s="39"/>
      <c r="J475" s="35"/>
      <c r="K475" s="30" t="s">
        <v>1877</v>
      </c>
    </row>
    <row r="476" customFormat="false" ht="14.25" hidden="false" customHeight="true" outlineLevel="0" collapsed="false">
      <c r="A476" s="27"/>
      <c r="B476" s="27"/>
      <c r="C476" s="27"/>
      <c r="D476" s="29" t="s">
        <v>1878</v>
      </c>
      <c r="E476" s="36" t="s">
        <v>1879</v>
      </c>
      <c r="F476" s="42" t="s">
        <v>1880</v>
      </c>
      <c r="G476" s="32" t="s">
        <v>38</v>
      </c>
      <c r="H476" s="33" t="s">
        <v>1881</v>
      </c>
      <c r="I476" s="34" t="s">
        <v>40</v>
      </c>
      <c r="J476" s="35" t="s">
        <v>1882</v>
      </c>
      <c r="K476" s="30" t="s">
        <v>1875</v>
      </c>
    </row>
    <row r="477" customFormat="false" ht="14.25" hidden="false" customHeight="true" outlineLevel="0" collapsed="false">
      <c r="A477" s="27"/>
      <c r="B477" s="27"/>
      <c r="C477" s="27"/>
      <c r="D477" s="27"/>
      <c r="E477" s="36" t="s">
        <v>1883</v>
      </c>
      <c r="F477" s="42"/>
      <c r="G477" s="32"/>
      <c r="H477" s="33"/>
      <c r="I477" s="34"/>
      <c r="J477" s="35"/>
      <c r="K477" s="30" t="s">
        <v>1877</v>
      </c>
    </row>
    <row r="478" customFormat="false" ht="14.25" hidden="false" customHeight="true" outlineLevel="0" collapsed="false">
      <c r="A478" s="27"/>
      <c r="B478" s="27"/>
      <c r="C478" s="27"/>
      <c r="D478" s="29" t="s">
        <v>1884</v>
      </c>
      <c r="E478" s="36" t="s">
        <v>1885</v>
      </c>
      <c r="F478" s="42" t="s">
        <v>1886</v>
      </c>
      <c r="G478" s="32" t="s">
        <v>38</v>
      </c>
      <c r="H478" s="33" t="s">
        <v>1887</v>
      </c>
      <c r="I478" s="39" t="s">
        <v>67</v>
      </c>
      <c r="J478" s="35" t="s">
        <v>1888</v>
      </c>
      <c r="K478" s="30" t="s">
        <v>1889</v>
      </c>
    </row>
    <row r="479" customFormat="false" ht="14.25" hidden="false" customHeight="true" outlineLevel="0" collapsed="false">
      <c r="A479" s="27"/>
      <c r="B479" s="27"/>
      <c r="C479" s="27"/>
      <c r="D479" s="27"/>
      <c r="E479" s="36" t="s">
        <v>1890</v>
      </c>
      <c r="F479" s="42"/>
      <c r="G479" s="32"/>
      <c r="H479" s="33"/>
      <c r="I479" s="39"/>
      <c r="J479" s="35"/>
      <c r="K479" s="30" t="s">
        <v>1891</v>
      </c>
    </row>
    <row r="480" customFormat="false" ht="14.25" hidden="false" customHeight="true" outlineLevel="0" collapsed="false">
      <c r="A480" s="27"/>
      <c r="B480" s="27"/>
      <c r="C480" s="40" t="s">
        <v>1892</v>
      </c>
      <c r="D480" s="29" t="s">
        <v>1893</v>
      </c>
      <c r="E480" s="36" t="s">
        <v>1894</v>
      </c>
      <c r="F480" s="42" t="s">
        <v>1895</v>
      </c>
      <c r="G480" s="32" t="s">
        <v>48</v>
      </c>
      <c r="H480" s="33" t="s">
        <v>1896</v>
      </c>
      <c r="I480" s="37" t="s">
        <v>50</v>
      </c>
      <c r="J480" s="35" t="s">
        <v>1897</v>
      </c>
      <c r="K480" s="30" t="s">
        <v>1898</v>
      </c>
    </row>
    <row r="481" customFormat="false" ht="14.25" hidden="false" customHeight="true" outlineLevel="0" collapsed="false">
      <c r="A481" s="27"/>
      <c r="B481" s="27"/>
      <c r="C481" s="27"/>
      <c r="D481" s="27"/>
      <c r="E481" s="36" t="s">
        <v>1899</v>
      </c>
      <c r="F481" s="42"/>
      <c r="G481" s="32"/>
      <c r="H481" s="33"/>
      <c r="I481" s="37"/>
      <c r="J481" s="35"/>
      <c r="K481" s="30" t="s">
        <v>1900</v>
      </c>
    </row>
    <row r="482" customFormat="false" ht="14.25" hidden="false" customHeight="true" outlineLevel="0" collapsed="false">
      <c r="A482" s="27"/>
      <c r="B482" s="27"/>
      <c r="C482" s="27"/>
      <c r="D482" s="29" t="s">
        <v>1901</v>
      </c>
      <c r="E482" s="36" t="s">
        <v>1902</v>
      </c>
      <c r="F482" s="42" t="s">
        <v>1903</v>
      </c>
      <c r="G482" s="32" t="s">
        <v>58</v>
      </c>
      <c r="H482" s="33" t="s">
        <v>1904</v>
      </c>
      <c r="I482" s="37" t="s">
        <v>50</v>
      </c>
      <c r="J482" s="35" t="s">
        <v>1905</v>
      </c>
      <c r="K482" s="30" t="s">
        <v>1906</v>
      </c>
    </row>
    <row r="483" customFormat="false" ht="14.25" hidden="false" customHeight="true" outlineLevel="0" collapsed="false">
      <c r="A483" s="27"/>
      <c r="B483" s="27"/>
      <c r="C483" s="27"/>
      <c r="D483" s="27"/>
      <c r="E483" s="36" t="s">
        <v>1907</v>
      </c>
      <c r="F483" s="42"/>
      <c r="G483" s="32"/>
      <c r="H483" s="33"/>
      <c r="I483" s="37"/>
      <c r="J483" s="35"/>
      <c r="K483" s="30" t="s">
        <v>1908</v>
      </c>
    </row>
    <row r="484" customFormat="false" ht="14.25" hidden="false" customHeight="true" outlineLevel="0" collapsed="false">
      <c r="A484" s="27"/>
      <c r="B484" s="27"/>
      <c r="C484" s="27"/>
      <c r="D484" s="29" t="s">
        <v>1909</v>
      </c>
      <c r="E484" s="36" t="s">
        <v>1910</v>
      </c>
      <c r="F484" s="42" t="s">
        <v>1911</v>
      </c>
      <c r="G484" s="32" t="s">
        <v>48</v>
      </c>
      <c r="H484" s="33" t="s">
        <v>1912</v>
      </c>
      <c r="I484" s="39" t="s">
        <v>67</v>
      </c>
      <c r="J484" s="35" t="s">
        <v>1913</v>
      </c>
      <c r="K484" s="30" t="s">
        <v>1914</v>
      </c>
    </row>
    <row r="485" customFormat="false" ht="14.25" hidden="false" customHeight="true" outlineLevel="0" collapsed="false">
      <c r="A485" s="27"/>
      <c r="B485" s="27"/>
      <c r="C485" s="27"/>
      <c r="D485" s="27"/>
      <c r="E485" s="36" t="s">
        <v>1915</v>
      </c>
      <c r="F485" s="42"/>
      <c r="G485" s="32"/>
      <c r="H485" s="33"/>
      <c r="I485" s="39"/>
      <c r="J485" s="35"/>
      <c r="K485" s="30" t="s">
        <v>1916</v>
      </c>
    </row>
    <row r="486" customFormat="false" ht="14.25" hidden="false" customHeight="true" outlineLevel="0" collapsed="false">
      <c r="A486" s="27"/>
      <c r="B486" s="27"/>
      <c r="C486" s="27"/>
      <c r="D486" s="29" t="s">
        <v>1917</v>
      </c>
      <c r="E486" s="36" t="s">
        <v>1918</v>
      </c>
      <c r="F486" s="42" t="s">
        <v>1919</v>
      </c>
      <c r="G486" s="32" t="s">
        <v>48</v>
      </c>
      <c r="H486" s="33" t="s">
        <v>1920</v>
      </c>
      <c r="I486" s="34" t="s">
        <v>40</v>
      </c>
      <c r="J486" s="35" t="s">
        <v>1921</v>
      </c>
      <c r="K486" s="30" t="s">
        <v>1922</v>
      </c>
    </row>
    <row r="487" customFormat="false" ht="14.25" hidden="false" customHeight="true" outlineLevel="0" collapsed="false">
      <c r="A487" s="27"/>
      <c r="B487" s="27"/>
      <c r="C487" s="27"/>
      <c r="D487" s="27"/>
      <c r="E487" s="36" t="s">
        <v>681</v>
      </c>
      <c r="F487" s="42"/>
      <c r="G487" s="32"/>
      <c r="H487" s="33"/>
      <c r="I487" s="34"/>
      <c r="J487" s="35"/>
      <c r="K487" s="30" t="s">
        <v>1923</v>
      </c>
    </row>
    <row r="488" customFormat="false" ht="14.25" hidden="false" customHeight="true" outlineLevel="0" collapsed="false">
      <c r="A488" s="27"/>
      <c r="B488" s="27"/>
      <c r="C488" s="27"/>
      <c r="D488" s="29" t="s">
        <v>1924</v>
      </c>
      <c r="E488" s="36" t="s">
        <v>778</v>
      </c>
      <c r="F488" s="42" t="s">
        <v>1925</v>
      </c>
      <c r="G488" s="32" t="s">
        <v>38</v>
      </c>
      <c r="H488" s="33" t="s">
        <v>1926</v>
      </c>
      <c r="I488" s="39" t="s">
        <v>67</v>
      </c>
      <c r="J488" s="35" t="s">
        <v>1927</v>
      </c>
      <c r="K488" s="30" t="s">
        <v>1928</v>
      </c>
    </row>
    <row r="489" customFormat="false" ht="14.25" hidden="false" customHeight="true" outlineLevel="0" collapsed="false">
      <c r="A489" s="27"/>
      <c r="B489" s="27"/>
      <c r="C489" s="27"/>
      <c r="D489" s="27"/>
      <c r="E489" s="36" t="s">
        <v>1929</v>
      </c>
      <c r="F489" s="42"/>
      <c r="G489" s="32"/>
      <c r="H489" s="33"/>
      <c r="I489" s="39"/>
      <c r="J489" s="35"/>
      <c r="K489" s="30" t="s">
        <v>1930</v>
      </c>
    </row>
    <row r="490" customFormat="false" ht="14.25" hidden="false" customHeight="true" outlineLevel="0" collapsed="false">
      <c r="A490" s="27"/>
      <c r="B490" s="27"/>
      <c r="C490" s="40" t="s">
        <v>1931</v>
      </c>
      <c r="D490" s="29" t="s">
        <v>1932</v>
      </c>
      <c r="E490" s="36" t="s">
        <v>1933</v>
      </c>
      <c r="F490" s="42" t="s">
        <v>1934</v>
      </c>
      <c r="G490" s="32" t="s">
        <v>38</v>
      </c>
      <c r="H490" s="33" t="s">
        <v>1935</v>
      </c>
      <c r="I490" s="37" t="s">
        <v>50</v>
      </c>
      <c r="J490" s="35" t="s">
        <v>1936</v>
      </c>
      <c r="K490" s="30" t="s">
        <v>1937</v>
      </c>
    </row>
    <row r="491" customFormat="false" ht="14.25" hidden="false" customHeight="true" outlineLevel="0" collapsed="false">
      <c r="A491" s="27"/>
      <c r="B491" s="27"/>
      <c r="C491" s="27"/>
      <c r="D491" s="27"/>
      <c r="E491" s="36" t="s">
        <v>1938</v>
      </c>
      <c r="F491" s="42"/>
      <c r="G491" s="32"/>
      <c r="H491" s="33"/>
      <c r="I491" s="37"/>
      <c r="J491" s="35"/>
      <c r="K491" s="30" t="s">
        <v>1939</v>
      </c>
    </row>
    <row r="492" customFormat="false" ht="14.25" hidden="false" customHeight="true" outlineLevel="0" collapsed="false">
      <c r="A492" s="27"/>
      <c r="B492" s="27"/>
      <c r="C492" s="27"/>
      <c r="D492" s="29" t="s">
        <v>1940</v>
      </c>
      <c r="E492" s="36" t="s">
        <v>1941</v>
      </c>
      <c r="F492" s="42" t="s">
        <v>1942</v>
      </c>
      <c r="G492" s="32" t="s">
        <v>38</v>
      </c>
      <c r="H492" s="33" t="s">
        <v>1943</v>
      </c>
      <c r="I492" s="37" t="s">
        <v>50</v>
      </c>
      <c r="J492" s="35" t="s">
        <v>1944</v>
      </c>
      <c r="K492" s="30" t="s">
        <v>1945</v>
      </c>
    </row>
    <row r="493" customFormat="false" ht="14.25" hidden="false" customHeight="true" outlineLevel="0" collapsed="false">
      <c r="A493" s="27"/>
      <c r="B493" s="27"/>
      <c r="C493" s="27"/>
      <c r="D493" s="27"/>
      <c r="E493" s="36" t="s">
        <v>1946</v>
      </c>
      <c r="F493" s="42"/>
      <c r="G493" s="32"/>
      <c r="H493" s="33"/>
      <c r="I493" s="37"/>
      <c r="J493" s="35"/>
      <c r="K493" s="30" t="s">
        <v>1947</v>
      </c>
    </row>
    <row r="494" customFormat="false" ht="14.25" hidden="false" customHeight="true" outlineLevel="0" collapsed="false">
      <c r="A494" s="27"/>
      <c r="B494" s="27"/>
      <c r="C494" s="27"/>
      <c r="D494" s="29" t="s">
        <v>1948</v>
      </c>
      <c r="E494" s="36" t="s">
        <v>1949</v>
      </c>
      <c r="F494" s="42" t="s">
        <v>1950</v>
      </c>
      <c r="G494" s="32" t="s">
        <v>48</v>
      </c>
      <c r="H494" s="33" t="s">
        <v>1951</v>
      </c>
      <c r="I494" s="39" t="s">
        <v>67</v>
      </c>
      <c r="J494" s="35" t="s">
        <v>1952</v>
      </c>
      <c r="K494" s="30" t="s">
        <v>1953</v>
      </c>
    </row>
    <row r="495" customFormat="false" ht="14.25" hidden="false" customHeight="true" outlineLevel="0" collapsed="false">
      <c r="A495" s="27"/>
      <c r="B495" s="27"/>
      <c r="C495" s="27"/>
      <c r="D495" s="27"/>
      <c r="E495" s="36" t="s">
        <v>1954</v>
      </c>
      <c r="F495" s="42"/>
      <c r="G495" s="32"/>
      <c r="H495" s="33"/>
      <c r="I495" s="39"/>
      <c r="J495" s="35"/>
      <c r="K495" s="30" t="s">
        <v>1955</v>
      </c>
    </row>
    <row r="496" customFormat="false" ht="14.25" hidden="false" customHeight="true" outlineLevel="0" collapsed="false">
      <c r="A496" s="27"/>
      <c r="B496" s="27"/>
      <c r="C496" s="27"/>
      <c r="D496" s="29" t="s">
        <v>1956</v>
      </c>
      <c r="E496" s="36" t="s">
        <v>1957</v>
      </c>
      <c r="F496" s="42" t="s">
        <v>1958</v>
      </c>
      <c r="G496" s="32" t="s">
        <v>58</v>
      </c>
      <c r="H496" s="33" t="s">
        <v>1959</v>
      </c>
      <c r="I496" s="34" t="s">
        <v>40</v>
      </c>
      <c r="J496" s="35" t="s">
        <v>1960</v>
      </c>
      <c r="K496" s="30" t="s">
        <v>1961</v>
      </c>
    </row>
    <row r="497" customFormat="false" ht="14.25" hidden="false" customHeight="true" outlineLevel="0" collapsed="false">
      <c r="A497" s="27"/>
      <c r="B497" s="27"/>
      <c r="C497" s="27"/>
      <c r="D497" s="27"/>
      <c r="E497" s="36" t="s">
        <v>1962</v>
      </c>
      <c r="F497" s="42"/>
      <c r="G497" s="32"/>
      <c r="H497" s="33"/>
      <c r="I497" s="34"/>
      <c r="J497" s="35"/>
      <c r="K497" s="30" t="s">
        <v>1963</v>
      </c>
    </row>
    <row r="498" customFormat="false" ht="14.25" hidden="false" customHeight="true" outlineLevel="0" collapsed="false">
      <c r="A498" s="27"/>
      <c r="B498" s="27"/>
      <c r="C498" s="27"/>
      <c r="D498" s="29" t="s">
        <v>1964</v>
      </c>
      <c r="E498" s="36" t="s">
        <v>1965</v>
      </c>
      <c r="F498" s="42" t="s">
        <v>1966</v>
      </c>
      <c r="G498" s="32" t="s">
        <v>48</v>
      </c>
      <c r="H498" s="33" t="s">
        <v>1626</v>
      </c>
      <c r="I498" s="39" t="s">
        <v>67</v>
      </c>
      <c r="J498" s="35" t="s">
        <v>1967</v>
      </c>
      <c r="K498" s="30" t="s">
        <v>1968</v>
      </c>
    </row>
    <row r="499" customFormat="false" ht="14.25" hidden="false" customHeight="true" outlineLevel="0" collapsed="false">
      <c r="A499" s="27"/>
      <c r="B499" s="27"/>
      <c r="C499" s="27"/>
      <c r="D499" s="27"/>
      <c r="E499" s="36" t="s">
        <v>1969</v>
      </c>
      <c r="F499" s="42"/>
      <c r="G499" s="32"/>
      <c r="H499" s="33"/>
      <c r="I499" s="39"/>
      <c r="J499" s="35"/>
      <c r="K499" s="30" t="s">
        <v>1970</v>
      </c>
    </row>
    <row r="500" customFormat="false" ht="14.25" hidden="false" customHeight="true" outlineLevel="0" collapsed="false">
      <c r="A500" s="27"/>
      <c r="B500" s="27"/>
      <c r="C500" s="40" t="s">
        <v>1971</v>
      </c>
      <c r="D500" s="29" t="s">
        <v>1972</v>
      </c>
      <c r="E500" s="36" t="s">
        <v>1973</v>
      </c>
      <c r="F500" s="42" t="s">
        <v>1974</v>
      </c>
      <c r="G500" s="32" t="s">
        <v>48</v>
      </c>
      <c r="H500" s="33" t="s">
        <v>1975</v>
      </c>
      <c r="I500" s="37" t="s">
        <v>50</v>
      </c>
      <c r="J500" s="35" t="s">
        <v>1976</v>
      </c>
      <c r="K500" s="30" t="s">
        <v>1977</v>
      </c>
    </row>
    <row r="501" customFormat="false" ht="14.25" hidden="false" customHeight="true" outlineLevel="0" collapsed="false">
      <c r="A501" s="27"/>
      <c r="B501" s="27"/>
      <c r="C501" s="27"/>
      <c r="D501" s="27"/>
      <c r="E501" s="36" t="s">
        <v>1978</v>
      </c>
      <c r="F501" s="42"/>
      <c r="G501" s="32"/>
      <c r="H501" s="33"/>
      <c r="I501" s="37"/>
      <c r="J501" s="35"/>
      <c r="K501" s="30" t="s">
        <v>1979</v>
      </c>
    </row>
    <row r="502" customFormat="false" ht="14.25" hidden="false" customHeight="true" outlineLevel="0" collapsed="false">
      <c r="A502" s="27"/>
      <c r="B502" s="27"/>
      <c r="C502" s="27"/>
      <c r="D502" s="29" t="s">
        <v>1980</v>
      </c>
      <c r="E502" s="36" t="s">
        <v>1981</v>
      </c>
      <c r="F502" s="42" t="s">
        <v>1982</v>
      </c>
      <c r="G502" s="32" t="s">
        <v>38</v>
      </c>
      <c r="H502" s="33" t="s">
        <v>1983</v>
      </c>
      <c r="I502" s="37" t="s">
        <v>50</v>
      </c>
      <c r="J502" s="35" t="s">
        <v>1984</v>
      </c>
      <c r="K502" s="30" t="s">
        <v>1985</v>
      </c>
    </row>
    <row r="503" customFormat="false" ht="14.25" hidden="false" customHeight="true" outlineLevel="0" collapsed="false">
      <c r="A503" s="27"/>
      <c r="B503" s="27"/>
      <c r="C503" s="27"/>
      <c r="D503" s="27"/>
      <c r="E503" s="36" t="s">
        <v>1986</v>
      </c>
      <c r="F503" s="42"/>
      <c r="G503" s="32"/>
      <c r="H503" s="33"/>
      <c r="I503" s="37"/>
      <c r="J503" s="35"/>
      <c r="K503" s="30" t="s">
        <v>1987</v>
      </c>
    </row>
    <row r="504" customFormat="false" ht="14.25" hidden="false" customHeight="true" outlineLevel="0" collapsed="false">
      <c r="A504" s="27"/>
      <c r="B504" s="27"/>
      <c r="C504" s="27"/>
      <c r="D504" s="29" t="s">
        <v>1988</v>
      </c>
      <c r="E504" s="36" t="s">
        <v>1989</v>
      </c>
      <c r="F504" s="42" t="s">
        <v>1990</v>
      </c>
      <c r="G504" s="32" t="s">
        <v>38</v>
      </c>
      <c r="H504" s="33" t="s">
        <v>1991</v>
      </c>
      <c r="I504" s="39" t="s">
        <v>67</v>
      </c>
      <c r="J504" s="35" t="s">
        <v>1992</v>
      </c>
      <c r="K504" s="30" t="s">
        <v>1993</v>
      </c>
    </row>
    <row r="505" customFormat="false" ht="14.25" hidden="false" customHeight="true" outlineLevel="0" collapsed="false">
      <c r="A505" s="27"/>
      <c r="B505" s="27"/>
      <c r="C505" s="27"/>
      <c r="D505" s="27"/>
      <c r="E505" s="36" t="s">
        <v>1994</v>
      </c>
      <c r="F505" s="42"/>
      <c r="G505" s="32"/>
      <c r="H505" s="33"/>
      <c r="I505" s="39"/>
      <c r="J505" s="35"/>
      <c r="K505" s="30" t="s">
        <v>1995</v>
      </c>
    </row>
    <row r="506" customFormat="false" ht="14.25" hidden="false" customHeight="true" outlineLevel="0" collapsed="false">
      <c r="A506" s="27"/>
      <c r="B506" s="27"/>
      <c r="C506" s="27"/>
      <c r="D506" s="29" t="s">
        <v>1996</v>
      </c>
      <c r="E506" s="36" t="s">
        <v>1997</v>
      </c>
      <c r="F506" s="42" t="s">
        <v>1998</v>
      </c>
      <c r="G506" s="32" t="s">
        <v>38</v>
      </c>
      <c r="H506" s="33" t="s">
        <v>1999</v>
      </c>
      <c r="I506" s="34" t="s">
        <v>40</v>
      </c>
      <c r="J506" s="35" t="s">
        <v>2000</v>
      </c>
      <c r="K506" s="30" t="s">
        <v>2001</v>
      </c>
    </row>
    <row r="507" customFormat="false" ht="14.25" hidden="false" customHeight="true" outlineLevel="0" collapsed="false">
      <c r="A507" s="27"/>
      <c r="B507" s="27"/>
      <c r="C507" s="27"/>
      <c r="D507" s="27"/>
      <c r="E507" s="36" t="s">
        <v>2002</v>
      </c>
      <c r="F507" s="42"/>
      <c r="G507" s="32"/>
      <c r="H507" s="33"/>
      <c r="I507" s="34"/>
      <c r="J507" s="35"/>
      <c r="K507" s="30" t="s">
        <v>2003</v>
      </c>
    </row>
    <row r="508" customFormat="false" ht="14.25" hidden="false" customHeight="true" outlineLevel="0" collapsed="false">
      <c r="A508" s="27"/>
      <c r="B508" s="27"/>
      <c r="C508" s="27"/>
      <c r="D508" s="29" t="s">
        <v>2004</v>
      </c>
      <c r="E508" s="36" t="s">
        <v>2005</v>
      </c>
      <c r="F508" s="42" t="s">
        <v>2006</v>
      </c>
      <c r="G508" s="32" t="s">
        <v>48</v>
      </c>
      <c r="H508" s="33" t="s">
        <v>2007</v>
      </c>
      <c r="I508" s="39" t="s">
        <v>67</v>
      </c>
      <c r="J508" s="35" t="s">
        <v>2008</v>
      </c>
      <c r="K508" s="30" t="s">
        <v>2009</v>
      </c>
    </row>
    <row r="509" customFormat="false" ht="14.25" hidden="false" customHeight="true" outlineLevel="0" collapsed="false">
      <c r="A509" s="27"/>
      <c r="B509" s="27"/>
      <c r="C509" s="27"/>
      <c r="D509" s="27"/>
      <c r="E509" s="36" t="s">
        <v>2010</v>
      </c>
      <c r="F509" s="42"/>
      <c r="G509" s="32"/>
      <c r="H509" s="33"/>
      <c r="I509" s="39"/>
      <c r="J509" s="35"/>
      <c r="K509" s="30" t="s">
        <v>2011</v>
      </c>
    </row>
    <row r="510" customFormat="false" ht="14.25" hidden="false" customHeight="true" outlineLevel="0" collapsed="false">
      <c r="A510" s="27"/>
      <c r="B510" s="27"/>
      <c r="C510" s="40" t="s">
        <v>2012</v>
      </c>
      <c r="D510" s="29" t="s">
        <v>2013</v>
      </c>
      <c r="E510" s="36" t="s">
        <v>2014</v>
      </c>
      <c r="F510" s="42" t="s">
        <v>2015</v>
      </c>
      <c r="G510" s="32" t="s">
        <v>58</v>
      </c>
      <c r="H510" s="33" t="s">
        <v>1959</v>
      </c>
      <c r="I510" s="37" t="s">
        <v>50</v>
      </c>
      <c r="J510" s="35" t="s">
        <v>2016</v>
      </c>
      <c r="K510" s="30" t="s">
        <v>2017</v>
      </c>
    </row>
    <row r="511" customFormat="false" ht="14.25" hidden="false" customHeight="true" outlineLevel="0" collapsed="false">
      <c r="A511" s="27"/>
      <c r="B511" s="27"/>
      <c r="C511" s="27"/>
      <c r="D511" s="27"/>
      <c r="E511" s="36" t="s">
        <v>2018</v>
      </c>
      <c r="F511" s="42"/>
      <c r="G511" s="32"/>
      <c r="H511" s="33"/>
      <c r="I511" s="37"/>
      <c r="J511" s="35"/>
      <c r="K511" s="30" t="s">
        <v>2019</v>
      </c>
    </row>
    <row r="512" customFormat="false" ht="14.25" hidden="false" customHeight="true" outlineLevel="0" collapsed="false">
      <c r="A512" s="27"/>
      <c r="B512" s="27"/>
      <c r="C512" s="27"/>
      <c r="D512" s="29" t="s">
        <v>2020</v>
      </c>
      <c r="E512" s="36" t="s">
        <v>2021</v>
      </c>
      <c r="F512" s="42" t="s">
        <v>2022</v>
      </c>
      <c r="G512" s="32" t="s">
        <v>48</v>
      </c>
      <c r="H512" s="33" t="s">
        <v>2023</v>
      </c>
      <c r="I512" s="37" t="s">
        <v>50</v>
      </c>
      <c r="J512" s="35" t="s">
        <v>2024</v>
      </c>
      <c r="K512" s="30" t="s">
        <v>2025</v>
      </c>
    </row>
    <row r="513" customFormat="false" ht="14.25" hidden="false" customHeight="true" outlineLevel="0" collapsed="false">
      <c r="A513" s="27"/>
      <c r="B513" s="27"/>
      <c r="C513" s="27"/>
      <c r="D513" s="27"/>
      <c r="E513" s="36" t="s">
        <v>2026</v>
      </c>
      <c r="F513" s="42"/>
      <c r="G513" s="32"/>
      <c r="H513" s="33"/>
      <c r="I513" s="37"/>
      <c r="J513" s="35"/>
      <c r="K513" s="30" t="s">
        <v>2027</v>
      </c>
    </row>
    <row r="514" customFormat="false" ht="14.25" hidden="false" customHeight="true" outlineLevel="0" collapsed="false">
      <c r="A514" s="27"/>
      <c r="B514" s="27"/>
      <c r="C514" s="27"/>
      <c r="D514" s="29" t="s">
        <v>2028</v>
      </c>
      <c r="E514" s="36" t="s">
        <v>2029</v>
      </c>
      <c r="F514" s="42" t="s">
        <v>2030</v>
      </c>
      <c r="G514" s="32" t="s">
        <v>48</v>
      </c>
      <c r="H514" s="33" t="s">
        <v>2031</v>
      </c>
      <c r="I514" s="39" t="s">
        <v>67</v>
      </c>
      <c r="J514" s="35" t="s">
        <v>2032</v>
      </c>
      <c r="K514" s="30" t="s">
        <v>2033</v>
      </c>
    </row>
    <row r="515" customFormat="false" ht="14.25" hidden="false" customHeight="true" outlineLevel="0" collapsed="false">
      <c r="A515" s="27"/>
      <c r="B515" s="27"/>
      <c r="C515" s="27"/>
      <c r="D515" s="27"/>
      <c r="E515" s="36" t="s">
        <v>2034</v>
      </c>
      <c r="F515" s="42"/>
      <c r="G515" s="32"/>
      <c r="H515" s="33"/>
      <c r="I515" s="39"/>
      <c r="J515" s="35"/>
      <c r="K515" s="30" t="s">
        <v>2035</v>
      </c>
    </row>
    <row r="516" customFormat="false" ht="14.25" hidden="false" customHeight="true" outlineLevel="0" collapsed="false">
      <c r="A516" s="27"/>
      <c r="B516" s="27"/>
      <c r="C516" s="27"/>
      <c r="D516" s="29" t="s">
        <v>2036</v>
      </c>
      <c r="E516" s="36" t="s">
        <v>2037</v>
      </c>
      <c r="F516" s="42" t="s">
        <v>2038</v>
      </c>
      <c r="G516" s="32" t="s">
        <v>38</v>
      </c>
      <c r="H516" s="33" t="s">
        <v>2039</v>
      </c>
      <c r="I516" s="34" t="s">
        <v>40</v>
      </c>
      <c r="J516" s="35" t="s">
        <v>2040</v>
      </c>
      <c r="K516" s="30" t="s">
        <v>2041</v>
      </c>
    </row>
    <row r="517" customFormat="false" ht="14.25" hidden="false" customHeight="true" outlineLevel="0" collapsed="false">
      <c r="A517" s="27"/>
      <c r="B517" s="27"/>
      <c r="C517" s="27"/>
      <c r="D517" s="27"/>
      <c r="E517" s="36" t="s">
        <v>2042</v>
      </c>
      <c r="F517" s="42"/>
      <c r="G517" s="32"/>
      <c r="H517" s="33"/>
      <c r="I517" s="34"/>
      <c r="J517" s="35"/>
      <c r="K517" s="30" t="s">
        <v>2043</v>
      </c>
    </row>
    <row r="518" customFormat="false" ht="14.25" hidden="false" customHeight="true" outlineLevel="0" collapsed="false">
      <c r="A518" s="27"/>
      <c r="B518" s="27"/>
      <c r="C518" s="27"/>
      <c r="D518" s="29" t="s">
        <v>2044</v>
      </c>
      <c r="E518" s="36" t="s">
        <v>2044</v>
      </c>
      <c r="F518" s="42" t="s">
        <v>2045</v>
      </c>
      <c r="G518" s="32" t="s">
        <v>38</v>
      </c>
      <c r="H518" s="33" t="s">
        <v>2046</v>
      </c>
      <c r="I518" s="39" t="s">
        <v>67</v>
      </c>
      <c r="J518" s="35" t="s">
        <v>2047</v>
      </c>
      <c r="K518" s="30" t="s">
        <v>2048</v>
      </c>
    </row>
    <row r="519" customFormat="false" ht="14.25" hidden="false" customHeight="true" outlineLevel="0" collapsed="false">
      <c r="A519" s="27"/>
      <c r="B519" s="27"/>
      <c r="C519" s="27"/>
      <c r="D519" s="27"/>
      <c r="E519" s="36" t="s">
        <v>2049</v>
      </c>
      <c r="F519" s="42"/>
      <c r="G519" s="32"/>
      <c r="H519" s="33"/>
      <c r="I519" s="39"/>
      <c r="J519" s="35"/>
      <c r="K519" s="30" t="s">
        <v>2050</v>
      </c>
    </row>
    <row r="520" customFormat="false" ht="14.25" hidden="false" customHeight="true" outlineLevel="0" collapsed="false">
      <c r="A520" s="27"/>
      <c r="B520" s="27"/>
      <c r="C520" s="29" t="s">
        <v>2051</v>
      </c>
      <c r="D520" s="29" t="s">
        <v>2052</v>
      </c>
      <c r="E520" s="36" t="s">
        <v>2052</v>
      </c>
      <c r="F520" s="42" t="s">
        <v>2053</v>
      </c>
      <c r="G520" s="32" t="s">
        <v>38</v>
      </c>
      <c r="H520" s="33" t="s">
        <v>2054</v>
      </c>
      <c r="I520" s="37" t="s">
        <v>50</v>
      </c>
      <c r="J520" s="35" t="s">
        <v>2055</v>
      </c>
      <c r="K520" s="30" t="s">
        <v>2056</v>
      </c>
    </row>
    <row r="521" customFormat="false" ht="14.25" hidden="false" customHeight="true" outlineLevel="0" collapsed="false">
      <c r="A521" s="27"/>
      <c r="B521" s="27"/>
      <c r="C521" s="27"/>
      <c r="D521" s="27"/>
      <c r="E521" s="36" t="s">
        <v>2057</v>
      </c>
      <c r="F521" s="42"/>
      <c r="G521" s="32"/>
      <c r="H521" s="33"/>
      <c r="I521" s="37"/>
      <c r="J521" s="35"/>
      <c r="K521" s="30" t="s">
        <v>2058</v>
      </c>
    </row>
    <row r="522" customFormat="false" ht="14.25" hidden="false" customHeight="true" outlineLevel="0" collapsed="false">
      <c r="A522" s="27"/>
      <c r="B522" s="27"/>
      <c r="C522" s="27"/>
      <c r="D522" s="29" t="s">
        <v>2059</v>
      </c>
      <c r="E522" s="36" t="s">
        <v>2060</v>
      </c>
      <c r="F522" s="42" t="s">
        <v>2061</v>
      </c>
      <c r="G522" s="32" t="s">
        <v>48</v>
      </c>
      <c r="H522" s="33" t="s">
        <v>2062</v>
      </c>
      <c r="I522" s="37" t="s">
        <v>50</v>
      </c>
      <c r="J522" s="35" t="s">
        <v>2063</v>
      </c>
      <c r="K522" s="30" t="s">
        <v>2064</v>
      </c>
    </row>
    <row r="523" customFormat="false" ht="14.25" hidden="false" customHeight="true" outlineLevel="0" collapsed="false">
      <c r="A523" s="27"/>
      <c r="B523" s="27"/>
      <c r="C523" s="27"/>
      <c r="D523" s="27"/>
      <c r="E523" s="36" t="s">
        <v>2065</v>
      </c>
      <c r="F523" s="42"/>
      <c r="G523" s="32"/>
      <c r="H523" s="33"/>
      <c r="I523" s="37"/>
      <c r="J523" s="35"/>
      <c r="K523" s="30" t="s">
        <v>2066</v>
      </c>
    </row>
    <row r="524" customFormat="false" ht="14.25" hidden="false" customHeight="true" outlineLevel="0" collapsed="false">
      <c r="A524" s="27"/>
      <c r="B524" s="27"/>
      <c r="C524" s="27"/>
      <c r="D524" s="29" t="s">
        <v>2067</v>
      </c>
      <c r="E524" s="36" t="s">
        <v>2068</v>
      </c>
      <c r="F524" s="42" t="s">
        <v>2069</v>
      </c>
      <c r="G524" s="32" t="s">
        <v>58</v>
      </c>
      <c r="H524" s="33" t="s">
        <v>2070</v>
      </c>
      <c r="I524" s="39" t="s">
        <v>67</v>
      </c>
      <c r="J524" s="35" t="s">
        <v>2071</v>
      </c>
      <c r="K524" s="30" t="s">
        <v>2072</v>
      </c>
    </row>
    <row r="525" customFormat="false" ht="14.25" hidden="false" customHeight="true" outlineLevel="0" collapsed="false">
      <c r="A525" s="27"/>
      <c r="B525" s="27"/>
      <c r="C525" s="27"/>
      <c r="D525" s="27"/>
      <c r="E525" s="36" t="s">
        <v>1855</v>
      </c>
      <c r="F525" s="42"/>
      <c r="G525" s="32"/>
      <c r="H525" s="33"/>
      <c r="I525" s="39"/>
      <c r="J525" s="35"/>
      <c r="K525" s="30" t="s">
        <v>2073</v>
      </c>
    </row>
    <row r="526" customFormat="false" ht="14.25" hidden="false" customHeight="true" outlineLevel="0" collapsed="false">
      <c r="A526" s="27"/>
      <c r="B526" s="27"/>
      <c r="C526" s="27"/>
      <c r="D526" s="29" t="s">
        <v>2074</v>
      </c>
      <c r="E526" s="36" t="s">
        <v>2075</v>
      </c>
      <c r="F526" s="42" t="s">
        <v>2076</v>
      </c>
      <c r="G526" s="32" t="s">
        <v>48</v>
      </c>
      <c r="H526" s="33" t="s">
        <v>2077</v>
      </c>
      <c r="I526" s="34" t="s">
        <v>40</v>
      </c>
      <c r="J526" s="35" t="s">
        <v>2078</v>
      </c>
      <c r="K526" s="30" t="s">
        <v>2079</v>
      </c>
    </row>
    <row r="527" customFormat="false" ht="14.25" hidden="false" customHeight="true" outlineLevel="0" collapsed="false">
      <c r="A527" s="27"/>
      <c r="B527" s="27"/>
      <c r="C527" s="27"/>
      <c r="D527" s="27"/>
      <c r="E527" s="36" t="s">
        <v>2080</v>
      </c>
      <c r="F527" s="42"/>
      <c r="G527" s="32"/>
      <c r="H527" s="33"/>
      <c r="I527" s="34"/>
      <c r="J527" s="35"/>
      <c r="K527" s="30" t="s">
        <v>2081</v>
      </c>
    </row>
    <row r="528" customFormat="false" ht="14.25" hidden="false" customHeight="true" outlineLevel="0" collapsed="false">
      <c r="A528" s="27"/>
      <c r="B528" s="27"/>
      <c r="C528" s="27"/>
      <c r="D528" s="29" t="s">
        <v>2082</v>
      </c>
      <c r="E528" s="36" t="s">
        <v>2083</v>
      </c>
      <c r="F528" s="42" t="s">
        <v>2084</v>
      </c>
      <c r="G528" s="32" t="s">
        <v>48</v>
      </c>
      <c r="H528" s="33" t="s">
        <v>2085</v>
      </c>
      <c r="I528" s="39" t="s">
        <v>67</v>
      </c>
      <c r="J528" s="35" t="s">
        <v>2086</v>
      </c>
      <c r="K528" s="30" t="s">
        <v>2087</v>
      </c>
    </row>
    <row r="529" customFormat="false" ht="14.25" hidden="false" customHeight="true" outlineLevel="0" collapsed="false">
      <c r="A529" s="27"/>
      <c r="B529" s="27"/>
      <c r="C529" s="27"/>
      <c r="D529" s="27"/>
      <c r="E529" s="36" t="s">
        <v>2088</v>
      </c>
      <c r="F529" s="42"/>
      <c r="G529" s="32"/>
      <c r="H529" s="33"/>
      <c r="I529" s="39"/>
      <c r="J529" s="35"/>
      <c r="K529" s="30" t="s">
        <v>2089</v>
      </c>
    </row>
    <row r="530" customFormat="false" ht="14.25" hidden="false" customHeight="true" outlineLevel="0" collapsed="false">
      <c r="A530" s="27"/>
      <c r="B530" s="27"/>
      <c r="C530" s="29" t="s">
        <v>2090</v>
      </c>
      <c r="D530" s="29" t="s">
        <v>2091</v>
      </c>
      <c r="E530" s="36" t="s">
        <v>2092</v>
      </c>
      <c r="F530" s="42" t="s">
        <v>2093</v>
      </c>
      <c r="G530" s="32" t="s">
        <v>38</v>
      </c>
      <c r="H530" s="33" t="s">
        <v>2094</v>
      </c>
      <c r="I530" s="37" t="s">
        <v>50</v>
      </c>
      <c r="J530" s="35" t="s">
        <v>2095</v>
      </c>
      <c r="K530" s="30" t="s">
        <v>2096</v>
      </c>
    </row>
    <row r="531" customFormat="false" ht="14.25" hidden="false" customHeight="true" outlineLevel="0" collapsed="false">
      <c r="A531" s="27"/>
      <c r="B531" s="27"/>
      <c r="C531" s="27"/>
      <c r="D531" s="27"/>
      <c r="E531" s="36" t="s">
        <v>2097</v>
      </c>
      <c r="F531" s="42"/>
      <c r="G531" s="32"/>
      <c r="H531" s="33"/>
      <c r="I531" s="37"/>
      <c r="J531" s="35"/>
      <c r="K531" s="30" t="s">
        <v>2098</v>
      </c>
    </row>
    <row r="532" customFormat="false" ht="14.25" hidden="false" customHeight="true" outlineLevel="0" collapsed="false">
      <c r="A532" s="27"/>
      <c r="B532" s="27"/>
      <c r="C532" s="27"/>
      <c r="D532" s="29" t="s">
        <v>2099</v>
      </c>
      <c r="E532" s="36" t="s">
        <v>2100</v>
      </c>
      <c r="F532" s="42" t="s">
        <v>2101</v>
      </c>
      <c r="G532" s="32" t="s">
        <v>38</v>
      </c>
      <c r="H532" s="33" t="s">
        <v>2102</v>
      </c>
      <c r="I532" s="37" t="s">
        <v>50</v>
      </c>
      <c r="J532" s="35" t="s">
        <v>2103</v>
      </c>
      <c r="K532" s="30" t="s">
        <v>2104</v>
      </c>
    </row>
    <row r="533" customFormat="false" ht="14.25" hidden="false" customHeight="true" outlineLevel="0" collapsed="false">
      <c r="A533" s="27"/>
      <c r="B533" s="27"/>
      <c r="C533" s="27"/>
      <c r="D533" s="27"/>
      <c r="E533" s="36" t="s">
        <v>2105</v>
      </c>
      <c r="F533" s="42"/>
      <c r="G533" s="32"/>
      <c r="H533" s="33"/>
      <c r="I533" s="37"/>
      <c r="J533" s="35"/>
      <c r="K533" s="30" t="s">
        <v>2106</v>
      </c>
    </row>
    <row r="534" customFormat="false" ht="14.25" hidden="false" customHeight="true" outlineLevel="0" collapsed="false">
      <c r="A534" s="27"/>
      <c r="B534" s="27"/>
      <c r="C534" s="27"/>
      <c r="D534" s="29" t="s">
        <v>2107</v>
      </c>
      <c r="E534" s="36" t="s">
        <v>2108</v>
      </c>
      <c r="F534" s="42" t="s">
        <v>2109</v>
      </c>
      <c r="G534" s="32" t="s">
        <v>38</v>
      </c>
      <c r="H534" s="33" t="s">
        <v>2110</v>
      </c>
      <c r="I534" s="39" t="s">
        <v>67</v>
      </c>
      <c r="J534" s="35" t="s">
        <v>2111</v>
      </c>
      <c r="K534" s="30" t="s">
        <v>2112</v>
      </c>
    </row>
    <row r="535" customFormat="false" ht="14.25" hidden="false" customHeight="true" outlineLevel="0" collapsed="false">
      <c r="A535" s="27"/>
      <c r="B535" s="27"/>
      <c r="C535" s="27"/>
      <c r="D535" s="27"/>
      <c r="E535" s="36" t="s">
        <v>2113</v>
      </c>
      <c r="F535" s="42"/>
      <c r="G535" s="32"/>
      <c r="H535" s="33"/>
      <c r="I535" s="39"/>
      <c r="J535" s="35"/>
      <c r="K535" s="30" t="s">
        <v>1521</v>
      </c>
    </row>
    <row r="536" customFormat="false" ht="14.25" hidden="false" customHeight="true" outlineLevel="0" collapsed="false">
      <c r="A536" s="27"/>
      <c r="B536" s="27"/>
      <c r="C536" s="27"/>
      <c r="D536" s="29" t="s">
        <v>2114</v>
      </c>
      <c r="E536" s="36" t="s">
        <v>2115</v>
      </c>
      <c r="F536" s="42" t="s">
        <v>2116</v>
      </c>
      <c r="G536" s="32" t="s">
        <v>48</v>
      </c>
      <c r="H536" s="33" t="s">
        <v>2117</v>
      </c>
      <c r="I536" s="34" t="s">
        <v>40</v>
      </c>
      <c r="J536" s="35" t="s">
        <v>2118</v>
      </c>
      <c r="K536" s="30" t="s">
        <v>2119</v>
      </c>
    </row>
    <row r="537" customFormat="false" ht="14.25" hidden="false" customHeight="true" outlineLevel="0" collapsed="false">
      <c r="A537" s="27"/>
      <c r="B537" s="27"/>
      <c r="C537" s="27"/>
      <c r="D537" s="27"/>
      <c r="E537" s="36" t="s">
        <v>2120</v>
      </c>
      <c r="F537" s="42"/>
      <c r="G537" s="32"/>
      <c r="H537" s="33"/>
      <c r="I537" s="34"/>
      <c r="J537" s="35"/>
      <c r="K537" s="30" t="s">
        <v>2121</v>
      </c>
    </row>
    <row r="538" customFormat="false" ht="14.25" hidden="false" customHeight="true" outlineLevel="0" collapsed="false">
      <c r="A538" s="27"/>
      <c r="B538" s="27"/>
      <c r="C538" s="27"/>
      <c r="D538" s="29" t="s">
        <v>2122</v>
      </c>
      <c r="E538" s="36" t="s">
        <v>2123</v>
      </c>
      <c r="F538" s="42" t="s">
        <v>2124</v>
      </c>
      <c r="G538" s="32" t="s">
        <v>58</v>
      </c>
      <c r="H538" s="33" t="s">
        <v>2125</v>
      </c>
      <c r="I538" s="39" t="s">
        <v>67</v>
      </c>
      <c r="J538" s="35" t="s">
        <v>2126</v>
      </c>
      <c r="K538" s="30" t="s">
        <v>2127</v>
      </c>
    </row>
    <row r="539" customFormat="false" ht="14.25" hidden="false" customHeight="true" outlineLevel="0" collapsed="false">
      <c r="A539" s="27"/>
      <c r="B539" s="27"/>
      <c r="C539" s="27"/>
      <c r="D539" s="27"/>
      <c r="E539" s="36" t="s">
        <v>2128</v>
      </c>
      <c r="F539" s="42"/>
      <c r="G539" s="32"/>
      <c r="H539" s="33"/>
      <c r="I539" s="39"/>
      <c r="J539" s="35"/>
      <c r="K539" s="30" t="s">
        <v>2129</v>
      </c>
    </row>
    <row r="540" customFormat="false" ht="14.25" hidden="false" customHeight="true" outlineLevel="0" collapsed="false">
      <c r="A540" s="27"/>
      <c r="B540" s="27"/>
      <c r="C540" s="40" t="s">
        <v>2130</v>
      </c>
      <c r="D540" s="29" t="s">
        <v>2131</v>
      </c>
      <c r="E540" s="36" t="s">
        <v>2132</v>
      </c>
      <c r="F540" s="42" t="s">
        <v>2133</v>
      </c>
      <c r="G540" s="32" t="s">
        <v>48</v>
      </c>
      <c r="H540" s="33" t="s">
        <v>2134</v>
      </c>
      <c r="I540" s="37" t="s">
        <v>50</v>
      </c>
      <c r="J540" s="35" t="s">
        <v>2135</v>
      </c>
      <c r="K540" s="30" t="s">
        <v>2136</v>
      </c>
    </row>
    <row r="541" customFormat="false" ht="14.25" hidden="false" customHeight="true" outlineLevel="0" collapsed="false">
      <c r="A541" s="27"/>
      <c r="B541" s="27"/>
      <c r="C541" s="27"/>
      <c r="D541" s="27"/>
      <c r="E541" s="36" t="s">
        <v>2137</v>
      </c>
      <c r="F541" s="42"/>
      <c r="G541" s="32"/>
      <c r="H541" s="33"/>
      <c r="I541" s="37"/>
      <c r="J541" s="35"/>
      <c r="K541" s="30" t="s">
        <v>2138</v>
      </c>
    </row>
    <row r="542" customFormat="false" ht="14.25" hidden="false" customHeight="true" outlineLevel="0" collapsed="false">
      <c r="A542" s="27"/>
      <c r="B542" s="27"/>
      <c r="C542" s="27"/>
      <c r="D542" s="29" t="s">
        <v>2139</v>
      </c>
      <c r="E542" s="36" t="s">
        <v>2140</v>
      </c>
      <c r="F542" s="42" t="s">
        <v>2141</v>
      </c>
      <c r="G542" s="32" t="s">
        <v>48</v>
      </c>
      <c r="H542" s="33" t="s">
        <v>2142</v>
      </c>
      <c r="I542" s="37" t="s">
        <v>50</v>
      </c>
      <c r="J542" s="35" t="s">
        <v>2143</v>
      </c>
      <c r="K542" s="30" t="s">
        <v>2144</v>
      </c>
    </row>
    <row r="543" customFormat="false" ht="14.25" hidden="false" customHeight="true" outlineLevel="0" collapsed="false">
      <c r="A543" s="27"/>
      <c r="B543" s="27"/>
      <c r="C543" s="27"/>
      <c r="D543" s="27"/>
      <c r="E543" s="36" t="s">
        <v>2145</v>
      </c>
      <c r="F543" s="42"/>
      <c r="G543" s="32"/>
      <c r="H543" s="33"/>
      <c r="I543" s="37"/>
      <c r="J543" s="35"/>
      <c r="K543" s="30" t="s">
        <v>2072</v>
      </c>
    </row>
    <row r="544" customFormat="false" ht="14.25" hidden="false" customHeight="true" outlineLevel="0" collapsed="false">
      <c r="A544" s="27"/>
      <c r="B544" s="27"/>
      <c r="C544" s="27"/>
      <c r="D544" s="29" t="s">
        <v>2146</v>
      </c>
      <c r="E544" s="36" t="s">
        <v>2147</v>
      </c>
      <c r="F544" s="42" t="s">
        <v>2148</v>
      </c>
      <c r="G544" s="32" t="s">
        <v>38</v>
      </c>
      <c r="H544" s="33" t="s">
        <v>2149</v>
      </c>
      <c r="I544" s="39" t="s">
        <v>67</v>
      </c>
      <c r="J544" s="35" t="s">
        <v>2150</v>
      </c>
      <c r="K544" s="30" t="s">
        <v>2041</v>
      </c>
    </row>
    <row r="545" customFormat="false" ht="14.25" hidden="false" customHeight="true" outlineLevel="0" collapsed="false">
      <c r="A545" s="27"/>
      <c r="B545" s="27"/>
      <c r="C545" s="27"/>
      <c r="D545" s="27"/>
      <c r="E545" s="36" t="s">
        <v>2151</v>
      </c>
      <c r="F545" s="42"/>
      <c r="G545" s="32"/>
      <c r="H545" s="33"/>
      <c r="I545" s="39"/>
      <c r="J545" s="35"/>
      <c r="K545" s="30" t="s">
        <v>2043</v>
      </c>
    </row>
    <row r="546" customFormat="false" ht="14.25" hidden="false" customHeight="true" outlineLevel="0" collapsed="false">
      <c r="A546" s="27"/>
      <c r="B546" s="27"/>
      <c r="C546" s="27"/>
      <c r="D546" s="29" t="s">
        <v>2152</v>
      </c>
      <c r="E546" s="36" t="s">
        <v>2153</v>
      </c>
      <c r="F546" s="42" t="s">
        <v>2154</v>
      </c>
      <c r="G546" s="32" t="s">
        <v>38</v>
      </c>
      <c r="H546" s="33" t="s">
        <v>2155</v>
      </c>
      <c r="I546" s="34" t="s">
        <v>40</v>
      </c>
      <c r="J546" s="35" t="s">
        <v>2156</v>
      </c>
      <c r="K546" s="30" t="s">
        <v>2048</v>
      </c>
    </row>
    <row r="547" customFormat="false" ht="14.25" hidden="false" customHeight="true" outlineLevel="0" collapsed="false">
      <c r="A547" s="27"/>
      <c r="B547" s="27"/>
      <c r="C547" s="27"/>
      <c r="D547" s="27"/>
      <c r="E547" s="36" t="s">
        <v>2157</v>
      </c>
      <c r="F547" s="42"/>
      <c r="G547" s="32"/>
      <c r="H547" s="33"/>
      <c r="I547" s="34"/>
      <c r="J547" s="35"/>
      <c r="K547" s="30" t="s">
        <v>2050</v>
      </c>
    </row>
    <row r="548" customFormat="false" ht="14.25" hidden="false" customHeight="true" outlineLevel="0" collapsed="false">
      <c r="A548" s="27"/>
      <c r="B548" s="27"/>
      <c r="C548" s="27"/>
      <c r="D548" s="29" t="s">
        <v>2158</v>
      </c>
      <c r="E548" s="36" t="s">
        <v>2159</v>
      </c>
      <c r="F548" s="42" t="s">
        <v>2160</v>
      </c>
      <c r="G548" s="32" t="s">
        <v>38</v>
      </c>
      <c r="H548" s="33" t="s">
        <v>2161</v>
      </c>
      <c r="I548" s="39" t="s">
        <v>67</v>
      </c>
      <c r="J548" s="35" t="s">
        <v>2162</v>
      </c>
      <c r="K548" s="30" t="s">
        <v>2056</v>
      </c>
    </row>
    <row r="549" customFormat="false" ht="14.25" hidden="false" customHeight="true" outlineLevel="0" collapsed="false">
      <c r="A549" s="27"/>
      <c r="B549" s="27"/>
      <c r="C549" s="27"/>
      <c r="D549" s="27"/>
      <c r="E549" s="36" t="s">
        <v>2163</v>
      </c>
      <c r="F549" s="42"/>
      <c r="G549" s="32"/>
      <c r="H549" s="33"/>
      <c r="I549" s="39"/>
      <c r="J549" s="35"/>
      <c r="K549" s="30" t="s">
        <v>2058</v>
      </c>
    </row>
    <row r="550" customFormat="false" ht="14.25" hidden="false" customHeight="true" outlineLevel="0" collapsed="false">
      <c r="A550" s="27"/>
      <c r="B550" s="27"/>
      <c r="C550" s="40" t="s">
        <v>2164</v>
      </c>
      <c r="D550" s="29" t="s">
        <v>2165</v>
      </c>
      <c r="E550" s="36" t="s">
        <v>2166</v>
      </c>
      <c r="F550" s="42" t="s">
        <v>2167</v>
      </c>
      <c r="G550" s="32" t="s">
        <v>48</v>
      </c>
      <c r="H550" s="33" t="s">
        <v>2168</v>
      </c>
      <c r="I550" s="37" t="s">
        <v>50</v>
      </c>
      <c r="J550" s="35" t="s">
        <v>2169</v>
      </c>
      <c r="K550" s="30" t="s">
        <v>2064</v>
      </c>
    </row>
    <row r="551" customFormat="false" ht="14.25" hidden="false" customHeight="true" outlineLevel="0" collapsed="false">
      <c r="A551" s="27"/>
      <c r="B551" s="27"/>
      <c r="C551" s="27"/>
      <c r="D551" s="27"/>
      <c r="E551" s="36" t="s">
        <v>2170</v>
      </c>
      <c r="F551" s="42"/>
      <c r="G551" s="32"/>
      <c r="H551" s="33"/>
      <c r="I551" s="37"/>
      <c r="J551" s="35"/>
      <c r="K551" s="30" t="s">
        <v>2066</v>
      </c>
    </row>
    <row r="552" customFormat="false" ht="14.25" hidden="false" customHeight="true" outlineLevel="0" collapsed="false">
      <c r="A552" s="27"/>
      <c r="B552" s="27"/>
      <c r="C552" s="27"/>
      <c r="D552" s="29" t="s">
        <v>2171</v>
      </c>
      <c r="E552" s="36" t="s">
        <v>2172</v>
      </c>
      <c r="F552" s="42" t="s">
        <v>2173</v>
      </c>
      <c r="G552" s="32" t="s">
        <v>58</v>
      </c>
      <c r="H552" s="33" t="s">
        <v>2174</v>
      </c>
      <c r="I552" s="37" t="s">
        <v>50</v>
      </c>
      <c r="J552" s="35" t="s">
        <v>2175</v>
      </c>
      <c r="K552" s="30" t="s">
        <v>2072</v>
      </c>
    </row>
    <row r="553" customFormat="false" ht="14.25" hidden="false" customHeight="true" outlineLevel="0" collapsed="false">
      <c r="A553" s="27"/>
      <c r="B553" s="27"/>
      <c r="C553" s="27"/>
      <c r="D553" s="27"/>
      <c r="E553" s="36" t="s">
        <v>1514</v>
      </c>
      <c r="F553" s="42"/>
      <c r="G553" s="32"/>
      <c r="H553" s="33"/>
      <c r="I553" s="37"/>
      <c r="J553" s="35"/>
      <c r="K553" s="30" t="s">
        <v>2073</v>
      </c>
    </row>
    <row r="554" customFormat="false" ht="14.25" hidden="false" customHeight="true" outlineLevel="0" collapsed="false">
      <c r="A554" s="27"/>
      <c r="B554" s="27"/>
      <c r="C554" s="27"/>
      <c r="D554" s="29" t="s">
        <v>2176</v>
      </c>
      <c r="E554" s="36" t="s">
        <v>2177</v>
      </c>
      <c r="F554" s="42" t="s">
        <v>2178</v>
      </c>
      <c r="G554" s="32" t="s">
        <v>48</v>
      </c>
      <c r="H554" s="33" t="s">
        <v>2179</v>
      </c>
      <c r="I554" s="39" t="s">
        <v>67</v>
      </c>
      <c r="J554" s="35" t="s">
        <v>2180</v>
      </c>
      <c r="K554" s="30" t="s">
        <v>2079</v>
      </c>
    </row>
    <row r="555" customFormat="false" ht="14.25" hidden="false" customHeight="true" outlineLevel="0" collapsed="false">
      <c r="A555" s="27"/>
      <c r="B555" s="27"/>
      <c r="C555" s="27"/>
      <c r="D555" s="27"/>
      <c r="E555" s="36" t="s">
        <v>2181</v>
      </c>
      <c r="F555" s="42"/>
      <c r="G555" s="32"/>
      <c r="H555" s="33"/>
      <c r="I555" s="39"/>
      <c r="J555" s="35"/>
      <c r="K555" s="30" t="s">
        <v>2081</v>
      </c>
    </row>
    <row r="556" customFormat="false" ht="14.25" hidden="false" customHeight="true" outlineLevel="0" collapsed="false">
      <c r="A556" s="27"/>
      <c r="B556" s="27"/>
      <c r="C556" s="27"/>
      <c r="D556" s="29" t="s">
        <v>2182</v>
      </c>
      <c r="E556" s="36" t="s">
        <v>2147</v>
      </c>
      <c r="F556" s="42" t="s">
        <v>2183</v>
      </c>
      <c r="G556" s="32" t="s">
        <v>48</v>
      </c>
      <c r="H556" s="33" t="s">
        <v>2184</v>
      </c>
      <c r="I556" s="34" t="s">
        <v>40</v>
      </c>
      <c r="J556" s="35" t="s">
        <v>2185</v>
      </c>
      <c r="K556" s="30" t="s">
        <v>2087</v>
      </c>
    </row>
    <row r="557" customFormat="false" ht="14.25" hidden="false" customHeight="true" outlineLevel="0" collapsed="false">
      <c r="A557" s="27"/>
      <c r="B557" s="27"/>
      <c r="C557" s="27"/>
      <c r="D557" s="27"/>
      <c r="E557" s="36" t="s">
        <v>2186</v>
      </c>
      <c r="F557" s="42"/>
      <c r="G557" s="32"/>
      <c r="H557" s="33"/>
      <c r="I557" s="34"/>
      <c r="J557" s="35"/>
      <c r="K557" s="30" t="s">
        <v>2089</v>
      </c>
    </row>
    <row r="558" customFormat="false" ht="14.25" hidden="false" customHeight="true" outlineLevel="0" collapsed="false">
      <c r="A558" s="27"/>
      <c r="B558" s="27"/>
      <c r="C558" s="27"/>
      <c r="D558" s="29" t="s">
        <v>2187</v>
      </c>
      <c r="E558" s="36" t="s">
        <v>2151</v>
      </c>
      <c r="F558" s="42" t="s">
        <v>2188</v>
      </c>
      <c r="G558" s="32" t="s">
        <v>38</v>
      </c>
      <c r="H558" s="33" t="s">
        <v>2189</v>
      </c>
      <c r="I558" s="39" t="s">
        <v>67</v>
      </c>
      <c r="J558" s="35" t="s">
        <v>2190</v>
      </c>
      <c r="K558" s="30" t="s">
        <v>2096</v>
      </c>
    </row>
    <row r="559" customFormat="false" ht="14.25" hidden="false" customHeight="true" outlineLevel="0" collapsed="false">
      <c r="A559" s="27"/>
      <c r="B559" s="27"/>
      <c r="C559" s="27"/>
      <c r="D559" s="27"/>
      <c r="E559" s="36" t="s">
        <v>2191</v>
      </c>
      <c r="F559" s="42"/>
      <c r="G559" s="32"/>
      <c r="H559" s="33"/>
      <c r="I559" s="39"/>
      <c r="J559" s="35"/>
      <c r="K559" s="30" t="s">
        <v>2098</v>
      </c>
    </row>
    <row r="560" customFormat="false" ht="14.25" hidden="false" customHeight="true" outlineLevel="0" collapsed="false">
      <c r="A560" s="27"/>
      <c r="B560" s="27"/>
      <c r="C560" s="40" t="s">
        <v>2192</v>
      </c>
      <c r="D560" s="29" t="s">
        <v>2193</v>
      </c>
      <c r="E560" s="36" t="s">
        <v>2153</v>
      </c>
      <c r="F560" s="42" t="s">
        <v>2194</v>
      </c>
      <c r="G560" s="32" t="s">
        <v>38</v>
      </c>
      <c r="H560" s="33" t="s">
        <v>2195</v>
      </c>
      <c r="I560" s="37" t="s">
        <v>50</v>
      </c>
      <c r="J560" s="35" t="s">
        <v>2196</v>
      </c>
      <c r="K560" s="30" t="s">
        <v>2104</v>
      </c>
    </row>
    <row r="561" customFormat="false" ht="14.25" hidden="false" customHeight="true" outlineLevel="0" collapsed="false">
      <c r="A561" s="27"/>
      <c r="B561" s="27"/>
      <c r="C561" s="27"/>
      <c r="D561" s="27"/>
      <c r="E561" s="36" t="s">
        <v>2197</v>
      </c>
      <c r="F561" s="42"/>
      <c r="G561" s="32"/>
      <c r="H561" s="33"/>
      <c r="I561" s="37"/>
      <c r="J561" s="35"/>
      <c r="K561" s="30" t="s">
        <v>2106</v>
      </c>
    </row>
    <row r="562" customFormat="false" ht="14.25" hidden="false" customHeight="true" outlineLevel="0" collapsed="false">
      <c r="A562" s="27"/>
      <c r="B562" s="27"/>
      <c r="C562" s="27"/>
      <c r="D562" s="29" t="s">
        <v>2198</v>
      </c>
      <c r="E562" s="36" t="s">
        <v>2157</v>
      </c>
      <c r="F562" s="42" t="s">
        <v>2199</v>
      </c>
      <c r="G562" s="32" t="s">
        <v>38</v>
      </c>
      <c r="H562" s="33" t="s">
        <v>2200</v>
      </c>
      <c r="I562" s="37" t="s">
        <v>50</v>
      </c>
      <c r="J562" s="35" t="s">
        <v>1642</v>
      </c>
      <c r="K562" s="30" t="s">
        <v>2112</v>
      </c>
    </row>
    <row r="563" customFormat="false" ht="14.25" hidden="false" customHeight="true" outlineLevel="0" collapsed="false">
      <c r="A563" s="27"/>
      <c r="B563" s="27"/>
      <c r="C563" s="27"/>
      <c r="D563" s="27"/>
      <c r="E563" s="36" t="s">
        <v>2201</v>
      </c>
      <c r="F563" s="42"/>
      <c r="G563" s="32"/>
      <c r="H563" s="33"/>
      <c r="I563" s="37"/>
      <c r="J563" s="35"/>
      <c r="K563" s="30" t="s">
        <v>1521</v>
      </c>
    </row>
    <row r="564" customFormat="false" ht="14.25" hidden="false" customHeight="true" outlineLevel="0" collapsed="false">
      <c r="A564" s="27"/>
      <c r="B564" s="27"/>
      <c r="C564" s="27"/>
      <c r="D564" s="29" t="s">
        <v>2202</v>
      </c>
      <c r="E564" s="36" t="s">
        <v>2159</v>
      </c>
      <c r="F564" s="42" t="s">
        <v>2203</v>
      </c>
      <c r="G564" s="32" t="s">
        <v>48</v>
      </c>
      <c r="H564" s="33" t="s">
        <v>2204</v>
      </c>
      <c r="I564" s="39" t="s">
        <v>67</v>
      </c>
      <c r="J564" s="35" t="s">
        <v>2205</v>
      </c>
      <c r="K564" s="30" t="s">
        <v>2119</v>
      </c>
    </row>
    <row r="565" customFormat="false" ht="14.25" hidden="false" customHeight="true" outlineLevel="0" collapsed="false">
      <c r="A565" s="27"/>
      <c r="B565" s="27"/>
      <c r="C565" s="27"/>
      <c r="D565" s="27"/>
      <c r="E565" s="36" t="s">
        <v>2206</v>
      </c>
      <c r="F565" s="42"/>
      <c r="G565" s="32"/>
      <c r="H565" s="33"/>
      <c r="I565" s="39"/>
      <c r="J565" s="35"/>
      <c r="K565" s="30" t="s">
        <v>2121</v>
      </c>
    </row>
    <row r="566" customFormat="false" ht="14.25" hidden="false" customHeight="true" outlineLevel="0" collapsed="false">
      <c r="A566" s="27"/>
      <c r="B566" s="27"/>
      <c r="C566" s="27"/>
      <c r="D566" s="29" t="s">
        <v>2207</v>
      </c>
      <c r="E566" s="36" t="s">
        <v>2163</v>
      </c>
      <c r="F566" s="42" t="s">
        <v>2208</v>
      </c>
      <c r="G566" s="32" t="s">
        <v>58</v>
      </c>
      <c r="H566" s="33" t="s">
        <v>2209</v>
      </c>
      <c r="I566" s="34" t="s">
        <v>40</v>
      </c>
      <c r="J566" s="35" t="s">
        <v>2210</v>
      </c>
      <c r="K566" s="30" t="s">
        <v>2127</v>
      </c>
    </row>
    <row r="567" customFormat="false" ht="14.25" hidden="false" customHeight="true" outlineLevel="0" collapsed="false">
      <c r="A567" s="27"/>
      <c r="B567" s="27"/>
      <c r="C567" s="27"/>
      <c r="D567" s="27"/>
      <c r="E567" s="36" t="s">
        <v>2211</v>
      </c>
      <c r="F567" s="42"/>
      <c r="G567" s="32"/>
      <c r="H567" s="33"/>
      <c r="I567" s="34"/>
      <c r="J567" s="35"/>
      <c r="K567" s="30" t="s">
        <v>2129</v>
      </c>
    </row>
    <row r="568" customFormat="false" ht="14.25" hidden="false" customHeight="true" outlineLevel="0" collapsed="false">
      <c r="A568" s="27"/>
      <c r="B568" s="27"/>
      <c r="C568" s="27"/>
      <c r="D568" s="29" t="s">
        <v>2212</v>
      </c>
      <c r="E568" s="36" t="s">
        <v>2166</v>
      </c>
      <c r="F568" s="42" t="s">
        <v>2213</v>
      </c>
      <c r="G568" s="32" t="s">
        <v>48</v>
      </c>
      <c r="H568" s="33" t="s">
        <v>2214</v>
      </c>
      <c r="I568" s="39" t="s">
        <v>67</v>
      </c>
      <c r="J568" s="35" t="s">
        <v>2215</v>
      </c>
      <c r="K568" s="30" t="s">
        <v>2216</v>
      </c>
    </row>
    <row r="569" customFormat="false" ht="14.25" hidden="false" customHeight="true" outlineLevel="0" collapsed="false">
      <c r="A569" s="27"/>
      <c r="B569" s="27"/>
      <c r="C569" s="27"/>
      <c r="D569" s="27"/>
      <c r="E569" s="36" t="s">
        <v>2217</v>
      </c>
      <c r="F569" s="42"/>
      <c r="G569" s="32"/>
      <c r="H569" s="33"/>
      <c r="I569" s="39"/>
      <c r="J569" s="35"/>
      <c r="K569" s="30" t="s">
        <v>2218</v>
      </c>
    </row>
    <row r="570" customFormat="false" ht="14.25" hidden="false" customHeight="true" outlineLevel="0" collapsed="false">
      <c r="A570" s="27"/>
      <c r="B570" s="27"/>
      <c r="C570" s="29" t="s">
        <v>2219</v>
      </c>
      <c r="D570" s="29" t="s">
        <v>2220</v>
      </c>
      <c r="E570" s="36" t="s">
        <v>2170</v>
      </c>
      <c r="F570" s="42" t="s">
        <v>2221</v>
      </c>
      <c r="G570" s="32" t="s">
        <v>48</v>
      </c>
      <c r="H570" s="33" t="s">
        <v>1771</v>
      </c>
      <c r="I570" s="37" t="s">
        <v>50</v>
      </c>
      <c r="J570" s="35" t="s">
        <v>2222</v>
      </c>
      <c r="K570" s="30" t="s">
        <v>2223</v>
      </c>
    </row>
    <row r="571" customFormat="false" ht="14.25" hidden="false" customHeight="true" outlineLevel="0" collapsed="false">
      <c r="A571" s="27"/>
      <c r="B571" s="27"/>
      <c r="C571" s="27"/>
      <c r="D571" s="27"/>
      <c r="E571" s="36" t="s">
        <v>2224</v>
      </c>
      <c r="F571" s="42"/>
      <c r="G571" s="32"/>
      <c r="H571" s="33"/>
      <c r="I571" s="37"/>
      <c r="J571" s="35"/>
      <c r="K571" s="30" t="s">
        <v>2225</v>
      </c>
    </row>
    <row r="572" customFormat="false" ht="14.25" hidden="false" customHeight="true" outlineLevel="0" collapsed="false">
      <c r="A572" s="27"/>
      <c r="B572" s="27"/>
      <c r="C572" s="27"/>
      <c r="D572" s="29" t="s">
        <v>2226</v>
      </c>
      <c r="E572" s="36" t="s">
        <v>2172</v>
      </c>
      <c r="F572" s="42" t="s">
        <v>2227</v>
      </c>
      <c r="G572" s="32" t="s">
        <v>38</v>
      </c>
      <c r="H572" s="33" t="s">
        <v>2228</v>
      </c>
      <c r="I572" s="37" t="s">
        <v>50</v>
      </c>
      <c r="J572" s="35" t="s">
        <v>2229</v>
      </c>
      <c r="K572" s="30" t="s">
        <v>2230</v>
      </c>
    </row>
    <row r="573" customFormat="false" ht="14.25" hidden="false" customHeight="true" outlineLevel="0" collapsed="false">
      <c r="A573" s="27"/>
      <c r="B573" s="27"/>
      <c r="C573" s="27"/>
      <c r="D573" s="27"/>
      <c r="E573" s="36" t="s">
        <v>2231</v>
      </c>
      <c r="F573" s="42"/>
      <c r="G573" s="32"/>
      <c r="H573" s="33"/>
      <c r="I573" s="37"/>
      <c r="J573" s="35"/>
      <c r="K573" s="30" t="s">
        <v>2232</v>
      </c>
    </row>
    <row r="574" customFormat="false" ht="14.25" hidden="false" customHeight="true" outlineLevel="0" collapsed="false">
      <c r="A574" s="27"/>
      <c r="B574" s="27"/>
      <c r="C574" s="27"/>
      <c r="D574" s="29" t="s">
        <v>2233</v>
      </c>
      <c r="E574" s="36" t="s">
        <v>1514</v>
      </c>
      <c r="F574" s="42" t="s">
        <v>2234</v>
      </c>
      <c r="G574" s="32" t="s">
        <v>38</v>
      </c>
      <c r="H574" s="33" t="s">
        <v>2235</v>
      </c>
      <c r="I574" s="39" t="s">
        <v>67</v>
      </c>
      <c r="J574" s="35" t="s">
        <v>2236</v>
      </c>
      <c r="K574" s="30" t="s">
        <v>2237</v>
      </c>
    </row>
    <row r="575" customFormat="false" ht="14.25" hidden="false" customHeight="true" outlineLevel="0" collapsed="false">
      <c r="A575" s="27"/>
      <c r="B575" s="27"/>
      <c r="C575" s="27"/>
      <c r="D575" s="27"/>
      <c r="E575" s="36" t="s">
        <v>576</v>
      </c>
      <c r="F575" s="42"/>
      <c r="G575" s="32"/>
      <c r="H575" s="33"/>
      <c r="I575" s="39"/>
      <c r="J575" s="35"/>
      <c r="K575" s="30" t="s">
        <v>2238</v>
      </c>
    </row>
    <row r="576" customFormat="false" ht="14.25" hidden="false" customHeight="true" outlineLevel="0" collapsed="false">
      <c r="A576" s="27"/>
      <c r="B576" s="27"/>
      <c r="C576" s="27"/>
      <c r="D576" s="29" t="s">
        <v>2239</v>
      </c>
      <c r="E576" s="36" t="s">
        <v>2177</v>
      </c>
      <c r="F576" s="42" t="s">
        <v>2240</v>
      </c>
      <c r="G576" s="32" t="s">
        <v>38</v>
      </c>
      <c r="H576" s="33" t="s">
        <v>2241</v>
      </c>
      <c r="I576" s="34" t="s">
        <v>40</v>
      </c>
      <c r="J576" s="35" t="s">
        <v>2242</v>
      </c>
      <c r="K576" s="30" t="s">
        <v>2243</v>
      </c>
    </row>
    <row r="577" customFormat="false" ht="14.25" hidden="false" customHeight="true" outlineLevel="0" collapsed="false">
      <c r="A577" s="27"/>
      <c r="B577" s="27"/>
      <c r="C577" s="27"/>
      <c r="D577" s="27"/>
      <c r="E577" s="36" t="s">
        <v>2244</v>
      </c>
      <c r="F577" s="42"/>
      <c r="G577" s="32"/>
      <c r="H577" s="33"/>
      <c r="I577" s="34"/>
      <c r="J577" s="35"/>
      <c r="K577" s="30" t="s">
        <v>2245</v>
      </c>
    </row>
    <row r="578" customFormat="false" ht="14.25" hidden="false" customHeight="true" outlineLevel="0" collapsed="false">
      <c r="A578" s="27"/>
      <c r="B578" s="27"/>
      <c r="C578" s="27"/>
      <c r="D578" s="29" t="s">
        <v>2246</v>
      </c>
      <c r="E578" s="36" t="s">
        <v>2181</v>
      </c>
      <c r="F578" s="42" t="s">
        <v>2247</v>
      </c>
      <c r="G578" s="32" t="s">
        <v>48</v>
      </c>
      <c r="H578" s="33" t="s">
        <v>2248</v>
      </c>
      <c r="I578" s="39" t="s">
        <v>67</v>
      </c>
      <c r="J578" s="35" t="s">
        <v>2249</v>
      </c>
      <c r="K578" s="30" t="s">
        <v>2250</v>
      </c>
    </row>
    <row r="579" customFormat="false" ht="14.25" hidden="false" customHeight="true" outlineLevel="0" collapsed="false">
      <c r="A579" s="27"/>
      <c r="B579" s="27"/>
      <c r="C579" s="27"/>
      <c r="D579" s="27"/>
      <c r="E579" s="36" t="s">
        <v>2251</v>
      </c>
      <c r="F579" s="42"/>
      <c r="G579" s="32"/>
      <c r="H579" s="33"/>
      <c r="I579" s="39"/>
      <c r="J579" s="35"/>
      <c r="K579" s="30" t="s">
        <v>2252</v>
      </c>
    </row>
    <row r="580" customFormat="false" ht="14.25" hidden="false" customHeight="true" outlineLevel="0" collapsed="false">
      <c r="A580" s="27"/>
      <c r="B580" s="27"/>
      <c r="C580" s="40" t="s">
        <v>2253</v>
      </c>
      <c r="D580" s="29" t="s">
        <v>2254</v>
      </c>
      <c r="E580" s="36" t="s">
        <v>2254</v>
      </c>
      <c r="F580" s="42" t="s">
        <v>2255</v>
      </c>
      <c r="G580" s="32" t="s">
        <v>58</v>
      </c>
      <c r="H580" s="33" t="s">
        <v>2256</v>
      </c>
      <c r="I580" s="37" t="s">
        <v>50</v>
      </c>
      <c r="J580" s="35" t="s">
        <v>2257</v>
      </c>
      <c r="K580" s="30" t="s">
        <v>2258</v>
      </c>
    </row>
    <row r="581" customFormat="false" ht="14.25" hidden="false" customHeight="true" outlineLevel="0" collapsed="false">
      <c r="A581" s="27"/>
      <c r="B581" s="27"/>
      <c r="C581" s="27"/>
      <c r="D581" s="27"/>
      <c r="E581" s="36" t="s">
        <v>2259</v>
      </c>
      <c r="F581" s="42"/>
      <c r="G581" s="32"/>
      <c r="H581" s="33"/>
      <c r="I581" s="37"/>
      <c r="J581" s="35"/>
      <c r="K581" s="30" t="s">
        <v>2260</v>
      </c>
    </row>
    <row r="582" customFormat="false" ht="14.25" hidden="false" customHeight="true" outlineLevel="0" collapsed="false">
      <c r="A582" s="27"/>
      <c r="B582" s="27"/>
      <c r="C582" s="27"/>
      <c r="D582" s="29" t="s">
        <v>2261</v>
      </c>
      <c r="E582" s="36" t="s">
        <v>2262</v>
      </c>
      <c r="F582" s="42" t="s">
        <v>2263</v>
      </c>
      <c r="G582" s="32" t="s">
        <v>48</v>
      </c>
      <c r="H582" s="33" t="s">
        <v>2264</v>
      </c>
      <c r="I582" s="37" t="s">
        <v>50</v>
      </c>
      <c r="J582" s="35" t="s">
        <v>2265</v>
      </c>
      <c r="K582" s="30" t="s">
        <v>2266</v>
      </c>
    </row>
    <row r="583" customFormat="false" ht="14.25" hidden="false" customHeight="true" outlineLevel="0" collapsed="false">
      <c r="A583" s="27"/>
      <c r="B583" s="27"/>
      <c r="C583" s="27"/>
      <c r="D583" s="27"/>
      <c r="E583" s="36" t="s">
        <v>2267</v>
      </c>
      <c r="F583" s="42"/>
      <c r="G583" s="32"/>
      <c r="H583" s="33"/>
      <c r="I583" s="37"/>
      <c r="J583" s="35"/>
      <c r="K583" s="30" t="s">
        <v>2268</v>
      </c>
    </row>
    <row r="584" customFormat="false" ht="14.25" hidden="false" customHeight="true" outlineLevel="0" collapsed="false">
      <c r="A584" s="27"/>
      <c r="B584" s="27"/>
      <c r="C584" s="27"/>
      <c r="D584" s="29" t="s">
        <v>2269</v>
      </c>
      <c r="E584" s="36" t="s">
        <v>2270</v>
      </c>
      <c r="F584" s="42" t="s">
        <v>2271</v>
      </c>
      <c r="G584" s="32" t="s">
        <v>48</v>
      </c>
      <c r="H584" s="33" t="s">
        <v>2272</v>
      </c>
      <c r="I584" s="39" t="s">
        <v>67</v>
      </c>
      <c r="J584" s="35" t="s">
        <v>2273</v>
      </c>
      <c r="K584" s="30" t="s">
        <v>2274</v>
      </c>
    </row>
    <row r="585" customFormat="false" ht="14.25" hidden="false" customHeight="true" outlineLevel="0" collapsed="false">
      <c r="A585" s="27"/>
      <c r="B585" s="27"/>
      <c r="C585" s="27"/>
      <c r="D585" s="27"/>
      <c r="E585" s="36" t="s">
        <v>2275</v>
      </c>
      <c r="F585" s="42"/>
      <c r="G585" s="32"/>
      <c r="H585" s="33"/>
      <c r="I585" s="39"/>
      <c r="J585" s="35"/>
      <c r="K585" s="30" t="s">
        <v>2276</v>
      </c>
    </row>
    <row r="586" customFormat="false" ht="14.25" hidden="false" customHeight="true" outlineLevel="0" collapsed="false">
      <c r="A586" s="27"/>
      <c r="B586" s="27"/>
      <c r="C586" s="27"/>
      <c r="D586" s="29" t="s">
        <v>2277</v>
      </c>
      <c r="E586" s="36" t="s">
        <v>2278</v>
      </c>
      <c r="F586" s="42" t="s">
        <v>2279</v>
      </c>
      <c r="G586" s="32" t="s">
        <v>38</v>
      </c>
      <c r="H586" s="33" t="s">
        <v>2280</v>
      </c>
      <c r="I586" s="34" t="s">
        <v>40</v>
      </c>
      <c r="J586" s="35" t="s">
        <v>2281</v>
      </c>
      <c r="K586" s="30" t="s">
        <v>2282</v>
      </c>
    </row>
    <row r="587" customFormat="false" ht="14.25" hidden="false" customHeight="true" outlineLevel="0" collapsed="false">
      <c r="A587" s="27"/>
      <c r="B587" s="27"/>
      <c r="C587" s="27"/>
      <c r="D587" s="27"/>
      <c r="E587" s="36" t="s">
        <v>2283</v>
      </c>
      <c r="F587" s="42"/>
      <c r="G587" s="32"/>
      <c r="H587" s="33"/>
      <c r="I587" s="34"/>
      <c r="J587" s="35"/>
      <c r="K587" s="30" t="s">
        <v>2284</v>
      </c>
    </row>
    <row r="588" customFormat="false" ht="14.25" hidden="false" customHeight="true" outlineLevel="0" collapsed="false">
      <c r="A588" s="27"/>
      <c r="B588" s="27"/>
      <c r="C588" s="27"/>
      <c r="D588" s="29" t="s">
        <v>2285</v>
      </c>
      <c r="E588" s="36" t="s">
        <v>2286</v>
      </c>
      <c r="F588" s="42" t="s">
        <v>2287</v>
      </c>
      <c r="G588" s="32" t="s">
        <v>38</v>
      </c>
      <c r="H588" s="33" t="s">
        <v>2288</v>
      </c>
      <c r="I588" s="39" t="s">
        <v>67</v>
      </c>
      <c r="J588" s="35" t="s">
        <v>2289</v>
      </c>
      <c r="K588" s="30" t="s">
        <v>2290</v>
      </c>
    </row>
    <row r="589" customFormat="false" ht="14.25" hidden="false" customHeight="true" outlineLevel="0" collapsed="false">
      <c r="A589" s="27"/>
      <c r="B589" s="27"/>
      <c r="C589" s="27"/>
      <c r="D589" s="27"/>
      <c r="E589" s="36" t="s">
        <v>2291</v>
      </c>
      <c r="F589" s="42"/>
      <c r="G589" s="32"/>
      <c r="H589" s="33"/>
      <c r="I589" s="39"/>
      <c r="J589" s="35"/>
      <c r="K589" s="30" t="s">
        <v>2292</v>
      </c>
    </row>
    <row r="590" customFormat="false" ht="14.25" hidden="false" customHeight="true" outlineLevel="0" collapsed="false">
      <c r="A590" s="27"/>
      <c r="B590" s="27"/>
      <c r="C590" s="29" t="s">
        <v>2293</v>
      </c>
      <c r="D590" s="29" t="s">
        <v>2294</v>
      </c>
      <c r="E590" s="36" t="s">
        <v>2295</v>
      </c>
      <c r="F590" s="42" t="s">
        <v>2296</v>
      </c>
      <c r="G590" s="32" t="s">
        <v>38</v>
      </c>
      <c r="H590" s="33" t="s">
        <v>2297</v>
      </c>
      <c r="I590" s="37" t="s">
        <v>50</v>
      </c>
      <c r="J590" s="35" t="s">
        <v>2298</v>
      </c>
      <c r="K590" s="30" t="s">
        <v>2127</v>
      </c>
    </row>
    <row r="591" customFormat="false" ht="14.25" hidden="false" customHeight="true" outlineLevel="0" collapsed="false">
      <c r="A591" s="27"/>
      <c r="B591" s="27"/>
      <c r="C591" s="27"/>
      <c r="D591" s="27"/>
      <c r="E591" s="36" t="s">
        <v>2299</v>
      </c>
      <c r="F591" s="42"/>
      <c r="G591" s="32"/>
      <c r="H591" s="33"/>
      <c r="I591" s="37"/>
      <c r="J591" s="35"/>
      <c r="K591" s="30" t="s">
        <v>2129</v>
      </c>
    </row>
    <row r="592" customFormat="false" ht="14.25" hidden="false" customHeight="true" outlineLevel="0" collapsed="false">
      <c r="A592" s="27"/>
      <c r="B592" s="27"/>
      <c r="C592" s="27"/>
      <c r="D592" s="29" t="s">
        <v>2300</v>
      </c>
      <c r="E592" s="36" t="s">
        <v>2301</v>
      </c>
      <c r="F592" s="42" t="s">
        <v>2302</v>
      </c>
      <c r="G592" s="32" t="s">
        <v>48</v>
      </c>
      <c r="H592" s="33" t="s">
        <v>2303</v>
      </c>
      <c r="I592" s="37" t="s">
        <v>50</v>
      </c>
      <c r="J592" s="35" t="s">
        <v>2304</v>
      </c>
      <c r="K592" s="30" t="s">
        <v>2305</v>
      </c>
    </row>
    <row r="593" customFormat="false" ht="14.25" hidden="false" customHeight="true" outlineLevel="0" collapsed="false">
      <c r="A593" s="27"/>
      <c r="B593" s="27"/>
      <c r="C593" s="27"/>
      <c r="D593" s="27"/>
      <c r="E593" s="36" t="s">
        <v>2306</v>
      </c>
      <c r="F593" s="42"/>
      <c r="G593" s="32"/>
      <c r="H593" s="33"/>
      <c r="I593" s="37"/>
      <c r="J593" s="35"/>
      <c r="K593" s="30" t="s">
        <v>2307</v>
      </c>
    </row>
    <row r="594" customFormat="false" ht="14.25" hidden="false" customHeight="true" outlineLevel="0" collapsed="false">
      <c r="A594" s="27"/>
      <c r="B594" s="27"/>
      <c r="C594" s="27"/>
      <c r="D594" s="29" t="s">
        <v>2308</v>
      </c>
      <c r="E594" s="36" t="s">
        <v>2309</v>
      </c>
      <c r="F594" s="42" t="s">
        <v>2310</v>
      </c>
      <c r="G594" s="32" t="s">
        <v>58</v>
      </c>
      <c r="H594" s="33" t="s">
        <v>2311</v>
      </c>
      <c r="I594" s="39" t="s">
        <v>67</v>
      </c>
      <c r="J594" s="35" t="s">
        <v>2312</v>
      </c>
      <c r="K594" s="30" t="s">
        <v>2313</v>
      </c>
    </row>
    <row r="595" customFormat="false" ht="14.25" hidden="false" customHeight="true" outlineLevel="0" collapsed="false">
      <c r="A595" s="27"/>
      <c r="B595" s="27"/>
      <c r="C595" s="27"/>
      <c r="D595" s="27"/>
      <c r="E595" s="36" t="s">
        <v>2314</v>
      </c>
      <c r="F595" s="42"/>
      <c r="G595" s="32"/>
      <c r="H595" s="33"/>
      <c r="I595" s="39"/>
      <c r="J595" s="35"/>
      <c r="K595" s="30" t="s">
        <v>2315</v>
      </c>
    </row>
    <row r="596" customFormat="false" ht="14.25" hidden="false" customHeight="true" outlineLevel="0" collapsed="false">
      <c r="A596" s="27"/>
      <c r="B596" s="27"/>
      <c r="C596" s="27"/>
      <c r="D596" s="29" t="s">
        <v>2316</v>
      </c>
      <c r="E596" s="36" t="s">
        <v>2317</v>
      </c>
      <c r="F596" s="42" t="s">
        <v>2318</v>
      </c>
      <c r="G596" s="32" t="s">
        <v>48</v>
      </c>
      <c r="H596" s="33" t="s">
        <v>2319</v>
      </c>
      <c r="I596" s="34" t="s">
        <v>40</v>
      </c>
      <c r="J596" s="35" t="s">
        <v>2320</v>
      </c>
      <c r="K596" s="30" t="s">
        <v>2321</v>
      </c>
    </row>
    <row r="597" customFormat="false" ht="14.25" hidden="false" customHeight="true" outlineLevel="0" collapsed="false">
      <c r="A597" s="27"/>
      <c r="B597" s="27"/>
      <c r="C597" s="27"/>
      <c r="D597" s="27"/>
      <c r="E597" s="36" t="s">
        <v>2322</v>
      </c>
      <c r="F597" s="42"/>
      <c r="G597" s="32"/>
      <c r="H597" s="33"/>
      <c r="I597" s="34"/>
      <c r="J597" s="35"/>
      <c r="K597" s="30" t="s">
        <v>2323</v>
      </c>
    </row>
    <row r="598" customFormat="false" ht="14.25" hidden="false" customHeight="true" outlineLevel="0" collapsed="false">
      <c r="A598" s="27"/>
      <c r="B598" s="27"/>
      <c r="C598" s="27"/>
      <c r="D598" s="29" t="s">
        <v>2324</v>
      </c>
      <c r="E598" s="36" t="s">
        <v>2325</v>
      </c>
      <c r="F598" s="42" t="s">
        <v>2326</v>
      </c>
      <c r="G598" s="32" t="s">
        <v>48</v>
      </c>
      <c r="H598" s="33" t="s">
        <v>2327</v>
      </c>
      <c r="I598" s="39" t="s">
        <v>67</v>
      </c>
      <c r="J598" s="35" t="s">
        <v>2328</v>
      </c>
      <c r="K598" s="30" t="s">
        <v>2329</v>
      </c>
    </row>
    <row r="599" customFormat="false" ht="14.25" hidden="false" customHeight="true" outlineLevel="0" collapsed="false">
      <c r="A599" s="27"/>
      <c r="B599" s="27"/>
      <c r="C599" s="27"/>
      <c r="D599" s="27"/>
      <c r="E599" s="36" t="s">
        <v>2330</v>
      </c>
      <c r="F599" s="42"/>
      <c r="G599" s="32"/>
      <c r="H599" s="33"/>
      <c r="I599" s="39"/>
      <c r="J599" s="35"/>
      <c r="K599" s="30" t="s">
        <v>2331</v>
      </c>
    </row>
    <row r="600" customFormat="false" ht="14.25" hidden="false" customHeight="true" outlineLevel="0" collapsed="false">
      <c r="A600" s="27"/>
      <c r="B600" s="27"/>
      <c r="C600" s="40" t="s">
        <v>2332</v>
      </c>
      <c r="D600" s="29" t="s">
        <v>2333</v>
      </c>
      <c r="E600" s="36" t="s">
        <v>2334</v>
      </c>
      <c r="F600" s="42" t="s">
        <v>2335</v>
      </c>
      <c r="G600" s="32" t="s">
        <v>38</v>
      </c>
      <c r="H600" s="33" t="s">
        <v>2336</v>
      </c>
      <c r="I600" s="37" t="s">
        <v>50</v>
      </c>
      <c r="J600" s="35" t="s">
        <v>2337</v>
      </c>
      <c r="K600" s="30" t="s">
        <v>2338</v>
      </c>
    </row>
    <row r="601" customFormat="false" ht="14.25" hidden="false" customHeight="true" outlineLevel="0" collapsed="false">
      <c r="A601" s="27"/>
      <c r="B601" s="27"/>
      <c r="C601" s="27"/>
      <c r="D601" s="27"/>
      <c r="E601" s="36" t="s">
        <v>2339</v>
      </c>
      <c r="F601" s="42"/>
      <c r="G601" s="32"/>
      <c r="H601" s="33"/>
      <c r="I601" s="37"/>
      <c r="J601" s="35"/>
      <c r="K601" s="30" t="s">
        <v>2340</v>
      </c>
    </row>
    <row r="602" customFormat="false" ht="14.25" hidden="false" customHeight="true" outlineLevel="0" collapsed="false">
      <c r="A602" s="27"/>
      <c r="B602" s="27"/>
      <c r="C602" s="27"/>
      <c r="D602" s="29" t="s">
        <v>2341</v>
      </c>
      <c r="E602" s="36" t="s">
        <v>1379</v>
      </c>
      <c r="F602" s="42" t="s">
        <v>2342</v>
      </c>
      <c r="G602" s="32" t="s">
        <v>38</v>
      </c>
      <c r="H602" s="33" t="s">
        <v>2343</v>
      </c>
      <c r="I602" s="37" t="s">
        <v>50</v>
      </c>
      <c r="J602" s="35" t="s">
        <v>2344</v>
      </c>
      <c r="K602" s="30" t="s">
        <v>2345</v>
      </c>
    </row>
    <row r="603" customFormat="false" ht="14.25" hidden="false" customHeight="true" outlineLevel="0" collapsed="false">
      <c r="A603" s="27"/>
      <c r="B603" s="27"/>
      <c r="C603" s="27"/>
      <c r="D603" s="27"/>
      <c r="E603" s="36" t="s">
        <v>2346</v>
      </c>
      <c r="F603" s="42"/>
      <c r="G603" s="32"/>
      <c r="H603" s="33"/>
      <c r="I603" s="37"/>
      <c r="J603" s="35"/>
      <c r="K603" s="30" t="s">
        <v>2347</v>
      </c>
    </row>
    <row r="604" customFormat="false" ht="14.25" hidden="false" customHeight="true" outlineLevel="0" collapsed="false">
      <c r="A604" s="27"/>
      <c r="B604" s="27"/>
      <c r="C604" s="27"/>
      <c r="D604" s="29" t="s">
        <v>2348</v>
      </c>
      <c r="E604" s="36" t="s">
        <v>2349</v>
      </c>
      <c r="F604" s="42" t="s">
        <v>2350</v>
      </c>
      <c r="G604" s="32" t="s">
        <v>38</v>
      </c>
      <c r="H604" s="33" t="s">
        <v>2351</v>
      </c>
      <c r="I604" s="39" t="s">
        <v>67</v>
      </c>
      <c r="J604" s="35" t="s">
        <v>2352</v>
      </c>
      <c r="K604" s="30" t="s">
        <v>2353</v>
      </c>
    </row>
    <row r="605" customFormat="false" ht="14.25" hidden="false" customHeight="true" outlineLevel="0" collapsed="false">
      <c r="A605" s="27"/>
      <c r="B605" s="27"/>
      <c r="C605" s="27"/>
      <c r="D605" s="27"/>
      <c r="E605" s="36" t="s">
        <v>2354</v>
      </c>
      <c r="F605" s="42"/>
      <c r="G605" s="32"/>
      <c r="H605" s="33"/>
      <c r="I605" s="39"/>
      <c r="J605" s="35"/>
      <c r="K605" s="30" t="s">
        <v>2355</v>
      </c>
    </row>
    <row r="606" customFormat="false" ht="14.25" hidden="false" customHeight="true" outlineLevel="0" collapsed="false">
      <c r="A606" s="27"/>
      <c r="B606" s="27"/>
      <c r="C606" s="27"/>
      <c r="D606" s="29" t="s">
        <v>2356</v>
      </c>
      <c r="E606" s="36" t="s">
        <v>2357</v>
      </c>
      <c r="F606" s="42" t="s">
        <v>2358</v>
      </c>
      <c r="G606" s="32" t="s">
        <v>48</v>
      </c>
      <c r="H606" s="33" t="s">
        <v>2359</v>
      </c>
      <c r="I606" s="34" t="s">
        <v>40</v>
      </c>
      <c r="J606" s="35" t="s">
        <v>2360</v>
      </c>
      <c r="K606" s="30" t="s">
        <v>2361</v>
      </c>
    </row>
    <row r="607" customFormat="false" ht="14.25" hidden="false" customHeight="true" outlineLevel="0" collapsed="false">
      <c r="A607" s="27"/>
      <c r="B607" s="27"/>
      <c r="C607" s="27"/>
      <c r="D607" s="27"/>
      <c r="E607" s="36" t="s">
        <v>2362</v>
      </c>
      <c r="F607" s="42"/>
      <c r="G607" s="32"/>
      <c r="H607" s="33"/>
      <c r="I607" s="34"/>
      <c r="J607" s="35"/>
      <c r="K607" s="30" t="s">
        <v>2363</v>
      </c>
    </row>
    <row r="608" customFormat="false" ht="14.25" hidden="false" customHeight="true" outlineLevel="0" collapsed="false">
      <c r="A608" s="27"/>
      <c r="B608" s="27"/>
      <c r="C608" s="27"/>
      <c r="D608" s="29" t="s">
        <v>2364</v>
      </c>
      <c r="E608" s="36" t="s">
        <v>2365</v>
      </c>
      <c r="F608" s="42" t="s">
        <v>2366</v>
      </c>
      <c r="G608" s="32" t="s">
        <v>58</v>
      </c>
      <c r="H608" s="33" t="s">
        <v>452</v>
      </c>
      <c r="I608" s="39" t="s">
        <v>67</v>
      </c>
      <c r="J608" s="35" t="s">
        <v>2367</v>
      </c>
      <c r="K608" s="30" t="s">
        <v>2368</v>
      </c>
    </row>
    <row r="609" customFormat="false" ht="14.25" hidden="false" customHeight="true" outlineLevel="0" collapsed="false">
      <c r="A609" s="27"/>
      <c r="B609" s="27"/>
      <c r="C609" s="27"/>
      <c r="D609" s="27"/>
      <c r="E609" s="36" t="s">
        <v>2369</v>
      </c>
      <c r="F609" s="42"/>
      <c r="G609" s="32"/>
      <c r="H609" s="33"/>
      <c r="I609" s="39"/>
      <c r="J609" s="35"/>
      <c r="K609" s="30" t="s">
        <v>2370</v>
      </c>
    </row>
    <row r="610" customFormat="false" ht="14.25" hidden="false" customHeight="true" outlineLevel="0" collapsed="false">
      <c r="A610" s="27"/>
      <c r="B610" s="27"/>
      <c r="C610" s="40" t="s">
        <v>2371</v>
      </c>
      <c r="D610" s="29" t="s">
        <v>2372</v>
      </c>
      <c r="E610" s="36" t="s">
        <v>2373</v>
      </c>
      <c r="F610" s="42" t="s">
        <v>2374</v>
      </c>
      <c r="G610" s="32" t="s">
        <v>48</v>
      </c>
      <c r="H610" s="33" t="s">
        <v>2375</v>
      </c>
      <c r="I610" s="37" t="s">
        <v>50</v>
      </c>
      <c r="J610" s="35" t="s">
        <v>2376</v>
      </c>
      <c r="K610" s="30" t="s">
        <v>2250</v>
      </c>
    </row>
    <row r="611" customFormat="false" ht="14.25" hidden="false" customHeight="true" outlineLevel="0" collapsed="false">
      <c r="A611" s="27"/>
      <c r="B611" s="27"/>
      <c r="C611" s="27"/>
      <c r="D611" s="27"/>
      <c r="E611" s="36" t="s">
        <v>1629</v>
      </c>
      <c r="F611" s="42"/>
      <c r="G611" s="32"/>
      <c r="H611" s="33"/>
      <c r="I611" s="37"/>
      <c r="J611" s="35"/>
      <c r="K611" s="30" t="s">
        <v>2252</v>
      </c>
    </row>
    <row r="612" customFormat="false" ht="14.25" hidden="false" customHeight="true" outlineLevel="0" collapsed="false">
      <c r="A612" s="27"/>
      <c r="B612" s="27"/>
      <c r="C612" s="27"/>
      <c r="D612" s="29" t="s">
        <v>2377</v>
      </c>
      <c r="E612" s="36" t="s">
        <v>2378</v>
      </c>
      <c r="F612" s="42" t="s">
        <v>2379</v>
      </c>
      <c r="G612" s="32" t="s">
        <v>48</v>
      </c>
      <c r="H612" s="33" t="s">
        <v>2380</v>
      </c>
      <c r="I612" s="37" t="s">
        <v>50</v>
      </c>
      <c r="J612" s="35" t="s">
        <v>2381</v>
      </c>
      <c r="K612" s="30" t="s">
        <v>2258</v>
      </c>
    </row>
    <row r="613" customFormat="false" ht="14.25" hidden="false" customHeight="true" outlineLevel="0" collapsed="false">
      <c r="A613" s="27"/>
      <c r="B613" s="27"/>
      <c r="C613" s="27"/>
      <c r="D613" s="27"/>
      <c r="E613" s="36" t="s">
        <v>2382</v>
      </c>
      <c r="F613" s="42"/>
      <c r="G613" s="32"/>
      <c r="H613" s="33"/>
      <c r="I613" s="37"/>
      <c r="J613" s="35"/>
      <c r="K613" s="30" t="s">
        <v>2260</v>
      </c>
    </row>
    <row r="614" customFormat="false" ht="14.25" hidden="false" customHeight="true" outlineLevel="0" collapsed="false">
      <c r="A614" s="27"/>
      <c r="B614" s="27"/>
      <c r="C614" s="27"/>
      <c r="D614" s="29" t="s">
        <v>2383</v>
      </c>
      <c r="E614" s="36" t="s">
        <v>2384</v>
      </c>
      <c r="F614" s="42" t="s">
        <v>2385</v>
      </c>
      <c r="G614" s="32" t="s">
        <v>38</v>
      </c>
      <c r="H614" s="33" t="s">
        <v>2386</v>
      </c>
      <c r="I614" s="39" t="s">
        <v>67</v>
      </c>
      <c r="J614" s="35" t="s">
        <v>2387</v>
      </c>
      <c r="K614" s="30" t="s">
        <v>2266</v>
      </c>
    </row>
    <row r="615" customFormat="false" ht="14.25" hidden="false" customHeight="true" outlineLevel="0" collapsed="false">
      <c r="A615" s="27"/>
      <c r="B615" s="27"/>
      <c r="C615" s="27"/>
      <c r="D615" s="27"/>
      <c r="E615" s="36" t="s">
        <v>2388</v>
      </c>
      <c r="F615" s="42"/>
      <c r="G615" s="32"/>
      <c r="H615" s="33"/>
      <c r="I615" s="39"/>
      <c r="J615" s="35"/>
      <c r="K615" s="30" t="s">
        <v>2268</v>
      </c>
    </row>
    <row r="616" customFormat="false" ht="14.25" hidden="false" customHeight="true" outlineLevel="0" collapsed="false">
      <c r="A616" s="27"/>
      <c r="B616" s="27"/>
      <c r="C616" s="27"/>
      <c r="D616" s="29" t="s">
        <v>2389</v>
      </c>
      <c r="E616" s="36" t="s">
        <v>2390</v>
      </c>
      <c r="F616" s="42" t="s">
        <v>2391</v>
      </c>
      <c r="G616" s="32" t="s">
        <v>38</v>
      </c>
      <c r="H616" s="33" t="s">
        <v>2392</v>
      </c>
      <c r="I616" s="34" t="s">
        <v>40</v>
      </c>
      <c r="J616" s="35" t="s">
        <v>2393</v>
      </c>
      <c r="K616" s="30" t="s">
        <v>2274</v>
      </c>
    </row>
    <row r="617" customFormat="false" ht="14.25" hidden="false" customHeight="true" outlineLevel="0" collapsed="false">
      <c r="A617" s="27"/>
      <c r="B617" s="27"/>
      <c r="C617" s="27"/>
      <c r="D617" s="27"/>
      <c r="E617" s="36" t="s">
        <v>2394</v>
      </c>
      <c r="F617" s="42"/>
      <c r="G617" s="32"/>
      <c r="H617" s="33"/>
      <c r="I617" s="34"/>
      <c r="J617" s="35"/>
      <c r="K617" s="30" t="s">
        <v>2276</v>
      </c>
    </row>
    <row r="618" customFormat="false" ht="14.25" hidden="false" customHeight="true" outlineLevel="0" collapsed="false">
      <c r="A618" s="27"/>
      <c r="B618" s="27"/>
      <c r="C618" s="27"/>
      <c r="D618" s="29" t="s">
        <v>2395</v>
      </c>
      <c r="E618" s="36" t="s">
        <v>2396</v>
      </c>
      <c r="F618" s="42" t="s">
        <v>2397</v>
      </c>
      <c r="G618" s="32" t="s">
        <v>38</v>
      </c>
      <c r="H618" s="33" t="s">
        <v>2398</v>
      </c>
      <c r="I618" s="39" t="s">
        <v>67</v>
      </c>
      <c r="J618" s="35" t="s">
        <v>2360</v>
      </c>
      <c r="K618" s="30" t="s">
        <v>2399</v>
      </c>
    </row>
    <row r="619" customFormat="false" ht="14.25" hidden="false" customHeight="true" outlineLevel="0" collapsed="false">
      <c r="A619" s="27"/>
      <c r="B619" s="27"/>
      <c r="C619" s="27"/>
      <c r="D619" s="27"/>
      <c r="E619" s="36" t="s">
        <v>2400</v>
      </c>
      <c r="F619" s="42"/>
      <c r="G619" s="32"/>
      <c r="H619" s="33"/>
      <c r="I619" s="39"/>
      <c r="J619" s="35"/>
      <c r="K619" s="30" t="s">
        <v>2401</v>
      </c>
    </row>
    <row r="620" customFormat="false" ht="14.25" hidden="false" customHeight="true" outlineLevel="0" collapsed="false">
      <c r="A620" s="27"/>
      <c r="B620" s="27"/>
      <c r="C620" s="40" t="s">
        <v>2402</v>
      </c>
      <c r="D620" s="29" t="s">
        <v>2403</v>
      </c>
      <c r="E620" s="36" t="s">
        <v>2404</v>
      </c>
      <c r="F620" s="42" t="s">
        <v>2405</v>
      </c>
      <c r="G620" s="32" t="s">
        <v>48</v>
      </c>
      <c r="H620" s="33" t="s">
        <v>2406</v>
      </c>
      <c r="I620" s="37" t="s">
        <v>50</v>
      </c>
      <c r="J620" s="35" t="s">
        <v>2407</v>
      </c>
      <c r="K620" s="30" t="s">
        <v>2408</v>
      </c>
    </row>
    <row r="621" customFormat="false" ht="14.25" hidden="false" customHeight="true" outlineLevel="0" collapsed="false">
      <c r="A621" s="27"/>
      <c r="B621" s="27"/>
      <c r="C621" s="27"/>
      <c r="D621" s="27"/>
      <c r="E621" s="36" t="s">
        <v>2409</v>
      </c>
      <c r="F621" s="42"/>
      <c r="G621" s="32"/>
      <c r="H621" s="33"/>
      <c r="I621" s="37"/>
      <c r="J621" s="35"/>
      <c r="K621" s="30" t="s">
        <v>2410</v>
      </c>
    </row>
    <row r="622" customFormat="false" ht="14.25" hidden="false" customHeight="true" outlineLevel="0" collapsed="false">
      <c r="A622" s="27"/>
      <c r="B622" s="27"/>
      <c r="C622" s="27"/>
      <c r="D622" s="29" t="s">
        <v>2411</v>
      </c>
      <c r="E622" s="36" t="s">
        <v>2412</v>
      </c>
      <c r="F622" s="42" t="s">
        <v>2413</v>
      </c>
      <c r="G622" s="32" t="s">
        <v>58</v>
      </c>
      <c r="H622" s="33" t="s">
        <v>2414</v>
      </c>
      <c r="I622" s="37" t="s">
        <v>50</v>
      </c>
      <c r="J622" s="35" t="s">
        <v>2415</v>
      </c>
      <c r="K622" s="30" t="s">
        <v>2416</v>
      </c>
    </row>
    <row r="623" customFormat="false" ht="14.25" hidden="false" customHeight="true" outlineLevel="0" collapsed="false">
      <c r="A623" s="27"/>
      <c r="B623" s="27"/>
      <c r="C623" s="27"/>
      <c r="D623" s="27"/>
      <c r="E623" s="36" t="s">
        <v>2417</v>
      </c>
      <c r="F623" s="42"/>
      <c r="G623" s="32"/>
      <c r="H623" s="33"/>
      <c r="I623" s="37"/>
      <c r="J623" s="35"/>
      <c r="K623" s="30" t="s">
        <v>2418</v>
      </c>
    </row>
    <row r="624" customFormat="false" ht="14.25" hidden="false" customHeight="true" outlineLevel="0" collapsed="false">
      <c r="A624" s="27"/>
      <c r="B624" s="27"/>
      <c r="C624" s="27"/>
      <c r="D624" s="29" t="s">
        <v>2419</v>
      </c>
      <c r="E624" s="36" t="s">
        <v>2420</v>
      </c>
      <c r="F624" s="42" t="s">
        <v>2421</v>
      </c>
      <c r="G624" s="32" t="s">
        <v>48</v>
      </c>
      <c r="H624" s="33" t="s">
        <v>2422</v>
      </c>
      <c r="I624" s="39" t="s">
        <v>67</v>
      </c>
      <c r="J624" s="35" t="s">
        <v>2423</v>
      </c>
      <c r="K624" s="30" t="s">
        <v>2290</v>
      </c>
    </row>
    <row r="625" customFormat="false" ht="14.25" hidden="false" customHeight="true" outlineLevel="0" collapsed="false">
      <c r="A625" s="27"/>
      <c r="B625" s="27"/>
      <c r="C625" s="27"/>
      <c r="D625" s="27"/>
      <c r="E625" s="36" t="s">
        <v>1163</v>
      </c>
      <c r="F625" s="42"/>
      <c r="G625" s="32"/>
      <c r="H625" s="33"/>
      <c r="I625" s="39"/>
      <c r="J625" s="35"/>
      <c r="K625" s="30" t="s">
        <v>2292</v>
      </c>
    </row>
    <row r="626" customFormat="false" ht="14.25" hidden="false" customHeight="true" outlineLevel="0" collapsed="false">
      <c r="A626" s="27"/>
      <c r="B626" s="27"/>
      <c r="C626" s="27"/>
      <c r="D626" s="29" t="s">
        <v>2424</v>
      </c>
      <c r="E626" s="36" t="s">
        <v>2425</v>
      </c>
      <c r="F626" s="42" t="s">
        <v>2426</v>
      </c>
      <c r="G626" s="32" t="s">
        <v>48</v>
      </c>
      <c r="H626" s="33" t="s">
        <v>2427</v>
      </c>
      <c r="I626" s="34" t="s">
        <v>40</v>
      </c>
      <c r="J626" s="35" t="s">
        <v>2428</v>
      </c>
      <c r="K626" s="30" t="s">
        <v>2127</v>
      </c>
    </row>
    <row r="627" customFormat="false" ht="14.25" hidden="false" customHeight="true" outlineLevel="0" collapsed="false">
      <c r="A627" s="27"/>
      <c r="B627" s="27"/>
      <c r="C627" s="27"/>
      <c r="D627" s="27"/>
      <c r="E627" s="36" t="s">
        <v>2429</v>
      </c>
      <c r="F627" s="42"/>
      <c r="G627" s="32"/>
      <c r="H627" s="33"/>
      <c r="I627" s="34"/>
      <c r="J627" s="35"/>
      <c r="K627" s="30" t="s">
        <v>2129</v>
      </c>
    </row>
    <row r="628" customFormat="false" ht="14.25" hidden="false" customHeight="true" outlineLevel="0" collapsed="false">
      <c r="A628" s="27"/>
      <c r="B628" s="27"/>
      <c r="C628" s="27"/>
      <c r="D628" s="29" t="s">
        <v>2430</v>
      </c>
      <c r="E628" s="36" t="s">
        <v>2431</v>
      </c>
      <c r="F628" s="42" t="s">
        <v>2432</v>
      </c>
      <c r="G628" s="32" t="s">
        <v>38</v>
      </c>
      <c r="H628" s="33" t="s">
        <v>2433</v>
      </c>
      <c r="I628" s="39" t="s">
        <v>67</v>
      </c>
      <c r="J628" s="35" t="s">
        <v>2434</v>
      </c>
      <c r="K628" s="30" t="s">
        <v>2305</v>
      </c>
    </row>
    <row r="629" customFormat="false" ht="14.25" hidden="false" customHeight="true" outlineLevel="0" collapsed="false">
      <c r="A629" s="27"/>
      <c r="B629" s="27"/>
      <c r="C629" s="27"/>
      <c r="D629" s="27"/>
      <c r="E629" s="36" t="s">
        <v>2435</v>
      </c>
      <c r="F629" s="42"/>
      <c r="G629" s="32"/>
      <c r="H629" s="33"/>
      <c r="I629" s="39"/>
      <c r="J629" s="35"/>
      <c r="K629" s="30" t="s">
        <v>2307</v>
      </c>
    </row>
    <row r="630" customFormat="false" ht="14.25" hidden="false" customHeight="true" outlineLevel="0" collapsed="false">
      <c r="A630" s="27"/>
      <c r="B630" s="27"/>
      <c r="C630" s="40" t="s">
        <v>2436</v>
      </c>
      <c r="D630" s="29" t="s">
        <v>2437</v>
      </c>
      <c r="E630" s="36" t="s">
        <v>2438</v>
      </c>
      <c r="F630" s="42" t="s">
        <v>2439</v>
      </c>
      <c r="G630" s="32" t="s">
        <v>38</v>
      </c>
      <c r="H630" s="33" t="s">
        <v>2440</v>
      </c>
      <c r="I630" s="37" t="s">
        <v>50</v>
      </c>
      <c r="J630" s="35" t="s">
        <v>2441</v>
      </c>
      <c r="K630" s="30" t="s">
        <v>2313</v>
      </c>
    </row>
    <row r="631" customFormat="false" ht="14.25" hidden="false" customHeight="true" outlineLevel="0" collapsed="false">
      <c r="A631" s="27"/>
      <c r="B631" s="27"/>
      <c r="C631" s="27"/>
      <c r="D631" s="27"/>
      <c r="E631" s="36" t="s">
        <v>2394</v>
      </c>
      <c r="F631" s="42"/>
      <c r="G631" s="32"/>
      <c r="H631" s="33"/>
      <c r="I631" s="37"/>
      <c r="J631" s="35"/>
      <c r="K631" s="30" t="s">
        <v>2315</v>
      </c>
    </row>
    <row r="632" customFormat="false" ht="14.25" hidden="false" customHeight="true" outlineLevel="0" collapsed="false">
      <c r="A632" s="27"/>
      <c r="B632" s="27"/>
      <c r="C632" s="27"/>
      <c r="D632" s="29" t="s">
        <v>2442</v>
      </c>
      <c r="E632" s="36" t="s">
        <v>2443</v>
      </c>
      <c r="F632" s="42" t="s">
        <v>2444</v>
      </c>
      <c r="G632" s="32" t="s">
        <v>38</v>
      </c>
      <c r="H632" s="33" t="s">
        <v>2445</v>
      </c>
      <c r="I632" s="37" t="s">
        <v>50</v>
      </c>
      <c r="J632" s="35" t="s">
        <v>2446</v>
      </c>
      <c r="K632" s="30" t="s">
        <v>2321</v>
      </c>
    </row>
    <row r="633" customFormat="false" ht="14.25" hidden="false" customHeight="true" outlineLevel="0" collapsed="false">
      <c r="A633" s="27"/>
      <c r="B633" s="27"/>
      <c r="C633" s="27"/>
      <c r="D633" s="27"/>
      <c r="E633" s="36" t="s">
        <v>2447</v>
      </c>
      <c r="F633" s="42"/>
      <c r="G633" s="32"/>
      <c r="H633" s="33"/>
      <c r="I633" s="37"/>
      <c r="J633" s="35"/>
      <c r="K633" s="30" t="s">
        <v>2323</v>
      </c>
    </row>
    <row r="634" customFormat="false" ht="14.25" hidden="false" customHeight="true" outlineLevel="0" collapsed="false">
      <c r="A634" s="27"/>
      <c r="B634" s="27"/>
      <c r="C634" s="27"/>
      <c r="D634" s="29" t="s">
        <v>2448</v>
      </c>
      <c r="E634" s="36" t="s">
        <v>2448</v>
      </c>
      <c r="F634" s="42" t="s">
        <v>2449</v>
      </c>
      <c r="G634" s="32" t="s">
        <v>48</v>
      </c>
      <c r="H634" s="33" t="s">
        <v>2450</v>
      </c>
      <c r="I634" s="39" t="s">
        <v>67</v>
      </c>
      <c r="J634" s="35" t="s">
        <v>2451</v>
      </c>
      <c r="K634" s="30" t="s">
        <v>2329</v>
      </c>
    </row>
    <row r="635" customFormat="false" ht="14.25" hidden="false" customHeight="true" outlineLevel="0" collapsed="false">
      <c r="A635" s="27"/>
      <c r="B635" s="27"/>
      <c r="C635" s="27"/>
      <c r="D635" s="27"/>
      <c r="E635" s="36" t="s">
        <v>2452</v>
      </c>
      <c r="F635" s="42"/>
      <c r="G635" s="32"/>
      <c r="H635" s="33"/>
      <c r="I635" s="39"/>
      <c r="J635" s="35"/>
      <c r="K635" s="30" t="s">
        <v>2331</v>
      </c>
    </row>
    <row r="636" customFormat="false" ht="14.25" hidden="false" customHeight="true" outlineLevel="0" collapsed="false">
      <c r="A636" s="27"/>
      <c r="B636" s="27"/>
      <c r="C636" s="27"/>
      <c r="D636" s="29" t="s">
        <v>2453</v>
      </c>
      <c r="E636" s="36" t="s">
        <v>2454</v>
      </c>
      <c r="F636" s="42" t="s">
        <v>2455</v>
      </c>
      <c r="G636" s="32" t="s">
        <v>58</v>
      </c>
      <c r="H636" s="33" t="s">
        <v>2456</v>
      </c>
      <c r="I636" s="34" t="s">
        <v>40</v>
      </c>
      <c r="J636" s="35" t="s">
        <v>2457</v>
      </c>
      <c r="K636" s="30" t="s">
        <v>2338</v>
      </c>
    </row>
    <row r="637" customFormat="false" ht="14.25" hidden="false" customHeight="true" outlineLevel="0" collapsed="false">
      <c r="A637" s="27"/>
      <c r="B637" s="27"/>
      <c r="C637" s="27"/>
      <c r="D637" s="27"/>
      <c r="E637" s="36" t="s">
        <v>2458</v>
      </c>
      <c r="F637" s="42"/>
      <c r="G637" s="32"/>
      <c r="H637" s="33"/>
      <c r="I637" s="34"/>
      <c r="J637" s="35"/>
      <c r="K637" s="30" t="s">
        <v>2340</v>
      </c>
    </row>
    <row r="638" customFormat="false" ht="14.25" hidden="false" customHeight="true" outlineLevel="0" collapsed="false">
      <c r="A638" s="27"/>
      <c r="B638" s="27"/>
      <c r="C638" s="27"/>
      <c r="D638" s="29" t="s">
        <v>2459</v>
      </c>
      <c r="E638" s="36" t="s">
        <v>2460</v>
      </c>
      <c r="F638" s="42" t="s">
        <v>2461</v>
      </c>
      <c r="G638" s="32" t="s">
        <v>48</v>
      </c>
      <c r="H638" s="33" t="s">
        <v>2039</v>
      </c>
      <c r="I638" s="39" t="s">
        <v>67</v>
      </c>
      <c r="J638" s="35" t="s">
        <v>2462</v>
      </c>
      <c r="K638" s="30" t="s">
        <v>2345</v>
      </c>
    </row>
    <row r="639" customFormat="false" ht="14.25" hidden="false" customHeight="true" outlineLevel="0" collapsed="false">
      <c r="A639" s="27"/>
      <c r="B639" s="27"/>
      <c r="C639" s="27"/>
      <c r="D639" s="27"/>
      <c r="E639" s="36" t="s">
        <v>2463</v>
      </c>
      <c r="F639" s="42"/>
      <c r="G639" s="32"/>
      <c r="H639" s="33"/>
      <c r="I639" s="39"/>
      <c r="J639" s="35"/>
      <c r="K639" s="30" t="s">
        <v>2347</v>
      </c>
    </row>
    <row r="640" customFormat="false" ht="14.25" hidden="false" customHeight="true" outlineLevel="0" collapsed="false">
      <c r="A640" s="27"/>
      <c r="B640" s="28" t="s">
        <v>2464</v>
      </c>
      <c r="C640" s="40" t="s">
        <v>2465</v>
      </c>
      <c r="D640" s="29" t="s">
        <v>2466</v>
      </c>
      <c r="E640" s="36" t="s">
        <v>2467</v>
      </c>
      <c r="F640" s="42" t="s">
        <v>2468</v>
      </c>
      <c r="G640" s="32" t="s">
        <v>48</v>
      </c>
      <c r="H640" s="33" t="s">
        <v>2469</v>
      </c>
      <c r="I640" s="37" t="s">
        <v>50</v>
      </c>
      <c r="J640" s="35" t="s">
        <v>2470</v>
      </c>
      <c r="K640" s="30" t="s">
        <v>2353</v>
      </c>
    </row>
    <row r="641" customFormat="false" ht="14.25" hidden="false" customHeight="true" outlineLevel="0" collapsed="false">
      <c r="A641" s="27"/>
      <c r="B641" s="27"/>
      <c r="C641" s="27"/>
      <c r="D641" s="27"/>
      <c r="E641" s="36" t="s">
        <v>2471</v>
      </c>
      <c r="F641" s="42"/>
      <c r="G641" s="32"/>
      <c r="H641" s="33"/>
      <c r="I641" s="37"/>
      <c r="J641" s="35"/>
      <c r="K641" s="30" t="s">
        <v>2355</v>
      </c>
    </row>
    <row r="642" customFormat="false" ht="14.25" hidden="false" customHeight="true" outlineLevel="0" collapsed="false">
      <c r="A642" s="27"/>
      <c r="B642" s="27"/>
      <c r="C642" s="27"/>
      <c r="D642" s="29" t="s">
        <v>2472</v>
      </c>
      <c r="E642" s="36" t="s">
        <v>2473</v>
      </c>
      <c r="F642" s="42" t="s">
        <v>2474</v>
      </c>
      <c r="G642" s="32" t="s">
        <v>38</v>
      </c>
      <c r="H642" s="33" t="s">
        <v>2475</v>
      </c>
      <c r="I642" s="37" t="s">
        <v>50</v>
      </c>
      <c r="J642" s="35" t="s">
        <v>2476</v>
      </c>
      <c r="K642" s="30" t="s">
        <v>2361</v>
      </c>
    </row>
    <row r="643" customFormat="false" ht="14.25" hidden="false" customHeight="true" outlineLevel="0" collapsed="false">
      <c r="A643" s="27"/>
      <c r="B643" s="27"/>
      <c r="C643" s="27"/>
      <c r="D643" s="27"/>
      <c r="E643" s="36" t="s">
        <v>2477</v>
      </c>
      <c r="F643" s="42"/>
      <c r="G643" s="32"/>
      <c r="H643" s="33"/>
      <c r="I643" s="37"/>
      <c r="J643" s="35"/>
      <c r="K643" s="30" t="s">
        <v>2363</v>
      </c>
    </row>
    <row r="644" customFormat="false" ht="14.25" hidden="false" customHeight="true" outlineLevel="0" collapsed="false">
      <c r="A644" s="27"/>
      <c r="B644" s="27"/>
      <c r="C644" s="27"/>
      <c r="D644" s="29" t="s">
        <v>2478</v>
      </c>
      <c r="E644" s="36" t="s">
        <v>2479</v>
      </c>
      <c r="F644" s="42" t="s">
        <v>2480</v>
      </c>
      <c r="G644" s="32" t="s">
        <v>38</v>
      </c>
      <c r="H644" s="33" t="s">
        <v>2481</v>
      </c>
      <c r="I644" s="39" t="s">
        <v>67</v>
      </c>
      <c r="J644" s="35" t="s">
        <v>2482</v>
      </c>
      <c r="K644" s="30" t="s">
        <v>2368</v>
      </c>
    </row>
    <row r="645" customFormat="false" ht="14.25" hidden="false" customHeight="true" outlineLevel="0" collapsed="false">
      <c r="A645" s="27"/>
      <c r="B645" s="27"/>
      <c r="C645" s="27"/>
      <c r="D645" s="27"/>
      <c r="E645" s="36" t="s">
        <v>2483</v>
      </c>
      <c r="F645" s="42"/>
      <c r="G645" s="32"/>
      <c r="H645" s="33"/>
      <c r="I645" s="39"/>
      <c r="J645" s="35"/>
      <c r="K645" s="30" t="s">
        <v>2370</v>
      </c>
    </row>
    <row r="646" customFormat="false" ht="14.25" hidden="false" customHeight="true" outlineLevel="0" collapsed="false">
      <c r="A646" s="27"/>
      <c r="B646" s="27"/>
      <c r="C646" s="27"/>
      <c r="D646" s="29" t="s">
        <v>2484</v>
      </c>
      <c r="E646" s="36" t="s">
        <v>2485</v>
      </c>
      <c r="F646" s="42" t="s">
        <v>2486</v>
      </c>
      <c r="G646" s="32" t="s">
        <v>38</v>
      </c>
      <c r="H646" s="33" t="s">
        <v>2487</v>
      </c>
      <c r="I646" s="34" t="s">
        <v>40</v>
      </c>
      <c r="J646" s="35" t="s">
        <v>2488</v>
      </c>
      <c r="K646" s="30" t="s">
        <v>2072</v>
      </c>
    </row>
    <row r="647" customFormat="false" ht="14.25" hidden="false" customHeight="true" outlineLevel="0" collapsed="false">
      <c r="A647" s="27"/>
      <c r="B647" s="27"/>
      <c r="C647" s="27"/>
      <c r="D647" s="27"/>
      <c r="E647" s="36" t="s">
        <v>2489</v>
      </c>
      <c r="F647" s="42"/>
      <c r="G647" s="32"/>
      <c r="H647" s="33"/>
      <c r="I647" s="34"/>
      <c r="J647" s="35"/>
      <c r="K647" s="30" t="s">
        <v>2073</v>
      </c>
    </row>
    <row r="648" customFormat="false" ht="14.25" hidden="false" customHeight="true" outlineLevel="0" collapsed="false">
      <c r="A648" s="27"/>
      <c r="B648" s="27"/>
      <c r="C648" s="27"/>
      <c r="D648" s="29" t="s">
        <v>2490</v>
      </c>
      <c r="E648" s="36" t="s">
        <v>2491</v>
      </c>
      <c r="F648" s="42" t="s">
        <v>2492</v>
      </c>
      <c r="G648" s="32" t="s">
        <v>48</v>
      </c>
      <c r="H648" s="33" t="s">
        <v>2493</v>
      </c>
      <c r="I648" s="39" t="s">
        <v>67</v>
      </c>
      <c r="J648" s="35" t="s">
        <v>2494</v>
      </c>
      <c r="K648" s="30" t="s">
        <v>2495</v>
      </c>
    </row>
    <row r="649" customFormat="false" ht="14.25" hidden="false" customHeight="true" outlineLevel="0" collapsed="false">
      <c r="A649" s="27"/>
      <c r="B649" s="27"/>
      <c r="C649" s="27"/>
      <c r="D649" s="27"/>
      <c r="E649" s="36" t="s">
        <v>2496</v>
      </c>
      <c r="F649" s="42"/>
      <c r="G649" s="32"/>
      <c r="H649" s="33"/>
      <c r="I649" s="39"/>
      <c r="J649" s="35"/>
      <c r="K649" s="30" t="s">
        <v>2497</v>
      </c>
    </row>
    <row r="650" customFormat="false" ht="14.25" hidden="false" customHeight="true" outlineLevel="0" collapsed="false">
      <c r="A650" s="27"/>
      <c r="B650" s="27"/>
      <c r="C650" s="40" t="s">
        <v>2498</v>
      </c>
      <c r="D650" s="29" t="s">
        <v>2499</v>
      </c>
      <c r="E650" s="36" t="s">
        <v>2500</v>
      </c>
      <c r="F650" s="42" t="s">
        <v>2501</v>
      </c>
      <c r="G650" s="32" t="s">
        <v>58</v>
      </c>
      <c r="H650" s="33" t="s">
        <v>2502</v>
      </c>
      <c r="I650" s="37" t="s">
        <v>50</v>
      </c>
      <c r="J650" s="35" t="s">
        <v>2503</v>
      </c>
      <c r="K650" s="30" t="s">
        <v>2504</v>
      </c>
    </row>
    <row r="651" customFormat="false" ht="14.25" hidden="false" customHeight="true" outlineLevel="0" collapsed="false">
      <c r="A651" s="27"/>
      <c r="B651" s="27"/>
      <c r="C651" s="27"/>
      <c r="D651" s="27"/>
      <c r="E651" s="36" t="s">
        <v>2505</v>
      </c>
      <c r="F651" s="42"/>
      <c r="G651" s="32"/>
      <c r="H651" s="33"/>
      <c r="I651" s="37"/>
      <c r="J651" s="35"/>
      <c r="K651" s="30" t="s">
        <v>2506</v>
      </c>
    </row>
    <row r="652" customFormat="false" ht="14.25" hidden="false" customHeight="true" outlineLevel="0" collapsed="false">
      <c r="A652" s="27"/>
      <c r="B652" s="27"/>
      <c r="C652" s="27"/>
      <c r="D652" s="29" t="s">
        <v>2507</v>
      </c>
      <c r="E652" s="36" t="s">
        <v>2508</v>
      </c>
      <c r="F652" s="42" t="s">
        <v>2509</v>
      </c>
      <c r="G652" s="32" t="s">
        <v>48</v>
      </c>
      <c r="H652" s="33" t="s">
        <v>2510</v>
      </c>
      <c r="I652" s="37" t="s">
        <v>50</v>
      </c>
      <c r="J652" s="35" t="s">
        <v>2511</v>
      </c>
      <c r="K652" s="30" t="s">
        <v>2512</v>
      </c>
    </row>
    <row r="653" customFormat="false" ht="14.25" hidden="false" customHeight="true" outlineLevel="0" collapsed="false">
      <c r="A653" s="27"/>
      <c r="B653" s="27"/>
      <c r="C653" s="27"/>
      <c r="D653" s="27"/>
      <c r="E653" s="36" t="s">
        <v>2513</v>
      </c>
      <c r="F653" s="42"/>
      <c r="G653" s="32"/>
      <c r="H653" s="33"/>
      <c r="I653" s="37"/>
      <c r="J653" s="35"/>
      <c r="K653" s="30" t="s">
        <v>2514</v>
      </c>
    </row>
    <row r="654" customFormat="false" ht="14.25" hidden="false" customHeight="true" outlineLevel="0" collapsed="false">
      <c r="A654" s="27"/>
      <c r="B654" s="27"/>
      <c r="C654" s="27"/>
      <c r="D654" s="29" t="s">
        <v>2515</v>
      </c>
      <c r="E654" s="36" t="s">
        <v>2516</v>
      </c>
      <c r="F654" s="42" t="s">
        <v>2517</v>
      </c>
      <c r="G654" s="32" t="s">
        <v>48</v>
      </c>
      <c r="H654" s="33" t="s">
        <v>2518</v>
      </c>
      <c r="I654" s="39" t="s">
        <v>67</v>
      </c>
      <c r="J654" s="35" t="s">
        <v>2519</v>
      </c>
      <c r="K654" s="30" t="s">
        <v>2520</v>
      </c>
    </row>
    <row r="655" customFormat="false" ht="14.25" hidden="false" customHeight="true" outlineLevel="0" collapsed="false">
      <c r="A655" s="27"/>
      <c r="B655" s="27"/>
      <c r="C655" s="27"/>
      <c r="D655" s="27"/>
      <c r="E655" s="36" t="s">
        <v>2521</v>
      </c>
      <c r="F655" s="42"/>
      <c r="G655" s="32"/>
      <c r="H655" s="33"/>
      <c r="I655" s="39"/>
      <c r="J655" s="35"/>
      <c r="K655" s="30" t="s">
        <v>2522</v>
      </c>
    </row>
    <row r="656" customFormat="false" ht="14.25" hidden="false" customHeight="true" outlineLevel="0" collapsed="false">
      <c r="A656" s="27"/>
      <c r="B656" s="27"/>
      <c r="C656" s="27"/>
      <c r="D656" s="29" t="s">
        <v>2523</v>
      </c>
      <c r="E656" s="36" t="s">
        <v>2524</v>
      </c>
      <c r="F656" s="42" t="s">
        <v>2525</v>
      </c>
      <c r="G656" s="32" t="s">
        <v>38</v>
      </c>
      <c r="H656" s="33" t="s">
        <v>2039</v>
      </c>
      <c r="I656" s="34" t="s">
        <v>40</v>
      </c>
      <c r="J656" s="35" t="s">
        <v>2526</v>
      </c>
      <c r="K656" s="30" t="s">
        <v>2527</v>
      </c>
    </row>
    <row r="657" customFormat="false" ht="14.25" hidden="false" customHeight="true" outlineLevel="0" collapsed="false">
      <c r="A657" s="27"/>
      <c r="B657" s="27"/>
      <c r="C657" s="27"/>
      <c r="D657" s="27"/>
      <c r="E657" s="36" t="s">
        <v>2528</v>
      </c>
      <c r="F657" s="42"/>
      <c r="G657" s="32"/>
      <c r="H657" s="33"/>
      <c r="I657" s="34"/>
      <c r="J657" s="35"/>
      <c r="K657" s="30" t="s">
        <v>2529</v>
      </c>
    </row>
    <row r="658" customFormat="false" ht="14.25" hidden="false" customHeight="true" outlineLevel="0" collapsed="false">
      <c r="A658" s="27"/>
      <c r="B658" s="27"/>
      <c r="C658" s="27"/>
      <c r="D658" s="29" t="s">
        <v>2530</v>
      </c>
      <c r="E658" s="36" t="s">
        <v>2531</v>
      </c>
      <c r="F658" s="42" t="s">
        <v>2532</v>
      </c>
      <c r="G658" s="32" t="s">
        <v>38</v>
      </c>
      <c r="H658" s="33" t="s">
        <v>2533</v>
      </c>
      <c r="I658" s="39" t="s">
        <v>67</v>
      </c>
      <c r="J658" s="35" t="s">
        <v>2534</v>
      </c>
      <c r="K658" s="30" t="s">
        <v>2535</v>
      </c>
    </row>
    <row r="659" customFormat="false" ht="14.25" hidden="false" customHeight="true" outlineLevel="0" collapsed="false">
      <c r="A659" s="27"/>
      <c r="B659" s="27"/>
      <c r="C659" s="27"/>
      <c r="D659" s="27"/>
      <c r="E659" s="36" t="s">
        <v>2536</v>
      </c>
      <c r="F659" s="42"/>
      <c r="G659" s="32"/>
      <c r="H659" s="33"/>
      <c r="I659" s="39"/>
      <c r="J659" s="35"/>
      <c r="K659" s="30" t="s">
        <v>2537</v>
      </c>
    </row>
    <row r="660" customFormat="false" ht="14.25" hidden="false" customHeight="true" outlineLevel="0" collapsed="false">
      <c r="A660" s="27"/>
      <c r="B660" s="27"/>
      <c r="C660" s="40" t="s">
        <v>2538</v>
      </c>
      <c r="D660" s="29" t="s">
        <v>2539</v>
      </c>
      <c r="E660" s="36" t="s">
        <v>2540</v>
      </c>
      <c r="F660" s="42" t="s">
        <v>2541</v>
      </c>
      <c r="G660" s="32" t="s">
        <v>38</v>
      </c>
      <c r="H660" s="33" t="s">
        <v>2542</v>
      </c>
      <c r="I660" s="37" t="s">
        <v>50</v>
      </c>
      <c r="J660" s="35" t="s">
        <v>2543</v>
      </c>
      <c r="K660" s="30" t="s">
        <v>2544</v>
      </c>
    </row>
    <row r="661" customFormat="false" ht="14.25" hidden="false" customHeight="true" outlineLevel="0" collapsed="false">
      <c r="A661" s="27"/>
      <c r="B661" s="27"/>
      <c r="C661" s="27"/>
      <c r="D661" s="27"/>
      <c r="E661" s="36" t="s">
        <v>2545</v>
      </c>
      <c r="F661" s="42"/>
      <c r="G661" s="32"/>
      <c r="H661" s="33"/>
      <c r="I661" s="37"/>
      <c r="J661" s="35"/>
      <c r="K661" s="30" t="s">
        <v>2546</v>
      </c>
    </row>
    <row r="662" customFormat="false" ht="14.25" hidden="false" customHeight="true" outlineLevel="0" collapsed="false">
      <c r="A662" s="27"/>
      <c r="B662" s="27"/>
      <c r="C662" s="27"/>
      <c r="D662" s="29" t="s">
        <v>2547</v>
      </c>
      <c r="E662" s="36" t="s">
        <v>2548</v>
      </c>
      <c r="F662" s="42" t="s">
        <v>2547</v>
      </c>
      <c r="G662" s="32" t="s">
        <v>48</v>
      </c>
      <c r="H662" s="33" t="s">
        <v>2549</v>
      </c>
      <c r="I662" s="37" t="s">
        <v>50</v>
      </c>
      <c r="J662" s="35" t="s">
        <v>2550</v>
      </c>
      <c r="K662" s="30" t="s">
        <v>2551</v>
      </c>
    </row>
    <row r="663" customFormat="false" ht="14.25" hidden="false" customHeight="true" outlineLevel="0" collapsed="false">
      <c r="A663" s="27"/>
      <c r="B663" s="27"/>
      <c r="C663" s="27"/>
      <c r="D663" s="27"/>
      <c r="E663" s="36" t="s">
        <v>2552</v>
      </c>
      <c r="F663" s="42"/>
      <c r="G663" s="32"/>
      <c r="H663" s="33"/>
      <c r="I663" s="37"/>
      <c r="J663" s="35"/>
      <c r="K663" s="30" t="s">
        <v>2553</v>
      </c>
    </row>
    <row r="664" customFormat="false" ht="14.25" hidden="false" customHeight="true" outlineLevel="0" collapsed="false">
      <c r="A664" s="27"/>
      <c r="B664" s="27"/>
      <c r="C664" s="27"/>
      <c r="D664" s="29" t="s">
        <v>2554</v>
      </c>
      <c r="E664" s="36" t="s">
        <v>2555</v>
      </c>
      <c r="F664" s="42" t="s">
        <v>2556</v>
      </c>
      <c r="G664" s="32" t="s">
        <v>58</v>
      </c>
      <c r="H664" s="33" t="s">
        <v>2557</v>
      </c>
      <c r="I664" s="39" t="s">
        <v>67</v>
      </c>
      <c r="J664" s="35" t="s">
        <v>2558</v>
      </c>
      <c r="K664" s="30" t="s">
        <v>2559</v>
      </c>
    </row>
    <row r="665" customFormat="false" ht="14.25" hidden="false" customHeight="true" outlineLevel="0" collapsed="false">
      <c r="A665" s="27"/>
      <c r="B665" s="27"/>
      <c r="C665" s="27"/>
      <c r="D665" s="27"/>
      <c r="E665" s="36" t="s">
        <v>2560</v>
      </c>
      <c r="F665" s="42"/>
      <c r="G665" s="32"/>
      <c r="H665" s="33"/>
      <c r="I665" s="39"/>
      <c r="J665" s="35"/>
      <c r="K665" s="30" t="s">
        <v>2561</v>
      </c>
    </row>
    <row r="666" customFormat="false" ht="14.25" hidden="false" customHeight="true" outlineLevel="0" collapsed="false">
      <c r="A666" s="27"/>
      <c r="B666" s="27"/>
      <c r="C666" s="27"/>
      <c r="D666" s="29" t="s">
        <v>2562</v>
      </c>
      <c r="E666" s="36" t="s">
        <v>2563</v>
      </c>
      <c r="F666" s="42" t="s">
        <v>2564</v>
      </c>
      <c r="G666" s="32" t="s">
        <v>48</v>
      </c>
      <c r="H666" s="33" t="s">
        <v>2565</v>
      </c>
      <c r="I666" s="34" t="s">
        <v>40</v>
      </c>
      <c r="J666" s="35" t="s">
        <v>2566</v>
      </c>
      <c r="K666" s="30" t="s">
        <v>2567</v>
      </c>
    </row>
    <row r="667" customFormat="false" ht="14.25" hidden="false" customHeight="true" outlineLevel="0" collapsed="false">
      <c r="A667" s="27"/>
      <c r="B667" s="27"/>
      <c r="C667" s="27"/>
      <c r="D667" s="27"/>
      <c r="E667" s="36" t="s">
        <v>2568</v>
      </c>
      <c r="F667" s="42"/>
      <c r="G667" s="32"/>
      <c r="H667" s="33"/>
      <c r="I667" s="34"/>
      <c r="J667" s="35"/>
      <c r="K667" s="30" t="s">
        <v>2546</v>
      </c>
    </row>
    <row r="668" customFormat="false" ht="14.25" hidden="false" customHeight="true" outlineLevel="0" collapsed="false">
      <c r="A668" s="27"/>
      <c r="B668" s="27"/>
      <c r="C668" s="27"/>
      <c r="D668" s="29" t="s">
        <v>2569</v>
      </c>
      <c r="E668" s="36" t="s">
        <v>2570</v>
      </c>
      <c r="F668" s="42" t="s">
        <v>2571</v>
      </c>
      <c r="G668" s="32" t="s">
        <v>48</v>
      </c>
      <c r="H668" s="33" t="s">
        <v>2572</v>
      </c>
      <c r="I668" s="39" t="s">
        <v>67</v>
      </c>
      <c r="J668" s="35" t="s">
        <v>2573</v>
      </c>
      <c r="K668" s="30" t="s">
        <v>2551</v>
      </c>
    </row>
    <row r="669" customFormat="false" ht="14.25" hidden="false" customHeight="true" outlineLevel="0" collapsed="false">
      <c r="A669" s="27"/>
      <c r="B669" s="27"/>
      <c r="C669" s="27"/>
      <c r="D669" s="27"/>
      <c r="E669" s="36" t="s">
        <v>2574</v>
      </c>
      <c r="F669" s="42"/>
      <c r="G669" s="32"/>
      <c r="H669" s="33"/>
      <c r="I669" s="39"/>
      <c r="J669" s="35"/>
      <c r="K669" s="30" t="s">
        <v>2553</v>
      </c>
    </row>
    <row r="670" customFormat="false" ht="14.25" hidden="false" customHeight="true" outlineLevel="0" collapsed="false">
      <c r="A670" s="27"/>
      <c r="B670" s="27"/>
      <c r="C670" s="40" t="s">
        <v>2575</v>
      </c>
      <c r="D670" s="29" t="s">
        <v>2576</v>
      </c>
      <c r="E670" s="36" t="s">
        <v>2577</v>
      </c>
      <c r="F670" s="42" t="s">
        <v>2578</v>
      </c>
      <c r="G670" s="32" t="s">
        <v>38</v>
      </c>
      <c r="H670" s="33" t="s">
        <v>1571</v>
      </c>
      <c r="I670" s="37" t="s">
        <v>50</v>
      </c>
      <c r="J670" s="35" t="s">
        <v>2579</v>
      </c>
      <c r="K670" s="30" t="s">
        <v>2559</v>
      </c>
    </row>
    <row r="671" customFormat="false" ht="14.25" hidden="false" customHeight="true" outlineLevel="0" collapsed="false">
      <c r="A671" s="27"/>
      <c r="B671" s="27"/>
      <c r="C671" s="27"/>
      <c r="D671" s="27"/>
      <c r="E671" s="36" t="s">
        <v>2580</v>
      </c>
      <c r="F671" s="42"/>
      <c r="G671" s="32"/>
      <c r="H671" s="33"/>
      <c r="I671" s="37"/>
      <c r="J671" s="35"/>
      <c r="K671" s="30" t="s">
        <v>2561</v>
      </c>
    </row>
    <row r="672" customFormat="false" ht="14.25" hidden="false" customHeight="true" outlineLevel="0" collapsed="false">
      <c r="A672" s="27"/>
      <c r="B672" s="27"/>
      <c r="C672" s="27"/>
      <c r="D672" s="29" t="s">
        <v>2581</v>
      </c>
      <c r="E672" s="36" t="s">
        <v>2576</v>
      </c>
      <c r="F672" s="42" t="s">
        <v>2582</v>
      </c>
      <c r="G672" s="32" t="s">
        <v>38</v>
      </c>
      <c r="H672" s="33" t="s">
        <v>2583</v>
      </c>
      <c r="I672" s="37" t="s">
        <v>50</v>
      </c>
      <c r="J672" s="35" t="s">
        <v>2584</v>
      </c>
      <c r="K672" s="30" t="s">
        <v>2567</v>
      </c>
    </row>
    <row r="673" customFormat="false" ht="14.25" hidden="false" customHeight="true" outlineLevel="0" collapsed="false">
      <c r="A673" s="27"/>
      <c r="B673" s="27"/>
      <c r="C673" s="27"/>
      <c r="D673" s="27"/>
      <c r="E673" s="36" t="s">
        <v>2585</v>
      </c>
      <c r="F673" s="42"/>
      <c r="G673" s="32"/>
      <c r="H673" s="33"/>
      <c r="I673" s="37"/>
      <c r="J673" s="35"/>
      <c r="K673" s="30" t="s">
        <v>2546</v>
      </c>
    </row>
    <row r="674" customFormat="false" ht="14.25" hidden="false" customHeight="true" outlineLevel="0" collapsed="false">
      <c r="A674" s="27"/>
      <c r="B674" s="27"/>
      <c r="C674" s="27"/>
      <c r="D674" s="29" t="s">
        <v>2586</v>
      </c>
      <c r="E674" s="36" t="s">
        <v>2587</v>
      </c>
      <c r="F674" s="42" t="s">
        <v>2588</v>
      </c>
      <c r="G674" s="32" t="s">
        <v>38</v>
      </c>
      <c r="H674" s="33" t="s">
        <v>2589</v>
      </c>
      <c r="I674" s="39" t="s">
        <v>67</v>
      </c>
      <c r="J674" s="35" t="s">
        <v>2590</v>
      </c>
      <c r="K674" s="30" t="s">
        <v>2551</v>
      </c>
    </row>
    <row r="675" customFormat="false" ht="14.25" hidden="false" customHeight="true" outlineLevel="0" collapsed="false">
      <c r="A675" s="27"/>
      <c r="B675" s="27"/>
      <c r="C675" s="27"/>
      <c r="D675" s="27"/>
      <c r="E675" s="36" t="s">
        <v>2591</v>
      </c>
      <c r="F675" s="42"/>
      <c r="G675" s="32"/>
      <c r="H675" s="33"/>
      <c r="I675" s="39"/>
      <c r="J675" s="35"/>
      <c r="K675" s="30" t="s">
        <v>2553</v>
      </c>
    </row>
    <row r="676" customFormat="false" ht="14.25" hidden="false" customHeight="true" outlineLevel="0" collapsed="false">
      <c r="A676" s="27"/>
      <c r="B676" s="27"/>
      <c r="C676" s="27"/>
      <c r="D676" s="29" t="s">
        <v>2592</v>
      </c>
      <c r="E676" s="36" t="s">
        <v>2593</v>
      </c>
      <c r="F676" s="42" t="s">
        <v>2594</v>
      </c>
      <c r="G676" s="32" t="s">
        <v>48</v>
      </c>
      <c r="H676" s="33" t="s">
        <v>2595</v>
      </c>
      <c r="I676" s="34" t="s">
        <v>40</v>
      </c>
      <c r="J676" s="35" t="s">
        <v>2596</v>
      </c>
      <c r="K676" s="30" t="s">
        <v>2559</v>
      </c>
    </row>
    <row r="677" customFormat="false" ht="14.25" hidden="false" customHeight="true" outlineLevel="0" collapsed="false">
      <c r="A677" s="27"/>
      <c r="B677" s="27"/>
      <c r="C677" s="27"/>
      <c r="D677" s="27"/>
      <c r="E677" s="36" t="s">
        <v>2597</v>
      </c>
      <c r="F677" s="42"/>
      <c r="G677" s="32"/>
      <c r="H677" s="33"/>
      <c r="I677" s="34"/>
      <c r="J677" s="35"/>
      <c r="K677" s="30" t="s">
        <v>2561</v>
      </c>
    </row>
    <row r="678" customFormat="false" ht="14.25" hidden="false" customHeight="true" outlineLevel="0" collapsed="false">
      <c r="A678" s="27"/>
      <c r="B678" s="27"/>
      <c r="C678" s="27"/>
      <c r="D678" s="29" t="s">
        <v>2598</v>
      </c>
      <c r="E678" s="36" t="s">
        <v>2599</v>
      </c>
      <c r="F678" s="42" t="s">
        <v>2600</v>
      </c>
      <c r="G678" s="32" t="s">
        <v>58</v>
      </c>
      <c r="H678" s="33" t="s">
        <v>2601</v>
      </c>
      <c r="I678" s="39" t="s">
        <v>67</v>
      </c>
      <c r="J678" s="35" t="s">
        <v>2602</v>
      </c>
      <c r="K678" s="30" t="s">
        <v>2567</v>
      </c>
    </row>
    <row r="679" customFormat="false" ht="14.25" hidden="false" customHeight="true" outlineLevel="0" collapsed="false">
      <c r="A679" s="27"/>
      <c r="B679" s="27"/>
      <c r="C679" s="27"/>
      <c r="D679" s="27"/>
      <c r="E679" s="36" t="s">
        <v>1843</v>
      </c>
      <c r="F679" s="42"/>
      <c r="G679" s="32"/>
      <c r="H679" s="33"/>
      <c r="I679" s="39"/>
      <c r="J679" s="35"/>
      <c r="K679" s="30" t="s">
        <v>2546</v>
      </c>
    </row>
    <row r="680" customFormat="false" ht="14.25" hidden="false" customHeight="true" outlineLevel="0" collapsed="false">
      <c r="A680" s="27"/>
      <c r="B680" s="27"/>
      <c r="C680" s="29" t="s">
        <v>2603</v>
      </c>
      <c r="D680" s="29" t="s">
        <v>2604</v>
      </c>
      <c r="E680" s="36" t="s">
        <v>2598</v>
      </c>
      <c r="F680" s="42" t="s">
        <v>2605</v>
      </c>
      <c r="G680" s="32" t="s">
        <v>48</v>
      </c>
      <c r="H680" s="33" t="s">
        <v>2606</v>
      </c>
      <c r="I680" s="37" t="s">
        <v>50</v>
      </c>
      <c r="J680" s="35" t="s">
        <v>2607</v>
      </c>
      <c r="K680" s="30" t="s">
        <v>2551</v>
      </c>
    </row>
    <row r="681" customFormat="false" ht="14.25" hidden="false" customHeight="true" outlineLevel="0" collapsed="false">
      <c r="A681" s="27"/>
      <c r="B681" s="27"/>
      <c r="C681" s="27"/>
      <c r="D681" s="27"/>
      <c r="E681" s="36" t="s">
        <v>2608</v>
      </c>
      <c r="F681" s="42"/>
      <c r="G681" s="32"/>
      <c r="H681" s="33"/>
      <c r="I681" s="37"/>
      <c r="J681" s="35"/>
      <c r="K681" s="30" t="s">
        <v>2553</v>
      </c>
    </row>
    <row r="682" customFormat="false" ht="14.25" hidden="false" customHeight="true" outlineLevel="0" collapsed="false">
      <c r="A682" s="27"/>
      <c r="B682" s="27"/>
      <c r="C682" s="27"/>
      <c r="D682" s="29" t="s">
        <v>2609</v>
      </c>
      <c r="E682" s="36" t="s">
        <v>2604</v>
      </c>
      <c r="F682" s="42" t="s">
        <v>2610</v>
      </c>
      <c r="G682" s="32" t="s">
        <v>48</v>
      </c>
      <c r="H682" s="33" t="s">
        <v>1642</v>
      </c>
      <c r="I682" s="37" t="s">
        <v>50</v>
      </c>
      <c r="J682" s="35" t="s">
        <v>2611</v>
      </c>
      <c r="K682" s="30" t="s">
        <v>2559</v>
      </c>
    </row>
    <row r="683" customFormat="false" ht="14.25" hidden="false" customHeight="true" outlineLevel="0" collapsed="false">
      <c r="A683" s="27"/>
      <c r="B683" s="27"/>
      <c r="C683" s="27"/>
      <c r="D683" s="27"/>
      <c r="E683" s="36" t="s">
        <v>2612</v>
      </c>
      <c r="F683" s="42"/>
      <c r="G683" s="32"/>
      <c r="H683" s="33"/>
      <c r="I683" s="37"/>
      <c r="J683" s="35"/>
      <c r="K683" s="30" t="s">
        <v>2561</v>
      </c>
    </row>
    <row r="684" customFormat="false" ht="14.25" hidden="false" customHeight="true" outlineLevel="0" collapsed="false">
      <c r="A684" s="27"/>
      <c r="B684" s="27"/>
      <c r="C684" s="27"/>
      <c r="D684" s="29" t="s">
        <v>2613</v>
      </c>
      <c r="E684" s="36" t="s">
        <v>2614</v>
      </c>
      <c r="F684" s="42" t="s">
        <v>2615</v>
      </c>
      <c r="G684" s="32" t="s">
        <v>38</v>
      </c>
      <c r="H684" s="33" t="s">
        <v>2616</v>
      </c>
      <c r="I684" s="39" t="s">
        <v>67</v>
      </c>
      <c r="J684" s="35" t="s">
        <v>2617</v>
      </c>
      <c r="K684" s="30" t="s">
        <v>2567</v>
      </c>
    </row>
    <row r="685" customFormat="false" ht="14.25" hidden="false" customHeight="true" outlineLevel="0" collapsed="false">
      <c r="A685" s="27"/>
      <c r="B685" s="27"/>
      <c r="C685" s="27"/>
      <c r="D685" s="27"/>
      <c r="E685" s="36" t="s">
        <v>2618</v>
      </c>
      <c r="F685" s="42"/>
      <c r="G685" s="32"/>
      <c r="H685" s="33"/>
      <c r="I685" s="39"/>
      <c r="J685" s="35"/>
      <c r="K685" s="30" t="s">
        <v>2546</v>
      </c>
    </row>
    <row r="686" customFormat="false" ht="14.25" hidden="false" customHeight="true" outlineLevel="0" collapsed="false">
      <c r="A686" s="27"/>
      <c r="B686" s="27"/>
      <c r="C686" s="27"/>
      <c r="D686" s="29" t="s">
        <v>2619</v>
      </c>
      <c r="E686" s="36" t="s">
        <v>2613</v>
      </c>
      <c r="F686" s="42" t="s">
        <v>2620</v>
      </c>
      <c r="G686" s="32" t="s">
        <v>38</v>
      </c>
      <c r="H686" s="33" t="s">
        <v>2195</v>
      </c>
      <c r="I686" s="34" t="s">
        <v>40</v>
      </c>
      <c r="J686" s="35" t="s">
        <v>2621</v>
      </c>
      <c r="K686" s="30" t="s">
        <v>2551</v>
      </c>
    </row>
    <row r="687" customFormat="false" ht="14.25" hidden="false" customHeight="true" outlineLevel="0" collapsed="false">
      <c r="A687" s="27"/>
      <c r="B687" s="27"/>
      <c r="C687" s="27"/>
      <c r="D687" s="27"/>
      <c r="E687" s="36" t="s">
        <v>2622</v>
      </c>
      <c r="F687" s="42"/>
      <c r="G687" s="32"/>
      <c r="H687" s="33"/>
      <c r="I687" s="34"/>
      <c r="J687" s="35"/>
      <c r="K687" s="30" t="s">
        <v>2553</v>
      </c>
    </row>
    <row r="688" customFormat="false" ht="14.25" hidden="false" customHeight="true" outlineLevel="0" collapsed="false">
      <c r="A688" s="27"/>
      <c r="B688" s="27"/>
      <c r="C688" s="27"/>
      <c r="D688" s="29" t="s">
        <v>2623</v>
      </c>
      <c r="E688" s="36" t="s">
        <v>2624</v>
      </c>
      <c r="F688" s="42" t="s">
        <v>2625</v>
      </c>
      <c r="G688" s="32" t="s">
        <v>38</v>
      </c>
      <c r="H688" s="33" t="s">
        <v>2626</v>
      </c>
      <c r="I688" s="39" t="s">
        <v>67</v>
      </c>
      <c r="J688" s="35" t="s">
        <v>2627</v>
      </c>
      <c r="K688" s="30" t="s">
        <v>2559</v>
      </c>
    </row>
    <row r="689" customFormat="false" ht="14.25" hidden="false" customHeight="true" outlineLevel="0" collapsed="false">
      <c r="A689" s="27"/>
      <c r="B689" s="27"/>
      <c r="C689" s="27"/>
      <c r="D689" s="27"/>
      <c r="E689" s="36" t="s">
        <v>2628</v>
      </c>
      <c r="F689" s="42"/>
      <c r="G689" s="32"/>
      <c r="H689" s="33"/>
      <c r="I689" s="39"/>
      <c r="J689" s="35"/>
      <c r="K689" s="30" t="s">
        <v>2561</v>
      </c>
    </row>
    <row r="690" customFormat="false" ht="14.25" hidden="false" customHeight="true" outlineLevel="0" collapsed="false">
      <c r="A690" s="27"/>
      <c r="B690" s="27"/>
      <c r="C690" s="40" t="s">
        <v>2629</v>
      </c>
      <c r="D690" s="29" t="s">
        <v>2630</v>
      </c>
      <c r="E690" s="36" t="s">
        <v>2631</v>
      </c>
      <c r="F690" s="42" t="s">
        <v>2632</v>
      </c>
      <c r="G690" s="32" t="s">
        <v>48</v>
      </c>
      <c r="H690" s="33" t="s">
        <v>2633</v>
      </c>
      <c r="I690" s="37" t="s">
        <v>50</v>
      </c>
      <c r="J690" s="35" t="s">
        <v>2634</v>
      </c>
      <c r="K690" s="30" t="s">
        <v>2635</v>
      </c>
    </row>
    <row r="691" customFormat="false" ht="14.25" hidden="false" customHeight="true" outlineLevel="0" collapsed="false">
      <c r="A691" s="27"/>
      <c r="B691" s="27"/>
      <c r="C691" s="27"/>
      <c r="D691" s="27"/>
      <c r="E691" s="36" t="s">
        <v>2636</v>
      </c>
      <c r="F691" s="42"/>
      <c r="G691" s="32"/>
      <c r="H691" s="33"/>
      <c r="I691" s="37"/>
      <c r="J691" s="35"/>
      <c r="K691" s="30" t="s">
        <v>2637</v>
      </c>
    </row>
    <row r="692" customFormat="false" ht="14.25" hidden="false" customHeight="true" outlineLevel="0" collapsed="false">
      <c r="A692" s="27"/>
      <c r="B692" s="27"/>
      <c r="C692" s="27"/>
      <c r="D692" s="29" t="s">
        <v>2638</v>
      </c>
      <c r="E692" s="36" t="s">
        <v>2639</v>
      </c>
      <c r="F692" s="42" t="s">
        <v>2640</v>
      </c>
      <c r="G692" s="32" t="s">
        <v>58</v>
      </c>
      <c r="H692" s="33" t="s">
        <v>2641</v>
      </c>
      <c r="I692" s="37" t="s">
        <v>50</v>
      </c>
      <c r="J692" s="35" t="s">
        <v>2642</v>
      </c>
      <c r="K692" s="30" t="s">
        <v>2643</v>
      </c>
    </row>
    <row r="693" customFormat="false" ht="14.25" hidden="false" customHeight="true" outlineLevel="0" collapsed="false">
      <c r="A693" s="27"/>
      <c r="B693" s="27"/>
      <c r="C693" s="27"/>
      <c r="D693" s="27"/>
      <c r="E693" s="36" t="s">
        <v>2644</v>
      </c>
      <c r="F693" s="42"/>
      <c r="G693" s="32"/>
      <c r="H693" s="33"/>
      <c r="I693" s="37"/>
      <c r="J693" s="35"/>
      <c r="K693" s="30" t="s">
        <v>2645</v>
      </c>
    </row>
    <row r="694" customFormat="false" ht="14.25" hidden="false" customHeight="true" outlineLevel="0" collapsed="false">
      <c r="A694" s="27"/>
      <c r="B694" s="27"/>
      <c r="C694" s="27"/>
      <c r="D694" s="29" t="s">
        <v>2646</v>
      </c>
      <c r="E694" s="36" t="s">
        <v>2647</v>
      </c>
      <c r="F694" s="42" t="s">
        <v>2648</v>
      </c>
      <c r="G694" s="32" t="s">
        <v>48</v>
      </c>
      <c r="H694" s="33" t="s">
        <v>2649</v>
      </c>
      <c r="I694" s="39" t="s">
        <v>67</v>
      </c>
      <c r="J694" s="35" t="s">
        <v>2650</v>
      </c>
      <c r="K694" s="30" t="s">
        <v>2651</v>
      </c>
    </row>
    <row r="695" customFormat="false" ht="14.25" hidden="false" customHeight="true" outlineLevel="0" collapsed="false">
      <c r="A695" s="27"/>
      <c r="B695" s="27"/>
      <c r="C695" s="27"/>
      <c r="D695" s="27"/>
      <c r="E695" s="36" t="s">
        <v>2652</v>
      </c>
      <c r="F695" s="42"/>
      <c r="G695" s="32"/>
      <c r="H695" s="33"/>
      <c r="I695" s="39"/>
      <c r="J695" s="35"/>
      <c r="K695" s="30" t="s">
        <v>2653</v>
      </c>
    </row>
    <row r="696" customFormat="false" ht="14.25" hidden="false" customHeight="true" outlineLevel="0" collapsed="false">
      <c r="A696" s="27"/>
      <c r="B696" s="27"/>
      <c r="C696" s="27"/>
      <c r="D696" s="29" t="s">
        <v>2654</v>
      </c>
      <c r="E696" s="36" t="s">
        <v>2655</v>
      </c>
      <c r="F696" s="42" t="s">
        <v>2656</v>
      </c>
      <c r="G696" s="32" t="s">
        <v>48</v>
      </c>
      <c r="H696" s="33" t="s">
        <v>2657</v>
      </c>
      <c r="I696" s="34" t="s">
        <v>40</v>
      </c>
      <c r="J696" s="35" t="s">
        <v>2658</v>
      </c>
      <c r="K696" s="30" t="s">
        <v>2659</v>
      </c>
    </row>
    <row r="697" customFormat="false" ht="14.25" hidden="false" customHeight="true" outlineLevel="0" collapsed="false">
      <c r="A697" s="27"/>
      <c r="B697" s="27"/>
      <c r="C697" s="27"/>
      <c r="D697" s="27"/>
      <c r="E697" s="36" t="s">
        <v>1290</v>
      </c>
      <c r="F697" s="42"/>
      <c r="G697" s="32"/>
      <c r="H697" s="33"/>
      <c r="I697" s="34"/>
      <c r="J697" s="35"/>
      <c r="K697" s="30" t="s">
        <v>2660</v>
      </c>
    </row>
    <row r="698" customFormat="false" ht="14.25" hidden="false" customHeight="true" outlineLevel="0" collapsed="false">
      <c r="A698" s="27"/>
      <c r="B698" s="27"/>
      <c r="C698" s="27"/>
      <c r="D698" s="29" t="s">
        <v>2661</v>
      </c>
      <c r="E698" s="36" t="s">
        <v>2662</v>
      </c>
      <c r="F698" s="42" t="s">
        <v>2663</v>
      </c>
      <c r="G698" s="32" t="s">
        <v>38</v>
      </c>
      <c r="H698" s="33" t="s">
        <v>2664</v>
      </c>
      <c r="I698" s="39" t="s">
        <v>67</v>
      </c>
      <c r="J698" s="35" t="s">
        <v>2665</v>
      </c>
      <c r="K698" s="30" t="s">
        <v>2666</v>
      </c>
    </row>
    <row r="699" customFormat="false" ht="14.25" hidden="false" customHeight="true" outlineLevel="0" collapsed="false">
      <c r="A699" s="27"/>
      <c r="B699" s="27"/>
      <c r="C699" s="27"/>
      <c r="D699" s="27"/>
      <c r="E699" s="36" t="s">
        <v>2667</v>
      </c>
      <c r="F699" s="42"/>
      <c r="G699" s="32"/>
      <c r="H699" s="33"/>
      <c r="I699" s="39"/>
      <c r="J699" s="35"/>
      <c r="K699" s="30" t="s">
        <v>2668</v>
      </c>
    </row>
    <row r="700" customFormat="false" ht="14.25" hidden="false" customHeight="true" outlineLevel="0" collapsed="false">
      <c r="A700" s="27"/>
      <c r="B700" s="28" t="s">
        <v>2669</v>
      </c>
      <c r="C700" s="29" t="s">
        <v>2670</v>
      </c>
      <c r="D700" s="29" t="s">
        <v>2671</v>
      </c>
      <c r="E700" s="36" t="s">
        <v>2672</v>
      </c>
      <c r="F700" s="42" t="s">
        <v>2673</v>
      </c>
      <c r="G700" s="32" t="s">
        <v>38</v>
      </c>
      <c r="H700" s="33" t="s">
        <v>2674</v>
      </c>
      <c r="I700" s="37" t="s">
        <v>50</v>
      </c>
      <c r="J700" s="35" t="s">
        <v>2675</v>
      </c>
      <c r="K700" s="30" t="s">
        <v>2676</v>
      </c>
    </row>
    <row r="701" customFormat="false" ht="14.25" hidden="false" customHeight="true" outlineLevel="0" collapsed="false">
      <c r="A701" s="27"/>
      <c r="B701" s="27"/>
      <c r="C701" s="27"/>
      <c r="D701" s="27"/>
      <c r="E701" s="36" t="s">
        <v>2677</v>
      </c>
      <c r="F701" s="42"/>
      <c r="G701" s="32"/>
      <c r="H701" s="33"/>
      <c r="I701" s="37"/>
      <c r="J701" s="35"/>
      <c r="K701" s="30" t="s">
        <v>2678</v>
      </c>
    </row>
    <row r="702" customFormat="false" ht="14.25" hidden="false" customHeight="true" outlineLevel="0" collapsed="false">
      <c r="A702" s="27"/>
      <c r="B702" s="27"/>
      <c r="C702" s="27"/>
      <c r="D702" s="29" t="s">
        <v>2679</v>
      </c>
      <c r="E702" s="36" t="s">
        <v>2680</v>
      </c>
      <c r="F702" s="42" t="s">
        <v>2681</v>
      </c>
      <c r="G702" s="32" t="s">
        <v>38</v>
      </c>
      <c r="H702" s="33" t="s">
        <v>2682</v>
      </c>
      <c r="I702" s="37" t="s">
        <v>50</v>
      </c>
      <c r="J702" s="35" t="s">
        <v>2683</v>
      </c>
      <c r="K702" s="30" t="s">
        <v>2684</v>
      </c>
    </row>
    <row r="703" customFormat="false" ht="14.25" hidden="false" customHeight="true" outlineLevel="0" collapsed="false">
      <c r="A703" s="27"/>
      <c r="B703" s="27"/>
      <c r="C703" s="27"/>
      <c r="D703" s="27"/>
      <c r="E703" s="36" t="s">
        <v>2685</v>
      </c>
      <c r="F703" s="42"/>
      <c r="G703" s="32"/>
      <c r="H703" s="33"/>
      <c r="I703" s="37"/>
      <c r="J703" s="35"/>
      <c r="K703" s="30" t="s">
        <v>2686</v>
      </c>
    </row>
    <row r="704" customFormat="false" ht="14.25" hidden="false" customHeight="true" outlineLevel="0" collapsed="false">
      <c r="A704" s="27"/>
      <c r="B704" s="27"/>
      <c r="C704" s="27"/>
      <c r="D704" s="29" t="s">
        <v>2687</v>
      </c>
      <c r="E704" s="36" t="s">
        <v>2688</v>
      </c>
      <c r="F704" s="42" t="s">
        <v>2689</v>
      </c>
      <c r="G704" s="32" t="s">
        <v>48</v>
      </c>
      <c r="H704" s="33" t="s">
        <v>2690</v>
      </c>
      <c r="I704" s="39" t="s">
        <v>67</v>
      </c>
      <c r="J704" s="35" t="s">
        <v>2691</v>
      </c>
      <c r="K704" s="30" t="s">
        <v>2692</v>
      </c>
    </row>
    <row r="705" customFormat="false" ht="14.25" hidden="false" customHeight="true" outlineLevel="0" collapsed="false">
      <c r="A705" s="27"/>
      <c r="B705" s="27"/>
      <c r="C705" s="27"/>
      <c r="D705" s="27"/>
      <c r="E705" s="36" t="s">
        <v>2693</v>
      </c>
      <c r="F705" s="42"/>
      <c r="G705" s="32"/>
      <c r="H705" s="33"/>
      <c r="I705" s="39"/>
      <c r="J705" s="35"/>
      <c r="K705" s="30" t="s">
        <v>2694</v>
      </c>
    </row>
    <row r="706" customFormat="false" ht="14.25" hidden="false" customHeight="true" outlineLevel="0" collapsed="false">
      <c r="A706" s="27"/>
      <c r="B706" s="27"/>
      <c r="C706" s="27"/>
      <c r="D706" s="29" t="s">
        <v>2695</v>
      </c>
      <c r="E706" s="36" t="s">
        <v>2696</v>
      </c>
      <c r="F706" s="42" t="s">
        <v>2697</v>
      </c>
      <c r="G706" s="32" t="s">
        <v>58</v>
      </c>
      <c r="H706" s="33" t="s">
        <v>2698</v>
      </c>
      <c r="I706" s="34" t="s">
        <v>40</v>
      </c>
      <c r="J706" s="35" t="s">
        <v>2699</v>
      </c>
      <c r="K706" s="30" t="s">
        <v>2700</v>
      </c>
    </row>
    <row r="707" customFormat="false" ht="14.25" hidden="false" customHeight="true" outlineLevel="0" collapsed="false">
      <c r="A707" s="27"/>
      <c r="B707" s="27"/>
      <c r="C707" s="27"/>
      <c r="D707" s="27"/>
      <c r="E707" s="36" t="s">
        <v>2701</v>
      </c>
      <c r="F707" s="42"/>
      <c r="G707" s="32"/>
      <c r="H707" s="33"/>
      <c r="I707" s="34"/>
      <c r="J707" s="35"/>
      <c r="K707" s="30" t="s">
        <v>2702</v>
      </c>
    </row>
    <row r="708" customFormat="false" ht="14.25" hidden="false" customHeight="true" outlineLevel="0" collapsed="false">
      <c r="A708" s="27"/>
      <c r="B708" s="27"/>
      <c r="C708" s="27"/>
      <c r="D708" s="29" t="s">
        <v>2703</v>
      </c>
      <c r="E708" s="36" t="s">
        <v>2704</v>
      </c>
      <c r="F708" s="42" t="s">
        <v>2705</v>
      </c>
      <c r="G708" s="32" t="s">
        <v>48</v>
      </c>
      <c r="H708" s="33" t="s">
        <v>2626</v>
      </c>
      <c r="I708" s="39" t="s">
        <v>67</v>
      </c>
      <c r="J708" s="35" t="s">
        <v>2706</v>
      </c>
      <c r="K708" s="30" t="s">
        <v>2707</v>
      </c>
    </row>
    <row r="709" customFormat="false" ht="14.25" hidden="false" customHeight="true" outlineLevel="0" collapsed="false">
      <c r="A709" s="27"/>
      <c r="B709" s="27"/>
      <c r="C709" s="27"/>
      <c r="D709" s="27"/>
      <c r="E709" s="36" t="s">
        <v>2708</v>
      </c>
      <c r="F709" s="42"/>
      <c r="G709" s="32"/>
      <c r="H709" s="33"/>
      <c r="I709" s="39"/>
      <c r="J709" s="35"/>
      <c r="K709" s="30" t="s">
        <v>2709</v>
      </c>
    </row>
    <row r="710" customFormat="false" ht="14.25" hidden="false" customHeight="true" outlineLevel="0" collapsed="false">
      <c r="A710" s="27"/>
      <c r="B710" s="27"/>
      <c r="C710" s="40" t="s">
        <v>2710</v>
      </c>
      <c r="D710" s="29" t="s">
        <v>2711</v>
      </c>
      <c r="E710" s="36" t="s">
        <v>2712</v>
      </c>
      <c r="F710" s="42" t="s">
        <v>2713</v>
      </c>
      <c r="G710" s="32" t="s">
        <v>48</v>
      </c>
      <c r="H710" s="33" t="s">
        <v>2714</v>
      </c>
      <c r="I710" s="37" t="s">
        <v>50</v>
      </c>
      <c r="J710" s="35" t="s">
        <v>2715</v>
      </c>
      <c r="K710" s="30" t="s">
        <v>2716</v>
      </c>
    </row>
    <row r="711" customFormat="false" ht="14.25" hidden="false" customHeight="true" outlineLevel="0" collapsed="false">
      <c r="A711" s="27"/>
      <c r="B711" s="27"/>
      <c r="C711" s="27"/>
      <c r="D711" s="27"/>
      <c r="E711" s="36" t="s">
        <v>2717</v>
      </c>
      <c r="F711" s="42"/>
      <c r="G711" s="32"/>
      <c r="H711" s="33"/>
      <c r="I711" s="37"/>
      <c r="J711" s="35"/>
      <c r="K711" s="30" t="s">
        <v>2718</v>
      </c>
    </row>
    <row r="712" customFormat="false" ht="14.25" hidden="false" customHeight="true" outlineLevel="0" collapsed="false">
      <c r="A712" s="27"/>
      <c r="B712" s="27"/>
      <c r="C712" s="27"/>
      <c r="D712" s="29" t="s">
        <v>2719</v>
      </c>
      <c r="E712" s="36" t="s">
        <v>2720</v>
      </c>
      <c r="F712" s="42" t="s">
        <v>2721</v>
      </c>
      <c r="G712" s="32" t="s">
        <v>38</v>
      </c>
      <c r="H712" s="33" t="s">
        <v>2722</v>
      </c>
      <c r="I712" s="37" t="s">
        <v>50</v>
      </c>
      <c r="J712" s="35" t="s">
        <v>2723</v>
      </c>
      <c r="K712" s="30" t="s">
        <v>2724</v>
      </c>
    </row>
    <row r="713" customFormat="false" ht="14.25" hidden="false" customHeight="true" outlineLevel="0" collapsed="false">
      <c r="A713" s="27"/>
      <c r="B713" s="27"/>
      <c r="C713" s="27"/>
      <c r="D713" s="27"/>
      <c r="E713" s="36" t="s">
        <v>2725</v>
      </c>
      <c r="F713" s="42"/>
      <c r="G713" s="32"/>
      <c r="H713" s="33"/>
      <c r="I713" s="37"/>
      <c r="J713" s="35"/>
      <c r="K713" s="30" t="s">
        <v>2726</v>
      </c>
    </row>
    <row r="714" customFormat="false" ht="14.25" hidden="false" customHeight="true" outlineLevel="0" collapsed="false">
      <c r="A714" s="27"/>
      <c r="B714" s="27"/>
      <c r="C714" s="27"/>
      <c r="D714" s="29" t="s">
        <v>2727</v>
      </c>
      <c r="E714" s="36" t="s">
        <v>2727</v>
      </c>
      <c r="F714" s="42" t="s">
        <v>2728</v>
      </c>
      <c r="G714" s="32" t="s">
        <v>38</v>
      </c>
      <c r="H714" s="33" t="s">
        <v>2729</v>
      </c>
      <c r="I714" s="39" t="s">
        <v>67</v>
      </c>
      <c r="J714" s="35" t="s">
        <v>2730</v>
      </c>
      <c r="K714" s="30" t="s">
        <v>2731</v>
      </c>
    </row>
    <row r="715" customFormat="false" ht="14.25" hidden="false" customHeight="true" outlineLevel="0" collapsed="false">
      <c r="A715" s="27"/>
      <c r="B715" s="27"/>
      <c r="C715" s="27"/>
      <c r="D715" s="27"/>
      <c r="E715" s="36" t="s">
        <v>2732</v>
      </c>
      <c r="F715" s="42"/>
      <c r="G715" s="32"/>
      <c r="H715" s="33"/>
      <c r="I715" s="39"/>
      <c r="J715" s="35"/>
      <c r="K715" s="30" t="s">
        <v>2733</v>
      </c>
    </row>
    <row r="716" customFormat="false" ht="14.25" hidden="false" customHeight="true" outlineLevel="0" collapsed="false">
      <c r="A716" s="27"/>
      <c r="B716" s="27"/>
      <c r="C716" s="27"/>
      <c r="D716" s="29" t="s">
        <v>2734</v>
      </c>
      <c r="E716" s="36" t="s">
        <v>2735</v>
      </c>
      <c r="F716" s="42" t="s">
        <v>2736</v>
      </c>
      <c r="G716" s="32" t="s">
        <v>38</v>
      </c>
      <c r="H716" s="33" t="s">
        <v>2616</v>
      </c>
      <c r="I716" s="34" t="s">
        <v>40</v>
      </c>
      <c r="J716" s="35" t="s">
        <v>2737</v>
      </c>
      <c r="K716" s="30" t="s">
        <v>2738</v>
      </c>
    </row>
    <row r="717" customFormat="false" ht="14.25" hidden="false" customHeight="true" outlineLevel="0" collapsed="false">
      <c r="A717" s="27"/>
      <c r="B717" s="27"/>
      <c r="C717" s="27"/>
      <c r="D717" s="27"/>
      <c r="E717" s="36" t="s">
        <v>2739</v>
      </c>
      <c r="F717" s="42"/>
      <c r="G717" s="32"/>
      <c r="H717" s="33"/>
      <c r="I717" s="34"/>
      <c r="J717" s="35"/>
      <c r="K717" s="30" t="s">
        <v>2740</v>
      </c>
    </row>
    <row r="718" customFormat="false" ht="14.25" hidden="false" customHeight="true" outlineLevel="0" collapsed="false">
      <c r="A718" s="27"/>
      <c r="B718" s="27"/>
      <c r="C718" s="27"/>
      <c r="D718" s="29" t="s">
        <v>2741</v>
      </c>
      <c r="E718" s="36" t="s">
        <v>2742</v>
      </c>
      <c r="F718" s="42" t="s">
        <v>2743</v>
      </c>
      <c r="G718" s="32" t="s">
        <v>48</v>
      </c>
      <c r="H718" s="33" t="s">
        <v>2626</v>
      </c>
      <c r="I718" s="39" t="s">
        <v>67</v>
      </c>
      <c r="J718" s="35" t="s">
        <v>2744</v>
      </c>
      <c r="K718" s="30" t="s">
        <v>2416</v>
      </c>
    </row>
    <row r="719" customFormat="false" ht="14.25" hidden="false" customHeight="true" outlineLevel="0" collapsed="false">
      <c r="A719" s="27"/>
      <c r="B719" s="27"/>
      <c r="C719" s="27"/>
      <c r="D719" s="27"/>
      <c r="E719" s="36" t="s">
        <v>2745</v>
      </c>
      <c r="F719" s="42"/>
      <c r="G719" s="32"/>
      <c r="H719" s="33"/>
      <c r="I719" s="39"/>
      <c r="J719" s="35"/>
      <c r="K719" s="30" t="s">
        <v>2746</v>
      </c>
    </row>
    <row r="720" customFormat="false" ht="14.25" hidden="false" customHeight="true" outlineLevel="0" collapsed="false">
      <c r="A720" s="27"/>
      <c r="B720" s="27"/>
      <c r="C720" s="40" t="s">
        <v>2747</v>
      </c>
      <c r="D720" s="29" t="s">
        <v>2748</v>
      </c>
      <c r="E720" s="36" t="s">
        <v>2748</v>
      </c>
      <c r="F720" s="42" t="s">
        <v>2749</v>
      </c>
      <c r="G720" s="32" t="s">
        <v>58</v>
      </c>
      <c r="H720" s="33" t="s">
        <v>2750</v>
      </c>
      <c r="I720" s="37" t="s">
        <v>50</v>
      </c>
      <c r="J720" s="35" t="s">
        <v>2751</v>
      </c>
      <c r="K720" s="30" t="s">
        <v>2551</v>
      </c>
    </row>
    <row r="721" customFormat="false" ht="14.25" hidden="false" customHeight="true" outlineLevel="0" collapsed="false">
      <c r="A721" s="27"/>
      <c r="B721" s="27"/>
      <c r="C721" s="27"/>
      <c r="D721" s="27"/>
      <c r="E721" s="36" t="s">
        <v>2752</v>
      </c>
      <c r="F721" s="42"/>
      <c r="G721" s="32"/>
      <c r="H721" s="33"/>
      <c r="I721" s="37"/>
      <c r="J721" s="35"/>
      <c r="K721" s="30" t="s">
        <v>2753</v>
      </c>
    </row>
    <row r="722" customFormat="false" ht="14.25" hidden="false" customHeight="true" outlineLevel="0" collapsed="false">
      <c r="A722" s="27"/>
      <c r="B722" s="27"/>
      <c r="C722" s="27"/>
      <c r="D722" s="29" t="s">
        <v>2754</v>
      </c>
      <c r="E722" s="36" t="s">
        <v>2755</v>
      </c>
      <c r="F722" s="42" t="s">
        <v>2756</v>
      </c>
      <c r="G722" s="32" t="s">
        <v>48</v>
      </c>
      <c r="H722" s="33" t="s">
        <v>2757</v>
      </c>
      <c r="I722" s="37" t="s">
        <v>50</v>
      </c>
      <c r="J722" s="35" t="s">
        <v>2758</v>
      </c>
      <c r="K722" s="30" t="s">
        <v>2759</v>
      </c>
    </row>
    <row r="723" customFormat="false" ht="14.25" hidden="false" customHeight="true" outlineLevel="0" collapsed="false">
      <c r="A723" s="27"/>
      <c r="B723" s="27"/>
      <c r="C723" s="27"/>
      <c r="D723" s="27"/>
      <c r="E723" s="36" t="s">
        <v>2760</v>
      </c>
      <c r="F723" s="42"/>
      <c r="G723" s="32"/>
      <c r="H723" s="33"/>
      <c r="I723" s="37"/>
      <c r="J723" s="35"/>
      <c r="K723" s="30" t="s">
        <v>2761</v>
      </c>
    </row>
    <row r="724" customFormat="false" ht="14.25" hidden="false" customHeight="true" outlineLevel="0" collapsed="false">
      <c r="A724" s="27"/>
      <c r="B724" s="27"/>
      <c r="C724" s="27"/>
      <c r="D724" s="29" t="s">
        <v>2762</v>
      </c>
      <c r="E724" s="36" t="s">
        <v>2763</v>
      </c>
      <c r="F724" s="42" t="s">
        <v>2764</v>
      </c>
      <c r="G724" s="32" t="s">
        <v>48</v>
      </c>
      <c r="H724" s="33" t="s">
        <v>2765</v>
      </c>
      <c r="I724" s="39" t="s">
        <v>67</v>
      </c>
      <c r="J724" s="35" t="s">
        <v>41</v>
      </c>
      <c r="K724" s="30" t="s">
        <v>2766</v>
      </c>
    </row>
    <row r="725" customFormat="false" ht="14.25" hidden="false" customHeight="true" outlineLevel="0" collapsed="false">
      <c r="A725" s="27"/>
      <c r="B725" s="27"/>
      <c r="C725" s="27"/>
      <c r="D725" s="27"/>
      <c r="E725" s="36" t="s">
        <v>2767</v>
      </c>
      <c r="F725" s="42"/>
      <c r="G725" s="32"/>
      <c r="H725" s="33"/>
      <c r="I725" s="39"/>
      <c r="J725" s="35"/>
      <c r="K725" s="30" t="s">
        <v>2768</v>
      </c>
    </row>
    <row r="726" customFormat="false" ht="14.25" hidden="false" customHeight="true" outlineLevel="0" collapsed="false">
      <c r="A726" s="27"/>
      <c r="B726" s="27"/>
      <c r="C726" s="27"/>
      <c r="D726" s="29" t="s">
        <v>2769</v>
      </c>
      <c r="E726" s="36" t="s">
        <v>2770</v>
      </c>
      <c r="F726" s="42" t="s">
        <v>2771</v>
      </c>
      <c r="G726" s="32" t="s">
        <v>38</v>
      </c>
      <c r="H726" s="33" t="s">
        <v>2772</v>
      </c>
      <c r="I726" s="34" t="s">
        <v>40</v>
      </c>
      <c r="J726" s="35" t="s">
        <v>51</v>
      </c>
      <c r="K726" s="30" t="s">
        <v>2773</v>
      </c>
    </row>
    <row r="727" customFormat="false" ht="14.25" hidden="false" customHeight="true" outlineLevel="0" collapsed="false">
      <c r="A727" s="27"/>
      <c r="B727" s="27"/>
      <c r="C727" s="27"/>
      <c r="D727" s="27"/>
      <c r="E727" s="36" t="s">
        <v>2774</v>
      </c>
      <c r="F727" s="42"/>
      <c r="G727" s="32"/>
      <c r="H727" s="33"/>
      <c r="I727" s="34"/>
      <c r="J727" s="35"/>
      <c r="K727" s="30" t="s">
        <v>2775</v>
      </c>
    </row>
    <row r="728" customFormat="false" ht="14.25" hidden="false" customHeight="true" outlineLevel="0" collapsed="false">
      <c r="A728" s="27"/>
      <c r="B728" s="27"/>
      <c r="C728" s="27"/>
      <c r="D728" s="29" t="s">
        <v>2776</v>
      </c>
      <c r="E728" s="36" t="s">
        <v>2777</v>
      </c>
      <c r="F728" s="42" t="s">
        <v>2778</v>
      </c>
      <c r="G728" s="32" t="s">
        <v>38</v>
      </c>
      <c r="H728" s="33" t="s">
        <v>1582</v>
      </c>
      <c r="I728" s="39" t="s">
        <v>67</v>
      </c>
      <c r="J728" s="35" t="s">
        <v>60</v>
      </c>
      <c r="K728" s="30" t="s">
        <v>2779</v>
      </c>
    </row>
    <row r="729" customFormat="false" ht="14.25" hidden="false" customHeight="true" outlineLevel="0" collapsed="false">
      <c r="A729" s="27"/>
      <c r="B729" s="27"/>
      <c r="C729" s="27"/>
      <c r="D729" s="27"/>
      <c r="E729" s="36" t="s">
        <v>2780</v>
      </c>
      <c r="F729" s="42"/>
      <c r="G729" s="32"/>
      <c r="H729" s="33"/>
      <c r="I729" s="39"/>
      <c r="J729" s="35"/>
      <c r="K729" s="30" t="s">
        <v>2781</v>
      </c>
    </row>
    <row r="730" customFormat="false" ht="14.25" hidden="false" customHeight="true" outlineLevel="0" collapsed="false">
      <c r="A730" s="27"/>
      <c r="B730" s="27"/>
      <c r="C730" s="40" t="s">
        <v>2782</v>
      </c>
      <c r="D730" s="29" t="s">
        <v>2783</v>
      </c>
      <c r="E730" s="36" t="s">
        <v>2784</v>
      </c>
      <c r="F730" s="42" t="s">
        <v>2785</v>
      </c>
      <c r="G730" s="32" t="s">
        <v>38</v>
      </c>
      <c r="H730" s="33" t="s">
        <v>2786</v>
      </c>
      <c r="I730" s="37" t="s">
        <v>50</v>
      </c>
      <c r="J730" s="35" t="s">
        <v>68</v>
      </c>
      <c r="K730" s="30" t="s">
        <v>2787</v>
      </c>
    </row>
    <row r="731" customFormat="false" ht="14.25" hidden="false" customHeight="true" outlineLevel="0" collapsed="false">
      <c r="A731" s="27"/>
      <c r="B731" s="27"/>
      <c r="C731" s="27"/>
      <c r="D731" s="27"/>
      <c r="E731" s="36" t="s">
        <v>2788</v>
      </c>
      <c r="F731" s="42"/>
      <c r="G731" s="32"/>
      <c r="H731" s="33"/>
      <c r="I731" s="37"/>
      <c r="J731" s="35"/>
      <c r="K731" s="30" t="s">
        <v>2789</v>
      </c>
    </row>
    <row r="732" customFormat="false" ht="14.25" hidden="false" customHeight="true" outlineLevel="0" collapsed="false">
      <c r="A732" s="27"/>
      <c r="B732" s="27"/>
      <c r="C732" s="27"/>
      <c r="D732" s="29" t="s">
        <v>2790</v>
      </c>
      <c r="E732" s="36" t="s">
        <v>2790</v>
      </c>
      <c r="F732" s="42" t="s">
        <v>2791</v>
      </c>
      <c r="G732" s="32" t="s">
        <v>48</v>
      </c>
      <c r="H732" s="33" t="s">
        <v>2792</v>
      </c>
      <c r="I732" s="37" t="s">
        <v>50</v>
      </c>
      <c r="J732" s="35" t="s">
        <v>76</v>
      </c>
      <c r="K732" s="30" t="s">
        <v>2793</v>
      </c>
    </row>
    <row r="733" customFormat="false" ht="14.25" hidden="false" customHeight="true" outlineLevel="0" collapsed="false">
      <c r="A733" s="27"/>
      <c r="B733" s="27"/>
      <c r="C733" s="27"/>
      <c r="D733" s="27"/>
      <c r="E733" s="36" t="s">
        <v>2794</v>
      </c>
      <c r="F733" s="42"/>
      <c r="G733" s="32"/>
      <c r="H733" s="33"/>
      <c r="I733" s="37"/>
      <c r="J733" s="35"/>
      <c r="K733" s="30" t="s">
        <v>2795</v>
      </c>
    </row>
    <row r="734" customFormat="false" ht="14.25" hidden="false" customHeight="true" outlineLevel="0" collapsed="false">
      <c r="A734" s="27"/>
      <c r="B734" s="27"/>
      <c r="C734" s="27"/>
      <c r="D734" s="29" t="s">
        <v>2796</v>
      </c>
      <c r="E734" s="36" t="s">
        <v>2796</v>
      </c>
      <c r="F734" s="42" t="s">
        <v>2797</v>
      </c>
      <c r="G734" s="32" t="s">
        <v>58</v>
      </c>
      <c r="H734" s="33" t="s">
        <v>2798</v>
      </c>
      <c r="I734" s="39" t="s">
        <v>67</v>
      </c>
      <c r="J734" s="35" t="s">
        <v>85</v>
      </c>
      <c r="K734" s="30" t="s">
        <v>2799</v>
      </c>
    </row>
    <row r="735" customFormat="false" ht="14.25" hidden="false" customHeight="true" outlineLevel="0" collapsed="false">
      <c r="A735" s="27"/>
      <c r="B735" s="27"/>
      <c r="C735" s="27"/>
      <c r="D735" s="27"/>
      <c r="E735" s="36" t="s">
        <v>1085</v>
      </c>
      <c r="F735" s="42"/>
      <c r="G735" s="32"/>
      <c r="H735" s="33"/>
      <c r="I735" s="39"/>
      <c r="J735" s="35"/>
      <c r="K735" s="30" t="s">
        <v>2800</v>
      </c>
    </row>
    <row r="736" customFormat="false" ht="14.25" hidden="false" customHeight="true" outlineLevel="0" collapsed="false">
      <c r="A736" s="27"/>
      <c r="B736" s="27"/>
      <c r="C736" s="27"/>
      <c r="D736" s="29" t="s">
        <v>2801</v>
      </c>
      <c r="E736" s="36" t="s">
        <v>2801</v>
      </c>
      <c r="F736" s="42" t="s">
        <v>2802</v>
      </c>
      <c r="G736" s="32" t="s">
        <v>48</v>
      </c>
      <c r="H736" s="33" t="s">
        <v>2803</v>
      </c>
      <c r="I736" s="34" t="s">
        <v>40</v>
      </c>
      <c r="J736" s="35" t="s">
        <v>93</v>
      </c>
      <c r="K736" s="30" t="s">
        <v>2804</v>
      </c>
    </row>
    <row r="737" customFormat="false" ht="14.25" hidden="false" customHeight="true" outlineLevel="0" collapsed="false">
      <c r="A737" s="27"/>
      <c r="B737" s="27"/>
      <c r="C737" s="27"/>
      <c r="D737" s="27"/>
      <c r="E737" s="36" t="s">
        <v>2805</v>
      </c>
      <c r="F737" s="42"/>
      <c r="G737" s="32"/>
      <c r="H737" s="33"/>
      <c r="I737" s="34"/>
      <c r="J737" s="35"/>
      <c r="K737" s="30" t="s">
        <v>2806</v>
      </c>
    </row>
    <row r="738" customFormat="false" ht="14.25" hidden="false" customHeight="true" outlineLevel="0" collapsed="false">
      <c r="A738" s="27"/>
      <c r="B738" s="27"/>
      <c r="C738" s="27"/>
      <c r="D738" s="29" t="s">
        <v>2807</v>
      </c>
      <c r="E738" s="36" t="s">
        <v>2807</v>
      </c>
      <c r="F738" s="42" t="s">
        <v>2778</v>
      </c>
      <c r="G738" s="32" t="s">
        <v>48</v>
      </c>
      <c r="H738" s="33" t="s">
        <v>1582</v>
      </c>
      <c r="I738" s="39" t="s">
        <v>67</v>
      </c>
      <c r="J738" s="35" t="s">
        <v>101</v>
      </c>
      <c r="K738" s="30" t="s">
        <v>2808</v>
      </c>
    </row>
    <row r="739" customFormat="false" ht="14.25" hidden="false" customHeight="true" outlineLevel="0" collapsed="false">
      <c r="A739" s="27"/>
      <c r="B739" s="27"/>
      <c r="C739" s="27"/>
      <c r="D739" s="27"/>
      <c r="E739" s="36" t="s">
        <v>2809</v>
      </c>
      <c r="F739" s="42"/>
      <c r="G739" s="32"/>
      <c r="H739" s="33"/>
      <c r="I739" s="39"/>
      <c r="J739" s="35"/>
      <c r="K739" s="30" t="s">
        <v>2810</v>
      </c>
    </row>
    <row r="740" customFormat="false" ht="14.25" hidden="false" customHeight="true" outlineLevel="0" collapsed="false">
      <c r="A740" s="27"/>
      <c r="B740" s="27"/>
      <c r="C740" s="29" t="s">
        <v>2811</v>
      </c>
      <c r="D740" s="29" t="s">
        <v>2783</v>
      </c>
      <c r="E740" s="36" t="s">
        <v>2812</v>
      </c>
      <c r="F740" s="42" t="s">
        <v>2785</v>
      </c>
      <c r="G740" s="32" t="s">
        <v>38</v>
      </c>
      <c r="H740" s="33" t="s">
        <v>2786</v>
      </c>
      <c r="I740" s="37" t="s">
        <v>50</v>
      </c>
      <c r="J740" s="35" t="s">
        <v>109</v>
      </c>
      <c r="K740" s="30" t="s">
        <v>2813</v>
      </c>
    </row>
    <row r="741" customFormat="false" ht="14.25" hidden="false" customHeight="true" outlineLevel="0" collapsed="false">
      <c r="A741" s="27"/>
      <c r="B741" s="27"/>
      <c r="C741" s="27"/>
      <c r="D741" s="27"/>
      <c r="E741" s="36" t="s">
        <v>2814</v>
      </c>
      <c r="F741" s="42"/>
      <c r="G741" s="32"/>
      <c r="H741" s="33"/>
      <c r="I741" s="37"/>
      <c r="J741" s="35"/>
      <c r="K741" s="30" t="s">
        <v>2815</v>
      </c>
    </row>
    <row r="742" customFormat="false" ht="14.25" hidden="false" customHeight="true" outlineLevel="0" collapsed="false">
      <c r="A742" s="27"/>
      <c r="B742" s="27"/>
      <c r="C742" s="27"/>
      <c r="D742" s="29" t="s">
        <v>2790</v>
      </c>
      <c r="E742" s="36" t="s">
        <v>2816</v>
      </c>
      <c r="F742" s="42" t="s">
        <v>2791</v>
      </c>
      <c r="G742" s="32" t="s">
        <v>38</v>
      </c>
      <c r="H742" s="33" t="s">
        <v>2792</v>
      </c>
      <c r="I742" s="37" t="s">
        <v>50</v>
      </c>
      <c r="J742" s="35" t="s">
        <v>117</v>
      </c>
      <c r="K742" s="30" t="s">
        <v>2817</v>
      </c>
    </row>
    <row r="743" customFormat="false" ht="14.25" hidden="false" customHeight="true" outlineLevel="0" collapsed="false">
      <c r="A743" s="27"/>
      <c r="B743" s="27"/>
      <c r="C743" s="27"/>
      <c r="D743" s="27"/>
      <c r="E743" s="36" t="s">
        <v>2818</v>
      </c>
      <c r="F743" s="42"/>
      <c r="G743" s="32"/>
      <c r="H743" s="33"/>
      <c r="I743" s="37"/>
      <c r="J743" s="35"/>
      <c r="K743" s="30" t="s">
        <v>2819</v>
      </c>
    </row>
    <row r="744" customFormat="false" ht="14.25" hidden="false" customHeight="true" outlineLevel="0" collapsed="false">
      <c r="A744" s="27"/>
      <c r="B744" s="27"/>
      <c r="C744" s="27"/>
      <c r="D744" s="29" t="s">
        <v>2796</v>
      </c>
      <c r="E744" s="36" t="s">
        <v>2820</v>
      </c>
      <c r="F744" s="42" t="s">
        <v>2797</v>
      </c>
      <c r="G744" s="32" t="s">
        <v>38</v>
      </c>
      <c r="H744" s="33" t="s">
        <v>2798</v>
      </c>
      <c r="I744" s="39" t="s">
        <v>67</v>
      </c>
      <c r="J744" s="35" t="s">
        <v>125</v>
      </c>
      <c r="K744" s="30" t="s">
        <v>2821</v>
      </c>
    </row>
    <row r="745" customFormat="false" ht="14.25" hidden="false" customHeight="true" outlineLevel="0" collapsed="false">
      <c r="A745" s="27"/>
      <c r="B745" s="27"/>
      <c r="C745" s="27"/>
      <c r="D745" s="27"/>
      <c r="E745" s="36" t="s">
        <v>2822</v>
      </c>
      <c r="F745" s="42"/>
      <c r="G745" s="32"/>
      <c r="H745" s="33"/>
      <c r="I745" s="39"/>
      <c r="J745" s="35"/>
      <c r="K745" s="30" t="s">
        <v>2823</v>
      </c>
    </row>
    <row r="746" customFormat="false" ht="14.25" hidden="false" customHeight="true" outlineLevel="0" collapsed="false">
      <c r="A746" s="27"/>
      <c r="B746" s="27"/>
      <c r="C746" s="27"/>
      <c r="D746" s="29" t="s">
        <v>2801</v>
      </c>
      <c r="E746" s="36" t="s">
        <v>2824</v>
      </c>
      <c r="F746" s="42" t="s">
        <v>2802</v>
      </c>
      <c r="G746" s="32" t="s">
        <v>48</v>
      </c>
      <c r="H746" s="33" t="s">
        <v>2649</v>
      </c>
      <c r="I746" s="34" t="s">
        <v>40</v>
      </c>
      <c r="J746" s="35" t="s">
        <v>133</v>
      </c>
      <c r="K746" s="30" t="s">
        <v>2825</v>
      </c>
    </row>
    <row r="747" customFormat="false" ht="14.25" hidden="false" customHeight="true" outlineLevel="0" collapsed="false">
      <c r="A747" s="27"/>
      <c r="B747" s="27"/>
      <c r="C747" s="27"/>
      <c r="D747" s="27"/>
      <c r="E747" s="36" t="s">
        <v>2826</v>
      </c>
      <c r="F747" s="42"/>
      <c r="G747" s="32"/>
      <c r="H747" s="33"/>
      <c r="I747" s="34"/>
      <c r="J747" s="35"/>
      <c r="K747" s="30" t="s">
        <v>2827</v>
      </c>
    </row>
    <row r="748" customFormat="false" ht="14.25" hidden="false" customHeight="true" outlineLevel="0" collapsed="false">
      <c r="A748" s="27"/>
      <c r="B748" s="27"/>
      <c r="C748" s="27"/>
      <c r="D748" s="29" t="s">
        <v>2807</v>
      </c>
      <c r="E748" s="36" t="s">
        <v>2807</v>
      </c>
      <c r="F748" s="42" t="s">
        <v>2828</v>
      </c>
      <c r="G748" s="32" t="s">
        <v>58</v>
      </c>
      <c r="H748" s="33" t="s">
        <v>2829</v>
      </c>
      <c r="I748" s="39" t="s">
        <v>67</v>
      </c>
      <c r="J748" s="35" t="s">
        <v>142</v>
      </c>
      <c r="K748" s="30" t="s">
        <v>2830</v>
      </c>
    </row>
    <row r="749" customFormat="false" ht="14.25" hidden="false" customHeight="true" outlineLevel="0" collapsed="false">
      <c r="A749" s="27"/>
      <c r="B749" s="27"/>
      <c r="C749" s="27"/>
      <c r="D749" s="27"/>
      <c r="E749" s="36" t="s">
        <v>2809</v>
      </c>
      <c r="F749" s="42"/>
      <c r="G749" s="32"/>
      <c r="H749" s="33"/>
      <c r="I749" s="39"/>
      <c r="J749" s="35"/>
      <c r="K749" s="30" t="s">
        <v>2831</v>
      </c>
    </row>
    <row r="750" customFormat="false" ht="14.25" hidden="false" customHeight="true" outlineLevel="0" collapsed="false">
      <c r="A750" s="27"/>
      <c r="B750" s="27"/>
      <c r="C750" s="40" t="s">
        <v>2832</v>
      </c>
      <c r="D750" s="29" t="s">
        <v>2833</v>
      </c>
      <c r="E750" s="36" t="s">
        <v>2833</v>
      </c>
      <c r="F750" s="42" t="s">
        <v>2834</v>
      </c>
      <c r="G750" s="32" t="s">
        <v>48</v>
      </c>
      <c r="H750" s="33" t="s">
        <v>2835</v>
      </c>
      <c r="I750" s="37" t="s">
        <v>50</v>
      </c>
      <c r="J750" s="35" t="s">
        <v>150</v>
      </c>
      <c r="K750" s="30" t="s">
        <v>2836</v>
      </c>
    </row>
    <row r="751" customFormat="false" ht="14.25" hidden="false" customHeight="true" outlineLevel="0" collapsed="false">
      <c r="A751" s="27"/>
      <c r="B751" s="27"/>
      <c r="C751" s="27"/>
      <c r="D751" s="27"/>
      <c r="E751" s="36" t="s">
        <v>2837</v>
      </c>
      <c r="F751" s="42"/>
      <c r="G751" s="32"/>
      <c r="H751" s="33"/>
      <c r="I751" s="37"/>
      <c r="J751" s="35"/>
      <c r="K751" s="30" t="s">
        <v>2838</v>
      </c>
    </row>
    <row r="752" customFormat="false" ht="14.25" hidden="false" customHeight="true" outlineLevel="0" collapsed="false">
      <c r="A752" s="27"/>
      <c r="B752" s="27"/>
      <c r="C752" s="27"/>
      <c r="D752" s="29" t="s">
        <v>2839</v>
      </c>
      <c r="E752" s="36" t="s">
        <v>2839</v>
      </c>
      <c r="F752" s="42" t="s">
        <v>2840</v>
      </c>
      <c r="G752" s="32" t="s">
        <v>48</v>
      </c>
      <c r="H752" s="33" t="s">
        <v>2786</v>
      </c>
      <c r="I752" s="37" t="s">
        <v>50</v>
      </c>
      <c r="J752" s="35" t="s">
        <v>158</v>
      </c>
      <c r="K752" s="30" t="s">
        <v>2813</v>
      </c>
    </row>
    <row r="753" customFormat="false" ht="14.25" hidden="false" customHeight="true" outlineLevel="0" collapsed="false">
      <c r="A753" s="27"/>
      <c r="B753" s="27"/>
      <c r="C753" s="27"/>
      <c r="D753" s="27"/>
      <c r="E753" s="36" t="s">
        <v>2841</v>
      </c>
      <c r="F753" s="42"/>
      <c r="G753" s="32"/>
      <c r="H753" s="33"/>
      <c r="I753" s="37"/>
      <c r="J753" s="35"/>
      <c r="K753" s="30" t="s">
        <v>2815</v>
      </c>
    </row>
    <row r="754" customFormat="false" ht="14.25" hidden="false" customHeight="true" outlineLevel="0" collapsed="false">
      <c r="A754" s="27"/>
      <c r="B754" s="27"/>
      <c r="C754" s="27"/>
      <c r="D754" s="29" t="s">
        <v>2842</v>
      </c>
      <c r="E754" s="36" t="s">
        <v>2842</v>
      </c>
      <c r="F754" s="42" t="s">
        <v>2843</v>
      </c>
      <c r="G754" s="32" t="s">
        <v>38</v>
      </c>
      <c r="H754" s="33" t="s">
        <v>2844</v>
      </c>
      <c r="I754" s="39" t="s">
        <v>67</v>
      </c>
      <c r="J754" s="35" t="s">
        <v>166</v>
      </c>
      <c r="K754" s="30" t="s">
        <v>2817</v>
      </c>
    </row>
    <row r="755" customFormat="false" ht="14.25" hidden="false" customHeight="true" outlineLevel="0" collapsed="false">
      <c r="A755" s="27"/>
      <c r="B755" s="27"/>
      <c r="C755" s="27"/>
      <c r="D755" s="27"/>
      <c r="E755" s="36" t="s">
        <v>2845</v>
      </c>
      <c r="F755" s="42"/>
      <c r="G755" s="32"/>
      <c r="H755" s="33"/>
      <c r="I755" s="39"/>
      <c r="J755" s="35"/>
      <c r="K755" s="30" t="s">
        <v>2819</v>
      </c>
    </row>
    <row r="756" customFormat="false" ht="14.25" hidden="false" customHeight="true" outlineLevel="0" collapsed="false">
      <c r="A756" s="27"/>
      <c r="B756" s="27"/>
      <c r="C756" s="27"/>
      <c r="D756" s="29" t="s">
        <v>2846</v>
      </c>
      <c r="E756" s="36" t="s">
        <v>2846</v>
      </c>
      <c r="F756" s="42" t="s">
        <v>2847</v>
      </c>
      <c r="G756" s="32" t="s">
        <v>38</v>
      </c>
      <c r="H756" s="33" t="s">
        <v>2848</v>
      </c>
      <c r="I756" s="34" t="s">
        <v>40</v>
      </c>
      <c r="J756" s="35" t="s">
        <v>2849</v>
      </c>
      <c r="K756" s="30" t="s">
        <v>2821</v>
      </c>
    </row>
    <row r="757" customFormat="false" ht="14.25" hidden="false" customHeight="true" outlineLevel="0" collapsed="false">
      <c r="A757" s="27"/>
      <c r="B757" s="27"/>
      <c r="C757" s="27"/>
      <c r="D757" s="27"/>
      <c r="E757" s="36" t="s">
        <v>2850</v>
      </c>
      <c r="F757" s="42"/>
      <c r="G757" s="32"/>
      <c r="H757" s="33"/>
      <c r="I757" s="34"/>
      <c r="J757" s="35"/>
      <c r="K757" s="30" t="s">
        <v>2823</v>
      </c>
    </row>
    <row r="758" customFormat="false" ht="14.25" hidden="false" customHeight="true" outlineLevel="0" collapsed="false">
      <c r="A758" s="27"/>
      <c r="B758" s="27"/>
      <c r="C758" s="27"/>
      <c r="D758" s="29" t="s">
        <v>2851</v>
      </c>
      <c r="E758" s="36" t="s">
        <v>2851</v>
      </c>
      <c r="F758" s="42" t="s">
        <v>2852</v>
      </c>
      <c r="G758" s="32" t="s">
        <v>38</v>
      </c>
      <c r="H758" s="33" t="s">
        <v>2649</v>
      </c>
      <c r="I758" s="39" t="s">
        <v>67</v>
      </c>
      <c r="J758" s="35" t="s">
        <v>2853</v>
      </c>
      <c r="K758" s="30" t="s">
        <v>2825</v>
      </c>
    </row>
    <row r="759" customFormat="false" ht="14.25" hidden="false" customHeight="true" outlineLevel="0" collapsed="false">
      <c r="A759" s="27"/>
      <c r="B759" s="27"/>
      <c r="C759" s="27"/>
      <c r="D759" s="27"/>
      <c r="E759" s="36" t="s">
        <v>2854</v>
      </c>
      <c r="F759" s="42"/>
      <c r="G759" s="32"/>
      <c r="H759" s="33"/>
      <c r="I759" s="39"/>
      <c r="J759" s="35"/>
      <c r="K759" s="30" t="s">
        <v>2827</v>
      </c>
    </row>
    <row r="760" customFormat="false" ht="14.25" hidden="false" customHeight="true" outlineLevel="0" collapsed="false">
      <c r="A760" s="27"/>
      <c r="B760" s="27"/>
      <c r="C760" s="40" t="s">
        <v>2855</v>
      </c>
      <c r="D760" s="29" t="s">
        <v>2856</v>
      </c>
      <c r="E760" s="36" t="s">
        <v>2857</v>
      </c>
      <c r="F760" s="42" t="s">
        <v>2858</v>
      </c>
      <c r="G760" s="32" t="s">
        <v>48</v>
      </c>
      <c r="H760" s="33" t="s">
        <v>2859</v>
      </c>
      <c r="I760" s="37" t="s">
        <v>50</v>
      </c>
      <c r="J760" s="35" t="s">
        <v>2860</v>
      </c>
      <c r="K760" s="30" t="s">
        <v>2830</v>
      </c>
    </row>
    <row r="761" customFormat="false" ht="14.25" hidden="false" customHeight="true" outlineLevel="0" collapsed="false">
      <c r="A761" s="27"/>
      <c r="B761" s="27"/>
      <c r="C761" s="27"/>
      <c r="D761" s="27"/>
      <c r="E761" s="36" t="s">
        <v>2861</v>
      </c>
      <c r="F761" s="42"/>
      <c r="G761" s="32"/>
      <c r="H761" s="33"/>
      <c r="I761" s="37"/>
      <c r="J761" s="35"/>
      <c r="K761" s="30" t="s">
        <v>2831</v>
      </c>
    </row>
    <row r="762" customFormat="false" ht="14.25" hidden="false" customHeight="true" outlineLevel="0" collapsed="false">
      <c r="A762" s="27"/>
      <c r="B762" s="27"/>
      <c r="C762" s="27"/>
      <c r="D762" s="29" t="s">
        <v>2862</v>
      </c>
      <c r="E762" s="36" t="s">
        <v>2862</v>
      </c>
      <c r="F762" s="42" t="s">
        <v>2863</v>
      </c>
      <c r="G762" s="32" t="s">
        <v>58</v>
      </c>
      <c r="H762" s="33" t="s">
        <v>2864</v>
      </c>
      <c r="I762" s="37" t="s">
        <v>50</v>
      </c>
      <c r="J762" s="35" t="s">
        <v>542</v>
      </c>
      <c r="K762" s="30" t="s">
        <v>2836</v>
      </c>
    </row>
    <row r="763" customFormat="false" ht="14.25" hidden="false" customHeight="true" outlineLevel="0" collapsed="false">
      <c r="A763" s="27"/>
      <c r="B763" s="27"/>
      <c r="C763" s="27"/>
      <c r="D763" s="27"/>
      <c r="E763" s="36" t="s">
        <v>2865</v>
      </c>
      <c r="F763" s="42"/>
      <c r="G763" s="32"/>
      <c r="H763" s="33"/>
      <c r="I763" s="37"/>
      <c r="J763" s="35"/>
      <c r="K763" s="30" t="s">
        <v>2838</v>
      </c>
    </row>
    <row r="764" customFormat="false" ht="14.25" hidden="false" customHeight="true" outlineLevel="0" collapsed="false">
      <c r="A764" s="27"/>
      <c r="B764" s="27"/>
      <c r="C764" s="27"/>
      <c r="D764" s="29" t="s">
        <v>2866</v>
      </c>
      <c r="E764" s="36" t="s">
        <v>2866</v>
      </c>
      <c r="F764" s="42" t="s">
        <v>2867</v>
      </c>
      <c r="G764" s="32" t="s">
        <v>48</v>
      </c>
      <c r="H764" s="33" t="s">
        <v>2868</v>
      </c>
      <c r="I764" s="39" t="s">
        <v>67</v>
      </c>
      <c r="J764" s="35" t="s">
        <v>550</v>
      </c>
      <c r="K764" s="30" t="s">
        <v>2869</v>
      </c>
    </row>
    <row r="765" customFormat="false" ht="14.25" hidden="false" customHeight="true" outlineLevel="0" collapsed="false">
      <c r="A765" s="27"/>
      <c r="B765" s="27"/>
      <c r="C765" s="27"/>
      <c r="D765" s="27"/>
      <c r="E765" s="36" t="s">
        <v>2870</v>
      </c>
      <c r="F765" s="42"/>
      <c r="G765" s="32"/>
      <c r="H765" s="33"/>
      <c r="I765" s="39"/>
      <c r="J765" s="35"/>
      <c r="K765" s="30" t="s">
        <v>2871</v>
      </c>
    </row>
    <row r="766" customFormat="false" ht="14.25" hidden="false" customHeight="true" outlineLevel="0" collapsed="false">
      <c r="A766" s="27"/>
      <c r="B766" s="27"/>
      <c r="C766" s="27"/>
      <c r="D766" s="29" t="s">
        <v>2872</v>
      </c>
      <c r="E766" s="36" t="s">
        <v>2872</v>
      </c>
      <c r="F766" s="42" t="s">
        <v>2873</v>
      </c>
      <c r="G766" s="32" t="s">
        <v>48</v>
      </c>
      <c r="H766" s="33" t="s">
        <v>2722</v>
      </c>
      <c r="I766" s="34" t="s">
        <v>40</v>
      </c>
      <c r="J766" s="35" t="s">
        <v>2874</v>
      </c>
      <c r="K766" s="30" t="s">
        <v>2875</v>
      </c>
    </row>
    <row r="767" customFormat="false" ht="14.25" hidden="false" customHeight="true" outlineLevel="0" collapsed="false">
      <c r="A767" s="27"/>
      <c r="B767" s="27"/>
      <c r="C767" s="27"/>
      <c r="D767" s="27"/>
      <c r="E767" s="36" t="s">
        <v>2876</v>
      </c>
      <c r="F767" s="42"/>
      <c r="G767" s="32"/>
      <c r="H767" s="33"/>
      <c r="I767" s="34"/>
      <c r="J767" s="35"/>
      <c r="K767" s="30" t="s">
        <v>2877</v>
      </c>
    </row>
    <row r="768" customFormat="false" ht="14.25" hidden="false" customHeight="true" outlineLevel="0" collapsed="false">
      <c r="A768" s="27"/>
      <c r="B768" s="27"/>
      <c r="C768" s="27"/>
      <c r="D768" s="29" t="s">
        <v>2878</v>
      </c>
      <c r="E768" s="36" t="s">
        <v>2878</v>
      </c>
      <c r="F768" s="42" t="s">
        <v>2879</v>
      </c>
      <c r="G768" s="32" t="s">
        <v>38</v>
      </c>
      <c r="H768" s="33" t="s">
        <v>2880</v>
      </c>
      <c r="I768" s="39" t="s">
        <v>67</v>
      </c>
      <c r="J768" s="35" t="s">
        <v>2881</v>
      </c>
      <c r="K768" s="30" t="s">
        <v>2882</v>
      </c>
    </row>
    <row r="769" customFormat="false" ht="14.25" hidden="false" customHeight="true" outlineLevel="0" collapsed="false">
      <c r="A769" s="27"/>
      <c r="B769" s="27"/>
      <c r="C769" s="27"/>
      <c r="D769" s="27"/>
      <c r="E769" s="36" t="s">
        <v>2883</v>
      </c>
      <c r="F769" s="42"/>
      <c r="G769" s="32"/>
      <c r="H769" s="33"/>
      <c r="I769" s="39"/>
      <c r="J769" s="35"/>
      <c r="K769" s="30" t="s">
        <v>2884</v>
      </c>
    </row>
    <row r="770" customFormat="false" ht="14.25" hidden="false" customHeight="true" outlineLevel="0" collapsed="false">
      <c r="A770" s="27"/>
      <c r="B770" s="27"/>
      <c r="C770" s="29" t="s">
        <v>2885</v>
      </c>
      <c r="D770" s="29" t="s">
        <v>2886</v>
      </c>
      <c r="E770" s="36" t="s">
        <v>2886</v>
      </c>
      <c r="F770" s="42" t="s">
        <v>2887</v>
      </c>
      <c r="G770" s="32" t="s">
        <v>38</v>
      </c>
      <c r="H770" s="33" t="s">
        <v>2880</v>
      </c>
      <c r="I770" s="37" t="s">
        <v>50</v>
      </c>
      <c r="J770" s="35" t="s">
        <v>2888</v>
      </c>
      <c r="K770" s="30" t="s">
        <v>2889</v>
      </c>
    </row>
    <row r="771" customFormat="false" ht="14.25" hidden="false" customHeight="true" outlineLevel="0" collapsed="false">
      <c r="A771" s="27"/>
      <c r="B771" s="27"/>
      <c r="C771" s="27"/>
      <c r="D771" s="27"/>
      <c r="E771" s="36" t="s">
        <v>2890</v>
      </c>
      <c r="F771" s="42"/>
      <c r="G771" s="32"/>
      <c r="H771" s="33"/>
      <c r="I771" s="37"/>
      <c r="J771" s="35"/>
      <c r="K771" s="30" t="s">
        <v>2891</v>
      </c>
    </row>
    <row r="772" customFormat="false" ht="14.25" hidden="false" customHeight="true" outlineLevel="0" collapsed="false">
      <c r="A772" s="27"/>
      <c r="B772" s="27"/>
      <c r="C772" s="27"/>
      <c r="D772" s="29" t="s">
        <v>2892</v>
      </c>
      <c r="E772" s="36" t="s">
        <v>2892</v>
      </c>
      <c r="F772" s="42" t="s">
        <v>2893</v>
      </c>
      <c r="G772" s="32" t="s">
        <v>38</v>
      </c>
      <c r="H772" s="33" t="s">
        <v>1571</v>
      </c>
      <c r="I772" s="37" t="s">
        <v>50</v>
      </c>
      <c r="J772" s="35" t="s">
        <v>582</v>
      </c>
      <c r="K772" s="30" t="s">
        <v>2894</v>
      </c>
    </row>
    <row r="773" customFormat="false" ht="14.25" hidden="false" customHeight="true" outlineLevel="0" collapsed="false">
      <c r="A773" s="27"/>
      <c r="B773" s="27"/>
      <c r="C773" s="27"/>
      <c r="D773" s="27"/>
      <c r="E773" s="36" t="s">
        <v>2895</v>
      </c>
      <c r="F773" s="42"/>
      <c r="G773" s="32"/>
      <c r="H773" s="33"/>
      <c r="I773" s="37"/>
      <c r="J773" s="35"/>
      <c r="K773" s="30" t="s">
        <v>2896</v>
      </c>
    </row>
    <row r="774" customFormat="false" ht="14.25" hidden="false" customHeight="true" outlineLevel="0" collapsed="false">
      <c r="A774" s="27"/>
      <c r="B774" s="27"/>
      <c r="C774" s="27"/>
      <c r="D774" s="29" t="s">
        <v>2897</v>
      </c>
      <c r="E774" s="36" t="s">
        <v>2897</v>
      </c>
      <c r="F774" s="42" t="s">
        <v>2898</v>
      </c>
      <c r="G774" s="32" t="s">
        <v>48</v>
      </c>
      <c r="H774" s="33" t="s">
        <v>2844</v>
      </c>
      <c r="I774" s="39" t="s">
        <v>67</v>
      </c>
      <c r="J774" s="35" t="s">
        <v>590</v>
      </c>
      <c r="K774" s="30" t="s">
        <v>2899</v>
      </c>
    </row>
    <row r="775" customFormat="false" ht="14.25" hidden="false" customHeight="true" outlineLevel="0" collapsed="false">
      <c r="A775" s="27"/>
      <c r="B775" s="27"/>
      <c r="C775" s="27"/>
      <c r="D775" s="27"/>
      <c r="E775" s="36" t="s">
        <v>2900</v>
      </c>
      <c r="F775" s="42"/>
      <c r="G775" s="32"/>
      <c r="H775" s="33"/>
      <c r="I775" s="39"/>
      <c r="J775" s="35"/>
      <c r="K775" s="30" t="s">
        <v>2901</v>
      </c>
    </row>
    <row r="776" customFormat="false" ht="14.25" hidden="false" customHeight="true" outlineLevel="0" collapsed="false">
      <c r="A776" s="27"/>
      <c r="B776" s="27"/>
      <c r="C776" s="27"/>
      <c r="D776" s="29" t="s">
        <v>2902</v>
      </c>
      <c r="E776" s="36" t="s">
        <v>2902</v>
      </c>
      <c r="F776" s="42" t="s">
        <v>2903</v>
      </c>
      <c r="G776" s="32" t="s">
        <v>58</v>
      </c>
      <c r="H776" s="33" t="s">
        <v>2904</v>
      </c>
      <c r="I776" s="34" t="s">
        <v>40</v>
      </c>
      <c r="J776" s="35" t="s">
        <v>2905</v>
      </c>
      <c r="K776" s="30" t="s">
        <v>2906</v>
      </c>
    </row>
    <row r="777" customFormat="false" ht="14.25" hidden="false" customHeight="true" outlineLevel="0" collapsed="false">
      <c r="A777" s="27"/>
      <c r="B777" s="27"/>
      <c r="C777" s="27"/>
      <c r="D777" s="27"/>
      <c r="E777" s="36" t="s">
        <v>2907</v>
      </c>
      <c r="F777" s="42"/>
      <c r="G777" s="32"/>
      <c r="H777" s="33"/>
      <c r="I777" s="34"/>
      <c r="J777" s="35"/>
      <c r="K777" s="30" t="s">
        <v>2908</v>
      </c>
    </row>
    <row r="778" customFormat="false" ht="14.25" hidden="false" customHeight="true" outlineLevel="0" collapsed="false">
      <c r="A778" s="27"/>
      <c r="B778" s="27"/>
      <c r="C778" s="27"/>
      <c r="D778" s="29" t="s">
        <v>2909</v>
      </c>
      <c r="E778" s="36" t="s">
        <v>2909</v>
      </c>
      <c r="F778" s="42" t="s">
        <v>2910</v>
      </c>
      <c r="G778" s="32" t="s">
        <v>48</v>
      </c>
      <c r="H778" s="33" t="s">
        <v>2911</v>
      </c>
      <c r="I778" s="39" t="s">
        <v>67</v>
      </c>
      <c r="J778" s="35" t="s">
        <v>2912</v>
      </c>
      <c r="K778" s="30" t="s">
        <v>2913</v>
      </c>
    </row>
    <row r="779" customFormat="false" ht="14.25" hidden="false" customHeight="true" outlineLevel="0" collapsed="false">
      <c r="A779" s="27"/>
      <c r="B779" s="27"/>
      <c r="C779" s="27"/>
      <c r="D779" s="27"/>
      <c r="E779" s="36" t="s">
        <v>2914</v>
      </c>
      <c r="F779" s="42"/>
      <c r="G779" s="32"/>
      <c r="H779" s="33"/>
      <c r="I779" s="39"/>
      <c r="J779" s="35"/>
      <c r="K779" s="30" t="s">
        <v>2915</v>
      </c>
    </row>
    <row r="780" customFormat="false" ht="14.25" hidden="false" customHeight="true" outlineLevel="0" collapsed="false">
      <c r="A780" s="27"/>
      <c r="B780" s="27"/>
      <c r="C780" s="29" t="s">
        <v>2916</v>
      </c>
      <c r="D780" s="29" t="s">
        <v>2917</v>
      </c>
      <c r="E780" s="36" t="s">
        <v>2917</v>
      </c>
      <c r="F780" s="42" t="s">
        <v>2918</v>
      </c>
      <c r="G780" s="32" t="s">
        <v>48</v>
      </c>
      <c r="H780" s="33" t="s">
        <v>2919</v>
      </c>
      <c r="I780" s="37" t="s">
        <v>50</v>
      </c>
      <c r="J780" s="35" t="s">
        <v>614</v>
      </c>
      <c r="K780" s="30" t="s">
        <v>2920</v>
      </c>
    </row>
    <row r="781" customFormat="false" ht="14.25" hidden="false" customHeight="true" outlineLevel="0" collapsed="false">
      <c r="A781" s="27"/>
      <c r="B781" s="27"/>
      <c r="C781" s="27"/>
      <c r="D781" s="27"/>
      <c r="E781" s="36" t="s">
        <v>2921</v>
      </c>
      <c r="F781" s="42"/>
      <c r="G781" s="32"/>
      <c r="H781" s="33"/>
      <c r="I781" s="37"/>
      <c r="J781" s="35"/>
      <c r="K781" s="30" t="s">
        <v>2922</v>
      </c>
    </row>
    <row r="782" customFormat="false" ht="14.25" hidden="false" customHeight="true" outlineLevel="0" collapsed="false">
      <c r="A782" s="27"/>
      <c r="B782" s="27"/>
      <c r="C782" s="27"/>
      <c r="D782" s="29" t="s">
        <v>2923</v>
      </c>
      <c r="E782" s="36" t="s">
        <v>2923</v>
      </c>
      <c r="F782" s="42" t="s">
        <v>2924</v>
      </c>
      <c r="G782" s="32" t="s">
        <v>38</v>
      </c>
      <c r="H782" s="33" t="s">
        <v>2925</v>
      </c>
      <c r="I782" s="37" t="s">
        <v>50</v>
      </c>
      <c r="J782" s="35" t="s">
        <v>2926</v>
      </c>
      <c r="K782" s="30" t="s">
        <v>2927</v>
      </c>
    </row>
    <row r="783" customFormat="false" ht="14.25" hidden="false" customHeight="true" outlineLevel="0" collapsed="false">
      <c r="A783" s="27"/>
      <c r="B783" s="27"/>
      <c r="C783" s="27"/>
      <c r="D783" s="27"/>
      <c r="E783" s="36" t="s">
        <v>2928</v>
      </c>
      <c r="F783" s="42"/>
      <c r="G783" s="32"/>
      <c r="H783" s="33"/>
      <c r="I783" s="37"/>
      <c r="J783" s="35"/>
      <c r="K783" s="30" t="s">
        <v>2838</v>
      </c>
    </row>
    <row r="784" customFormat="false" ht="14.25" hidden="false" customHeight="true" outlineLevel="0" collapsed="false">
      <c r="A784" s="27"/>
      <c r="B784" s="27"/>
      <c r="C784" s="27"/>
      <c r="D784" s="29" t="s">
        <v>2929</v>
      </c>
      <c r="E784" s="36" t="s">
        <v>2929</v>
      </c>
      <c r="F784" s="42" t="s">
        <v>2930</v>
      </c>
      <c r="G784" s="32" t="s">
        <v>38</v>
      </c>
      <c r="H784" s="33" t="s">
        <v>2931</v>
      </c>
      <c r="I784" s="39" t="s">
        <v>67</v>
      </c>
      <c r="J784" s="35" t="s">
        <v>2932</v>
      </c>
      <c r="K784" s="30" t="s">
        <v>2933</v>
      </c>
    </row>
    <row r="785" customFormat="false" ht="14.25" hidden="false" customHeight="true" outlineLevel="0" collapsed="false">
      <c r="A785" s="27"/>
      <c r="B785" s="27"/>
      <c r="C785" s="27"/>
      <c r="D785" s="27"/>
      <c r="E785" s="36" t="s">
        <v>2934</v>
      </c>
      <c r="F785" s="42"/>
      <c r="G785" s="32"/>
      <c r="H785" s="33"/>
      <c r="I785" s="39"/>
      <c r="J785" s="35"/>
      <c r="K785" s="30" t="s">
        <v>2935</v>
      </c>
    </row>
    <row r="786" customFormat="false" ht="14.25" hidden="false" customHeight="true" outlineLevel="0" collapsed="false">
      <c r="A786" s="27"/>
      <c r="B786" s="27"/>
      <c r="C786" s="27"/>
      <c r="D786" s="29" t="s">
        <v>2936</v>
      </c>
      <c r="E786" s="36" t="s">
        <v>2936</v>
      </c>
      <c r="F786" s="42" t="s">
        <v>2937</v>
      </c>
      <c r="G786" s="32" t="s">
        <v>38</v>
      </c>
      <c r="H786" s="33" t="s">
        <v>2938</v>
      </c>
      <c r="I786" s="34" t="s">
        <v>40</v>
      </c>
      <c r="J786" s="35" t="s">
        <v>630</v>
      </c>
      <c r="K786" s="30" t="s">
        <v>2939</v>
      </c>
    </row>
    <row r="787" customFormat="false" ht="14.25" hidden="false" customHeight="true" outlineLevel="0" collapsed="false">
      <c r="A787" s="27"/>
      <c r="B787" s="27"/>
      <c r="C787" s="27"/>
      <c r="D787" s="27"/>
      <c r="E787" s="36" t="s">
        <v>2940</v>
      </c>
      <c r="F787" s="42"/>
      <c r="G787" s="32"/>
      <c r="H787" s="33"/>
      <c r="I787" s="34"/>
      <c r="J787" s="35"/>
      <c r="K787" s="30" t="s">
        <v>2941</v>
      </c>
    </row>
    <row r="788" customFormat="false" ht="14.25" hidden="false" customHeight="true" outlineLevel="0" collapsed="false">
      <c r="A788" s="27"/>
      <c r="B788" s="27"/>
      <c r="C788" s="27"/>
      <c r="D788" s="29" t="s">
        <v>2942</v>
      </c>
      <c r="E788" s="36" t="s">
        <v>2942</v>
      </c>
      <c r="F788" s="31" t="s">
        <v>2943</v>
      </c>
      <c r="G788" s="32" t="s">
        <v>48</v>
      </c>
      <c r="H788" s="33" t="s">
        <v>2944</v>
      </c>
      <c r="I788" s="39" t="s">
        <v>67</v>
      </c>
      <c r="J788" s="35" t="s">
        <v>2945</v>
      </c>
      <c r="K788" s="30" t="s">
        <v>2946</v>
      </c>
    </row>
    <row r="789" customFormat="false" ht="14.25" hidden="false" customHeight="true" outlineLevel="0" collapsed="false">
      <c r="A789" s="27"/>
      <c r="B789" s="27"/>
      <c r="C789" s="27"/>
      <c r="D789" s="27"/>
      <c r="E789" s="36" t="s">
        <v>2947</v>
      </c>
      <c r="F789" s="31"/>
      <c r="G789" s="32"/>
      <c r="H789" s="33"/>
      <c r="I789" s="39"/>
      <c r="J789" s="35"/>
      <c r="K789" s="30" t="s">
        <v>2948</v>
      </c>
    </row>
    <row r="790" customFormat="false" ht="14.25" hidden="false" customHeight="true" outlineLevel="0" collapsed="false">
      <c r="A790" s="27"/>
      <c r="B790" s="27"/>
      <c r="C790" s="29" t="s">
        <v>2949</v>
      </c>
      <c r="D790" s="29" t="s">
        <v>2950</v>
      </c>
      <c r="E790" s="36" t="s">
        <v>2950</v>
      </c>
      <c r="F790" s="31" t="s">
        <v>2951</v>
      </c>
      <c r="G790" s="32" t="s">
        <v>58</v>
      </c>
      <c r="H790" s="33" t="s">
        <v>2952</v>
      </c>
      <c r="I790" s="37" t="s">
        <v>50</v>
      </c>
      <c r="J790" s="35" t="s">
        <v>2953</v>
      </c>
      <c r="K790" s="30" t="s">
        <v>2954</v>
      </c>
    </row>
    <row r="791" customFormat="false" ht="14.25" hidden="false" customHeight="true" outlineLevel="0" collapsed="false">
      <c r="A791" s="27"/>
      <c r="B791" s="27"/>
      <c r="C791" s="27"/>
      <c r="D791" s="27"/>
      <c r="E791" s="36" t="s">
        <v>2955</v>
      </c>
      <c r="F791" s="31"/>
      <c r="G791" s="32"/>
      <c r="H791" s="33"/>
      <c r="I791" s="37"/>
      <c r="J791" s="35"/>
      <c r="K791" s="30" t="s">
        <v>2956</v>
      </c>
    </row>
    <row r="792" customFormat="false" ht="14.25" hidden="false" customHeight="true" outlineLevel="0" collapsed="false">
      <c r="A792" s="27"/>
      <c r="B792" s="27"/>
      <c r="C792" s="27"/>
      <c r="D792" s="29" t="s">
        <v>2957</v>
      </c>
      <c r="E792" s="36" t="s">
        <v>2957</v>
      </c>
      <c r="F792" s="31" t="s">
        <v>2958</v>
      </c>
      <c r="G792" s="32" t="s">
        <v>48</v>
      </c>
      <c r="H792" s="33" t="s">
        <v>2959</v>
      </c>
      <c r="I792" s="37" t="s">
        <v>50</v>
      </c>
      <c r="J792" s="35" t="s">
        <v>2960</v>
      </c>
      <c r="K792" s="30" t="s">
        <v>2961</v>
      </c>
    </row>
    <row r="793" customFormat="false" ht="14.25" hidden="false" customHeight="true" outlineLevel="0" collapsed="false">
      <c r="A793" s="27"/>
      <c r="B793" s="27"/>
      <c r="C793" s="27"/>
      <c r="D793" s="27"/>
      <c r="E793" s="36" t="s">
        <v>2962</v>
      </c>
      <c r="F793" s="31"/>
      <c r="G793" s="32"/>
      <c r="H793" s="33"/>
      <c r="I793" s="37"/>
      <c r="J793" s="35"/>
      <c r="K793" s="30" t="s">
        <v>2963</v>
      </c>
    </row>
    <row r="794" customFormat="false" ht="14.25" hidden="false" customHeight="true" outlineLevel="0" collapsed="false">
      <c r="A794" s="27"/>
      <c r="B794" s="27"/>
      <c r="C794" s="27"/>
      <c r="D794" s="29" t="s">
        <v>2964</v>
      </c>
      <c r="E794" s="36" t="s">
        <v>2964</v>
      </c>
      <c r="F794" s="31" t="s">
        <v>2965</v>
      </c>
      <c r="G794" s="32" t="s">
        <v>48</v>
      </c>
      <c r="H794" s="33" t="s">
        <v>2966</v>
      </c>
      <c r="I794" s="39" t="s">
        <v>67</v>
      </c>
      <c r="J794" s="35" t="s">
        <v>2967</v>
      </c>
      <c r="K794" s="30" t="s">
        <v>2939</v>
      </c>
    </row>
    <row r="795" customFormat="false" ht="14.25" hidden="false" customHeight="true" outlineLevel="0" collapsed="false">
      <c r="A795" s="27"/>
      <c r="B795" s="27"/>
      <c r="C795" s="27"/>
      <c r="D795" s="27"/>
      <c r="E795" s="36" t="s">
        <v>1956</v>
      </c>
      <c r="F795" s="31"/>
      <c r="G795" s="32"/>
      <c r="H795" s="33"/>
      <c r="I795" s="39"/>
      <c r="J795" s="35"/>
      <c r="K795" s="30" t="s">
        <v>2941</v>
      </c>
    </row>
    <row r="796" customFormat="false" ht="14.25" hidden="false" customHeight="true" outlineLevel="0" collapsed="false">
      <c r="A796" s="27"/>
      <c r="B796" s="27"/>
      <c r="C796" s="27"/>
      <c r="D796" s="29" t="s">
        <v>2968</v>
      </c>
      <c r="E796" s="36" t="s">
        <v>2968</v>
      </c>
      <c r="F796" s="31" t="s">
        <v>2969</v>
      </c>
      <c r="G796" s="32" t="s">
        <v>38</v>
      </c>
      <c r="H796" s="33" t="s">
        <v>2970</v>
      </c>
      <c r="I796" s="34" t="s">
        <v>40</v>
      </c>
      <c r="J796" s="35" t="s">
        <v>2971</v>
      </c>
      <c r="K796" s="30" t="s">
        <v>2946</v>
      </c>
    </row>
    <row r="797" customFormat="false" ht="14.25" hidden="false" customHeight="true" outlineLevel="0" collapsed="false">
      <c r="A797" s="27"/>
      <c r="B797" s="27"/>
      <c r="C797" s="27"/>
      <c r="D797" s="27"/>
      <c r="E797" s="36" t="s">
        <v>2972</v>
      </c>
      <c r="F797" s="31"/>
      <c r="G797" s="32"/>
      <c r="H797" s="33"/>
      <c r="I797" s="34"/>
      <c r="J797" s="35"/>
      <c r="K797" s="30" t="s">
        <v>2948</v>
      </c>
    </row>
    <row r="798" customFormat="false" ht="14.25" hidden="false" customHeight="true" outlineLevel="0" collapsed="false">
      <c r="A798" s="27"/>
      <c r="B798" s="27"/>
      <c r="C798" s="27"/>
      <c r="D798" s="29" t="s">
        <v>2973</v>
      </c>
      <c r="E798" s="36" t="s">
        <v>2973</v>
      </c>
      <c r="F798" s="31" t="s">
        <v>2974</v>
      </c>
      <c r="G798" s="32" t="s">
        <v>38</v>
      </c>
      <c r="H798" s="33" t="s">
        <v>1787</v>
      </c>
      <c r="I798" s="39" t="s">
        <v>67</v>
      </c>
      <c r="J798" s="35" t="s">
        <v>430</v>
      </c>
      <c r="K798" s="30" t="s">
        <v>2954</v>
      </c>
    </row>
    <row r="799" customFormat="false" ht="14.25" hidden="false" customHeight="true" outlineLevel="0" collapsed="false">
      <c r="A799" s="27"/>
      <c r="B799" s="27"/>
      <c r="C799" s="27"/>
      <c r="D799" s="27"/>
      <c r="E799" s="36" t="s">
        <v>2975</v>
      </c>
      <c r="F799" s="31"/>
      <c r="G799" s="32"/>
      <c r="H799" s="33"/>
      <c r="I799" s="39"/>
      <c r="J799" s="35"/>
      <c r="K799" s="30" t="s">
        <v>2956</v>
      </c>
    </row>
    <row r="800" customFormat="false" ht="14.25" hidden="false" customHeight="true" outlineLevel="0" collapsed="false">
      <c r="A800" s="27"/>
      <c r="B800" s="27"/>
      <c r="C800" s="29" t="s">
        <v>2976</v>
      </c>
      <c r="D800" s="29" t="s">
        <v>2977</v>
      </c>
      <c r="E800" s="36" t="s">
        <v>2977</v>
      </c>
      <c r="F800" s="42" t="s">
        <v>2978</v>
      </c>
      <c r="G800" s="32" t="s">
        <v>38</v>
      </c>
      <c r="H800" s="33" t="s">
        <v>1571</v>
      </c>
      <c r="I800" s="37" t="s">
        <v>50</v>
      </c>
      <c r="J800" s="35" t="s">
        <v>2095</v>
      </c>
      <c r="K800" s="30" t="s">
        <v>2961</v>
      </c>
    </row>
    <row r="801" customFormat="false" ht="14.25" hidden="false" customHeight="true" outlineLevel="0" collapsed="false">
      <c r="A801" s="27"/>
      <c r="B801" s="27"/>
      <c r="C801" s="27"/>
      <c r="D801" s="27"/>
      <c r="E801" s="36" t="s">
        <v>2979</v>
      </c>
      <c r="F801" s="42"/>
      <c r="G801" s="32"/>
      <c r="H801" s="33"/>
      <c r="I801" s="37"/>
      <c r="J801" s="35"/>
      <c r="K801" s="30" t="s">
        <v>2963</v>
      </c>
    </row>
    <row r="802" customFormat="false" ht="14.25" hidden="false" customHeight="true" outlineLevel="0" collapsed="false">
      <c r="A802" s="27"/>
      <c r="B802" s="27"/>
      <c r="C802" s="27"/>
      <c r="D802" s="29" t="s">
        <v>2980</v>
      </c>
      <c r="E802" s="36" t="s">
        <v>2980</v>
      </c>
      <c r="F802" s="42" t="s">
        <v>2981</v>
      </c>
      <c r="G802" s="32" t="s">
        <v>48</v>
      </c>
      <c r="H802" s="33" t="s">
        <v>2982</v>
      </c>
      <c r="I802" s="37" t="s">
        <v>50</v>
      </c>
      <c r="J802" s="35" t="s">
        <v>2983</v>
      </c>
      <c r="K802" s="30" t="s">
        <v>2984</v>
      </c>
    </row>
    <row r="803" customFormat="false" ht="14.25" hidden="false" customHeight="true" outlineLevel="0" collapsed="false">
      <c r="A803" s="27"/>
      <c r="B803" s="27"/>
      <c r="C803" s="27"/>
      <c r="D803" s="27"/>
      <c r="E803" s="36" t="s">
        <v>2985</v>
      </c>
      <c r="F803" s="42"/>
      <c r="G803" s="32"/>
      <c r="H803" s="33"/>
      <c r="I803" s="37"/>
      <c r="J803" s="35"/>
      <c r="K803" s="30" t="s">
        <v>2823</v>
      </c>
    </row>
    <row r="804" customFormat="false" ht="14.25" hidden="false" customHeight="true" outlineLevel="0" collapsed="false">
      <c r="A804" s="27"/>
      <c r="B804" s="27"/>
      <c r="C804" s="27"/>
      <c r="D804" s="29" t="s">
        <v>2986</v>
      </c>
      <c r="E804" s="36" t="s">
        <v>2986</v>
      </c>
      <c r="F804" s="42" t="s">
        <v>2987</v>
      </c>
      <c r="G804" s="32" t="s">
        <v>58</v>
      </c>
      <c r="H804" s="33" t="s">
        <v>2988</v>
      </c>
      <c r="I804" s="39" t="s">
        <v>67</v>
      </c>
      <c r="J804" s="35" t="s">
        <v>1595</v>
      </c>
      <c r="K804" s="30" t="s">
        <v>2989</v>
      </c>
    </row>
    <row r="805" customFormat="false" ht="14.25" hidden="false" customHeight="true" outlineLevel="0" collapsed="false">
      <c r="A805" s="27"/>
      <c r="B805" s="27"/>
      <c r="C805" s="27"/>
      <c r="D805" s="27"/>
      <c r="E805" s="36" t="s">
        <v>2990</v>
      </c>
      <c r="F805" s="42"/>
      <c r="G805" s="32"/>
      <c r="H805" s="33"/>
      <c r="I805" s="39"/>
      <c r="J805" s="35"/>
      <c r="K805" s="30" t="s">
        <v>2991</v>
      </c>
    </row>
    <row r="806" customFormat="false" ht="14.25" hidden="false" customHeight="true" outlineLevel="0" collapsed="false">
      <c r="A806" s="27"/>
      <c r="B806" s="27"/>
      <c r="C806" s="27"/>
      <c r="D806" s="29" t="s">
        <v>2992</v>
      </c>
      <c r="E806" s="36" t="s">
        <v>2992</v>
      </c>
      <c r="F806" s="42" t="s">
        <v>2993</v>
      </c>
      <c r="G806" s="32" t="s">
        <v>48</v>
      </c>
      <c r="H806" s="33" t="s">
        <v>2994</v>
      </c>
      <c r="I806" s="34" t="s">
        <v>40</v>
      </c>
      <c r="J806" s="35" t="s">
        <v>1463</v>
      </c>
      <c r="K806" s="30" t="s">
        <v>2995</v>
      </c>
    </row>
    <row r="807" customFormat="false" ht="14.25" hidden="false" customHeight="true" outlineLevel="0" collapsed="false">
      <c r="A807" s="27"/>
      <c r="B807" s="27"/>
      <c r="C807" s="27"/>
      <c r="D807" s="27"/>
      <c r="E807" s="36" t="s">
        <v>2996</v>
      </c>
      <c r="F807" s="42"/>
      <c r="G807" s="32"/>
      <c r="H807" s="33"/>
      <c r="I807" s="34"/>
      <c r="J807" s="35"/>
      <c r="K807" s="30" t="s">
        <v>2997</v>
      </c>
    </row>
    <row r="808" customFormat="false" ht="14.25" hidden="false" customHeight="true" outlineLevel="0" collapsed="false">
      <c r="A808" s="27"/>
      <c r="B808" s="27"/>
      <c r="C808" s="27"/>
      <c r="D808" s="29" t="s">
        <v>2998</v>
      </c>
      <c r="E808" s="36" t="s">
        <v>2998</v>
      </c>
      <c r="F808" s="42" t="s">
        <v>2999</v>
      </c>
      <c r="G808" s="32" t="s">
        <v>48</v>
      </c>
      <c r="H808" s="33" t="s">
        <v>3000</v>
      </c>
      <c r="I808" s="39" t="s">
        <v>67</v>
      </c>
      <c r="J808" s="35" t="s">
        <v>3001</v>
      </c>
      <c r="K808" s="30" t="s">
        <v>3002</v>
      </c>
    </row>
    <row r="809" customFormat="false" ht="14.25" hidden="false" customHeight="true" outlineLevel="0" collapsed="false">
      <c r="A809" s="27"/>
      <c r="B809" s="27"/>
      <c r="C809" s="27"/>
      <c r="D809" s="27"/>
      <c r="E809" s="36" t="s">
        <v>3003</v>
      </c>
      <c r="F809" s="42"/>
      <c r="G809" s="32"/>
      <c r="H809" s="33"/>
      <c r="I809" s="39"/>
      <c r="J809" s="35"/>
      <c r="K809" s="30" t="s">
        <v>2956</v>
      </c>
    </row>
    <row r="810" customFormat="false" ht="14.25" hidden="false" customHeight="true" outlineLevel="0" collapsed="false">
      <c r="A810" s="27"/>
      <c r="B810" s="27"/>
      <c r="C810" s="40" t="s">
        <v>3004</v>
      </c>
      <c r="D810" s="29" t="s">
        <v>3005</v>
      </c>
      <c r="E810" s="36" t="s">
        <v>3005</v>
      </c>
      <c r="F810" s="42" t="s">
        <v>3006</v>
      </c>
      <c r="G810" s="32" t="s">
        <v>38</v>
      </c>
      <c r="H810" s="33" t="s">
        <v>3007</v>
      </c>
      <c r="I810" s="37" t="s">
        <v>50</v>
      </c>
      <c r="J810" s="35" t="s">
        <v>3008</v>
      </c>
      <c r="K810" s="30" t="s">
        <v>2635</v>
      </c>
    </row>
    <row r="811" customFormat="false" ht="14.25" hidden="false" customHeight="true" outlineLevel="0" collapsed="false">
      <c r="A811" s="27"/>
      <c r="B811" s="27"/>
      <c r="C811" s="27"/>
      <c r="D811" s="27"/>
      <c r="E811" s="36" t="s">
        <v>3009</v>
      </c>
      <c r="F811" s="42"/>
      <c r="G811" s="32"/>
      <c r="H811" s="33"/>
      <c r="I811" s="37"/>
      <c r="J811" s="35"/>
      <c r="K811" s="30" t="s">
        <v>3010</v>
      </c>
    </row>
    <row r="812" customFormat="false" ht="14.25" hidden="false" customHeight="true" outlineLevel="0" collapsed="false">
      <c r="A812" s="27"/>
      <c r="B812" s="27"/>
      <c r="C812" s="27"/>
      <c r="D812" s="29" t="s">
        <v>3011</v>
      </c>
      <c r="E812" s="36" t="s">
        <v>3011</v>
      </c>
      <c r="F812" s="42" t="s">
        <v>3012</v>
      </c>
      <c r="G812" s="32" t="s">
        <v>38</v>
      </c>
      <c r="H812" s="33" t="s">
        <v>3013</v>
      </c>
      <c r="I812" s="37" t="s">
        <v>50</v>
      </c>
      <c r="J812" s="35" t="s">
        <v>3014</v>
      </c>
      <c r="K812" s="30" t="s">
        <v>3015</v>
      </c>
    </row>
    <row r="813" customFormat="false" ht="14.25" hidden="false" customHeight="true" outlineLevel="0" collapsed="false">
      <c r="A813" s="27"/>
      <c r="B813" s="27"/>
      <c r="C813" s="27"/>
      <c r="D813" s="27"/>
      <c r="E813" s="36" t="s">
        <v>3016</v>
      </c>
      <c r="F813" s="42"/>
      <c r="G813" s="32"/>
      <c r="H813" s="33"/>
      <c r="I813" s="37"/>
      <c r="J813" s="35"/>
      <c r="K813" s="30" t="s">
        <v>3017</v>
      </c>
    </row>
    <row r="814" customFormat="false" ht="14.25" hidden="false" customHeight="true" outlineLevel="0" collapsed="false">
      <c r="A814" s="27"/>
      <c r="B814" s="27"/>
      <c r="C814" s="27"/>
      <c r="D814" s="29" t="s">
        <v>3018</v>
      </c>
      <c r="E814" s="36" t="s">
        <v>3018</v>
      </c>
      <c r="F814" s="42" t="s">
        <v>3019</v>
      </c>
      <c r="G814" s="32" t="s">
        <v>38</v>
      </c>
      <c r="H814" s="33" t="s">
        <v>3020</v>
      </c>
      <c r="I814" s="39" t="s">
        <v>67</v>
      </c>
      <c r="J814" s="35" t="s">
        <v>3021</v>
      </c>
      <c r="K814" s="30" t="s">
        <v>3022</v>
      </c>
    </row>
    <row r="815" customFormat="false" ht="14.25" hidden="false" customHeight="true" outlineLevel="0" collapsed="false">
      <c r="A815" s="27"/>
      <c r="B815" s="27"/>
      <c r="C815" s="27"/>
      <c r="D815" s="27"/>
      <c r="E815" s="36" t="s">
        <v>3023</v>
      </c>
      <c r="F815" s="42"/>
      <c r="G815" s="32"/>
      <c r="H815" s="33"/>
      <c r="I815" s="39"/>
      <c r="J815" s="35"/>
      <c r="K815" s="30" t="s">
        <v>3024</v>
      </c>
    </row>
    <row r="816" customFormat="false" ht="14.25" hidden="false" customHeight="true" outlineLevel="0" collapsed="false">
      <c r="A816" s="27"/>
      <c r="B816" s="27"/>
      <c r="C816" s="27"/>
      <c r="D816" s="29" t="s">
        <v>3025</v>
      </c>
      <c r="E816" s="36" t="s">
        <v>3025</v>
      </c>
      <c r="F816" s="42" t="s">
        <v>3026</v>
      </c>
      <c r="G816" s="32" t="s">
        <v>48</v>
      </c>
      <c r="H816" s="33" t="s">
        <v>3027</v>
      </c>
      <c r="I816" s="34" t="s">
        <v>40</v>
      </c>
      <c r="J816" s="35" t="s">
        <v>3028</v>
      </c>
      <c r="K816" s="30" t="s">
        <v>3029</v>
      </c>
    </row>
    <row r="817" customFormat="false" ht="14.25" hidden="false" customHeight="true" outlineLevel="0" collapsed="false">
      <c r="A817" s="27"/>
      <c r="B817" s="27"/>
      <c r="C817" s="27"/>
      <c r="D817" s="27"/>
      <c r="E817" s="36" t="s">
        <v>3030</v>
      </c>
      <c r="F817" s="42"/>
      <c r="G817" s="32"/>
      <c r="H817" s="33"/>
      <c r="I817" s="34"/>
      <c r="J817" s="35"/>
      <c r="K817" s="30" t="s">
        <v>3031</v>
      </c>
    </row>
    <row r="818" customFormat="false" ht="14.25" hidden="false" customHeight="true" outlineLevel="0" collapsed="false">
      <c r="A818" s="27"/>
      <c r="B818" s="27"/>
      <c r="C818" s="27"/>
      <c r="D818" s="29" t="s">
        <v>3032</v>
      </c>
      <c r="E818" s="36" t="s">
        <v>3032</v>
      </c>
      <c r="F818" s="42" t="s">
        <v>3033</v>
      </c>
      <c r="G818" s="32" t="s">
        <v>58</v>
      </c>
      <c r="H818" s="33" t="s">
        <v>3034</v>
      </c>
      <c r="I818" s="39" t="s">
        <v>67</v>
      </c>
      <c r="J818" s="35" t="s">
        <v>3035</v>
      </c>
      <c r="K818" s="30" t="s">
        <v>2064</v>
      </c>
    </row>
    <row r="819" customFormat="false" ht="14.25" hidden="false" customHeight="true" outlineLevel="0" collapsed="false">
      <c r="A819" s="27"/>
      <c r="B819" s="27"/>
      <c r="C819" s="27"/>
      <c r="D819" s="27"/>
      <c r="E819" s="36" t="s">
        <v>2137</v>
      </c>
      <c r="F819" s="42"/>
      <c r="G819" s="32"/>
      <c r="H819" s="33"/>
      <c r="I819" s="39"/>
      <c r="J819" s="35"/>
      <c r="K819" s="30" t="s">
        <v>3036</v>
      </c>
    </row>
    <row r="820" customFormat="false" ht="14.25" hidden="false" customHeight="true" outlineLevel="0" collapsed="false">
      <c r="A820" s="27"/>
      <c r="B820" s="27"/>
      <c r="C820" s="40" t="s">
        <v>3037</v>
      </c>
      <c r="D820" s="29" t="s">
        <v>3038</v>
      </c>
      <c r="E820" s="36" t="s">
        <v>3038</v>
      </c>
      <c r="F820" s="42" t="s">
        <v>3039</v>
      </c>
      <c r="G820" s="32" t="s">
        <v>48</v>
      </c>
      <c r="H820" s="33" t="s">
        <v>3040</v>
      </c>
      <c r="I820" s="37" t="s">
        <v>50</v>
      </c>
      <c r="J820" s="35" t="s">
        <v>3041</v>
      </c>
      <c r="K820" s="30" t="s">
        <v>3042</v>
      </c>
    </row>
    <row r="821" customFormat="false" ht="14.25" hidden="false" customHeight="true" outlineLevel="0" collapsed="false">
      <c r="A821" s="27"/>
      <c r="B821" s="27"/>
      <c r="C821" s="27"/>
      <c r="D821" s="27"/>
      <c r="E821" s="36" t="s">
        <v>3043</v>
      </c>
      <c r="F821" s="42"/>
      <c r="G821" s="32"/>
      <c r="H821" s="33"/>
      <c r="I821" s="37"/>
      <c r="J821" s="35"/>
      <c r="K821" s="30" t="s">
        <v>3044</v>
      </c>
    </row>
    <row r="822" customFormat="false" ht="14.25" hidden="false" customHeight="true" outlineLevel="0" collapsed="false">
      <c r="A822" s="27"/>
      <c r="B822" s="27"/>
      <c r="C822" s="27"/>
      <c r="D822" s="29" t="s">
        <v>3045</v>
      </c>
      <c r="E822" s="36" t="s">
        <v>3045</v>
      </c>
      <c r="F822" s="42" t="s">
        <v>3046</v>
      </c>
      <c r="G822" s="32" t="s">
        <v>48</v>
      </c>
      <c r="H822" s="33" t="s">
        <v>3047</v>
      </c>
      <c r="I822" s="37" t="s">
        <v>50</v>
      </c>
      <c r="J822" s="35" t="s">
        <v>3048</v>
      </c>
      <c r="K822" s="30" t="s">
        <v>3049</v>
      </c>
    </row>
    <row r="823" customFormat="false" ht="14.25" hidden="false" customHeight="true" outlineLevel="0" collapsed="false">
      <c r="A823" s="27"/>
      <c r="B823" s="27"/>
      <c r="C823" s="27"/>
      <c r="D823" s="27"/>
      <c r="E823" s="36" t="s">
        <v>3050</v>
      </c>
      <c r="F823" s="42"/>
      <c r="G823" s="32"/>
      <c r="H823" s="33"/>
      <c r="I823" s="37"/>
      <c r="J823" s="35"/>
      <c r="K823" s="30" t="s">
        <v>3051</v>
      </c>
    </row>
    <row r="824" customFormat="false" ht="14.25" hidden="false" customHeight="true" outlineLevel="0" collapsed="false">
      <c r="A824" s="27"/>
      <c r="B824" s="27"/>
      <c r="C824" s="27"/>
      <c r="D824" s="29" t="s">
        <v>3052</v>
      </c>
      <c r="E824" s="36" t="s">
        <v>3052</v>
      </c>
      <c r="F824" s="42" t="s">
        <v>3053</v>
      </c>
      <c r="G824" s="32" t="s">
        <v>38</v>
      </c>
      <c r="H824" s="33" t="s">
        <v>3054</v>
      </c>
      <c r="I824" s="39" t="s">
        <v>67</v>
      </c>
      <c r="J824" s="35" t="s">
        <v>3055</v>
      </c>
      <c r="K824" s="30" t="s">
        <v>3056</v>
      </c>
    </row>
    <row r="825" customFormat="false" ht="14.25" hidden="false" customHeight="true" outlineLevel="0" collapsed="false">
      <c r="A825" s="27"/>
      <c r="B825" s="27"/>
      <c r="C825" s="27"/>
      <c r="D825" s="27"/>
      <c r="E825" s="36" t="s">
        <v>3057</v>
      </c>
      <c r="F825" s="42"/>
      <c r="G825" s="32"/>
      <c r="H825" s="33"/>
      <c r="I825" s="39"/>
      <c r="J825" s="35"/>
      <c r="K825" s="30" t="s">
        <v>3058</v>
      </c>
    </row>
    <row r="826" customFormat="false" ht="14.25" hidden="false" customHeight="true" outlineLevel="0" collapsed="false">
      <c r="A826" s="27"/>
      <c r="B826" s="27"/>
      <c r="C826" s="27"/>
      <c r="D826" s="29" t="s">
        <v>3059</v>
      </c>
      <c r="E826" s="36" t="s">
        <v>3059</v>
      </c>
      <c r="F826" s="42" t="s">
        <v>3060</v>
      </c>
      <c r="G826" s="32" t="s">
        <v>38</v>
      </c>
      <c r="H826" s="33" t="s">
        <v>3061</v>
      </c>
      <c r="I826" s="34" t="s">
        <v>40</v>
      </c>
      <c r="J826" s="35" t="s">
        <v>3062</v>
      </c>
      <c r="K826" s="30" t="s">
        <v>3063</v>
      </c>
    </row>
    <row r="827" customFormat="false" ht="14.25" hidden="false" customHeight="true" outlineLevel="0" collapsed="false">
      <c r="A827" s="27"/>
      <c r="B827" s="27"/>
      <c r="C827" s="27"/>
      <c r="D827" s="27"/>
      <c r="E827" s="36" t="s">
        <v>3064</v>
      </c>
      <c r="F827" s="42"/>
      <c r="G827" s="32"/>
      <c r="H827" s="33"/>
      <c r="I827" s="34"/>
      <c r="J827" s="35"/>
      <c r="K827" s="30" t="s">
        <v>3065</v>
      </c>
    </row>
    <row r="828" customFormat="false" ht="14.25" hidden="false" customHeight="true" outlineLevel="0" collapsed="false">
      <c r="A828" s="27"/>
      <c r="B828" s="27"/>
      <c r="C828" s="27"/>
      <c r="D828" s="29" t="s">
        <v>3066</v>
      </c>
      <c r="E828" s="36" t="s">
        <v>3066</v>
      </c>
      <c r="F828" s="42" t="s">
        <v>3067</v>
      </c>
      <c r="G828" s="32" t="s">
        <v>38</v>
      </c>
      <c r="H828" s="33" t="s">
        <v>3068</v>
      </c>
      <c r="I828" s="39" t="s">
        <v>67</v>
      </c>
      <c r="J828" s="35" t="s">
        <v>3069</v>
      </c>
      <c r="K828" s="30" t="s">
        <v>3070</v>
      </c>
    </row>
    <row r="829" customFormat="false" ht="14.25" hidden="false" customHeight="true" outlineLevel="0" collapsed="false">
      <c r="A829" s="27"/>
      <c r="B829" s="27"/>
      <c r="C829" s="27"/>
      <c r="D829" s="27"/>
      <c r="E829" s="36" t="s">
        <v>3071</v>
      </c>
      <c r="F829" s="42"/>
      <c r="G829" s="32"/>
      <c r="H829" s="33"/>
      <c r="I829" s="39"/>
      <c r="J829" s="35"/>
      <c r="K829" s="30" t="s">
        <v>3072</v>
      </c>
    </row>
    <row r="830" customFormat="false" ht="14.25" hidden="false" customHeight="true" outlineLevel="0" collapsed="false">
      <c r="A830" s="27"/>
      <c r="B830" s="28" t="s">
        <v>3073</v>
      </c>
      <c r="C830" s="40" t="s">
        <v>3074</v>
      </c>
      <c r="D830" s="29" t="s">
        <v>3075</v>
      </c>
      <c r="E830" s="30" t="s">
        <v>3076</v>
      </c>
      <c r="F830" s="42" t="s">
        <v>3077</v>
      </c>
      <c r="G830" s="32" t="s">
        <v>48</v>
      </c>
      <c r="H830" s="33" t="s">
        <v>3078</v>
      </c>
      <c r="I830" s="37" t="s">
        <v>50</v>
      </c>
      <c r="J830" s="35" t="s">
        <v>3079</v>
      </c>
      <c r="K830" s="30" t="s">
        <v>3080</v>
      </c>
    </row>
    <row r="831" customFormat="false" ht="14.25" hidden="false" customHeight="true" outlineLevel="0" collapsed="false">
      <c r="A831" s="27"/>
      <c r="B831" s="27"/>
      <c r="C831" s="27"/>
      <c r="D831" s="27"/>
      <c r="E831" s="30" t="s">
        <v>3081</v>
      </c>
      <c r="F831" s="42"/>
      <c r="G831" s="32"/>
      <c r="H831" s="33"/>
      <c r="I831" s="37"/>
      <c r="J831" s="35"/>
      <c r="K831" s="30" t="s">
        <v>3082</v>
      </c>
    </row>
    <row r="832" customFormat="false" ht="14.25" hidden="false" customHeight="true" outlineLevel="0" collapsed="false">
      <c r="A832" s="27"/>
      <c r="B832" s="27"/>
      <c r="C832" s="27"/>
      <c r="D832" s="29" t="s">
        <v>3083</v>
      </c>
      <c r="E832" s="30" t="s">
        <v>2467</v>
      </c>
      <c r="F832" s="42" t="s">
        <v>3084</v>
      </c>
      <c r="G832" s="32" t="s">
        <v>58</v>
      </c>
      <c r="H832" s="33" t="s">
        <v>3085</v>
      </c>
      <c r="I832" s="37" t="s">
        <v>50</v>
      </c>
      <c r="J832" s="35" t="s">
        <v>3086</v>
      </c>
      <c r="K832" s="30" t="s">
        <v>3087</v>
      </c>
    </row>
    <row r="833" customFormat="false" ht="14.25" hidden="false" customHeight="true" outlineLevel="0" collapsed="false">
      <c r="A833" s="27"/>
      <c r="B833" s="27"/>
      <c r="C833" s="27"/>
      <c r="D833" s="27"/>
      <c r="E833" s="30" t="s">
        <v>3088</v>
      </c>
      <c r="F833" s="42"/>
      <c r="G833" s="32"/>
      <c r="H833" s="33"/>
      <c r="I833" s="37"/>
      <c r="J833" s="35"/>
      <c r="K833" s="30" t="s">
        <v>3089</v>
      </c>
    </row>
    <row r="834" customFormat="false" ht="14.25" hidden="false" customHeight="true" outlineLevel="0" collapsed="false">
      <c r="A834" s="27"/>
      <c r="B834" s="27"/>
      <c r="C834" s="27"/>
      <c r="D834" s="29" t="s">
        <v>3090</v>
      </c>
      <c r="E834" s="30" t="s">
        <v>3091</v>
      </c>
      <c r="F834" s="42" t="s">
        <v>3092</v>
      </c>
      <c r="G834" s="32" t="s">
        <v>48</v>
      </c>
      <c r="H834" s="33" t="s">
        <v>3093</v>
      </c>
      <c r="I834" s="39" t="s">
        <v>67</v>
      </c>
      <c r="J834" s="35" t="s">
        <v>3094</v>
      </c>
      <c r="K834" s="30" t="s">
        <v>3095</v>
      </c>
    </row>
    <row r="835" customFormat="false" ht="14.25" hidden="false" customHeight="true" outlineLevel="0" collapsed="false">
      <c r="A835" s="27"/>
      <c r="B835" s="27"/>
      <c r="C835" s="27"/>
      <c r="D835" s="27"/>
      <c r="E835" s="30" t="s">
        <v>3096</v>
      </c>
      <c r="F835" s="42"/>
      <c r="G835" s="32"/>
      <c r="H835" s="33"/>
      <c r="I835" s="39"/>
      <c r="J835" s="35"/>
      <c r="K835" s="30" t="s">
        <v>3097</v>
      </c>
    </row>
    <row r="836" customFormat="false" ht="14.25" hidden="false" customHeight="true" outlineLevel="0" collapsed="false">
      <c r="A836" s="27"/>
      <c r="B836" s="27"/>
      <c r="C836" s="27"/>
      <c r="D836" s="29" t="s">
        <v>3098</v>
      </c>
      <c r="E836" s="30" t="s">
        <v>3099</v>
      </c>
      <c r="F836" s="42" t="s">
        <v>3100</v>
      </c>
      <c r="G836" s="32" t="s">
        <v>48</v>
      </c>
      <c r="H836" s="33" t="s">
        <v>3101</v>
      </c>
      <c r="I836" s="34" t="s">
        <v>40</v>
      </c>
      <c r="J836" s="35" t="s">
        <v>3102</v>
      </c>
      <c r="K836" s="30" t="s">
        <v>3063</v>
      </c>
    </row>
    <row r="837" customFormat="false" ht="14.25" hidden="false" customHeight="true" outlineLevel="0" collapsed="false">
      <c r="A837" s="27"/>
      <c r="B837" s="27"/>
      <c r="C837" s="27"/>
      <c r="D837" s="27"/>
      <c r="E837" s="30" t="s">
        <v>3103</v>
      </c>
      <c r="F837" s="42"/>
      <c r="G837" s="32"/>
      <c r="H837" s="33"/>
      <c r="I837" s="34"/>
      <c r="J837" s="35"/>
      <c r="K837" s="30" t="s">
        <v>3104</v>
      </c>
    </row>
    <row r="838" customFormat="false" ht="14.25" hidden="false" customHeight="true" outlineLevel="0" collapsed="false">
      <c r="A838" s="27"/>
      <c r="B838" s="27"/>
      <c r="C838" s="27"/>
      <c r="D838" s="29" t="s">
        <v>3105</v>
      </c>
      <c r="E838" s="30" t="s">
        <v>3106</v>
      </c>
      <c r="F838" s="42" t="s">
        <v>3107</v>
      </c>
      <c r="G838" s="32" t="s">
        <v>38</v>
      </c>
      <c r="H838" s="33" t="s">
        <v>3108</v>
      </c>
      <c r="I838" s="39" t="s">
        <v>67</v>
      </c>
      <c r="J838" s="35" t="s">
        <v>3109</v>
      </c>
      <c r="K838" s="30" t="s">
        <v>3110</v>
      </c>
    </row>
    <row r="839" customFormat="false" ht="14.25" hidden="false" customHeight="true" outlineLevel="0" collapsed="false">
      <c r="A839" s="27"/>
      <c r="B839" s="27"/>
      <c r="C839" s="27"/>
      <c r="D839" s="27"/>
      <c r="E839" s="30" t="s">
        <v>3111</v>
      </c>
      <c r="F839" s="42"/>
      <c r="G839" s="32"/>
      <c r="H839" s="33"/>
      <c r="I839" s="39"/>
      <c r="J839" s="35"/>
      <c r="K839" s="30" t="s">
        <v>3112</v>
      </c>
    </row>
    <row r="840" customFormat="false" ht="14.25" hidden="false" customHeight="true" outlineLevel="0" collapsed="false">
      <c r="A840" s="27"/>
      <c r="B840" s="27"/>
      <c r="C840" s="40" t="s">
        <v>3113</v>
      </c>
      <c r="D840" s="29" t="s">
        <v>3114</v>
      </c>
      <c r="E840" s="30" t="s">
        <v>3115</v>
      </c>
      <c r="F840" s="42" t="s">
        <v>3116</v>
      </c>
      <c r="G840" s="32" t="s">
        <v>38</v>
      </c>
      <c r="H840" s="33" t="s">
        <v>3117</v>
      </c>
      <c r="I840" s="37" t="s">
        <v>50</v>
      </c>
      <c r="J840" s="35" t="s">
        <v>3118</v>
      </c>
      <c r="K840" s="30" t="s">
        <v>3119</v>
      </c>
    </row>
    <row r="841" customFormat="false" ht="14.25" hidden="false" customHeight="true" outlineLevel="0" collapsed="false">
      <c r="A841" s="27"/>
      <c r="B841" s="27"/>
      <c r="C841" s="27"/>
      <c r="D841" s="27"/>
      <c r="E841" s="30" t="s">
        <v>3120</v>
      </c>
      <c r="F841" s="42"/>
      <c r="G841" s="32"/>
      <c r="H841" s="33"/>
      <c r="I841" s="37"/>
      <c r="J841" s="35"/>
      <c r="K841" s="30" t="s">
        <v>3121</v>
      </c>
    </row>
    <row r="842" customFormat="false" ht="14.25" hidden="false" customHeight="true" outlineLevel="0" collapsed="false">
      <c r="A842" s="27"/>
      <c r="B842" s="27"/>
      <c r="C842" s="27"/>
      <c r="D842" s="29" t="s">
        <v>3122</v>
      </c>
      <c r="E842" s="30" t="s">
        <v>3123</v>
      </c>
      <c r="F842" s="42" t="s">
        <v>3124</v>
      </c>
      <c r="G842" s="32" t="s">
        <v>38</v>
      </c>
      <c r="H842" s="33" t="s">
        <v>3125</v>
      </c>
      <c r="I842" s="37" t="s">
        <v>50</v>
      </c>
      <c r="J842" s="35" t="s">
        <v>3126</v>
      </c>
      <c r="K842" s="30" t="s">
        <v>3119</v>
      </c>
    </row>
    <row r="843" customFormat="false" ht="14.25" hidden="false" customHeight="true" outlineLevel="0" collapsed="false">
      <c r="A843" s="27"/>
      <c r="B843" s="27"/>
      <c r="C843" s="27"/>
      <c r="D843" s="27"/>
      <c r="E843" s="30" t="s">
        <v>3127</v>
      </c>
      <c r="F843" s="42"/>
      <c r="G843" s="32"/>
      <c r="H843" s="33"/>
      <c r="I843" s="37"/>
      <c r="J843" s="35"/>
      <c r="K843" s="30" t="s">
        <v>3121</v>
      </c>
    </row>
    <row r="844" customFormat="false" ht="14.25" hidden="false" customHeight="true" outlineLevel="0" collapsed="false">
      <c r="A844" s="27"/>
      <c r="B844" s="27"/>
      <c r="C844" s="27"/>
      <c r="D844" s="29" t="s">
        <v>3128</v>
      </c>
      <c r="E844" s="30" t="s">
        <v>3129</v>
      </c>
      <c r="F844" s="42" t="s">
        <v>3130</v>
      </c>
      <c r="G844" s="32" t="s">
        <v>48</v>
      </c>
      <c r="H844" s="33" t="s">
        <v>3131</v>
      </c>
      <c r="I844" s="39" t="s">
        <v>67</v>
      </c>
      <c r="J844" s="35" t="s">
        <v>3132</v>
      </c>
      <c r="K844" s="30" t="s">
        <v>3133</v>
      </c>
    </row>
    <row r="845" customFormat="false" ht="14.25" hidden="false" customHeight="true" outlineLevel="0" collapsed="false">
      <c r="A845" s="27"/>
      <c r="B845" s="27"/>
      <c r="C845" s="27"/>
      <c r="D845" s="27"/>
      <c r="E845" s="30" t="s">
        <v>3134</v>
      </c>
      <c r="F845" s="42"/>
      <c r="G845" s="32"/>
      <c r="H845" s="33"/>
      <c r="I845" s="39"/>
      <c r="J845" s="35"/>
      <c r="K845" s="30" t="s">
        <v>3135</v>
      </c>
    </row>
    <row r="846" customFormat="false" ht="14.25" hidden="false" customHeight="true" outlineLevel="0" collapsed="false">
      <c r="A846" s="27"/>
      <c r="B846" s="27"/>
      <c r="C846" s="27"/>
      <c r="D846" s="29" t="s">
        <v>3136</v>
      </c>
      <c r="E846" s="30" t="s">
        <v>3137</v>
      </c>
      <c r="F846" s="42" t="s">
        <v>3138</v>
      </c>
      <c r="G846" s="32" t="s">
        <v>58</v>
      </c>
      <c r="H846" s="33" t="s">
        <v>3139</v>
      </c>
      <c r="I846" s="34" t="s">
        <v>40</v>
      </c>
      <c r="J846" s="35" t="s">
        <v>3140</v>
      </c>
      <c r="K846" s="30" t="s">
        <v>3042</v>
      </c>
    </row>
    <row r="847" customFormat="false" ht="14.25" hidden="false" customHeight="true" outlineLevel="0" collapsed="false">
      <c r="A847" s="27"/>
      <c r="B847" s="27"/>
      <c r="C847" s="27"/>
      <c r="D847" s="27"/>
      <c r="E847" s="30" t="s">
        <v>3141</v>
      </c>
      <c r="F847" s="42"/>
      <c r="G847" s="32"/>
      <c r="H847" s="33"/>
      <c r="I847" s="34"/>
      <c r="J847" s="35"/>
      <c r="K847" s="30" t="s">
        <v>3142</v>
      </c>
    </row>
    <row r="848" customFormat="false" ht="14.25" hidden="false" customHeight="true" outlineLevel="0" collapsed="false">
      <c r="A848" s="27"/>
      <c r="B848" s="27"/>
      <c r="C848" s="27"/>
      <c r="D848" s="29" t="s">
        <v>3143</v>
      </c>
      <c r="E848" s="30" t="s">
        <v>3144</v>
      </c>
      <c r="F848" s="42" t="s">
        <v>3145</v>
      </c>
      <c r="G848" s="32" t="s">
        <v>48</v>
      </c>
      <c r="H848" s="33" t="s">
        <v>3146</v>
      </c>
      <c r="I848" s="39" t="s">
        <v>67</v>
      </c>
      <c r="J848" s="35" t="s">
        <v>3147</v>
      </c>
      <c r="K848" s="30" t="s">
        <v>3148</v>
      </c>
    </row>
    <row r="849" customFormat="false" ht="14.25" hidden="false" customHeight="true" outlineLevel="0" collapsed="false">
      <c r="A849" s="27"/>
      <c r="B849" s="27"/>
      <c r="C849" s="27"/>
      <c r="D849" s="27"/>
      <c r="E849" s="30" t="s">
        <v>3149</v>
      </c>
      <c r="F849" s="42"/>
      <c r="G849" s="32"/>
      <c r="H849" s="33"/>
      <c r="I849" s="39"/>
      <c r="J849" s="35"/>
      <c r="K849" s="30" t="s">
        <v>3150</v>
      </c>
    </row>
    <row r="850" customFormat="false" ht="14.25" hidden="false" customHeight="true" outlineLevel="0" collapsed="false">
      <c r="A850" s="27"/>
      <c r="B850" s="27"/>
      <c r="C850" s="29" t="s">
        <v>3151</v>
      </c>
      <c r="D850" s="29" t="s">
        <v>3152</v>
      </c>
      <c r="E850" s="30" t="s">
        <v>3153</v>
      </c>
      <c r="F850" s="42" t="s">
        <v>3154</v>
      </c>
      <c r="G850" s="32" t="s">
        <v>48</v>
      </c>
      <c r="H850" s="33" t="s">
        <v>3155</v>
      </c>
      <c r="I850" s="37" t="s">
        <v>50</v>
      </c>
      <c r="J850" s="35" t="s">
        <v>3156</v>
      </c>
      <c r="K850" s="30" t="s">
        <v>3157</v>
      </c>
    </row>
    <row r="851" customFormat="false" ht="14.25" hidden="false" customHeight="true" outlineLevel="0" collapsed="false">
      <c r="A851" s="27"/>
      <c r="B851" s="27"/>
      <c r="C851" s="27"/>
      <c r="D851" s="27"/>
      <c r="E851" s="30" t="s">
        <v>3158</v>
      </c>
      <c r="F851" s="42"/>
      <c r="G851" s="32"/>
      <c r="H851" s="33"/>
      <c r="I851" s="37"/>
      <c r="J851" s="35"/>
      <c r="K851" s="30" t="s">
        <v>3159</v>
      </c>
    </row>
    <row r="852" customFormat="false" ht="14.25" hidden="false" customHeight="true" outlineLevel="0" collapsed="false">
      <c r="A852" s="27"/>
      <c r="B852" s="27"/>
      <c r="C852" s="27"/>
      <c r="D852" s="29" t="s">
        <v>3160</v>
      </c>
      <c r="E852" s="30" t="s">
        <v>3161</v>
      </c>
      <c r="F852" s="42" t="s">
        <v>3162</v>
      </c>
      <c r="G852" s="32" t="s">
        <v>38</v>
      </c>
      <c r="H852" s="33" t="s">
        <v>3163</v>
      </c>
      <c r="I852" s="37" t="s">
        <v>50</v>
      </c>
      <c r="J852" s="35" t="s">
        <v>3164</v>
      </c>
      <c r="K852" s="30" t="s">
        <v>3165</v>
      </c>
    </row>
    <row r="853" customFormat="false" ht="14.25" hidden="false" customHeight="true" outlineLevel="0" collapsed="false">
      <c r="A853" s="27"/>
      <c r="B853" s="27"/>
      <c r="C853" s="27"/>
      <c r="D853" s="27"/>
      <c r="E853" s="30" t="s">
        <v>3166</v>
      </c>
      <c r="F853" s="42"/>
      <c r="G853" s="32"/>
      <c r="H853" s="33"/>
      <c r="I853" s="37"/>
      <c r="J853" s="35"/>
      <c r="K853" s="30" t="s">
        <v>3167</v>
      </c>
    </row>
    <row r="854" customFormat="false" ht="14.25" hidden="false" customHeight="true" outlineLevel="0" collapsed="false">
      <c r="A854" s="27"/>
      <c r="B854" s="27"/>
      <c r="C854" s="27"/>
      <c r="D854" s="29" t="s">
        <v>3168</v>
      </c>
      <c r="E854" s="30" t="s">
        <v>3169</v>
      </c>
      <c r="F854" s="42" t="s">
        <v>3170</v>
      </c>
      <c r="G854" s="32" t="s">
        <v>38</v>
      </c>
      <c r="H854" s="33" t="s">
        <v>3171</v>
      </c>
      <c r="I854" s="39" t="s">
        <v>67</v>
      </c>
      <c r="J854" s="35" t="s">
        <v>3172</v>
      </c>
      <c r="K854" s="30" t="s">
        <v>3173</v>
      </c>
    </row>
    <row r="855" customFormat="false" ht="14.25" hidden="false" customHeight="true" outlineLevel="0" collapsed="false">
      <c r="A855" s="27"/>
      <c r="B855" s="27"/>
      <c r="C855" s="27"/>
      <c r="D855" s="27"/>
      <c r="E855" s="30" t="s">
        <v>3174</v>
      </c>
      <c r="F855" s="42"/>
      <c r="G855" s="32"/>
      <c r="H855" s="33"/>
      <c r="I855" s="39"/>
      <c r="J855" s="35"/>
      <c r="K855" s="30" t="s">
        <v>3175</v>
      </c>
    </row>
    <row r="856" customFormat="false" ht="14.25" hidden="false" customHeight="true" outlineLevel="0" collapsed="false">
      <c r="A856" s="27"/>
      <c r="B856" s="27"/>
      <c r="C856" s="27"/>
      <c r="D856" s="29" t="s">
        <v>3176</v>
      </c>
      <c r="E856" s="30" t="s">
        <v>3177</v>
      </c>
      <c r="F856" s="42" t="s">
        <v>3178</v>
      </c>
      <c r="G856" s="32" t="s">
        <v>38</v>
      </c>
      <c r="H856" s="33" t="s">
        <v>3179</v>
      </c>
      <c r="I856" s="34" t="s">
        <v>40</v>
      </c>
      <c r="J856" s="35" t="s">
        <v>3180</v>
      </c>
      <c r="K856" s="30" t="s">
        <v>3181</v>
      </c>
    </row>
    <row r="857" customFormat="false" ht="14.25" hidden="false" customHeight="true" outlineLevel="0" collapsed="false">
      <c r="A857" s="27"/>
      <c r="B857" s="27"/>
      <c r="C857" s="27"/>
      <c r="D857" s="27"/>
      <c r="E857" s="30" t="s">
        <v>3182</v>
      </c>
      <c r="F857" s="42"/>
      <c r="G857" s="32"/>
      <c r="H857" s="33"/>
      <c r="I857" s="34"/>
      <c r="J857" s="35"/>
      <c r="K857" s="30" t="s">
        <v>3065</v>
      </c>
    </row>
    <row r="858" customFormat="false" ht="14.25" hidden="false" customHeight="true" outlineLevel="0" collapsed="false">
      <c r="A858" s="27"/>
      <c r="B858" s="27"/>
      <c r="C858" s="27"/>
      <c r="D858" s="29" t="s">
        <v>3183</v>
      </c>
      <c r="E858" s="30" t="s">
        <v>3184</v>
      </c>
      <c r="F858" s="42" t="s">
        <v>3185</v>
      </c>
      <c r="G858" s="32" t="s">
        <v>48</v>
      </c>
      <c r="H858" s="33" t="s">
        <v>3186</v>
      </c>
      <c r="I858" s="39" t="s">
        <v>67</v>
      </c>
      <c r="J858" s="35" t="s">
        <v>3187</v>
      </c>
      <c r="K858" s="30" t="s">
        <v>3188</v>
      </c>
    </row>
    <row r="859" customFormat="false" ht="14.25" hidden="false" customHeight="true" outlineLevel="0" collapsed="false">
      <c r="A859" s="27"/>
      <c r="B859" s="27"/>
      <c r="C859" s="27"/>
      <c r="D859" s="27"/>
      <c r="E859" s="30" t="s">
        <v>3189</v>
      </c>
      <c r="F859" s="42"/>
      <c r="G859" s="32"/>
      <c r="H859" s="33"/>
      <c r="I859" s="39"/>
      <c r="J859" s="35"/>
      <c r="K859" s="30" t="s">
        <v>3190</v>
      </c>
    </row>
    <row r="860" customFormat="false" ht="14.25" hidden="false" customHeight="true" outlineLevel="0" collapsed="false">
      <c r="A860" s="27"/>
      <c r="B860" s="27"/>
      <c r="C860" s="40" t="s">
        <v>3191</v>
      </c>
      <c r="D860" s="29" t="s">
        <v>3192</v>
      </c>
      <c r="E860" s="30" t="s">
        <v>3193</v>
      </c>
      <c r="F860" s="42" t="s">
        <v>3194</v>
      </c>
      <c r="G860" s="32" t="s">
        <v>58</v>
      </c>
      <c r="H860" s="33" t="s">
        <v>3195</v>
      </c>
      <c r="I860" s="37" t="s">
        <v>50</v>
      </c>
      <c r="J860" s="35" t="s">
        <v>3196</v>
      </c>
      <c r="K860" s="30" t="s">
        <v>3087</v>
      </c>
    </row>
    <row r="861" customFormat="false" ht="14.25" hidden="false" customHeight="true" outlineLevel="0" collapsed="false">
      <c r="A861" s="27"/>
      <c r="B861" s="27"/>
      <c r="C861" s="27"/>
      <c r="D861" s="27"/>
      <c r="E861" s="30" t="s">
        <v>3197</v>
      </c>
      <c r="F861" s="42"/>
      <c r="G861" s="32"/>
      <c r="H861" s="33"/>
      <c r="I861" s="37"/>
      <c r="J861" s="35"/>
      <c r="K861" s="30" t="s">
        <v>3089</v>
      </c>
    </row>
    <row r="862" customFormat="false" ht="14.25" hidden="false" customHeight="true" outlineLevel="0" collapsed="false">
      <c r="A862" s="27"/>
      <c r="B862" s="27"/>
      <c r="C862" s="27"/>
      <c r="D862" s="29" t="s">
        <v>3198</v>
      </c>
      <c r="E862" s="30" t="s">
        <v>3199</v>
      </c>
      <c r="F862" s="42" t="s">
        <v>3200</v>
      </c>
      <c r="G862" s="32" t="s">
        <v>48</v>
      </c>
      <c r="H862" s="33" t="s">
        <v>3201</v>
      </c>
      <c r="I862" s="37" t="s">
        <v>50</v>
      </c>
      <c r="J862" s="35" t="s">
        <v>3094</v>
      </c>
      <c r="K862" s="30" t="s">
        <v>3157</v>
      </c>
    </row>
    <row r="863" customFormat="false" ht="14.25" hidden="false" customHeight="true" outlineLevel="0" collapsed="false">
      <c r="A863" s="27"/>
      <c r="B863" s="27"/>
      <c r="C863" s="27"/>
      <c r="D863" s="27"/>
      <c r="E863" s="30" t="s">
        <v>3202</v>
      </c>
      <c r="F863" s="42"/>
      <c r="G863" s="32"/>
      <c r="H863" s="33"/>
      <c r="I863" s="37"/>
      <c r="J863" s="35"/>
      <c r="K863" s="30" t="s">
        <v>3159</v>
      </c>
    </row>
    <row r="864" customFormat="false" ht="14.25" hidden="false" customHeight="true" outlineLevel="0" collapsed="false">
      <c r="A864" s="27"/>
      <c r="B864" s="27"/>
      <c r="C864" s="27"/>
      <c r="D864" s="29" t="s">
        <v>3203</v>
      </c>
      <c r="E864" s="30" t="s">
        <v>3204</v>
      </c>
      <c r="F864" s="42" t="s">
        <v>3205</v>
      </c>
      <c r="G864" s="32" t="s">
        <v>48</v>
      </c>
      <c r="H864" s="33" t="s">
        <v>3206</v>
      </c>
      <c r="I864" s="39" t="s">
        <v>67</v>
      </c>
      <c r="J864" s="35" t="s">
        <v>3156</v>
      </c>
      <c r="K864" s="30" t="s">
        <v>3207</v>
      </c>
    </row>
    <row r="865" customFormat="false" ht="14.25" hidden="false" customHeight="true" outlineLevel="0" collapsed="false">
      <c r="A865" s="27"/>
      <c r="B865" s="27"/>
      <c r="C865" s="27"/>
      <c r="D865" s="27"/>
      <c r="E865" s="30" t="s">
        <v>3208</v>
      </c>
      <c r="F865" s="42"/>
      <c r="G865" s="32"/>
      <c r="H865" s="33"/>
      <c r="I865" s="39"/>
      <c r="J865" s="35"/>
      <c r="K865" s="30" t="s">
        <v>3209</v>
      </c>
    </row>
    <row r="866" customFormat="false" ht="14.25" hidden="false" customHeight="true" outlineLevel="0" collapsed="false">
      <c r="A866" s="27"/>
      <c r="B866" s="27"/>
      <c r="C866" s="27"/>
      <c r="D866" s="29" t="s">
        <v>3210</v>
      </c>
      <c r="E866" s="30" t="s">
        <v>3211</v>
      </c>
      <c r="F866" s="42" t="s">
        <v>3212</v>
      </c>
      <c r="G866" s="32" t="s">
        <v>38</v>
      </c>
      <c r="H866" s="33" t="s">
        <v>3213</v>
      </c>
      <c r="I866" s="34" t="s">
        <v>40</v>
      </c>
      <c r="J866" s="35" t="s">
        <v>3214</v>
      </c>
      <c r="K866" s="30" t="s">
        <v>3215</v>
      </c>
    </row>
    <row r="867" customFormat="false" ht="14.25" hidden="false" customHeight="true" outlineLevel="0" collapsed="false">
      <c r="A867" s="27"/>
      <c r="B867" s="27"/>
      <c r="C867" s="27"/>
      <c r="D867" s="27"/>
      <c r="E867" s="30" t="s">
        <v>3216</v>
      </c>
      <c r="F867" s="42"/>
      <c r="G867" s="32"/>
      <c r="H867" s="33"/>
      <c r="I867" s="34"/>
      <c r="J867" s="35"/>
      <c r="K867" s="30" t="s">
        <v>3217</v>
      </c>
    </row>
    <row r="868" customFormat="false" ht="14.25" hidden="false" customHeight="true" outlineLevel="0" collapsed="false">
      <c r="A868" s="27"/>
      <c r="B868" s="27"/>
      <c r="C868" s="27"/>
      <c r="D868" s="29" t="s">
        <v>3218</v>
      </c>
      <c r="E868" s="30" t="s">
        <v>3219</v>
      </c>
      <c r="F868" s="42" t="s">
        <v>3220</v>
      </c>
      <c r="G868" s="32" t="s">
        <v>38</v>
      </c>
      <c r="H868" s="33" t="s">
        <v>3221</v>
      </c>
      <c r="I868" s="39" t="s">
        <v>67</v>
      </c>
      <c r="J868" s="35" t="s">
        <v>3222</v>
      </c>
      <c r="K868" s="30" t="s">
        <v>3223</v>
      </c>
    </row>
    <row r="869" customFormat="false" ht="14.25" hidden="false" customHeight="true" outlineLevel="0" collapsed="false">
      <c r="A869" s="27"/>
      <c r="B869" s="27"/>
      <c r="C869" s="27"/>
      <c r="D869" s="27"/>
      <c r="E869" s="30" t="s">
        <v>3224</v>
      </c>
      <c r="F869" s="42"/>
      <c r="G869" s="32"/>
      <c r="H869" s="33"/>
      <c r="I869" s="39"/>
      <c r="J869" s="35"/>
      <c r="K869" s="30" t="s">
        <v>3225</v>
      </c>
    </row>
    <row r="870" customFormat="false" ht="14.25" hidden="false" customHeight="true" outlineLevel="0" collapsed="false">
      <c r="A870" s="27"/>
      <c r="B870" s="27"/>
      <c r="C870" s="40" t="s">
        <v>3226</v>
      </c>
      <c r="D870" s="29" t="s">
        <v>3227</v>
      </c>
      <c r="E870" s="30" t="s">
        <v>3228</v>
      </c>
      <c r="F870" s="42" t="s">
        <v>3229</v>
      </c>
      <c r="G870" s="32" t="s">
        <v>38</v>
      </c>
      <c r="H870" s="33" t="s">
        <v>3230</v>
      </c>
      <c r="I870" s="37" t="s">
        <v>50</v>
      </c>
      <c r="J870" s="35" t="s">
        <v>3231</v>
      </c>
      <c r="K870" s="30" t="s">
        <v>3232</v>
      </c>
    </row>
    <row r="871" customFormat="false" ht="14.25" hidden="false" customHeight="true" outlineLevel="0" collapsed="false">
      <c r="A871" s="27"/>
      <c r="B871" s="27"/>
      <c r="C871" s="27"/>
      <c r="D871" s="27"/>
      <c r="E871" s="30" t="s">
        <v>3233</v>
      </c>
      <c r="F871" s="42"/>
      <c r="G871" s="32"/>
      <c r="H871" s="33"/>
      <c r="I871" s="37"/>
      <c r="J871" s="35"/>
      <c r="K871" s="30" t="s">
        <v>3234</v>
      </c>
    </row>
    <row r="872" customFormat="false" ht="14.25" hidden="false" customHeight="true" outlineLevel="0" collapsed="false">
      <c r="A872" s="27"/>
      <c r="B872" s="27"/>
      <c r="C872" s="27"/>
      <c r="D872" s="29" t="s">
        <v>3235</v>
      </c>
      <c r="E872" s="30" t="s">
        <v>3236</v>
      </c>
      <c r="F872" s="42" t="s">
        <v>3237</v>
      </c>
      <c r="G872" s="32" t="s">
        <v>48</v>
      </c>
      <c r="H872" s="33" t="s">
        <v>3238</v>
      </c>
      <c r="I872" s="37" t="s">
        <v>50</v>
      </c>
      <c r="J872" s="35" t="s">
        <v>3239</v>
      </c>
      <c r="K872" s="30" t="s">
        <v>3240</v>
      </c>
    </row>
    <row r="873" customFormat="false" ht="14.25" hidden="false" customHeight="true" outlineLevel="0" collapsed="false">
      <c r="A873" s="27"/>
      <c r="B873" s="27"/>
      <c r="C873" s="27"/>
      <c r="D873" s="27"/>
      <c r="E873" s="30" t="s">
        <v>3241</v>
      </c>
      <c r="F873" s="42"/>
      <c r="G873" s="32"/>
      <c r="H873" s="33"/>
      <c r="I873" s="37"/>
      <c r="J873" s="35"/>
      <c r="K873" s="30" t="s">
        <v>3242</v>
      </c>
    </row>
    <row r="874" customFormat="false" ht="14.25" hidden="false" customHeight="true" outlineLevel="0" collapsed="false">
      <c r="A874" s="27"/>
      <c r="B874" s="27"/>
      <c r="C874" s="27"/>
      <c r="D874" s="29" t="s">
        <v>3243</v>
      </c>
      <c r="E874" s="30" t="s">
        <v>3244</v>
      </c>
      <c r="F874" s="42" t="s">
        <v>3245</v>
      </c>
      <c r="G874" s="32" t="s">
        <v>58</v>
      </c>
      <c r="H874" s="33" t="s">
        <v>3246</v>
      </c>
      <c r="I874" s="39" t="s">
        <v>67</v>
      </c>
      <c r="J874" s="35" t="s">
        <v>3247</v>
      </c>
      <c r="K874" s="30" t="s">
        <v>1527</v>
      </c>
    </row>
    <row r="875" customFormat="false" ht="14.25" hidden="false" customHeight="true" outlineLevel="0" collapsed="false">
      <c r="A875" s="27"/>
      <c r="B875" s="27"/>
      <c r="C875" s="27"/>
      <c r="D875" s="27"/>
      <c r="E875" s="30" t="s">
        <v>3248</v>
      </c>
      <c r="F875" s="42"/>
      <c r="G875" s="32"/>
      <c r="H875" s="33"/>
      <c r="I875" s="39"/>
      <c r="J875" s="35"/>
      <c r="K875" s="30" t="s">
        <v>1529</v>
      </c>
    </row>
    <row r="876" customFormat="false" ht="14.25" hidden="false" customHeight="true" outlineLevel="0" collapsed="false">
      <c r="A876" s="27"/>
      <c r="B876" s="27"/>
      <c r="C876" s="27"/>
      <c r="D876" s="29" t="s">
        <v>3249</v>
      </c>
      <c r="E876" s="30" t="s">
        <v>3250</v>
      </c>
      <c r="F876" s="42" t="s">
        <v>3251</v>
      </c>
      <c r="G876" s="32" t="s">
        <v>48</v>
      </c>
      <c r="H876" s="33" t="s">
        <v>3252</v>
      </c>
      <c r="I876" s="34" t="s">
        <v>40</v>
      </c>
      <c r="J876" s="35" t="s">
        <v>3253</v>
      </c>
      <c r="K876" s="30" t="s">
        <v>3254</v>
      </c>
    </row>
    <row r="877" customFormat="false" ht="14.25" hidden="false" customHeight="true" outlineLevel="0" collapsed="false">
      <c r="A877" s="27"/>
      <c r="B877" s="27"/>
      <c r="C877" s="27"/>
      <c r="D877" s="27"/>
      <c r="E877" s="30" t="s">
        <v>3255</v>
      </c>
      <c r="F877" s="42"/>
      <c r="G877" s="32"/>
      <c r="H877" s="33"/>
      <c r="I877" s="34"/>
      <c r="J877" s="35"/>
      <c r="K877" s="30" t="s">
        <v>3256</v>
      </c>
    </row>
    <row r="878" customFormat="false" ht="14.25" hidden="false" customHeight="true" outlineLevel="0" collapsed="false">
      <c r="A878" s="27"/>
      <c r="B878" s="27"/>
      <c r="C878" s="27"/>
      <c r="D878" s="29" t="s">
        <v>3257</v>
      </c>
      <c r="E878" s="30" t="s">
        <v>3258</v>
      </c>
      <c r="F878" s="42" t="s">
        <v>3259</v>
      </c>
      <c r="G878" s="32" t="s">
        <v>48</v>
      </c>
      <c r="H878" s="33" t="s">
        <v>3260</v>
      </c>
      <c r="I878" s="39" t="s">
        <v>67</v>
      </c>
      <c r="J878" s="35" t="s">
        <v>3261</v>
      </c>
      <c r="K878" s="30" t="s">
        <v>3215</v>
      </c>
    </row>
    <row r="879" customFormat="false" ht="14.25" hidden="false" customHeight="true" outlineLevel="0" collapsed="false">
      <c r="A879" s="27"/>
      <c r="B879" s="27"/>
      <c r="C879" s="27"/>
      <c r="D879" s="27"/>
      <c r="E879" s="30" t="s">
        <v>3262</v>
      </c>
      <c r="F879" s="42"/>
      <c r="G879" s="32"/>
      <c r="H879" s="33"/>
      <c r="I879" s="39"/>
      <c r="J879" s="35"/>
      <c r="K879" s="30" t="s">
        <v>3263</v>
      </c>
    </row>
    <row r="880" customFormat="false" ht="14.25" hidden="false" customHeight="true" outlineLevel="0" collapsed="false">
      <c r="A880" s="27"/>
      <c r="B880" s="27"/>
      <c r="C880" s="29" t="s">
        <v>3264</v>
      </c>
      <c r="D880" s="29" t="s">
        <v>3265</v>
      </c>
      <c r="E880" s="30" t="s">
        <v>3266</v>
      </c>
      <c r="F880" s="42" t="s">
        <v>3267</v>
      </c>
      <c r="G880" s="32" t="s">
        <v>38</v>
      </c>
      <c r="H880" s="33" t="s">
        <v>3268</v>
      </c>
      <c r="I880" s="37" t="s">
        <v>50</v>
      </c>
      <c r="J880" s="35" t="s">
        <v>3269</v>
      </c>
      <c r="K880" s="30" t="s">
        <v>3270</v>
      </c>
    </row>
    <row r="881" customFormat="false" ht="14.25" hidden="false" customHeight="true" outlineLevel="0" collapsed="false">
      <c r="A881" s="27"/>
      <c r="B881" s="27"/>
      <c r="C881" s="27"/>
      <c r="D881" s="27"/>
      <c r="E881" s="30" t="s">
        <v>3271</v>
      </c>
      <c r="F881" s="42"/>
      <c r="G881" s="32"/>
      <c r="H881" s="33"/>
      <c r="I881" s="37"/>
      <c r="J881" s="35"/>
      <c r="K881" s="30" t="s">
        <v>3272</v>
      </c>
    </row>
    <row r="882" customFormat="false" ht="14.25" hidden="false" customHeight="true" outlineLevel="0" collapsed="false">
      <c r="A882" s="27"/>
      <c r="B882" s="27"/>
      <c r="C882" s="27"/>
      <c r="D882" s="29" t="s">
        <v>3273</v>
      </c>
      <c r="E882" s="30" t="s">
        <v>3274</v>
      </c>
      <c r="F882" s="42" t="s">
        <v>3275</v>
      </c>
      <c r="G882" s="32" t="s">
        <v>38</v>
      </c>
      <c r="H882" s="33" t="s">
        <v>3276</v>
      </c>
      <c r="I882" s="37" t="s">
        <v>50</v>
      </c>
      <c r="J882" s="35" t="s">
        <v>3277</v>
      </c>
      <c r="K882" s="30" t="s">
        <v>3254</v>
      </c>
    </row>
    <row r="883" customFormat="false" ht="14.25" hidden="false" customHeight="true" outlineLevel="0" collapsed="false">
      <c r="A883" s="27"/>
      <c r="B883" s="27"/>
      <c r="C883" s="27"/>
      <c r="D883" s="27"/>
      <c r="E883" s="30" t="s">
        <v>3278</v>
      </c>
      <c r="F883" s="42"/>
      <c r="G883" s="32"/>
      <c r="H883" s="33"/>
      <c r="I883" s="37"/>
      <c r="J883" s="35"/>
      <c r="K883" s="30" t="s">
        <v>3279</v>
      </c>
    </row>
    <row r="884" customFormat="false" ht="14.25" hidden="false" customHeight="true" outlineLevel="0" collapsed="false">
      <c r="A884" s="27"/>
      <c r="B884" s="27"/>
      <c r="C884" s="27"/>
      <c r="D884" s="29" t="s">
        <v>3280</v>
      </c>
      <c r="E884" s="30" t="s">
        <v>3281</v>
      </c>
      <c r="F884" s="42" t="s">
        <v>3282</v>
      </c>
      <c r="G884" s="32" t="s">
        <v>38</v>
      </c>
      <c r="H884" s="33" t="s">
        <v>3283</v>
      </c>
      <c r="I884" s="39" t="s">
        <v>67</v>
      </c>
      <c r="J884" s="35" t="s">
        <v>3284</v>
      </c>
      <c r="K884" s="30" t="s">
        <v>3285</v>
      </c>
    </row>
    <row r="885" customFormat="false" ht="14.25" hidden="false" customHeight="true" outlineLevel="0" collapsed="false">
      <c r="A885" s="27"/>
      <c r="B885" s="27"/>
      <c r="C885" s="27"/>
      <c r="D885" s="27"/>
      <c r="E885" s="30" t="s">
        <v>3286</v>
      </c>
      <c r="F885" s="42"/>
      <c r="G885" s="32"/>
      <c r="H885" s="33"/>
      <c r="I885" s="39"/>
      <c r="J885" s="35"/>
      <c r="K885" s="30" t="s">
        <v>3287</v>
      </c>
    </row>
    <row r="886" customFormat="false" ht="14.25" hidden="false" customHeight="true" outlineLevel="0" collapsed="false">
      <c r="A886" s="27"/>
      <c r="B886" s="27"/>
      <c r="C886" s="27"/>
      <c r="D886" s="29" t="s">
        <v>3288</v>
      </c>
      <c r="E886" s="30" t="s">
        <v>3289</v>
      </c>
      <c r="F886" s="42" t="s">
        <v>3290</v>
      </c>
      <c r="G886" s="32" t="s">
        <v>48</v>
      </c>
      <c r="H886" s="33" t="s">
        <v>3291</v>
      </c>
      <c r="I886" s="34" t="s">
        <v>40</v>
      </c>
      <c r="J886" s="35" t="s">
        <v>3292</v>
      </c>
      <c r="K886" s="30" t="s">
        <v>3293</v>
      </c>
    </row>
    <row r="887" customFormat="false" ht="14.25" hidden="false" customHeight="true" outlineLevel="0" collapsed="false">
      <c r="A887" s="27"/>
      <c r="B887" s="27"/>
      <c r="C887" s="27"/>
      <c r="D887" s="27"/>
      <c r="E887" s="30" t="s">
        <v>3294</v>
      </c>
      <c r="F887" s="42"/>
      <c r="G887" s="32"/>
      <c r="H887" s="33"/>
      <c r="I887" s="34"/>
      <c r="J887" s="35"/>
      <c r="K887" s="30" t="s">
        <v>3295</v>
      </c>
    </row>
    <row r="888" customFormat="false" ht="14.25" hidden="false" customHeight="true" outlineLevel="0" collapsed="false">
      <c r="A888" s="27"/>
      <c r="B888" s="27"/>
      <c r="C888" s="27"/>
      <c r="D888" s="29" t="s">
        <v>3296</v>
      </c>
      <c r="E888" s="30" t="s">
        <v>3297</v>
      </c>
      <c r="F888" s="42" t="s">
        <v>3298</v>
      </c>
      <c r="G888" s="32" t="s">
        <v>58</v>
      </c>
      <c r="H888" s="33" t="s">
        <v>3299</v>
      </c>
      <c r="I888" s="39" t="s">
        <v>67</v>
      </c>
      <c r="J888" s="35" t="s">
        <v>3300</v>
      </c>
      <c r="K888" s="30" t="s">
        <v>3270</v>
      </c>
    </row>
    <row r="889" customFormat="false" ht="14.25" hidden="false" customHeight="true" outlineLevel="0" collapsed="false">
      <c r="A889" s="27"/>
      <c r="B889" s="27"/>
      <c r="C889" s="27"/>
      <c r="D889" s="27"/>
      <c r="E889" s="30" t="s">
        <v>3301</v>
      </c>
      <c r="F889" s="42"/>
      <c r="G889" s="32"/>
      <c r="H889" s="33"/>
      <c r="I889" s="39"/>
      <c r="J889" s="35"/>
      <c r="K889" s="30" t="s">
        <v>3302</v>
      </c>
    </row>
    <row r="890" customFormat="false" ht="14.25" hidden="false" customHeight="true" outlineLevel="0" collapsed="false">
      <c r="A890" s="27"/>
      <c r="B890" s="27"/>
      <c r="C890" s="40" t="s">
        <v>3303</v>
      </c>
      <c r="D890" s="29" t="s">
        <v>3304</v>
      </c>
      <c r="E890" s="30" t="s">
        <v>3305</v>
      </c>
      <c r="F890" s="42" t="s">
        <v>3306</v>
      </c>
      <c r="G890" s="32" t="s">
        <v>48</v>
      </c>
      <c r="H890" s="33" t="s">
        <v>3307</v>
      </c>
      <c r="I890" s="37" t="s">
        <v>50</v>
      </c>
      <c r="J890" s="35" t="s">
        <v>3308</v>
      </c>
      <c r="K890" s="30" t="s">
        <v>3270</v>
      </c>
    </row>
    <row r="891" customFormat="false" ht="14.25" hidden="false" customHeight="true" outlineLevel="0" collapsed="false">
      <c r="A891" s="27"/>
      <c r="B891" s="27"/>
      <c r="C891" s="27"/>
      <c r="D891" s="27"/>
      <c r="E891" s="30" t="s">
        <v>3309</v>
      </c>
      <c r="F891" s="42"/>
      <c r="G891" s="32"/>
      <c r="H891" s="33"/>
      <c r="I891" s="37"/>
      <c r="J891" s="35"/>
      <c r="K891" s="30" t="s">
        <v>3302</v>
      </c>
    </row>
    <row r="892" customFormat="false" ht="14.25" hidden="false" customHeight="true" outlineLevel="0" collapsed="false">
      <c r="A892" s="27"/>
      <c r="B892" s="27"/>
      <c r="C892" s="27"/>
      <c r="D892" s="29" t="s">
        <v>3310</v>
      </c>
      <c r="E892" s="30" t="s">
        <v>3311</v>
      </c>
      <c r="F892" s="42" t="s">
        <v>3312</v>
      </c>
      <c r="G892" s="32" t="s">
        <v>48</v>
      </c>
      <c r="H892" s="33" t="s">
        <v>3313</v>
      </c>
      <c r="I892" s="37" t="s">
        <v>50</v>
      </c>
      <c r="J892" s="35" t="s">
        <v>3314</v>
      </c>
      <c r="K892" s="30" t="s">
        <v>3315</v>
      </c>
    </row>
    <row r="893" customFormat="false" ht="14.25" hidden="false" customHeight="true" outlineLevel="0" collapsed="false">
      <c r="A893" s="27"/>
      <c r="B893" s="27"/>
      <c r="C893" s="27"/>
      <c r="D893" s="27"/>
      <c r="E893" s="30" t="s">
        <v>3316</v>
      </c>
      <c r="F893" s="42"/>
      <c r="G893" s="32"/>
      <c r="H893" s="33"/>
      <c r="I893" s="37"/>
      <c r="J893" s="35"/>
      <c r="K893" s="30" t="s">
        <v>3317</v>
      </c>
    </row>
    <row r="894" customFormat="false" ht="14.25" hidden="false" customHeight="true" outlineLevel="0" collapsed="false">
      <c r="A894" s="27"/>
      <c r="B894" s="27"/>
      <c r="C894" s="27"/>
      <c r="D894" s="29" t="s">
        <v>3318</v>
      </c>
      <c r="E894" s="30" t="s">
        <v>3319</v>
      </c>
      <c r="F894" s="42" t="s">
        <v>3320</v>
      </c>
      <c r="G894" s="32" t="s">
        <v>38</v>
      </c>
      <c r="H894" s="33" t="s">
        <v>3321</v>
      </c>
      <c r="I894" s="39" t="s">
        <v>67</v>
      </c>
      <c r="J894" s="35" t="s">
        <v>3322</v>
      </c>
      <c r="K894" s="30" t="s">
        <v>3323</v>
      </c>
    </row>
    <row r="895" customFormat="false" ht="14.25" hidden="false" customHeight="true" outlineLevel="0" collapsed="false">
      <c r="A895" s="27"/>
      <c r="B895" s="27"/>
      <c r="C895" s="27"/>
      <c r="D895" s="27"/>
      <c r="E895" s="30" t="s">
        <v>3324</v>
      </c>
      <c r="F895" s="42"/>
      <c r="G895" s="32"/>
      <c r="H895" s="33"/>
      <c r="I895" s="39"/>
      <c r="J895" s="35"/>
      <c r="K895" s="30" t="s">
        <v>3325</v>
      </c>
    </row>
    <row r="896" customFormat="false" ht="14.25" hidden="false" customHeight="true" outlineLevel="0" collapsed="false">
      <c r="A896" s="27"/>
      <c r="B896" s="27"/>
      <c r="C896" s="27"/>
      <c r="D896" s="29" t="s">
        <v>3326</v>
      </c>
      <c r="E896" s="30" t="s">
        <v>3327</v>
      </c>
      <c r="F896" s="42" t="s">
        <v>3328</v>
      </c>
      <c r="G896" s="32" t="s">
        <v>38</v>
      </c>
      <c r="H896" s="33" t="s">
        <v>3329</v>
      </c>
      <c r="I896" s="34" t="s">
        <v>40</v>
      </c>
      <c r="J896" s="35" t="s">
        <v>3330</v>
      </c>
      <c r="K896" s="30" t="s">
        <v>3331</v>
      </c>
    </row>
    <row r="897" customFormat="false" ht="14.25" hidden="false" customHeight="true" outlineLevel="0" collapsed="false">
      <c r="A897" s="27"/>
      <c r="B897" s="27"/>
      <c r="C897" s="27"/>
      <c r="D897" s="27"/>
      <c r="E897" s="30" t="s">
        <v>3332</v>
      </c>
      <c r="F897" s="42"/>
      <c r="G897" s="32"/>
      <c r="H897" s="33"/>
      <c r="I897" s="34"/>
      <c r="J897" s="35"/>
      <c r="K897" s="30" t="s">
        <v>3333</v>
      </c>
    </row>
    <row r="898" customFormat="false" ht="14.25" hidden="false" customHeight="true" outlineLevel="0" collapsed="false">
      <c r="A898" s="27"/>
      <c r="B898" s="27"/>
      <c r="C898" s="27"/>
      <c r="D898" s="29" t="s">
        <v>3334</v>
      </c>
      <c r="E898" s="30" t="s">
        <v>3335</v>
      </c>
      <c r="F898" s="42" t="s">
        <v>3336</v>
      </c>
      <c r="G898" s="32" t="s">
        <v>38</v>
      </c>
      <c r="H898" s="33" t="s">
        <v>3337</v>
      </c>
      <c r="I898" s="39" t="s">
        <v>67</v>
      </c>
      <c r="J898" s="35" t="s">
        <v>3338</v>
      </c>
      <c r="K898" s="30" t="s">
        <v>2666</v>
      </c>
    </row>
    <row r="899" customFormat="false" ht="14.25" hidden="false" customHeight="true" outlineLevel="0" collapsed="false">
      <c r="A899" s="27"/>
      <c r="B899" s="27"/>
      <c r="C899" s="27"/>
      <c r="D899" s="27"/>
      <c r="E899" s="30" t="s">
        <v>3339</v>
      </c>
      <c r="F899" s="42"/>
      <c r="G899" s="32"/>
      <c r="H899" s="33"/>
      <c r="I899" s="39"/>
      <c r="J899" s="35"/>
      <c r="K899" s="30" t="s">
        <v>3340</v>
      </c>
    </row>
    <row r="900" customFormat="false" ht="14.25" hidden="false" customHeight="true" outlineLevel="0" collapsed="false">
      <c r="A900" s="27"/>
      <c r="B900" s="27"/>
      <c r="C900" s="40" t="s">
        <v>3341</v>
      </c>
      <c r="D900" s="29" t="s">
        <v>3342</v>
      </c>
      <c r="E900" s="30" t="s">
        <v>3343</v>
      </c>
      <c r="F900" s="42" t="s">
        <v>3344</v>
      </c>
      <c r="G900" s="32" t="s">
        <v>48</v>
      </c>
      <c r="H900" s="33" t="s">
        <v>3345</v>
      </c>
      <c r="I900" s="37" t="s">
        <v>50</v>
      </c>
      <c r="J900" s="35" t="s">
        <v>3346</v>
      </c>
      <c r="K900" s="30" t="s">
        <v>3347</v>
      </c>
    </row>
    <row r="901" customFormat="false" ht="14.25" hidden="false" customHeight="true" outlineLevel="0" collapsed="false">
      <c r="A901" s="27"/>
      <c r="B901" s="27"/>
      <c r="C901" s="27"/>
      <c r="D901" s="27"/>
      <c r="E901" s="30" t="s">
        <v>3348</v>
      </c>
      <c r="F901" s="42"/>
      <c r="G901" s="32"/>
      <c r="H901" s="33"/>
      <c r="I901" s="37"/>
      <c r="J901" s="35"/>
      <c r="K901" s="30" t="s">
        <v>3349</v>
      </c>
    </row>
    <row r="902" customFormat="false" ht="14.25" hidden="false" customHeight="true" outlineLevel="0" collapsed="false">
      <c r="A902" s="27"/>
      <c r="B902" s="27"/>
      <c r="C902" s="27"/>
      <c r="D902" s="29" t="s">
        <v>3350</v>
      </c>
      <c r="E902" s="30" t="s">
        <v>3351</v>
      </c>
      <c r="F902" s="42" t="s">
        <v>3352</v>
      </c>
      <c r="G902" s="32" t="s">
        <v>58</v>
      </c>
      <c r="H902" s="33" t="s">
        <v>3353</v>
      </c>
      <c r="I902" s="37" t="s">
        <v>50</v>
      </c>
      <c r="J902" s="35" t="s">
        <v>3354</v>
      </c>
      <c r="K902" s="30" t="s">
        <v>3355</v>
      </c>
    </row>
    <row r="903" customFormat="false" ht="14.25" hidden="false" customHeight="true" outlineLevel="0" collapsed="false">
      <c r="A903" s="27"/>
      <c r="B903" s="27"/>
      <c r="C903" s="27"/>
      <c r="D903" s="27"/>
      <c r="E903" s="30" t="s">
        <v>3356</v>
      </c>
      <c r="F903" s="42"/>
      <c r="G903" s="32"/>
      <c r="H903" s="33"/>
      <c r="I903" s="37"/>
      <c r="J903" s="35"/>
      <c r="K903" s="30" t="s">
        <v>3357</v>
      </c>
    </row>
    <row r="904" customFormat="false" ht="14.25" hidden="false" customHeight="true" outlineLevel="0" collapsed="false">
      <c r="A904" s="27"/>
      <c r="B904" s="27"/>
      <c r="C904" s="27"/>
      <c r="D904" s="29" t="s">
        <v>3358</v>
      </c>
      <c r="E904" s="30" t="s">
        <v>3359</v>
      </c>
      <c r="F904" s="42" t="s">
        <v>3360</v>
      </c>
      <c r="G904" s="32" t="s">
        <v>48</v>
      </c>
      <c r="H904" s="33" t="s">
        <v>2844</v>
      </c>
      <c r="I904" s="39" t="s">
        <v>67</v>
      </c>
      <c r="J904" s="35" t="s">
        <v>3361</v>
      </c>
      <c r="K904" s="30" t="s">
        <v>3362</v>
      </c>
    </row>
    <row r="905" customFormat="false" ht="14.25" hidden="false" customHeight="true" outlineLevel="0" collapsed="false">
      <c r="A905" s="27"/>
      <c r="B905" s="27"/>
      <c r="C905" s="27"/>
      <c r="D905" s="27"/>
      <c r="E905" s="30" t="s">
        <v>3363</v>
      </c>
      <c r="F905" s="42"/>
      <c r="G905" s="32"/>
      <c r="H905" s="33"/>
      <c r="I905" s="39"/>
      <c r="J905" s="35"/>
      <c r="K905" s="30" t="s">
        <v>3364</v>
      </c>
    </row>
    <row r="906" customFormat="false" ht="14.25" hidden="false" customHeight="true" outlineLevel="0" collapsed="false">
      <c r="A906" s="27"/>
      <c r="B906" s="27"/>
      <c r="C906" s="27"/>
      <c r="D906" s="29" t="s">
        <v>3365</v>
      </c>
      <c r="E906" s="30" t="s">
        <v>3366</v>
      </c>
      <c r="F906" s="42" t="s">
        <v>3367</v>
      </c>
      <c r="G906" s="32" t="s">
        <v>48</v>
      </c>
      <c r="H906" s="33" t="s">
        <v>3368</v>
      </c>
      <c r="I906" s="34" t="s">
        <v>40</v>
      </c>
      <c r="J906" s="35" t="s">
        <v>3369</v>
      </c>
      <c r="K906" s="30" t="s">
        <v>3370</v>
      </c>
    </row>
    <row r="907" customFormat="false" ht="14.25" hidden="false" customHeight="true" outlineLevel="0" collapsed="false">
      <c r="A907" s="27"/>
      <c r="B907" s="27"/>
      <c r="C907" s="27"/>
      <c r="D907" s="27"/>
      <c r="E907" s="30" t="s">
        <v>3371</v>
      </c>
      <c r="F907" s="42"/>
      <c r="G907" s="32"/>
      <c r="H907" s="33"/>
      <c r="I907" s="34"/>
      <c r="J907" s="35"/>
      <c r="K907" s="30" t="s">
        <v>3065</v>
      </c>
    </row>
    <row r="908" customFormat="false" ht="14.25" hidden="false" customHeight="true" outlineLevel="0" collapsed="false">
      <c r="A908" s="27"/>
      <c r="B908" s="27"/>
      <c r="C908" s="27"/>
      <c r="D908" s="29" t="s">
        <v>3372</v>
      </c>
      <c r="E908" s="30" t="s">
        <v>3373</v>
      </c>
      <c r="F908" s="42" t="s">
        <v>3374</v>
      </c>
      <c r="G908" s="32" t="s">
        <v>38</v>
      </c>
      <c r="H908" s="33" t="s">
        <v>3375</v>
      </c>
      <c r="I908" s="39" t="s">
        <v>67</v>
      </c>
      <c r="J908" s="35" t="s">
        <v>3376</v>
      </c>
      <c r="K908" s="30" t="s">
        <v>3377</v>
      </c>
    </row>
    <row r="909" customFormat="false" ht="14.25" hidden="false" customHeight="true" outlineLevel="0" collapsed="false">
      <c r="A909" s="27"/>
      <c r="B909" s="27"/>
      <c r="C909" s="27"/>
      <c r="D909" s="27"/>
      <c r="E909" s="30" t="s">
        <v>3378</v>
      </c>
      <c r="F909" s="42"/>
      <c r="G909" s="32"/>
      <c r="H909" s="33"/>
      <c r="I909" s="39"/>
      <c r="J909" s="35"/>
      <c r="K909" s="30" t="s">
        <v>2506</v>
      </c>
    </row>
    <row r="910" customFormat="false" ht="14.25" hidden="false" customHeight="true" outlineLevel="0" collapsed="false">
      <c r="A910" s="27"/>
      <c r="B910" s="27"/>
      <c r="C910" s="40" t="s">
        <v>3379</v>
      </c>
      <c r="D910" s="29" t="s">
        <v>3380</v>
      </c>
      <c r="E910" s="30" t="s">
        <v>3381</v>
      </c>
      <c r="F910" s="42" t="s">
        <v>3382</v>
      </c>
      <c r="G910" s="32" t="s">
        <v>38</v>
      </c>
      <c r="H910" s="33" t="s">
        <v>3383</v>
      </c>
      <c r="I910" s="37" t="s">
        <v>50</v>
      </c>
      <c r="J910" s="35" t="s">
        <v>3384</v>
      </c>
      <c r="K910" s="30" t="s">
        <v>3385</v>
      </c>
    </row>
    <row r="911" customFormat="false" ht="14.25" hidden="false" customHeight="true" outlineLevel="0" collapsed="false">
      <c r="A911" s="27"/>
      <c r="B911" s="27"/>
      <c r="C911" s="27"/>
      <c r="D911" s="27"/>
      <c r="E911" s="30" t="s">
        <v>3386</v>
      </c>
      <c r="F911" s="42"/>
      <c r="G911" s="32"/>
      <c r="H911" s="33"/>
      <c r="I911" s="37"/>
      <c r="J911" s="35"/>
      <c r="K911" s="30" t="s">
        <v>3387</v>
      </c>
    </row>
    <row r="912" customFormat="false" ht="14.25" hidden="false" customHeight="true" outlineLevel="0" collapsed="false">
      <c r="A912" s="27"/>
      <c r="B912" s="27"/>
      <c r="C912" s="27"/>
      <c r="D912" s="29" t="s">
        <v>3388</v>
      </c>
      <c r="E912" s="30" t="s">
        <v>3389</v>
      </c>
      <c r="F912" s="42" t="s">
        <v>3390</v>
      </c>
      <c r="G912" s="32" t="s">
        <v>38</v>
      </c>
      <c r="H912" s="33" t="s">
        <v>3391</v>
      </c>
      <c r="I912" s="37" t="s">
        <v>50</v>
      </c>
      <c r="J912" s="35" t="s">
        <v>3392</v>
      </c>
      <c r="K912" s="30" t="s">
        <v>3393</v>
      </c>
    </row>
    <row r="913" customFormat="false" ht="14.25" hidden="false" customHeight="true" outlineLevel="0" collapsed="false">
      <c r="A913" s="27"/>
      <c r="B913" s="27"/>
      <c r="C913" s="27"/>
      <c r="D913" s="27"/>
      <c r="E913" s="30" t="s">
        <v>3394</v>
      </c>
      <c r="F913" s="42"/>
      <c r="G913" s="32"/>
      <c r="H913" s="33"/>
      <c r="I913" s="37"/>
      <c r="J913" s="35"/>
      <c r="K913" s="30" t="s">
        <v>3395</v>
      </c>
    </row>
    <row r="914" customFormat="false" ht="14.25" hidden="false" customHeight="true" outlineLevel="0" collapsed="false">
      <c r="A914" s="27"/>
      <c r="B914" s="27"/>
      <c r="C914" s="27"/>
      <c r="D914" s="29" t="s">
        <v>3396</v>
      </c>
      <c r="E914" s="30" t="s">
        <v>3397</v>
      </c>
      <c r="F914" s="42" t="s">
        <v>3398</v>
      </c>
      <c r="G914" s="32" t="s">
        <v>48</v>
      </c>
      <c r="H914" s="33" t="s">
        <v>3399</v>
      </c>
      <c r="I914" s="39" t="s">
        <v>67</v>
      </c>
      <c r="J914" s="35" t="s">
        <v>3400</v>
      </c>
      <c r="K914" s="30" t="s">
        <v>3401</v>
      </c>
    </row>
    <row r="915" customFormat="false" ht="14.25" hidden="false" customHeight="true" outlineLevel="0" collapsed="false">
      <c r="A915" s="27"/>
      <c r="B915" s="27"/>
      <c r="C915" s="27"/>
      <c r="D915" s="27"/>
      <c r="E915" s="30" t="s">
        <v>3402</v>
      </c>
      <c r="F915" s="42"/>
      <c r="G915" s="32"/>
      <c r="H915" s="33"/>
      <c r="I915" s="39"/>
      <c r="J915" s="35"/>
      <c r="K915" s="30" t="s">
        <v>3403</v>
      </c>
    </row>
    <row r="916" customFormat="false" ht="14.25" hidden="false" customHeight="true" outlineLevel="0" collapsed="false">
      <c r="A916" s="27"/>
      <c r="B916" s="27"/>
      <c r="C916" s="27"/>
      <c r="D916" s="29" t="s">
        <v>3404</v>
      </c>
      <c r="E916" s="30" t="s">
        <v>3405</v>
      </c>
      <c r="F916" s="42" t="s">
        <v>3406</v>
      </c>
      <c r="G916" s="32" t="s">
        <v>58</v>
      </c>
      <c r="H916" s="33" t="s">
        <v>3407</v>
      </c>
      <c r="I916" s="34" t="s">
        <v>40</v>
      </c>
      <c r="J916" s="35" t="s">
        <v>3408</v>
      </c>
      <c r="K916" s="30" t="s">
        <v>3409</v>
      </c>
    </row>
    <row r="917" customFormat="false" ht="14.25" hidden="false" customHeight="true" outlineLevel="0" collapsed="false">
      <c r="A917" s="27"/>
      <c r="B917" s="27"/>
      <c r="C917" s="27"/>
      <c r="D917" s="27"/>
      <c r="E917" s="30" t="s">
        <v>3410</v>
      </c>
      <c r="F917" s="42"/>
      <c r="G917" s="32"/>
      <c r="H917" s="33"/>
      <c r="I917" s="34"/>
      <c r="J917" s="35"/>
      <c r="K917" s="30" t="s">
        <v>3411</v>
      </c>
    </row>
    <row r="918" customFormat="false" ht="14.25" hidden="false" customHeight="true" outlineLevel="0" collapsed="false">
      <c r="A918" s="27"/>
      <c r="B918" s="27"/>
      <c r="C918" s="27"/>
      <c r="D918" s="29" t="s">
        <v>3412</v>
      </c>
      <c r="E918" s="30" t="s">
        <v>3413</v>
      </c>
      <c r="F918" s="42" t="s">
        <v>3414</v>
      </c>
      <c r="G918" s="32" t="s">
        <v>48</v>
      </c>
      <c r="H918" s="33" t="s">
        <v>3415</v>
      </c>
      <c r="I918" s="39" t="s">
        <v>67</v>
      </c>
      <c r="J918" s="35" t="s">
        <v>3416</v>
      </c>
      <c r="K918" s="30" t="s">
        <v>3417</v>
      </c>
    </row>
    <row r="919" customFormat="false" ht="14.25" hidden="false" customHeight="true" outlineLevel="0" collapsed="false">
      <c r="A919" s="27"/>
      <c r="B919" s="27"/>
      <c r="C919" s="27"/>
      <c r="D919" s="27"/>
      <c r="E919" s="30" t="s">
        <v>3418</v>
      </c>
      <c r="F919" s="42"/>
      <c r="G919" s="32"/>
      <c r="H919" s="33"/>
      <c r="I919" s="39"/>
      <c r="J919" s="35"/>
      <c r="K919" s="30" t="s">
        <v>3419</v>
      </c>
    </row>
    <row r="920" customFormat="false" ht="14.25" hidden="false" customHeight="true" outlineLevel="0" collapsed="false">
      <c r="A920" s="27"/>
      <c r="B920" s="27"/>
      <c r="C920" s="40" t="s">
        <v>3420</v>
      </c>
      <c r="D920" s="29" t="s">
        <v>3421</v>
      </c>
      <c r="E920" s="30" t="s">
        <v>3422</v>
      </c>
      <c r="F920" s="42" t="s">
        <v>3423</v>
      </c>
      <c r="G920" s="32" t="s">
        <v>48</v>
      </c>
      <c r="H920" s="33" t="s">
        <v>3424</v>
      </c>
      <c r="I920" s="37" t="s">
        <v>50</v>
      </c>
      <c r="J920" s="35" t="s">
        <v>3425</v>
      </c>
      <c r="K920" s="30" t="s">
        <v>3426</v>
      </c>
    </row>
    <row r="921" customFormat="false" ht="14.25" hidden="false" customHeight="true" outlineLevel="0" collapsed="false">
      <c r="A921" s="27"/>
      <c r="B921" s="27"/>
      <c r="C921" s="27"/>
      <c r="D921" s="27"/>
      <c r="E921" s="30" t="s">
        <v>3427</v>
      </c>
      <c r="F921" s="42"/>
      <c r="G921" s="32"/>
      <c r="H921" s="33"/>
      <c r="I921" s="37"/>
      <c r="J921" s="35"/>
      <c r="K921" s="30" t="s">
        <v>3428</v>
      </c>
    </row>
    <row r="922" customFormat="false" ht="14.25" hidden="false" customHeight="true" outlineLevel="0" collapsed="false">
      <c r="A922" s="27"/>
      <c r="B922" s="27"/>
      <c r="C922" s="27"/>
      <c r="D922" s="29" t="s">
        <v>3429</v>
      </c>
      <c r="E922" s="30" t="s">
        <v>3430</v>
      </c>
      <c r="F922" s="42" t="s">
        <v>3431</v>
      </c>
      <c r="G922" s="32" t="s">
        <v>38</v>
      </c>
      <c r="H922" s="33" t="s">
        <v>3432</v>
      </c>
      <c r="I922" s="37" t="s">
        <v>50</v>
      </c>
      <c r="J922" s="35" t="s">
        <v>3433</v>
      </c>
      <c r="K922" s="30" t="s">
        <v>3434</v>
      </c>
    </row>
    <row r="923" customFormat="false" ht="14.25" hidden="false" customHeight="true" outlineLevel="0" collapsed="false">
      <c r="A923" s="27"/>
      <c r="B923" s="27"/>
      <c r="C923" s="27"/>
      <c r="D923" s="27"/>
      <c r="E923" s="30" t="s">
        <v>3435</v>
      </c>
      <c r="F923" s="42"/>
      <c r="G923" s="32"/>
      <c r="H923" s="33"/>
      <c r="I923" s="37"/>
      <c r="J923" s="35"/>
      <c r="K923" s="30" t="s">
        <v>3436</v>
      </c>
    </row>
    <row r="924" customFormat="false" ht="14.25" hidden="false" customHeight="true" outlineLevel="0" collapsed="false">
      <c r="A924" s="27"/>
      <c r="B924" s="27"/>
      <c r="C924" s="27"/>
      <c r="D924" s="29" t="s">
        <v>3437</v>
      </c>
      <c r="E924" s="30" t="s">
        <v>3438</v>
      </c>
      <c r="F924" s="42" t="s">
        <v>3439</v>
      </c>
      <c r="G924" s="32" t="s">
        <v>38</v>
      </c>
      <c r="H924" s="33" t="s">
        <v>3440</v>
      </c>
      <c r="I924" s="39" t="s">
        <v>67</v>
      </c>
      <c r="J924" s="35" t="s">
        <v>3441</v>
      </c>
      <c r="K924" s="30" t="s">
        <v>3442</v>
      </c>
    </row>
    <row r="925" customFormat="false" ht="14.25" hidden="false" customHeight="true" outlineLevel="0" collapsed="false">
      <c r="A925" s="27"/>
      <c r="B925" s="27"/>
      <c r="C925" s="27"/>
      <c r="D925" s="27"/>
      <c r="E925" s="30" t="s">
        <v>3443</v>
      </c>
      <c r="F925" s="42"/>
      <c r="G925" s="32"/>
      <c r="H925" s="33"/>
      <c r="I925" s="39"/>
      <c r="J925" s="35"/>
      <c r="K925" s="30" t="s">
        <v>3444</v>
      </c>
    </row>
    <row r="926" customFormat="false" ht="14.25" hidden="false" customHeight="true" outlineLevel="0" collapsed="false">
      <c r="A926" s="27"/>
      <c r="B926" s="27"/>
      <c r="C926" s="27"/>
      <c r="D926" s="29" t="s">
        <v>3445</v>
      </c>
      <c r="E926" s="30" t="s">
        <v>3446</v>
      </c>
      <c r="F926" s="42" t="s">
        <v>3447</v>
      </c>
      <c r="G926" s="32" t="s">
        <v>38</v>
      </c>
      <c r="H926" s="33" t="s">
        <v>3448</v>
      </c>
      <c r="I926" s="34" t="s">
        <v>40</v>
      </c>
      <c r="J926" s="35" t="s">
        <v>3449</v>
      </c>
      <c r="K926" s="30" t="s">
        <v>3450</v>
      </c>
    </row>
    <row r="927" customFormat="false" ht="14.25" hidden="false" customHeight="true" outlineLevel="0" collapsed="false">
      <c r="A927" s="27"/>
      <c r="B927" s="27"/>
      <c r="C927" s="27"/>
      <c r="D927" s="27"/>
      <c r="E927" s="30" t="s">
        <v>3451</v>
      </c>
      <c r="F927" s="42"/>
      <c r="G927" s="32"/>
      <c r="H927" s="33"/>
      <c r="I927" s="34"/>
      <c r="J927" s="35"/>
      <c r="K927" s="30" t="s">
        <v>3452</v>
      </c>
    </row>
    <row r="928" customFormat="false" ht="14.25" hidden="false" customHeight="true" outlineLevel="0" collapsed="false">
      <c r="A928" s="27"/>
      <c r="B928" s="27"/>
      <c r="C928" s="27"/>
      <c r="D928" s="29" t="s">
        <v>3453</v>
      </c>
      <c r="E928" s="30" t="s">
        <v>3454</v>
      </c>
      <c r="F928" s="42" t="s">
        <v>3455</v>
      </c>
      <c r="G928" s="32" t="s">
        <v>48</v>
      </c>
      <c r="H928" s="33" t="s">
        <v>3456</v>
      </c>
      <c r="I928" s="39" t="s">
        <v>67</v>
      </c>
      <c r="J928" s="35" t="s">
        <v>3457</v>
      </c>
      <c r="K928" s="30" t="s">
        <v>3458</v>
      </c>
    </row>
    <row r="929" customFormat="false" ht="14.25" hidden="false" customHeight="true" outlineLevel="0" collapsed="false">
      <c r="A929" s="27"/>
      <c r="B929" s="27"/>
      <c r="C929" s="27"/>
      <c r="D929" s="27"/>
      <c r="E929" s="30" t="s">
        <v>3459</v>
      </c>
      <c r="F929" s="42"/>
      <c r="G929" s="32"/>
      <c r="H929" s="33"/>
      <c r="I929" s="39"/>
      <c r="J929" s="35"/>
      <c r="K929" s="30" t="s">
        <v>3436</v>
      </c>
    </row>
    <row r="930" customFormat="false" ht="14.25" hidden="false" customHeight="true" outlineLevel="0" collapsed="false">
      <c r="A930" s="27"/>
      <c r="B930" s="27"/>
      <c r="C930" s="40" t="s">
        <v>3460</v>
      </c>
      <c r="D930" s="29" t="s">
        <v>3461</v>
      </c>
      <c r="E930" s="30" t="s">
        <v>3462</v>
      </c>
      <c r="F930" s="42" t="s">
        <v>3463</v>
      </c>
      <c r="G930" s="32" t="s">
        <v>58</v>
      </c>
      <c r="H930" s="33" t="s">
        <v>3464</v>
      </c>
      <c r="I930" s="37" t="s">
        <v>50</v>
      </c>
      <c r="J930" s="35" t="s">
        <v>3465</v>
      </c>
      <c r="K930" s="30" t="s">
        <v>3466</v>
      </c>
    </row>
    <row r="931" customFormat="false" ht="14.25" hidden="false" customHeight="true" outlineLevel="0" collapsed="false">
      <c r="A931" s="27"/>
      <c r="B931" s="27"/>
      <c r="C931" s="27"/>
      <c r="D931" s="27"/>
      <c r="E931" s="30" t="s">
        <v>3467</v>
      </c>
      <c r="F931" s="42"/>
      <c r="G931" s="32"/>
      <c r="H931" s="33"/>
      <c r="I931" s="37"/>
      <c r="J931" s="35"/>
      <c r="K931" s="30" t="s">
        <v>3468</v>
      </c>
    </row>
    <row r="932" customFormat="false" ht="14.25" hidden="false" customHeight="true" outlineLevel="0" collapsed="false">
      <c r="A932" s="27"/>
      <c r="B932" s="27"/>
      <c r="C932" s="27"/>
      <c r="D932" s="29" t="s">
        <v>3469</v>
      </c>
      <c r="E932" s="30" t="s">
        <v>3470</v>
      </c>
      <c r="F932" s="42" t="s">
        <v>3471</v>
      </c>
      <c r="G932" s="32" t="s">
        <v>48</v>
      </c>
      <c r="H932" s="33" t="s">
        <v>3472</v>
      </c>
      <c r="I932" s="37" t="s">
        <v>50</v>
      </c>
      <c r="J932" s="35" t="s">
        <v>3473</v>
      </c>
      <c r="K932" s="30" t="s">
        <v>3474</v>
      </c>
    </row>
    <row r="933" customFormat="false" ht="14.25" hidden="false" customHeight="true" outlineLevel="0" collapsed="false">
      <c r="A933" s="27"/>
      <c r="B933" s="27"/>
      <c r="C933" s="27"/>
      <c r="D933" s="27"/>
      <c r="E933" s="30" t="s">
        <v>3475</v>
      </c>
      <c r="F933" s="42"/>
      <c r="G933" s="32"/>
      <c r="H933" s="33"/>
      <c r="I933" s="37"/>
      <c r="J933" s="35"/>
      <c r="K933" s="30" t="s">
        <v>2941</v>
      </c>
    </row>
    <row r="934" customFormat="false" ht="14.25" hidden="false" customHeight="true" outlineLevel="0" collapsed="false">
      <c r="A934" s="27"/>
      <c r="B934" s="27"/>
      <c r="C934" s="27"/>
      <c r="D934" s="29" t="s">
        <v>3476</v>
      </c>
      <c r="E934" s="30" t="s">
        <v>3477</v>
      </c>
      <c r="F934" s="42" t="s">
        <v>3478</v>
      </c>
      <c r="G934" s="32" t="s">
        <v>48</v>
      </c>
      <c r="H934" s="33" t="s">
        <v>3479</v>
      </c>
      <c r="I934" s="39" t="s">
        <v>67</v>
      </c>
      <c r="J934" s="35" t="s">
        <v>3480</v>
      </c>
      <c r="K934" s="30" t="s">
        <v>1527</v>
      </c>
    </row>
    <row r="935" customFormat="false" ht="14.25" hidden="false" customHeight="true" outlineLevel="0" collapsed="false">
      <c r="A935" s="27"/>
      <c r="B935" s="27"/>
      <c r="C935" s="27"/>
      <c r="D935" s="27"/>
      <c r="E935" s="30" t="s">
        <v>3481</v>
      </c>
      <c r="F935" s="42"/>
      <c r="G935" s="32"/>
      <c r="H935" s="33"/>
      <c r="I935" s="39"/>
      <c r="J935" s="35"/>
      <c r="K935" s="30" t="s">
        <v>1529</v>
      </c>
    </row>
    <row r="936" customFormat="false" ht="14.25" hidden="false" customHeight="true" outlineLevel="0" collapsed="false">
      <c r="A936" s="27"/>
      <c r="B936" s="27"/>
      <c r="C936" s="27"/>
      <c r="D936" s="29" t="s">
        <v>3482</v>
      </c>
      <c r="E936" s="30" t="s">
        <v>3483</v>
      </c>
      <c r="F936" s="42" t="s">
        <v>3484</v>
      </c>
      <c r="G936" s="32" t="s">
        <v>38</v>
      </c>
      <c r="H936" s="33" t="s">
        <v>3485</v>
      </c>
      <c r="I936" s="34" t="s">
        <v>40</v>
      </c>
      <c r="J936" s="35" t="s">
        <v>3486</v>
      </c>
      <c r="K936" s="30" t="s">
        <v>3293</v>
      </c>
    </row>
    <row r="937" customFormat="false" ht="14.25" hidden="false" customHeight="true" outlineLevel="0" collapsed="false">
      <c r="A937" s="27"/>
      <c r="B937" s="27"/>
      <c r="C937" s="27"/>
      <c r="D937" s="27"/>
      <c r="E937" s="30" t="s">
        <v>3487</v>
      </c>
      <c r="F937" s="42"/>
      <c r="G937" s="32"/>
      <c r="H937" s="33"/>
      <c r="I937" s="34"/>
      <c r="J937" s="35"/>
      <c r="K937" s="30" t="s">
        <v>3295</v>
      </c>
    </row>
    <row r="938" customFormat="false" ht="14.25" hidden="false" customHeight="true" outlineLevel="0" collapsed="false">
      <c r="A938" s="27"/>
      <c r="B938" s="27"/>
      <c r="C938" s="27"/>
      <c r="D938" s="29" t="s">
        <v>3488</v>
      </c>
      <c r="E938" s="30" t="s">
        <v>3489</v>
      </c>
      <c r="F938" s="42" t="s">
        <v>3490</v>
      </c>
      <c r="G938" s="32" t="s">
        <v>38</v>
      </c>
      <c r="H938" s="33" t="s">
        <v>1478</v>
      </c>
      <c r="I938" s="39" t="s">
        <v>67</v>
      </c>
      <c r="J938" s="35" t="s">
        <v>3491</v>
      </c>
      <c r="K938" s="30" t="s">
        <v>3492</v>
      </c>
    </row>
    <row r="939" customFormat="false" ht="14.25" hidden="false" customHeight="true" outlineLevel="0" collapsed="false">
      <c r="A939" s="27"/>
      <c r="B939" s="27"/>
      <c r="C939" s="27"/>
      <c r="D939" s="27"/>
      <c r="E939" s="30" t="s">
        <v>3493</v>
      </c>
      <c r="F939" s="42"/>
      <c r="G939" s="32"/>
      <c r="H939" s="33"/>
      <c r="I939" s="39"/>
      <c r="J939" s="35"/>
      <c r="K939" s="30" t="s">
        <v>3494</v>
      </c>
    </row>
    <row r="940" customFormat="false" ht="14.25" hidden="false" customHeight="true" outlineLevel="0" collapsed="false">
      <c r="A940" s="27"/>
      <c r="B940" s="27"/>
      <c r="C940" s="40" t="s">
        <v>3495</v>
      </c>
      <c r="D940" s="29" t="s">
        <v>3496</v>
      </c>
      <c r="E940" s="30" t="s">
        <v>3497</v>
      </c>
      <c r="F940" s="42" t="s">
        <v>3498</v>
      </c>
      <c r="G940" s="32" t="s">
        <v>38</v>
      </c>
      <c r="H940" s="33" t="s">
        <v>3499</v>
      </c>
      <c r="I940" s="37" t="s">
        <v>50</v>
      </c>
      <c r="J940" s="35" t="s">
        <v>3500</v>
      </c>
      <c r="K940" s="30" t="s">
        <v>3315</v>
      </c>
    </row>
    <row r="941" customFormat="false" ht="14.25" hidden="false" customHeight="true" outlineLevel="0" collapsed="false">
      <c r="A941" s="27"/>
      <c r="B941" s="27"/>
      <c r="C941" s="27"/>
      <c r="D941" s="27"/>
      <c r="E941" s="30" t="s">
        <v>3501</v>
      </c>
      <c r="F941" s="42"/>
      <c r="G941" s="32"/>
      <c r="H941" s="33"/>
      <c r="I941" s="37"/>
      <c r="J941" s="35"/>
      <c r="K941" s="30" t="s">
        <v>3317</v>
      </c>
    </row>
    <row r="942" customFormat="false" ht="14.25" hidden="false" customHeight="true" outlineLevel="0" collapsed="false">
      <c r="A942" s="27"/>
      <c r="B942" s="27"/>
      <c r="C942" s="27"/>
      <c r="D942" s="29" t="s">
        <v>3502</v>
      </c>
      <c r="E942" s="30" t="s">
        <v>3503</v>
      </c>
      <c r="F942" s="42" t="s">
        <v>3504</v>
      </c>
      <c r="G942" s="32" t="s">
        <v>48</v>
      </c>
      <c r="H942" s="33" t="s">
        <v>3505</v>
      </c>
      <c r="I942" s="37" t="s">
        <v>50</v>
      </c>
      <c r="J942" s="35" t="s">
        <v>3014</v>
      </c>
      <c r="K942" s="30" t="s">
        <v>2635</v>
      </c>
    </row>
    <row r="943" customFormat="false" ht="14.25" hidden="false" customHeight="true" outlineLevel="0" collapsed="false">
      <c r="A943" s="27"/>
      <c r="B943" s="27"/>
      <c r="C943" s="27"/>
      <c r="D943" s="27"/>
      <c r="E943" s="30" t="s">
        <v>3506</v>
      </c>
      <c r="F943" s="42"/>
      <c r="G943" s="32"/>
      <c r="H943" s="33"/>
      <c r="I943" s="37"/>
      <c r="J943" s="35"/>
      <c r="K943" s="30" t="s">
        <v>3010</v>
      </c>
    </row>
    <row r="944" customFormat="false" ht="14.25" hidden="false" customHeight="true" outlineLevel="0" collapsed="false">
      <c r="A944" s="27"/>
      <c r="B944" s="27"/>
      <c r="C944" s="27"/>
      <c r="D944" s="29" t="s">
        <v>3507</v>
      </c>
      <c r="E944" s="30" t="s">
        <v>3508</v>
      </c>
      <c r="F944" s="42" t="s">
        <v>3509</v>
      </c>
      <c r="G944" s="32" t="s">
        <v>58</v>
      </c>
      <c r="H944" s="33" t="s">
        <v>3510</v>
      </c>
      <c r="I944" s="39" t="s">
        <v>67</v>
      </c>
      <c r="J944" s="35" t="s">
        <v>3021</v>
      </c>
      <c r="K944" s="30" t="s">
        <v>3015</v>
      </c>
    </row>
    <row r="945" customFormat="false" ht="14.25" hidden="false" customHeight="true" outlineLevel="0" collapsed="false">
      <c r="A945" s="27"/>
      <c r="B945" s="27"/>
      <c r="C945" s="27"/>
      <c r="D945" s="27"/>
      <c r="E945" s="30" t="s">
        <v>3511</v>
      </c>
      <c r="F945" s="42"/>
      <c r="G945" s="32"/>
      <c r="H945" s="33"/>
      <c r="I945" s="39"/>
      <c r="J945" s="35"/>
      <c r="K945" s="30" t="s">
        <v>3017</v>
      </c>
    </row>
    <row r="946" customFormat="false" ht="14.25" hidden="false" customHeight="true" outlineLevel="0" collapsed="false">
      <c r="A946" s="27"/>
      <c r="B946" s="27"/>
      <c r="C946" s="27"/>
      <c r="D946" s="29" t="s">
        <v>3512</v>
      </c>
      <c r="E946" s="30" t="s">
        <v>3513</v>
      </c>
      <c r="F946" s="42" t="s">
        <v>3514</v>
      </c>
      <c r="G946" s="32" t="s">
        <v>48</v>
      </c>
      <c r="H946" s="33" t="s">
        <v>3515</v>
      </c>
      <c r="I946" s="34" t="s">
        <v>40</v>
      </c>
      <c r="J946" s="35" t="s">
        <v>3028</v>
      </c>
      <c r="K946" s="30" t="s">
        <v>3022</v>
      </c>
    </row>
    <row r="947" customFormat="false" ht="14.25" hidden="false" customHeight="true" outlineLevel="0" collapsed="false">
      <c r="A947" s="27"/>
      <c r="B947" s="27"/>
      <c r="C947" s="27"/>
      <c r="D947" s="27"/>
      <c r="E947" s="30" t="s">
        <v>3516</v>
      </c>
      <c r="F947" s="42"/>
      <c r="G947" s="32"/>
      <c r="H947" s="33"/>
      <c r="I947" s="34"/>
      <c r="J947" s="35"/>
      <c r="K947" s="30" t="s">
        <v>3024</v>
      </c>
    </row>
    <row r="948" customFormat="false" ht="14.25" hidden="false" customHeight="true" outlineLevel="0" collapsed="false">
      <c r="A948" s="27"/>
      <c r="B948" s="27"/>
      <c r="C948" s="27"/>
      <c r="D948" s="29" t="s">
        <v>3517</v>
      </c>
      <c r="E948" s="30" t="s">
        <v>3518</v>
      </c>
      <c r="F948" s="42" t="s">
        <v>3519</v>
      </c>
      <c r="G948" s="32" t="s">
        <v>48</v>
      </c>
      <c r="H948" s="33" t="s">
        <v>3520</v>
      </c>
      <c r="I948" s="39" t="s">
        <v>67</v>
      </c>
      <c r="J948" s="35" t="s">
        <v>3035</v>
      </c>
      <c r="K948" s="30" t="s">
        <v>3521</v>
      </c>
    </row>
    <row r="949" customFormat="false" ht="14.25" hidden="false" customHeight="true" outlineLevel="0" collapsed="false">
      <c r="A949" s="27"/>
      <c r="B949" s="27"/>
      <c r="C949" s="27"/>
      <c r="D949" s="27"/>
      <c r="E949" s="30" t="s">
        <v>3522</v>
      </c>
      <c r="F949" s="42"/>
      <c r="G949" s="32"/>
      <c r="H949" s="33"/>
      <c r="I949" s="39"/>
      <c r="J949" s="35"/>
      <c r="K949" s="30" t="s">
        <v>3523</v>
      </c>
    </row>
    <row r="950" customFormat="false" ht="14.25" hidden="false" customHeight="true" outlineLevel="0" collapsed="false">
      <c r="A950" s="27"/>
      <c r="B950" s="27"/>
      <c r="C950" s="29" t="s">
        <v>3524</v>
      </c>
      <c r="D950" s="29" t="s">
        <v>3525</v>
      </c>
      <c r="E950" s="30" t="s">
        <v>3526</v>
      </c>
      <c r="F950" s="42" t="s">
        <v>3527</v>
      </c>
      <c r="G950" s="32" t="s">
        <v>38</v>
      </c>
      <c r="H950" s="33" t="s">
        <v>3528</v>
      </c>
      <c r="I950" s="37" t="s">
        <v>50</v>
      </c>
      <c r="J950" s="35" t="s">
        <v>3529</v>
      </c>
      <c r="K950" s="30" t="s">
        <v>3087</v>
      </c>
    </row>
    <row r="951" customFormat="false" ht="14.25" hidden="false" customHeight="true" outlineLevel="0" collapsed="false">
      <c r="A951" s="27"/>
      <c r="B951" s="27"/>
      <c r="C951" s="27"/>
      <c r="D951" s="27"/>
      <c r="E951" s="30" t="s">
        <v>3530</v>
      </c>
      <c r="F951" s="42"/>
      <c r="G951" s="32"/>
      <c r="H951" s="33"/>
      <c r="I951" s="37"/>
      <c r="J951" s="35"/>
      <c r="K951" s="30" t="s">
        <v>3531</v>
      </c>
    </row>
    <row r="952" customFormat="false" ht="14.25" hidden="false" customHeight="true" outlineLevel="0" collapsed="false">
      <c r="A952" s="27"/>
      <c r="B952" s="27"/>
      <c r="C952" s="27"/>
      <c r="D952" s="29" t="s">
        <v>3532</v>
      </c>
      <c r="E952" s="30" t="s">
        <v>3533</v>
      </c>
      <c r="F952" s="42" t="s">
        <v>3534</v>
      </c>
      <c r="G952" s="32" t="s">
        <v>38</v>
      </c>
      <c r="H952" s="33" t="s">
        <v>3535</v>
      </c>
      <c r="I952" s="37" t="s">
        <v>50</v>
      </c>
      <c r="J952" s="35" t="s">
        <v>3536</v>
      </c>
      <c r="K952" s="30" t="s">
        <v>1527</v>
      </c>
    </row>
    <row r="953" customFormat="false" ht="14.25" hidden="false" customHeight="true" outlineLevel="0" collapsed="false">
      <c r="A953" s="27"/>
      <c r="B953" s="27"/>
      <c r="C953" s="27"/>
      <c r="D953" s="27"/>
      <c r="E953" s="30" t="s">
        <v>3537</v>
      </c>
      <c r="F953" s="42"/>
      <c r="G953" s="32"/>
      <c r="H953" s="33"/>
      <c r="I953" s="37"/>
      <c r="J953" s="35"/>
      <c r="K953" s="30" t="s">
        <v>1529</v>
      </c>
    </row>
    <row r="954" customFormat="false" ht="14.25" hidden="false" customHeight="true" outlineLevel="0" collapsed="false">
      <c r="A954" s="27"/>
      <c r="B954" s="27"/>
      <c r="C954" s="27"/>
      <c r="D954" s="29" t="s">
        <v>3538</v>
      </c>
      <c r="E954" s="30" t="s">
        <v>3539</v>
      </c>
      <c r="F954" s="42" t="s">
        <v>3540</v>
      </c>
      <c r="G954" s="32" t="s">
        <v>38</v>
      </c>
      <c r="H954" s="33" t="s">
        <v>3541</v>
      </c>
      <c r="I954" s="39" t="s">
        <v>67</v>
      </c>
      <c r="J954" s="35" t="s">
        <v>3480</v>
      </c>
      <c r="K954" s="30" t="s">
        <v>3542</v>
      </c>
    </row>
    <row r="955" customFormat="false" ht="14.25" hidden="false" customHeight="true" outlineLevel="0" collapsed="false">
      <c r="A955" s="27"/>
      <c r="B955" s="27"/>
      <c r="C955" s="27"/>
      <c r="D955" s="27"/>
      <c r="E955" s="30" t="s">
        <v>3543</v>
      </c>
      <c r="F955" s="42"/>
      <c r="G955" s="32"/>
      <c r="H955" s="33"/>
      <c r="I955" s="39"/>
      <c r="J955" s="35"/>
      <c r="K955" s="30" t="s">
        <v>3256</v>
      </c>
    </row>
    <row r="956" customFormat="false" ht="14.25" hidden="false" customHeight="true" outlineLevel="0" collapsed="false">
      <c r="A956" s="27"/>
      <c r="B956" s="27"/>
      <c r="C956" s="27"/>
      <c r="D956" s="29" t="s">
        <v>3544</v>
      </c>
      <c r="E956" s="30" t="s">
        <v>3545</v>
      </c>
      <c r="F956" s="42" t="s">
        <v>3546</v>
      </c>
      <c r="G956" s="32" t="s">
        <v>48</v>
      </c>
      <c r="H956" s="33" t="s">
        <v>3547</v>
      </c>
      <c r="I956" s="34" t="s">
        <v>40</v>
      </c>
      <c r="J956" s="35" t="s">
        <v>3548</v>
      </c>
      <c r="K956" s="30" t="s">
        <v>3549</v>
      </c>
    </row>
    <row r="957" customFormat="false" ht="14.25" hidden="false" customHeight="true" outlineLevel="0" collapsed="false">
      <c r="A957" s="27"/>
      <c r="B957" s="27"/>
      <c r="C957" s="27"/>
      <c r="D957" s="27"/>
      <c r="E957" s="30" t="s">
        <v>3550</v>
      </c>
      <c r="F957" s="42"/>
      <c r="G957" s="32"/>
      <c r="H957" s="33"/>
      <c r="I957" s="34"/>
      <c r="J957" s="35"/>
      <c r="K957" s="30" t="s">
        <v>3551</v>
      </c>
    </row>
    <row r="958" customFormat="false" ht="14.25" hidden="false" customHeight="true" outlineLevel="0" collapsed="false">
      <c r="A958" s="27"/>
      <c r="B958" s="27"/>
      <c r="C958" s="27"/>
      <c r="D958" s="29" t="s">
        <v>3552</v>
      </c>
      <c r="E958" s="30" t="s">
        <v>3553</v>
      </c>
      <c r="F958" s="42" t="s">
        <v>3554</v>
      </c>
      <c r="G958" s="32" t="s">
        <v>58</v>
      </c>
      <c r="H958" s="33" t="s">
        <v>3555</v>
      </c>
      <c r="I958" s="39" t="s">
        <v>67</v>
      </c>
      <c r="J958" s="35" t="s">
        <v>3556</v>
      </c>
      <c r="K958" s="30" t="s">
        <v>3557</v>
      </c>
    </row>
    <row r="959" customFormat="false" ht="14.25" hidden="false" customHeight="true" outlineLevel="0" collapsed="false">
      <c r="A959" s="27"/>
      <c r="B959" s="27"/>
      <c r="C959" s="27"/>
      <c r="D959" s="27"/>
      <c r="E959" s="30" t="s">
        <v>3558</v>
      </c>
      <c r="F959" s="42"/>
      <c r="G959" s="32"/>
      <c r="H959" s="33"/>
      <c r="I959" s="39"/>
      <c r="J959" s="35"/>
      <c r="K959" s="30" t="s">
        <v>3559</v>
      </c>
    </row>
    <row r="960" customFormat="false" ht="14.25" hidden="false" customHeight="true" outlineLevel="0" collapsed="false">
      <c r="A960" s="27"/>
      <c r="B960" s="27"/>
      <c r="C960" s="29" t="s">
        <v>3560</v>
      </c>
      <c r="D960" s="29" t="s">
        <v>3561</v>
      </c>
      <c r="E960" s="30" t="s">
        <v>3562</v>
      </c>
      <c r="F960" s="42" t="s">
        <v>3563</v>
      </c>
      <c r="G960" s="32" t="s">
        <v>48</v>
      </c>
      <c r="H960" s="33" t="s">
        <v>3564</v>
      </c>
      <c r="I960" s="37" t="s">
        <v>50</v>
      </c>
      <c r="J960" s="35" t="s">
        <v>3565</v>
      </c>
      <c r="K960" s="30" t="s">
        <v>3566</v>
      </c>
    </row>
    <row r="961" customFormat="false" ht="14.25" hidden="false" customHeight="true" outlineLevel="0" collapsed="false">
      <c r="A961" s="27"/>
      <c r="B961" s="27"/>
      <c r="C961" s="27"/>
      <c r="D961" s="27"/>
      <c r="E961" s="30" t="s">
        <v>3567</v>
      </c>
      <c r="F961" s="42"/>
      <c r="G961" s="32"/>
      <c r="H961" s="33"/>
      <c r="I961" s="37"/>
      <c r="J961" s="35"/>
      <c r="K961" s="30" t="s">
        <v>3568</v>
      </c>
    </row>
    <row r="962" customFormat="false" ht="14.25" hidden="false" customHeight="true" outlineLevel="0" collapsed="false">
      <c r="A962" s="27"/>
      <c r="B962" s="27"/>
      <c r="C962" s="27"/>
      <c r="D962" s="29" t="s">
        <v>3569</v>
      </c>
      <c r="E962" s="30" t="s">
        <v>3219</v>
      </c>
      <c r="F962" s="42" t="s">
        <v>3570</v>
      </c>
      <c r="G962" s="32" t="s">
        <v>48</v>
      </c>
      <c r="H962" s="33" t="s">
        <v>3571</v>
      </c>
      <c r="I962" s="37" t="s">
        <v>50</v>
      </c>
      <c r="J962" s="35" t="s">
        <v>3572</v>
      </c>
      <c r="K962" s="30" t="s">
        <v>2659</v>
      </c>
    </row>
    <row r="963" customFormat="false" ht="14.25" hidden="false" customHeight="true" outlineLevel="0" collapsed="false">
      <c r="A963" s="27"/>
      <c r="B963" s="27"/>
      <c r="C963" s="27"/>
      <c r="D963" s="27"/>
      <c r="E963" s="30" t="s">
        <v>3158</v>
      </c>
      <c r="F963" s="42"/>
      <c r="G963" s="32"/>
      <c r="H963" s="33"/>
      <c r="I963" s="37"/>
      <c r="J963" s="35"/>
      <c r="K963" s="30" t="s">
        <v>3573</v>
      </c>
    </row>
    <row r="964" customFormat="false" ht="14.25" hidden="false" customHeight="true" outlineLevel="0" collapsed="false">
      <c r="A964" s="27"/>
      <c r="B964" s="27"/>
      <c r="C964" s="27"/>
      <c r="D964" s="29" t="s">
        <v>3574</v>
      </c>
      <c r="E964" s="30" t="s">
        <v>3575</v>
      </c>
      <c r="F964" s="42" t="s">
        <v>3576</v>
      </c>
      <c r="G964" s="32" t="s">
        <v>38</v>
      </c>
      <c r="H964" s="33" t="s">
        <v>3577</v>
      </c>
      <c r="I964" s="39" t="s">
        <v>67</v>
      </c>
      <c r="J964" s="35" t="s">
        <v>3578</v>
      </c>
      <c r="K964" s="30" t="s">
        <v>3450</v>
      </c>
    </row>
    <row r="965" customFormat="false" ht="14.25" hidden="false" customHeight="true" outlineLevel="0" collapsed="false">
      <c r="A965" s="27"/>
      <c r="B965" s="27"/>
      <c r="C965" s="27"/>
      <c r="D965" s="27"/>
      <c r="E965" s="30" t="s">
        <v>3579</v>
      </c>
      <c r="F965" s="42"/>
      <c r="G965" s="32"/>
      <c r="H965" s="33"/>
      <c r="I965" s="39"/>
      <c r="J965" s="35"/>
      <c r="K965" s="30" t="s">
        <v>3452</v>
      </c>
    </row>
    <row r="966" customFormat="false" ht="14.25" hidden="false" customHeight="true" outlineLevel="0" collapsed="false">
      <c r="A966" s="27"/>
      <c r="B966" s="27"/>
      <c r="C966" s="27"/>
      <c r="D966" s="29" t="s">
        <v>3580</v>
      </c>
      <c r="E966" s="30" t="s">
        <v>3581</v>
      </c>
      <c r="F966" s="42" t="s">
        <v>3582</v>
      </c>
      <c r="G966" s="32" t="s">
        <v>38</v>
      </c>
      <c r="H966" s="33" t="s">
        <v>3583</v>
      </c>
      <c r="I966" s="34" t="s">
        <v>40</v>
      </c>
      <c r="J966" s="35" t="s">
        <v>3584</v>
      </c>
      <c r="K966" s="30" t="s">
        <v>3585</v>
      </c>
    </row>
    <row r="967" customFormat="false" ht="14.25" hidden="false" customHeight="true" outlineLevel="0" collapsed="false">
      <c r="A967" s="27"/>
      <c r="B967" s="27"/>
      <c r="C967" s="27"/>
      <c r="D967" s="27"/>
      <c r="E967" s="30" t="s">
        <v>3586</v>
      </c>
      <c r="F967" s="42"/>
      <c r="G967" s="32"/>
      <c r="H967" s="33"/>
      <c r="I967" s="34"/>
      <c r="J967" s="35"/>
      <c r="K967" s="30" t="s">
        <v>3587</v>
      </c>
    </row>
    <row r="968" customFormat="false" ht="14.25" hidden="false" customHeight="true" outlineLevel="0" collapsed="false">
      <c r="A968" s="27"/>
      <c r="B968" s="27"/>
      <c r="C968" s="27"/>
      <c r="D968" s="29" t="s">
        <v>3588</v>
      </c>
      <c r="E968" s="30" t="s">
        <v>3589</v>
      </c>
      <c r="F968" s="42" t="s">
        <v>3590</v>
      </c>
      <c r="G968" s="32" t="s">
        <v>38</v>
      </c>
      <c r="H968" s="33" t="s">
        <v>3591</v>
      </c>
      <c r="I968" s="39" t="s">
        <v>67</v>
      </c>
      <c r="J968" s="35" t="s">
        <v>3592</v>
      </c>
      <c r="K968" s="30" t="s">
        <v>3593</v>
      </c>
    </row>
    <row r="969" customFormat="false" ht="14.25" hidden="false" customHeight="true" outlineLevel="0" collapsed="false">
      <c r="A969" s="27"/>
      <c r="B969" s="27"/>
      <c r="C969" s="27"/>
      <c r="D969" s="27"/>
      <c r="E969" s="30" t="s">
        <v>3594</v>
      </c>
      <c r="F969" s="42"/>
      <c r="G969" s="32"/>
      <c r="H969" s="33"/>
      <c r="I969" s="39"/>
      <c r="J969" s="35"/>
      <c r="K969" s="30" t="s">
        <v>3595</v>
      </c>
    </row>
    <row r="970" customFormat="false" ht="14.25" hidden="false" customHeight="true" outlineLevel="0" collapsed="false">
      <c r="A970" s="27"/>
      <c r="B970" s="27"/>
      <c r="C970" s="40" t="s">
        <v>3596</v>
      </c>
      <c r="D970" s="29" t="s">
        <v>3597</v>
      </c>
      <c r="E970" s="30" t="s">
        <v>3598</v>
      </c>
      <c r="F970" s="42" t="s">
        <v>3599</v>
      </c>
      <c r="G970" s="32" t="s">
        <v>48</v>
      </c>
      <c r="H970" s="33" t="s">
        <v>3600</v>
      </c>
      <c r="I970" s="37" t="s">
        <v>50</v>
      </c>
      <c r="J970" s="35" t="s">
        <v>3601</v>
      </c>
      <c r="K970" s="30" t="s">
        <v>3602</v>
      </c>
    </row>
    <row r="971" customFormat="false" ht="14.25" hidden="false" customHeight="true" outlineLevel="0" collapsed="false">
      <c r="A971" s="27"/>
      <c r="B971" s="27"/>
      <c r="C971" s="27"/>
      <c r="D971" s="27"/>
      <c r="E971" s="30" t="s">
        <v>3603</v>
      </c>
      <c r="F971" s="42"/>
      <c r="G971" s="32"/>
      <c r="H971" s="33"/>
      <c r="I971" s="37"/>
      <c r="J971" s="35"/>
      <c r="K971" s="30" t="s">
        <v>3604</v>
      </c>
    </row>
    <row r="972" customFormat="false" ht="14.25" hidden="false" customHeight="true" outlineLevel="0" collapsed="false">
      <c r="A972" s="27"/>
      <c r="B972" s="27"/>
      <c r="C972" s="27"/>
      <c r="D972" s="29" t="s">
        <v>3605</v>
      </c>
      <c r="E972" s="30" t="s">
        <v>3606</v>
      </c>
      <c r="F972" s="42" t="s">
        <v>3607</v>
      </c>
      <c r="G972" s="32" t="s">
        <v>58</v>
      </c>
      <c r="H972" s="33" t="s">
        <v>3608</v>
      </c>
      <c r="I972" s="37" t="s">
        <v>50</v>
      </c>
      <c r="J972" s="35" t="s">
        <v>3609</v>
      </c>
      <c r="K972" s="30" t="s">
        <v>3370</v>
      </c>
    </row>
    <row r="973" customFormat="false" ht="14.25" hidden="false" customHeight="true" outlineLevel="0" collapsed="false">
      <c r="A973" s="27"/>
      <c r="B973" s="27"/>
      <c r="C973" s="27"/>
      <c r="D973" s="27"/>
      <c r="E973" s="30" t="s">
        <v>3610</v>
      </c>
      <c r="F973" s="42"/>
      <c r="G973" s="32"/>
      <c r="H973" s="33"/>
      <c r="I973" s="37"/>
      <c r="J973" s="35"/>
      <c r="K973" s="30" t="s">
        <v>3611</v>
      </c>
    </row>
    <row r="974" customFormat="false" ht="14.25" hidden="false" customHeight="true" outlineLevel="0" collapsed="false">
      <c r="A974" s="27"/>
      <c r="B974" s="27"/>
      <c r="C974" s="27"/>
      <c r="D974" s="29" t="s">
        <v>3612</v>
      </c>
      <c r="E974" s="30" t="s">
        <v>3613</v>
      </c>
      <c r="F974" s="42" t="s">
        <v>3614</v>
      </c>
      <c r="G974" s="32" t="s">
        <v>48</v>
      </c>
      <c r="H974" s="33" t="s">
        <v>3615</v>
      </c>
      <c r="I974" s="39" t="s">
        <v>67</v>
      </c>
      <c r="J974" s="35" t="s">
        <v>3616</v>
      </c>
      <c r="K974" s="30" t="s">
        <v>3617</v>
      </c>
    </row>
    <row r="975" customFormat="false" ht="14.25" hidden="false" customHeight="true" outlineLevel="0" collapsed="false">
      <c r="A975" s="27"/>
      <c r="B975" s="27"/>
      <c r="C975" s="27"/>
      <c r="D975" s="27"/>
      <c r="E975" s="30" t="s">
        <v>3618</v>
      </c>
      <c r="F975" s="42"/>
      <c r="G975" s="32"/>
      <c r="H975" s="33"/>
      <c r="I975" s="39"/>
      <c r="J975" s="35"/>
      <c r="K975" s="30" t="s">
        <v>3619</v>
      </c>
    </row>
    <row r="976" customFormat="false" ht="14.25" hidden="false" customHeight="true" outlineLevel="0" collapsed="false">
      <c r="A976" s="27"/>
      <c r="B976" s="27"/>
      <c r="C976" s="27"/>
      <c r="D976" s="29" t="s">
        <v>3620</v>
      </c>
      <c r="E976" s="30" t="s">
        <v>3621</v>
      </c>
      <c r="F976" s="42" t="s">
        <v>3622</v>
      </c>
      <c r="G976" s="32" t="s">
        <v>48</v>
      </c>
      <c r="H976" s="33" t="s">
        <v>3623</v>
      </c>
      <c r="I976" s="34" t="s">
        <v>40</v>
      </c>
      <c r="J976" s="35" t="s">
        <v>3624</v>
      </c>
      <c r="K976" s="30" t="s">
        <v>3625</v>
      </c>
    </row>
    <row r="977" customFormat="false" ht="14.25" hidden="false" customHeight="true" outlineLevel="0" collapsed="false">
      <c r="A977" s="27"/>
      <c r="B977" s="27"/>
      <c r="C977" s="27"/>
      <c r="D977" s="27"/>
      <c r="E977" s="30" t="s">
        <v>3626</v>
      </c>
      <c r="F977" s="42"/>
      <c r="G977" s="32"/>
      <c r="H977" s="33"/>
      <c r="I977" s="34"/>
      <c r="J977" s="35"/>
      <c r="K977" s="30" t="s">
        <v>3627</v>
      </c>
    </row>
    <row r="978" customFormat="false" ht="14.25" hidden="false" customHeight="true" outlineLevel="0" collapsed="false">
      <c r="A978" s="27"/>
      <c r="B978" s="27"/>
      <c r="C978" s="27"/>
      <c r="D978" s="29" t="s">
        <v>3628</v>
      </c>
      <c r="E978" s="30" t="s">
        <v>3629</v>
      </c>
      <c r="F978" s="42" t="s">
        <v>3630</v>
      </c>
      <c r="G978" s="32" t="s">
        <v>38</v>
      </c>
      <c r="H978" s="33" t="s">
        <v>3631</v>
      </c>
      <c r="I978" s="39" t="s">
        <v>67</v>
      </c>
      <c r="J978" s="35" t="s">
        <v>3632</v>
      </c>
      <c r="K978" s="30" t="s">
        <v>3633</v>
      </c>
    </row>
    <row r="979" customFormat="false" ht="14.25" hidden="false" customHeight="true" outlineLevel="0" collapsed="false">
      <c r="A979" s="27"/>
      <c r="B979" s="27"/>
      <c r="C979" s="27"/>
      <c r="D979" s="27"/>
      <c r="E979" s="30" t="s">
        <v>3634</v>
      </c>
      <c r="F979" s="42"/>
      <c r="G979" s="32"/>
      <c r="H979" s="33"/>
      <c r="I979" s="39"/>
      <c r="J979" s="35"/>
      <c r="K979" s="30" t="s">
        <v>3635</v>
      </c>
    </row>
    <row r="980" customFormat="false" ht="14.25" hidden="false" customHeight="true" outlineLevel="0" collapsed="false">
      <c r="A980" s="27"/>
      <c r="B980" s="27"/>
      <c r="C980" s="40" t="s">
        <v>3636</v>
      </c>
      <c r="D980" s="29" t="s">
        <v>3637</v>
      </c>
      <c r="E980" s="30" t="s">
        <v>3638</v>
      </c>
      <c r="F980" s="42" t="s">
        <v>3639</v>
      </c>
      <c r="G980" s="32" t="s">
        <v>38</v>
      </c>
      <c r="H980" s="33" t="s">
        <v>3640</v>
      </c>
      <c r="I980" s="37" t="s">
        <v>50</v>
      </c>
      <c r="J980" s="35" t="s">
        <v>3641</v>
      </c>
      <c r="K980" s="30" t="s">
        <v>3642</v>
      </c>
    </row>
    <row r="981" customFormat="false" ht="14.25" hidden="false" customHeight="true" outlineLevel="0" collapsed="false">
      <c r="A981" s="27"/>
      <c r="B981" s="27"/>
      <c r="C981" s="27"/>
      <c r="D981" s="27"/>
      <c r="E981" s="30" t="s">
        <v>3643</v>
      </c>
      <c r="F981" s="42"/>
      <c r="G981" s="32"/>
      <c r="H981" s="33"/>
      <c r="I981" s="37"/>
      <c r="J981" s="35"/>
      <c r="K981" s="30" t="s">
        <v>3644</v>
      </c>
    </row>
    <row r="982" customFormat="false" ht="14.25" hidden="false" customHeight="true" outlineLevel="0" collapsed="false">
      <c r="A982" s="27"/>
      <c r="B982" s="27"/>
      <c r="C982" s="27"/>
      <c r="D982" s="29" t="s">
        <v>3645</v>
      </c>
      <c r="E982" s="30" t="s">
        <v>3646</v>
      </c>
      <c r="F982" s="42" t="s">
        <v>3647</v>
      </c>
      <c r="G982" s="32" t="s">
        <v>38</v>
      </c>
      <c r="H982" s="33" t="s">
        <v>3648</v>
      </c>
      <c r="I982" s="37" t="s">
        <v>50</v>
      </c>
      <c r="J982" s="35" t="s">
        <v>3649</v>
      </c>
      <c r="K982" s="30" t="s">
        <v>3650</v>
      </c>
    </row>
    <row r="983" customFormat="false" ht="14.25" hidden="false" customHeight="true" outlineLevel="0" collapsed="false">
      <c r="A983" s="27"/>
      <c r="B983" s="27"/>
      <c r="C983" s="27"/>
      <c r="D983" s="27"/>
      <c r="E983" s="30" t="s">
        <v>3651</v>
      </c>
      <c r="F983" s="42"/>
      <c r="G983" s="32"/>
      <c r="H983" s="33"/>
      <c r="I983" s="37"/>
      <c r="J983" s="35"/>
      <c r="K983" s="30" t="s">
        <v>3652</v>
      </c>
    </row>
    <row r="984" customFormat="false" ht="14.25" hidden="false" customHeight="true" outlineLevel="0" collapsed="false">
      <c r="A984" s="27"/>
      <c r="B984" s="27"/>
      <c r="C984" s="27"/>
      <c r="D984" s="29" t="s">
        <v>3653</v>
      </c>
      <c r="E984" s="30" t="s">
        <v>3654</v>
      </c>
      <c r="F984" s="42" t="s">
        <v>3655</v>
      </c>
      <c r="G984" s="32" t="s">
        <v>48</v>
      </c>
      <c r="H984" s="33" t="s">
        <v>3656</v>
      </c>
      <c r="I984" s="39" t="s">
        <v>67</v>
      </c>
      <c r="J984" s="35" t="s">
        <v>3657</v>
      </c>
      <c r="K984" s="30" t="s">
        <v>3633</v>
      </c>
    </row>
    <row r="985" customFormat="false" ht="14.25" hidden="false" customHeight="true" outlineLevel="0" collapsed="false">
      <c r="A985" s="27"/>
      <c r="B985" s="27"/>
      <c r="C985" s="27"/>
      <c r="D985" s="27"/>
      <c r="E985" s="30" t="s">
        <v>3658</v>
      </c>
      <c r="F985" s="42"/>
      <c r="G985" s="32"/>
      <c r="H985" s="33"/>
      <c r="I985" s="39"/>
      <c r="J985" s="35"/>
      <c r="K985" s="30" t="s">
        <v>3635</v>
      </c>
    </row>
    <row r="986" customFormat="false" ht="14.25" hidden="false" customHeight="true" outlineLevel="0" collapsed="false">
      <c r="A986" s="27"/>
      <c r="B986" s="27"/>
      <c r="C986" s="27"/>
      <c r="D986" s="29" t="s">
        <v>3659</v>
      </c>
      <c r="E986" s="30" t="s">
        <v>3660</v>
      </c>
      <c r="F986" s="42" t="s">
        <v>3661</v>
      </c>
      <c r="G986" s="32" t="s">
        <v>58</v>
      </c>
      <c r="H986" s="33" t="s">
        <v>3662</v>
      </c>
      <c r="I986" s="34" t="s">
        <v>40</v>
      </c>
      <c r="J986" s="35" t="s">
        <v>3663</v>
      </c>
      <c r="K986" s="30" t="s">
        <v>3642</v>
      </c>
    </row>
    <row r="987" customFormat="false" ht="14.25" hidden="false" customHeight="true" outlineLevel="0" collapsed="false">
      <c r="A987" s="27"/>
      <c r="B987" s="27"/>
      <c r="C987" s="27"/>
      <c r="D987" s="27"/>
      <c r="E987" s="30" t="s">
        <v>3664</v>
      </c>
      <c r="F987" s="42"/>
      <c r="G987" s="32"/>
      <c r="H987" s="33"/>
      <c r="I987" s="34"/>
      <c r="J987" s="35"/>
      <c r="K987" s="30" t="s">
        <v>3644</v>
      </c>
    </row>
    <row r="988" customFormat="false" ht="14.25" hidden="false" customHeight="true" outlineLevel="0" collapsed="false">
      <c r="A988" s="27"/>
      <c r="B988" s="27"/>
      <c r="C988" s="27"/>
      <c r="D988" s="29" t="s">
        <v>3665</v>
      </c>
      <c r="E988" s="30" t="s">
        <v>3666</v>
      </c>
      <c r="F988" s="42" t="s">
        <v>3667</v>
      </c>
      <c r="G988" s="32" t="s">
        <v>48</v>
      </c>
      <c r="H988" s="33" t="s">
        <v>3668</v>
      </c>
      <c r="I988" s="39" t="s">
        <v>67</v>
      </c>
      <c r="J988" s="35" t="s">
        <v>3669</v>
      </c>
      <c r="K988" s="30" t="s">
        <v>3650</v>
      </c>
    </row>
    <row r="989" customFormat="false" ht="14.25" hidden="false" customHeight="true" outlineLevel="0" collapsed="false">
      <c r="A989" s="27"/>
      <c r="B989" s="27"/>
      <c r="C989" s="27"/>
      <c r="D989" s="27"/>
      <c r="E989" s="30" t="s">
        <v>3670</v>
      </c>
      <c r="F989" s="42"/>
      <c r="G989" s="32"/>
      <c r="H989" s="33"/>
      <c r="I989" s="39"/>
      <c r="J989" s="35"/>
      <c r="K989" s="30" t="s">
        <v>3652</v>
      </c>
    </row>
    <row r="990" customFormat="false" ht="14.25" hidden="false" customHeight="true" outlineLevel="0" collapsed="false">
      <c r="A990" s="27"/>
      <c r="B990" s="27"/>
      <c r="C990" s="40" t="s">
        <v>3671</v>
      </c>
      <c r="D990" s="29" t="s">
        <v>3672</v>
      </c>
      <c r="E990" s="30" t="s">
        <v>3673</v>
      </c>
      <c r="F990" s="42" t="s">
        <v>3674</v>
      </c>
      <c r="G990" s="32" t="s">
        <v>48</v>
      </c>
      <c r="H990" s="33" t="s">
        <v>3675</v>
      </c>
      <c r="I990" s="37" t="s">
        <v>50</v>
      </c>
      <c r="J990" s="35" t="s">
        <v>3676</v>
      </c>
      <c r="K990" s="30" t="s">
        <v>3677</v>
      </c>
    </row>
    <row r="991" customFormat="false" ht="14.25" hidden="false" customHeight="true" outlineLevel="0" collapsed="false">
      <c r="A991" s="27"/>
      <c r="B991" s="27"/>
      <c r="C991" s="27"/>
      <c r="D991" s="27"/>
      <c r="E991" s="30" t="s">
        <v>3678</v>
      </c>
      <c r="F991" s="42"/>
      <c r="G991" s="32"/>
      <c r="H991" s="33"/>
      <c r="I991" s="37"/>
      <c r="J991" s="35"/>
      <c r="K991" s="30" t="s">
        <v>3679</v>
      </c>
    </row>
    <row r="992" customFormat="false" ht="14.25" hidden="false" customHeight="true" outlineLevel="0" collapsed="false">
      <c r="A992" s="27"/>
      <c r="B992" s="27"/>
      <c r="C992" s="27"/>
      <c r="D992" s="29" t="s">
        <v>3680</v>
      </c>
      <c r="E992" s="30" t="s">
        <v>3681</v>
      </c>
      <c r="F992" s="42" t="s">
        <v>3682</v>
      </c>
      <c r="G992" s="32" t="s">
        <v>38</v>
      </c>
      <c r="H992" s="33" t="s">
        <v>3683</v>
      </c>
      <c r="I992" s="37" t="s">
        <v>50</v>
      </c>
      <c r="J992" s="35" t="s">
        <v>3684</v>
      </c>
      <c r="K992" s="30" t="s">
        <v>3450</v>
      </c>
    </row>
    <row r="993" customFormat="false" ht="14.25" hidden="false" customHeight="true" outlineLevel="0" collapsed="false">
      <c r="A993" s="27"/>
      <c r="B993" s="27"/>
      <c r="C993" s="27"/>
      <c r="D993" s="27"/>
      <c r="E993" s="30" t="s">
        <v>3685</v>
      </c>
      <c r="F993" s="42"/>
      <c r="G993" s="32"/>
      <c r="H993" s="33"/>
      <c r="I993" s="37"/>
      <c r="J993" s="35"/>
      <c r="K993" s="30" t="s">
        <v>3686</v>
      </c>
    </row>
    <row r="994" customFormat="false" ht="14.25" hidden="false" customHeight="true" outlineLevel="0" collapsed="false">
      <c r="A994" s="27"/>
      <c r="B994" s="27"/>
      <c r="C994" s="27"/>
      <c r="D994" s="29" t="s">
        <v>3687</v>
      </c>
      <c r="E994" s="30" t="s">
        <v>3688</v>
      </c>
      <c r="F994" s="42" t="s">
        <v>3689</v>
      </c>
      <c r="G994" s="32" t="s">
        <v>38</v>
      </c>
      <c r="H994" s="33" t="s">
        <v>3690</v>
      </c>
      <c r="I994" s="39" t="s">
        <v>67</v>
      </c>
      <c r="J994" s="35" t="s">
        <v>3691</v>
      </c>
      <c r="K994" s="30" t="s">
        <v>3692</v>
      </c>
    </row>
    <row r="995" customFormat="false" ht="14.25" hidden="false" customHeight="true" outlineLevel="0" collapsed="false">
      <c r="A995" s="27"/>
      <c r="B995" s="27"/>
      <c r="C995" s="27"/>
      <c r="D995" s="27"/>
      <c r="E995" s="30" t="s">
        <v>3693</v>
      </c>
      <c r="F995" s="42"/>
      <c r="G995" s="32"/>
      <c r="H995" s="33"/>
      <c r="I995" s="39"/>
      <c r="J995" s="35"/>
      <c r="K995" s="30" t="s">
        <v>3694</v>
      </c>
    </row>
    <row r="996" customFormat="false" ht="14.25" hidden="false" customHeight="true" outlineLevel="0" collapsed="false">
      <c r="A996" s="27"/>
      <c r="B996" s="27"/>
      <c r="C996" s="27"/>
      <c r="D996" s="29" t="s">
        <v>3695</v>
      </c>
      <c r="E996" s="30" t="s">
        <v>3696</v>
      </c>
      <c r="F996" s="42" t="s">
        <v>3697</v>
      </c>
      <c r="G996" s="32" t="s">
        <v>38</v>
      </c>
      <c r="H996" s="33" t="s">
        <v>3698</v>
      </c>
      <c r="I996" s="34" t="s">
        <v>40</v>
      </c>
      <c r="J996" s="35" t="s">
        <v>3699</v>
      </c>
      <c r="K996" s="30" t="s">
        <v>3700</v>
      </c>
    </row>
    <row r="997" customFormat="false" ht="14.25" hidden="false" customHeight="true" outlineLevel="0" collapsed="false">
      <c r="A997" s="27"/>
      <c r="B997" s="27"/>
      <c r="C997" s="27"/>
      <c r="D997" s="27"/>
      <c r="E997" s="30" t="s">
        <v>3701</v>
      </c>
      <c r="F997" s="42"/>
      <c r="G997" s="32"/>
      <c r="H997" s="33"/>
      <c r="I997" s="34"/>
      <c r="J997" s="35"/>
      <c r="K997" s="30" t="s">
        <v>3702</v>
      </c>
    </row>
    <row r="998" customFormat="false" ht="14.25" hidden="false" customHeight="true" outlineLevel="0" collapsed="false">
      <c r="A998" s="27"/>
      <c r="B998" s="27"/>
      <c r="C998" s="27"/>
      <c r="D998" s="29" t="s">
        <v>3703</v>
      </c>
      <c r="E998" s="30" t="s">
        <v>3704</v>
      </c>
      <c r="F998" s="42" t="s">
        <v>3705</v>
      </c>
      <c r="G998" s="32" t="s">
        <v>48</v>
      </c>
      <c r="H998" s="33" t="s">
        <v>3706</v>
      </c>
      <c r="I998" s="39" t="s">
        <v>67</v>
      </c>
      <c r="J998" s="35" t="s">
        <v>3473</v>
      </c>
      <c r="K998" s="30" t="s">
        <v>3474</v>
      </c>
    </row>
    <row r="999" customFormat="false" ht="14.25" hidden="false" customHeight="true" outlineLevel="0" collapsed="false">
      <c r="A999" s="27"/>
      <c r="B999" s="27"/>
      <c r="C999" s="27"/>
      <c r="D999" s="27"/>
      <c r="E999" s="30" t="s">
        <v>3707</v>
      </c>
      <c r="F999" s="42"/>
      <c r="G999" s="32"/>
      <c r="H999" s="33"/>
      <c r="I999" s="39"/>
      <c r="J999" s="35"/>
      <c r="K999" s="30" t="s">
        <v>2941</v>
      </c>
    </row>
    <row r="1000" customFormat="false" ht="14.25" hidden="false" customHeight="true" outlineLevel="0" collapsed="false">
      <c r="A1000" s="27"/>
      <c r="B1000" s="27"/>
      <c r="C1000" s="29" t="s">
        <v>3708</v>
      </c>
      <c r="D1000" s="29" t="s">
        <v>3709</v>
      </c>
      <c r="E1000" s="30" t="s">
        <v>3710</v>
      </c>
      <c r="F1000" s="42" t="s">
        <v>3711</v>
      </c>
      <c r="G1000" s="32" t="s">
        <v>58</v>
      </c>
      <c r="H1000" s="33" t="s">
        <v>3712</v>
      </c>
      <c r="I1000" s="37" t="s">
        <v>50</v>
      </c>
      <c r="J1000" s="35" t="s">
        <v>3500</v>
      </c>
      <c r="K1000" s="30" t="s">
        <v>2817</v>
      </c>
    </row>
    <row r="1001" customFormat="false" ht="14.25" hidden="false" customHeight="true" outlineLevel="0" collapsed="false">
      <c r="A1001" s="27"/>
      <c r="B1001" s="27"/>
      <c r="C1001" s="27"/>
      <c r="D1001" s="27"/>
      <c r="E1001" s="30" t="s">
        <v>3713</v>
      </c>
      <c r="F1001" s="42"/>
      <c r="G1001" s="32"/>
      <c r="H1001" s="33"/>
      <c r="I1001" s="37"/>
      <c r="J1001" s="35"/>
      <c r="K1001" s="30" t="s">
        <v>3263</v>
      </c>
    </row>
    <row r="1002" customFormat="false" ht="14.25" hidden="false" customHeight="true" outlineLevel="0" collapsed="false">
      <c r="A1002" s="27"/>
      <c r="B1002" s="27"/>
      <c r="C1002" s="27"/>
      <c r="D1002" s="29" t="s">
        <v>3714</v>
      </c>
      <c r="E1002" s="30" t="s">
        <v>3715</v>
      </c>
      <c r="F1002" s="42" t="s">
        <v>3716</v>
      </c>
      <c r="G1002" s="32" t="s">
        <v>48</v>
      </c>
      <c r="H1002" s="33" t="s">
        <v>3717</v>
      </c>
      <c r="I1002" s="37" t="s">
        <v>50</v>
      </c>
      <c r="J1002" s="35" t="s">
        <v>3718</v>
      </c>
      <c r="K1002" s="30" t="s">
        <v>1527</v>
      </c>
    </row>
    <row r="1003" customFormat="false" ht="14.25" hidden="false" customHeight="true" outlineLevel="0" collapsed="false">
      <c r="A1003" s="27"/>
      <c r="B1003" s="27"/>
      <c r="C1003" s="27"/>
      <c r="D1003" s="27"/>
      <c r="E1003" s="30" t="s">
        <v>3719</v>
      </c>
      <c r="F1003" s="42"/>
      <c r="G1003" s="32"/>
      <c r="H1003" s="33"/>
      <c r="I1003" s="37"/>
      <c r="J1003" s="35"/>
      <c r="K1003" s="30" t="s">
        <v>1529</v>
      </c>
    </row>
    <row r="1004" customFormat="false" ht="14.25" hidden="false" customHeight="true" outlineLevel="0" collapsed="false">
      <c r="A1004" s="27"/>
      <c r="B1004" s="27"/>
      <c r="C1004" s="27"/>
      <c r="D1004" s="29" t="s">
        <v>3720</v>
      </c>
      <c r="E1004" s="30" t="s">
        <v>3721</v>
      </c>
      <c r="F1004" s="42" t="s">
        <v>3722</v>
      </c>
      <c r="G1004" s="32" t="s">
        <v>48</v>
      </c>
      <c r="H1004" s="33" t="s">
        <v>3723</v>
      </c>
      <c r="I1004" s="39" t="s">
        <v>67</v>
      </c>
      <c r="J1004" s="35" t="s">
        <v>3480</v>
      </c>
      <c r="K1004" s="30" t="s">
        <v>3293</v>
      </c>
    </row>
    <row r="1005" customFormat="false" ht="14.25" hidden="false" customHeight="true" outlineLevel="0" collapsed="false">
      <c r="A1005" s="27"/>
      <c r="B1005" s="27"/>
      <c r="C1005" s="27"/>
      <c r="D1005" s="27"/>
      <c r="E1005" s="30" t="s">
        <v>3219</v>
      </c>
      <c r="F1005" s="42"/>
      <c r="G1005" s="32"/>
      <c r="H1005" s="33"/>
      <c r="I1005" s="39"/>
      <c r="J1005" s="35"/>
      <c r="K1005" s="30" t="s">
        <v>3295</v>
      </c>
    </row>
    <row r="1006" customFormat="false" ht="14.25" hidden="false" customHeight="true" outlineLevel="0" collapsed="false">
      <c r="A1006" s="27"/>
      <c r="B1006" s="27"/>
      <c r="C1006" s="27"/>
      <c r="D1006" s="29" t="s">
        <v>3724</v>
      </c>
      <c r="E1006" s="30" t="s">
        <v>3725</v>
      </c>
      <c r="F1006" s="42" t="s">
        <v>3726</v>
      </c>
      <c r="G1006" s="32" t="s">
        <v>38</v>
      </c>
      <c r="H1006" s="33" t="s">
        <v>3505</v>
      </c>
      <c r="I1006" s="34" t="s">
        <v>40</v>
      </c>
      <c r="J1006" s="35" t="s">
        <v>3486</v>
      </c>
      <c r="K1006" s="30" t="s">
        <v>3727</v>
      </c>
    </row>
    <row r="1007" customFormat="false" ht="14.25" hidden="false" customHeight="true" outlineLevel="0" collapsed="false">
      <c r="A1007" s="27"/>
      <c r="B1007" s="27"/>
      <c r="C1007" s="27"/>
      <c r="D1007" s="27"/>
      <c r="E1007" s="30" t="s">
        <v>3728</v>
      </c>
      <c r="F1007" s="42"/>
      <c r="G1007" s="32"/>
      <c r="H1007" s="33"/>
      <c r="I1007" s="34"/>
      <c r="J1007" s="35"/>
      <c r="K1007" s="30" t="s">
        <v>3729</v>
      </c>
    </row>
    <row r="1008" customFormat="false" ht="14.25" hidden="false" customHeight="true" outlineLevel="0" collapsed="false">
      <c r="A1008" s="27"/>
      <c r="B1008" s="27"/>
      <c r="C1008" s="27"/>
      <c r="D1008" s="29" t="s">
        <v>3730</v>
      </c>
      <c r="E1008" s="30" t="s">
        <v>3731</v>
      </c>
      <c r="F1008" s="42" t="s">
        <v>3732</v>
      </c>
      <c r="G1008" s="32" t="s">
        <v>38</v>
      </c>
      <c r="H1008" s="33" t="s">
        <v>3733</v>
      </c>
      <c r="I1008" s="39" t="s">
        <v>67</v>
      </c>
      <c r="J1008" s="35" t="s">
        <v>3734</v>
      </c>
      <c r="K1008" s="30" t="s">
        <v>3735</v>
      </c>
    </row>
    <row r="1009" customFormat="false" ht="14.25" hidden="false" customHeight="true" outlineLevel="0" collapsed="false">
      <c r="A1009" s="27"/>
      <c r="B1009" s="27"/>
      <c r="C1009" s="27"/>
      <c r="D1009" s="27"/>
      <c r="E1009" s="30" t="s">
        <v>3736</v>
      </c>
      <c r="F1009" s="42"/>
      <c r="G1009" s="32"/>
      <c r="H1009" s="33"/>
      <c r="I1009" s="39"/>
      <c r="J1009" s="35"/>
      <c r="K1009" s="30" t="s">
        <v>3737</v>
      </c>
    </row>
    <row r="1010" customFormat="false" ht="14.25" hidden="false" customHeight="true" outlineLevel="0" collapsed="false">
      <c r="A1010" s="27"/>
      <c r="B1010" s="27"/>
      <c r="C1010" s="40" t="s">
        <v>3738</v>
      </c>
      <c r="D1010" s="29" t="s">
        <v>3739</v>
      </c>
      <c r="E1010" s="30" t="s">
        <v>3740</v>
      </c>
      <c r="F1010" s="42" t="s">
        <v>3741</v>
      </c>
      <c r="G1010" s="32" t="s">
        <v>38</v>
      </c>
      <c r="H1010" s="33" t="s">
        <v>3742</v>
      </c>
      <c r="I1010" s="37" t="s">
        <v>50</v>
      </c>
      <c r="J1010" s="35" t="s">
        <v>3743</v>
      </c>
      <c r="K1010" s="30" t="s">
        <v>3566</v>
      </c>
    </row>
    <row r="1011" customFormat="false" ht="14.25" hidden="false" customHeight="true" outlineLevel="0" collapsed="false">
      <c r="A1011" s="27"/>
      <c r="B1011" s="27"/>
      <c r="C1011" s="27"/>
      <c r="D1011" s="27"/>
      <c r="E1011" s="30" t="s">
        <v>3744</v>
      </c>
      <c r="F1011" s="42"/>
      <c r="G1011" s="32"/>
      <c r="H1011" s="33"/>
      <c r="I1011" s="37"/>
      <c r="J1011" s="35"/>
      <c r="K1011" s="30" t="s">
        <v>3568</v>
      </c>
    </row>
    <row r="1012" customFormat="false" ht="14.25" hidden="false" customHeight="true" outlineLevel="0" collapsed="false">
      <c r="A1012" s="27"/>
      <c r="B1012" s="27"/>
      <c r="C1012" s="27"/>
      <c r="D1012" s="29" t="s">
        <v>3745</v>
      </c>
      <c r="E1012" s="30" t="s">
        <v>3567</v>
      </c>
      <c r="F1012" s="42" t="s">
        <v>3746</v>
      </c>
      <c r="G1012" s="32" t="s">
        <v>48</v>
      </c>
      <c r="H1012" s="33" t="s">
        <v>3747</v>
      </c>
      <c r="I1012" s="37" t="s">
        <v>50</v>
      </c>
      <c r="J1012" s="35" t="s">
        <v>3748</v>
      </c>
      <c r="K1012" s="30" t="s">
        <v>3749</v>
      </c>
    </row>
    <row r="1013" customFormat="false" ht="14.25" hidden="false" customHeight="true" outlineLevel="0" collapsed="false">
      <c r="A1013" s="27"/>
      <c r="B1013" s="27"/>
      <c r="C1013" s="27"/>
      <c r="D1013" s="27"/>
      <c r="E1013" s="30" t="s">
        <v>3750</v>
      </c>
      <c r="F1013" s="42"/>
      <c r="G1013" s="32"/>
      <c r="H1013" s="33"/>
      <c r="I1013" s="37"/>
      <c r="J1013" s="35"/>
      <c r="K1013" s="30" t="s">
        <v>3751</v>
      </c>
    </row>
    <row r="1014" customFormat="false" ht="14.25" hidden="false" customHeight="true" outlineLevel="0" collapsed="false">
      <c r="A1014" s="27"/>
      <c r="B1014" s="27"/>
      <c r="C1014" s="27"/>
      <c r="D1014" s="29" t="s">
        <v>3752</v>
      </c>
      <c r="E1014" s="30" t="s">
        <v>3753</v>
      </c>
      <c r="F1014" s="42" t="s">
        <v>3754</v>
      </c>
      <c r="G1014" s="32" t="s">
        <v>58</v>
      </c>
      <c r="H1014" s="33" t="s">
        <v>3755</v>
      </c>
      <c r="I1014" s="39" t="s">
        <v>67</v>
      </c>
      <c r="J1014" s="35" t="s">
        <v>3756</v>
      </c>
      <c r="K1014" s="30" t="s">
        <v>3757</v>
      </c>
    </row>
    <row r="1015" customFormat="false" ht="14.25" hidden="false" customHeight="true" outlineLevel="0" collapsed="false">
      <c r="A1015" s="27"/>
      <c r="B1015" s="27"/>
      <c r="C1015" s="27"/>
      <c r="D1015" s="27"/>
      <c r="E1015" s="30" t="s">
        <v>3758</v>
      </c>
      <c r="F1015" s="42"/>
      <c r="G1015" s="32"/>
      <c r="H1015" s="33"/>
      <c r="I1015" s="39"/>
      <c r="J1015" s="35"/>
      <c r="K1015" s="30" t="s">
        <v>3759</v>
      </c>
    </row>
    <row r="1016" customFormat="false" ht="14.25" hidden="false" customHeight="true" outlineLevel="0" collapsed="false">
      <c r="A1016" s="27"/>
      <c r="B1016" s="27"/>
      <c r="C1016" s="27"/>
      <c r="D1016" s="29" t="s">
        <v>3760</v>
      </c>
      <c r="E1016" s="30" t="s">
        <v>3575</v>
      </c>
      <c r="F1016" s="42" t="s">
        <v>3761</v>
      </c>
      <c r="G1016" s="32" t="s">
        <v>48</v>
      </c>
      <c r="H1016" s="33" t="s">
        <v>3762</v>
      </c>
      <c r="I1016" s="34" t="s">
        <v>40</v>
      </c>
      <c r="J1016" s="35" t="s">
        <v>3763</v>
      </c>
      <c r="K1016" s="30" t="s">
        <v>3764</v>
      </c>
    </row>
    <row r="1017" customFormat="false" ht="14.25" hidden="false" customHeight="true" outlineLevel="0" collapsed="false">
      <c r="A1017" s="27"/>
      <c r="B1017" s="27"/>
      <c r="C1017" s="27"/>
      <c r="D1017" s="27"/>
      <c r="E1017" s="30" t="s">
        <v>3765</v>
      </c>
      <c r="F1017" s="42"/>
      <c r="G1017" s="32"/>
      <c r="H1017" s="33"/>
      <c r="I1017" s="34"/>
      <c r="J1017" s="35"/>
      <c r="K1017" s="30" t="s">
        <v>3766</v>
      </c>
    </row>
    <row r="1018" customFormat="false" ht="14.25" hidden="false" customHeight="true" outlineLevel="0" collapsed="false">
      <c r="A1018" s="27"/>
      <c r="B1018" s="27"/>
      <c r="C1018" s="27"/>
      <c r="D1018" s="29" t="s">
        <v>3767</v>
      </c>
      <c r="E1018" s="30" t="s">
        <v>3768</v>
      </c>
      <c r="F1018" s="31" t="s">
        <v>3769</v>
      </c>
      <c r="G1018" s="32" t="s">
        <v>48</v>
      </c>
      <c r="H1018" s="35" t="s">
        <v>3770</v>
      </c>
      <c r="I1018" s="37" t="s">
        <v>50</v>
      </c>
      <c r="J1018" s="35" t="s">
        <v>3771</v>
      </c>
      <c r="K1018" s="30" t="s">
        <v>3772</v>
      </c>
    </row>
    <row r="1019" customFormat="false" ht="14.25" hidden="false" customHeight="true" outlineLevel="0" collapsed="false">
      <c r="A1019" s="27"/>
      <c r="B1019" s="27"/>
      <c r="C1019" s="27"/>
      <c r="D1019" s="27"/>
      <c r="E1019" s="30" t="s">
        <v>3773</v>
      </c>
      <c r="F1019" s="31"/>
      <c r="G1019" s="32"/>
      <c r="H1019" s="35"/>
      <c r="I1019" s="37"/>
      <c r="J1019" s="35"/>
      <c r="K1019" s="30" t="s">
        <v>3774</v>
      </c>
    </row>
    <row r="1020" customFormat="false" ht="14.25" hidden="false" customHeight="true" outlineLevel="0" collapsed="false">
      <c r="A1020" s="44"/>
      <c r="B1020" s="44"/>
      <c r="C1020" s="44"/>
      <c r="D1020" s="44"/>
      <c r="E1020" s="44"/>
      <c r="F1020" s="44"/>
      <c r="G1020" s="44"/>
      <c r="H1020" s="44"/>
      <c r="I1020" s="44"/>
      <c r="J1020" s="44"/>
      <c r="K1020" s="44"/>
    </row>
    <row r="1021" customFormat="false" ht="14.25" hidden="false" customHeight="true" outlineLevel="0" collapsed="false">
      <c r="A1021" s="44"/>
      <c r="B1021" s="44"/>
      <c r="C1021" s="44"/>
      <c r="D1021" s="44"/>
      <c r="E1021" s="44"/>
      <c r="F1021" s="44"/>
      <c r="G1021" s="44"/>
      <c r="H1021" s="44"/>
      <c r="I1021" s="44"/>
      <c r="J1021" s="44"/>
      <c r="K1021" s="44"/>
    </row>
    <row r="1022" customFormat="false" ht="14.25" hidden="false" customHeight="true" outlineLevel="0" collapsed="false">
      <c r="A1022" s="44"/>
      <c r="B1022" s="44"/>
      <c r="C1022" s="44"/>
      <c r="D1022" s="44"/>
      <c r="E1022" s="44"/>
      <c r="F1022" s="44"/>
      <c r="G1022" s="44"/>
      <c r="H1022" s="44"/>
      <c r="I1022" s="44"/>
      <c r="J1022" s="44"/>
      <c r="K1022" s="44"/>
    </row>
    <row r="1023" customFormat="false" ht="14.25" hidden="false" customHeight="true" outlineLevel="0" collapsed="false">
      <c r="A1023" s="44"/>
      <c r="B1023" s="44"/>
      <c r="C1023" s="44"/>
      <c r="D1023" s="44"/>
      <c r="E1023" s="44"/>
      <c r="F1023" s="44"/>
      <c r="G1023" s="44"/>
      <c r="H1023" s="44"/>
      <c r="I1023" s="44"/>
      <c r="J1023" s="44"/>
      <c r="K1023" s="44"/>
    </row>
    <row r="1024" customFormat="false" ht="14.25" hidden="false" customHeight="true" outlineLevel="0" collapsed="false">
      <c r="A1024" s="44"/>
      <c r="B1024" s="44"/>
      <c r="C1024" s="44"/>
      <c r="D1024" s="44"/>
      <c r="E1024" s="44"/>
      <c r="F1024" s="44"/>
      <c r="G1024" s="44"/>
      <c r="H1024" s="44"/>
      <c r="I1024" s="44"/>
      <c r="J1024" s="44"/>
      <c r="K1024" s="44"/>
    </row>
    <row r="1025" customFormat="false" ht="14.25" hidden="false" customHeight="true" outlineLevel="0" collapsed="false">
      <c r="A1025" s="44"/>
      <c r="B1025" s="44"/>
      <c r="C1025" s="44"/>
      <c r="D1025" s="44"/>
      <c r="E1025" s="44"/>
      <c r="F1025" s="44"/>
      <c r="G1025" s="44"/>
      <c r="H1025" s="44"/>
      <c r="I1025" s="44"/>
      <c r="J1025" s="44"/>
      <c r="K1025" s="44"/>
    </row>
    <row r="1026" customFormat="false" ht="14.25" hidden="false" customHeight="true" outlineLevel="0" collapsed="false">
      <c r="A1026" s="44"/>
      <c r="B1026" s="44"/>
      <c r="C1026" s="44"/>
      <c r="D1026" s="44"/>
      <c r="E1026" s="44"/>
      <c r="F1026" s="44"/>
      <c r="G1026" s="44"/>
      <c r="H1026" s="44"/>
      <c r="I1026" s="44"/>
      <c r="J1026" s="44"/>
      <c r="K1026" s="44"/>
    </row>
    <row r="1027" customFormat="false" ht="14.25" hidden="false" customHeight="true" outlineLevel="0" collapsed="false">
      <c r="A1027" s="44"/>
      <c r="B1027" s="44"/>
      <c r="C1027" s="44"/>
      <c r="D1027" s="44"/>
      <c r="E1027" s="44"/>
      <c r="F1027" s="44"/>
      <c r="G1027" s="44"/>
      <c r="H1027" s="44"/>
      <c r="I1027" s="44"/>
      <c r="J1027" s="44"/>
      <c r="K1027" s="44"/>
    </row>
    <row r="1028" customFormat="false" ht="14.25" hidden="false" customHeight="true" outlineLevel="0" collapsed="false">
      <c r="A1028" s="44"/>
      <c r="B1028" s="44"/>
      <c r="C1028" s="44"/>
      <c r="D1028" s="44"/>
      <c r="E1028" s="44"/>
      <c r="F1028" s="44"/>
      <c r="G1028" s="44"/>
      <c r="H1028" s="44"/>
      <c r="I1028" s="44"/>
      <c r="J1028" s="44"/>
      <c r="K1028" s="44"/>
    </row>
    <row r="1029" customFormat="false" ht="14.25" hidden="false" customHeight="true" outlineLevel="0" collapsed="false">
      <c r="A1029" s="44"/>
      <c r="B1029" s="44"/>
      <c r="C1029" s="44"/>
      <c r="D1029" s="44"/>
      <c r="E1029" s="44"/>
      <c r="F1029" s="44"/>
      <c r="G1029" s="44"/>
      <c r="H1029" s="44"/>
      <c r="I1029" s="44"/>
      <c r="J1029" s="44"/>
      <c r="K1029" s="44"/>
    </row>
    <row r="1030" customFormat="false" ht="14.25" hidden="false" customHeight="true" outlineLevel="0" collapsed="false">
      <c r="A1030" s="44"/>
      <c r="B1030" s="44"/>
      <c r="C1030" s="44"/>
      <c r="D1030" s="44"/>
      <c r="E1030" s="44"/>
      <c r="F1030" s="44"/>
      <c r="G1030" s="44"/>
      <c r="H1030" s="44"/>
      <c r="I1030" s="44"/>
      <c r="J1030" s="44"/>
      <c r="K1030" s="44"/>
    </row>
    <row r="1031" customFormat="false" ht="14.25" hidden="false" customHeight="true" outlineLevel="0" collapsed="false">
      <c r="A1031" s="44"/>
      <c r="B1031" s="44"/>
      <c r="C1031" s="44"/>
      <c r="D1031" s="44"/>
      <c r="E1031" s="44"/>
      <c r="F1031" s="44"/>
      <c r="G1031" s="44"/>
      <c r="H1031" s="44"/>
      <c r="I1031" s="44"/>
      <c r="J1031" s="44"/>
      <c r="K1031" s="44"/>
    </row>
  </sheetData>
  <mergeCells count="3162">
    <mergeCell ref="A2:A1019"/>
    <mergeCell ref="B2:B109"/>
    <mergeCell ref="C2:C11"/>
    <mergeCell ref="D2:D3"/>
    <mergeCell ref="F2:F3"/>
    <mergeCell ref="G2:G3"/>
    <mergeCell ref="H2:H3"/>
    <mergeCell ref="I2:I3"/>
    <mergeCell ref="J2:J3"/>
    <mergeCell ref="D4:D5"/>
    <mergeCell ref="F4:F5"/>
    <mergeCell ref="G4:G5"/>
    <mergeCell ref="H4:H5"/>
    <mergeCell ref="I4:I5"/>
    <mergeCell ref="J4:J5"/>
    <mergeCell ref="D6:D7"/>
    <mergeCell ref="F6:F7"/>
    <mergeCell ref="G6:G7"/>
    <mergeCell ref="H6:H7"/>
    <mergeCell ref="I6:I7"/>
    <mergeCell ref="J6:J7"/>
    <mergeCell ref="D8:D9"/>
    <mergeCell ref="F8:F9"/>
    <mergeCell ref="G8:G9"/>
    <mergeCell ref="H8:H9"/>
    <mergeCell ref="I8:I9"/>
    <mergeCell ref="J8:J9"/>
    <mergeCell ref="D10:D11"/>
    <mergeCell ref="F10:F11"/>
    <mergeCell ref="G10:G11"/>
    <mergeCell ref="H10:H11"/>
    <mergeCell ref="I10:I11"/>
    <mergeCell ref="J10:J11"/>
    <mergeCell ref="C12:C25"/>
    <mergeCell ref="D12:D13"/>
    <mergeCell ref="F12:F13"/>
    <mergeCell ref="G12:G13"/>
    <mergeCell ref="H12:H13"/>
    <mergeCell ref="I12:I13"/>
    <mergeCell ref="J12:J13"/>
    <mergeCell ref="D14:D15"/>
    <mergeCell ref="F14:F15"/>
    <mergeCell ref="G14:G15"/>
    <mergeCell ref="H14:H15"/>
    <mergeCell ref="I14:I15"/>
    <mergeCell ref="J14:J15"/>
    <mergeCell ref="D16:D17"/>
    <mergeCell ref="F16:F17"/>
    <mergeCell ref="G16:G17"/>
    <mergeCell ref="H16:H17"/>
    <mergeCell ref="I16:I17"/>
    <mergeCell ref="J16:J17"/>
    <mergeCell ref="D18:D19"/>
    <mergeCell ref="F18:F19"/>
    <mergeCell ref="G18:G19"/>
    <mergeCell ref="H18:H19"/>
    <mergeCell ref="I18:I19"/>
    <mergeCell ref="J18:J19"/>
    <mergeCell ref="D20:D21"/>
    <mergeCell ref="F20:F21"/>
    <mergeCell ref="G20:G21"/>
    <mergeCell ref="H20:H21"/>
    <mergeCell ref="I20:I21"/>
    <mergeCell ref="J20:J21"/>
    <mergeCell ref="D22:D23"/>
    <mergeCell ref="F22:F23"/>
    <mergeCell ref="G22:G23"/>
    <mergeCell ref="H22:H23"/>
    <mergeCell ref="I22:I23"/>
    <mergeCell ref="J22:J23"/>
    <mergeCell ref="D24:D25"/>
    <mergeCell ref="F24:F25"/>
    <mergeCell ref="G24:G25"/>
    <mergeCell ref="H24:H25"/>
    <mergeCell ref="I24:I25"/>
    <mergeCell ref="J24:J25"/>
    <mergeCell ref="C26:C35"/>
    <mergeCell ref="D26:D27"/>
    <mergeCell ref="F26:F27"/>
    <mergeCell ref="G26:G27"/>
    <mergeCell ref="H26:H27"/>
    <mergeCell ref="I26:I27"/>
    <mergeCell ref="J26:J27"/>
    <mergeCell ref="D28:D29"/>
    <mergeCell ref="F28:F29"/>
    <mergeCell ref="G28:G29"/>
    <mergeCell ref="H28:H29"/>
    <mergeCell ref="I28:I29"/>
    <mergeCell ref="J28:J29"/>
    <mergeCell ref="D30:D31"/>
    <mergeCell ref="F30:F31"/>
    <mergeCell ref="G30:G31"/>
    <mergeCell ref="H30:H31"/>
    <mergeCell ref="I30:I31"/>
    <mergeCell ref="J30:J31"/>
    <mergeCell ref="D32:D33"/>
    <mergeCell ref="F32:F33"/>
    <mergeCell ref="G32:G33"/>
    <mergeCell ref="H32:H33"/>
    <mergeCell ref="I32:I33"/>
    <mergeCell ref="J32:J33"/>
    <mergeCell ref="D34:D35"/>
    <mergeCell ref="F34:F35"/>
    <mergeCell ref="G34:G35"/>
    <mergeCell ref="H34:H35"/>
    <mergeCell ref="I34:I35"/>
    <mergeCell ref="J34:J35"/>
    <mergeCell ref="C36:C45"/>
    <mergeCell ref="D36:D37"/>
    <mergeCell ref="F36:F37"/>
    <mergeCell ref="G36:G37"/>
    <mergeCell ref="H36:H37"/>
    <mergeCell ref="I36:I37"/>
    <mergeCell ref="J36:J37"/>
    <mergeCell ref="D38:D39"/>
    <mergeCell ref="F38:F39"/>
    <mergeCell ref="G38:G39"/>
    <mergeCell ref="H38:H39"/>
    <mergeCell ref="I38:I39"/>
    <mergeCell ref="J38:J39"/>
    <mergeCell ref="D40:D41"/>
    <mergeCell ref="F40:F41"/>
    <mergeCell ref="G40:G41"/>
    <mergeCell ref="H40:H41"/>
    <mergeCell ref="I40:I41"/>
    <mergeCell ref="J40:J41"/>
    <mergeCell ref="D42:D43"/>
    <mergeCell ref="F42:F43"/>
    <mergeCell ref="G42:G43"/>
    <mergeCell ref="H42:H43"/>
    <mergeCell ref="I42:I43"/>
    <mergeCell ref="J42:J43"/>
    <mergeCell ref="D44:D45"/>
    <mergeCell ref="F44:F45"/>
    <mergeCell ref="G44:G45"/>
    <mergeCell ref="H44:H45"/>
    <mergeCell ref="I44:I45"/>
    <mergeCell ref="J44:J45"/>
    <mergeCell ref="C46:C55"/>
    <mergeCell ref="D46:D47"/>
    <mergeCell ref="F46:F47"/>
    <mergeCell ref="G46:G47"/>
    <mergeCell ref="H46:H47"/>
    <mergeCell ref="I46:I47"/>
    <mergeCell ref="J46:J47"/>
    <mergeCell ref="D48:D49"/>
    <mergeCell ref="F48:F49"/>
    <mergeCell ref="G48:G49"/>
    <mergeCell ref="H48:H49"/>
    <mergeCell ref="I48:I49"/>
    <mergeCell ref="J48:J49"/>
    <mergeCell ref="D50:D51"/>
    <mergeCell ref="F50:F51"/>
    <mergeCell ref="G50:G51"/>
    <mergeCell ref="H50:H51"/>
    <mergeCell ref="I50:I51"/>
    <mergeCell ref="J50:J51"/>
    <mergeCell ref="D52:D53"/>
    <mergeCell ref="F52:F53"/>
    <mergeCell ref="G52:G53"/>
    <mergeCell ref="H52:H53"/>
    <mergeCell ref="I52:I53"/>
    <mergeCell ref="J52:J53"/>
    <mergeCell ref="D54:D55"/>
    <mergeCell ref="F54:F55"/>
    <mergeCell ref="G54:G55"/>
    <mergeCell ref="H54:H55"/>
    <mergeCell ref="I54:I55"/>
    <mergeCell ref="J54:J55"/>
    <mergeCell ref="C56:C65"/>
    <mergeCell ref="D56:D57"/>
    <mergeCell ref="F56:F57"/>
    <mergeCell ref="G56:G57"/>
    <mergeCell ref="H56:H57"/>
    <mergeCell ref="I56:I57"/>
    <mergeCell ref="J56:J57"/>
    <mergeCell ref="D58:D59"/>
    <mergeCell ref="F58:F59"/>
    <mergeCell ref="G58:G59"/>
    <mergeCell ref="H58:H59"/>
    <mergeCell ref="I58:I59"/>
    <mergeCell ref="J58:J59"/>
    <mergeCell ref="D60:D61"/>
    <mergeCell ref="F60:F61"/>
    <mergeCell ref="G60:G61"/>
    <mergeCell ref="H60:H61"/>
    <mergeCell ref="I60:I61"/>
    <mergeCell ref="J60:J61"/>
    <mergeCell ref="D62:D63"/>
    <mergeCell ref="F62:F63"/>
    <mergeCell ref="G62:G63"/>
    <mergeCell ref="H62:H63"/>
    <mergeCell ref="I62:I63"/>
    <mergeCell ref="J62:J63"/>
    <mergeCell ref="D64:D65"/>
    <mergeCell ref="F64:F65"/>
    <mergeCell ref="G64:G65"/>
    <mergeCell ref="H64:H65"/>
    <mergeCell ref="I64:I65"/>
    <mergeCell ref="J64:J65"/>
    <mergeCell ref="C66:C77"/>
    <mergeCell ref="D66:D67"/>
    <mergeCell ref="F66:F67"/>
    <mergeCell ref="G66:G67"/>
    <mergeCell ref="H66:H67"/>
    <mergeCell ref="I66:I67"/>
    <mergeCell ref="J66:J67"/>
    <mergeCell ref="D68:D69"/>
    <mergeCell ref="F68:F69"/>
    <mergeCell ref="G68:G69"/>
    <mergeCell ref="H68:H69"/>
    <mergeCell ref="I68:I69"/>
    <mergeCell ref="J68:J69"/>
    <mergeCell ref="D70:D71"/>
    <mergeCell ref="F70:F71"/>
    <mergeCell ref="G70:G71"/>
    <mergeCell ref="H70:H71"/>
    <mergeCell ref="I70:I71"/>
    <mergeCell ref="J70:J71"/>
    <mergeCell ref="D72:D73"/>
    <mergeCell ref="F72:F73"/>
    <mergeCell ref="G72:G73"/>
    <mergeCell ref="H72:H73"/>
    <mergeCell ref="I72:I73"/>
    <mergeCell ref="J72:J73"/>
    <mergeCell ref="D74:D75"/>
    <mergeCell ref="F74:F75"/>
    <mergeCell ref="G74:G75"/>
    <mergeCell ref="H74:H75"/>
    <mergeCell ref="I74:I75"/>
    <mergeCell ref="J74:J75"/>
    <mergeCell ref="D76:D77"/>
    <mergeCell ref="F76:F77"/>
    <mergeCell ref="G76:G77"/>
    <mergeCell ref="H76:H77"/>
    <mergeCell ref="I76:I77"/>
    <mergeCell ref="J76:J77"/>
    <mergeCell ref="C78:C87"/>
    <mergeCell ref="D78:D79"/>
    <mergeCell ref="F78:F79"/>
    <mergeCell ref="G78:G79"/>
    <mergeCell ref="H78:H79"/>
    <mergeCell ref="I78:I79"/>
    <mergeCell ref="J78:J79"/>
    <mergeCell ref="D80:D81"/>
    <mergeCell ref="F80:F81"/>
    <mergeCell ref="G80:G81"/>
    <mergeCell ref="H80:H81"/>
    <mergeCell ref="I80:I81"/>
    <mergeCell ref="J80:J81"/>
    <mergeCell ref="D82:D83"/>
    <mergeCell ref="F82:F83"/>
    <mergeCell ref="G82:G83"/>
    <mergeCell ref="H82:H83"/>
    <mergeCell ref="I82:I83"/>
    <mergeCell ref="J82:J83"/>
    <mergeCell ref="D84:D85"/>
    <mergeCell ref="F84:F85"/>
    <mergeCell ref="G84:G85"/>
    <mergeCell ref="H84:H85"/>
    <mergeCell ref="I84:I85"/>
    <mergeCell ref="J84:J85"/>
    <mergeCell ref="D86:D87"/>
    <mergeCell ref="F86:F87"/>
    <mergeCell ref="G86:G87"/>
    <mergeCell ref="H86:H87"/>
    <mergeCell ref="I86:I87"/>
    <mergeCell ref="J86:J87"/>
    <mergeCell ref="C88:C97"/>
    <mergeCell ref="D88:D89"/>
    <mergeCell ref="F88:F89"/>
    <mergeCell ref="G88:G89"/>
    <mergeCell ref="H88:H89"/>
    <mergeCell ref="I88:I89"/>
    <mergeCell ref="J88:J89"/>
    <mergeCell ref="D90:D91"/>
    <mergeCell ref="F90:F91"/>
    <mergeCell ref="G90:G91"/>
    <mergeCell ref="H90:H91"/>
    <mergeCell ref="I90:I91"/>
    <mergeCell ref="J90:J91"/>
    <mergeCell ref="D92:D93"/>
    <mergeCell ref="F92:F93"/>
    <mergeCell ref="G92:G93"/>
    <mergeCell ref="H92:H93"/>
    <mergeCell ref="I92:I93"/>
    <mergeCell ref="J92:J93"/>
    <mergeCell ref="D94:D95"/>
    <mergeCell ref="F94:F95"/>
    <mergeCell ref="G94:G95"/>
    <mergeCell ref="H94:H95"/>
    <mergeCell ref="I94:I95"/>
    <mergeCell ref="J94:J95"/>
    <mergeCell ref="D96:D97"/>
    <mergeCell ref="F96:F97"/>
    <mergeCell ref="G96:G97"/>
    <mergeCell ref="H96:H97"/>
    <mergeCell ref="I96:I97"/>
    <mergeCell ref="J96:J97"/>
    <mergeCell ref="C98:C109"/>
    <mergeCell ref="D98:D99"/>
    <mergeCell ref="F98:F99"/>
    <mergeCell ref="G98:G99"/>
    <mergeCell ref="H98:H99"/>
    <mergeCell ref="I98:I99"/>
    <mergeCell ref="J98:J99"/>
    <mergeCell ref="D100:D101"/>
    <mergeCell ref="F100:F101"/>
    <mergeCell ref="G100:G101"/>
    <mergeCell ref="H100:H101"/>
    <mergeCell ref="I100:I101"/>
    <mergeCell ref="J100:J101"/>
    <mergeCell ref="D102:D103"/>
    <mergeCell ref="F102:F103"/>
    <mergeCell ref="G102:G103"/>
    <mergeCell ref="H102:H103"/>
    <mergeCell ref="I102:I103"/>
    <mergeCell ref="J102:J103"/>
    <mergeCell ref="D104:D105"/>
    <mergeCell ref="F104:F105"/>
    <mergeCell ref="G104:G105"/>
    <mergeCell ref="H104:H105"/>
    <mergeCell ref="I104:I105"/>
    <mergeCell ref="J104:J105"/>
    <mergeCell ref="D106:D107"/>
    <mergeCell ref="F106:F107"/>
    <mergeCell ref="G106:G107"/>
    <mergeCell ref="H106:H107"/>
    <mergeCell ref="I106:I107"/>
    <mergeCell ref="J106:J107"/>
    <mergeCell ref="D108:D109"/>
    <mergeCell ref="F108:F109"/>
    <mergeCell ref="G108:G109"/>
    <mergeCell ref="H108:H109"/>
    <mergeCell ref="I108:I109"/>
    <mergeCell ref="J108:J109"/>
    <mergeCell ref="B110:B389"/>
    <mergeCell ref="C110:C119"/>
    <mergeCell ref="D110:D111"/>
    <mergeCell ref="F110:F111"/>
    <mergeCell ref="G110:G111"/>
    <mergeCell ref="H110:H111"/>
    <mergeCell ref="I110:I111"/>
    <mergeCell ref="J110:J111"/>
    <mergeCell ref="D112:D113"/>
    <mergeCell ref="F112:F113"/>
    <mergeCell ref="G112:G113"/>
    <mergeCell ref="H112:H113"/>
    <mergeCell ref="I112:I113"/>
    <mergeCell ref="J112:J113"/>
    <mergeCell ref="D114:D115"/>
    <mergeCell ref="F114:F115"/>
    <mergeCell ref="G114:G115"/>
    <mergeCell ref="H114:H115"/>
    <mergeCell ref="I114:I115"/>
    <mergeCell ref="J114:J115"/>
    <mergeCell ref="D116:D117"/>
    <mergeCell ref="F116:F117"/>
    <mergeCell ref="G116:G117"/>
    <mergeCell ref="H116:H117"/>
    <mergeCell ref="I116:I117"/>
    <mergeCell ref="J116:J117"/>
    <mergeCell ref="D118:D119"/>
    <mergeCell ref="F118:F119"/>
    <mergeCell ref="G118:G119"/>
    <mergeCell ref="H118:H119"/>
    <mergeCell ref="I118:I119"/>
    <mergeCell ref="J118:J119"/>
    <mergeCell ref="C120:C129"/>
    <mergeCell ref="D120:D121"/>
    <mergeCell ref="F120:F121"/>
    <mergeCell ref="G120:G121"/>
    <mergeCell ref="H120:H121"/>
    <mergeCell ref="I120:I121"/>
    <mergeCell ref="J120:J121"/>
    <mergeCell ref="D122:D123"/>
    <mergeCell ref="F122:F123"/>
    <mergeCell ref="G122:G123"/>
    <mergeCell ref="H122:H123"/>
    <mergeCell ref="I122:I123"/>
    <mergeCell ref="J122:J123"/>
    <mergeCell ref="D124:D125"/>
    <mergeCell ref="F124:F125"/>
    <mergeCell ref="G124:G125"/>
    <mergeCell ref="H124:H125"/>
    <mergeCell ref="I124:I125"/>
    <mergeCell ref="J124:J125"/>
    <mergeCell ref="D126:D127"/>
    <mergeCell ref="F126:F127"/>
    <mergeCell ref="G126:G127"/>
    <mergeCell ref="H126:H127"/>
    <mergeCell ref="I126:I127"/>
    <mergeCell ref="J126:J127"/>
    <mergeCell ref="D128:D129"/>
    <mergeCell ref="F128:F129"/>
    <mergeCell ref="G128:G129"/>
    <mergeCell ref="H128:H129"/>
    <mergeCell ref="I128:I129"/>
    <mergeCell ref="J128:J129"/>
    <mergeCell ref="C130:C139"/>
    <mergeCell ref="D130:D131"/>
    <mergeCell ref="F130:F131"/>
    <mergeCell ref="G130:G131"/>
    <mergeCell ref="H130:H131"/>
    <mergeCell ref="I130:I131"/>
    <mergeCell ref="J130:J131"/>
    <mergeCell ref="D132:D133"/>
    <mergeCell ref="F132:F133"/>
    <mergeCell ref="G132:G133"/>
    <mergeCell ref="H132:H133"/>
    <mergeCell ref="I132:I133"/>
    <mergeCell ref="J132:J133"/>
    <mergeCell ref="D134:D135"/>
    <mergeCell ref="F134:F135"/>
    <mergeCell ref="G134:G135"/>
    <mergeCell ref="H134:H135"/>
    <mergeCell ref="I134:I135"/>
    <mergeCell ref="J134:J135"/>
    <mergeCell ref="D136:D137"/>
    <mergeCell ref="F136:F137"/>
    <mergeCell ref="G136:G137"/>
    <mergeCell ref="H136:H137"/>
    <mergeCell ref="I136:I137"/>
    <mergeCell ref="J136:J137"/>
    <mergeCell ref="D138:D139"/>
    <mergeCell ref="F138:F139"/>
    <mergeCell ref="G138:G139"/>
    <mergeCell ref="H138:H139"/>
    <mergeCell ref="I138:I139"/>
    <mergeCell ref="J138:J139"/>
    <mergeCell ref="C140:C149"/>
    <mergeCell ref="D140:D141"/>
    <mergeCell ref="F140:F141"/>
    <mergeCell ref="G140:G141"/>
    <mergeCell ref="H140:H141"/>
    <mergeCell ref="I140:I141"/>
    <mergeCell ref="J140:J141"/>
    <mergeCell ref="D142:D143"/>
    <mergeCell ref="F142:F143"/>
    <mergeCell ref="G142:G143"/>
    <mergeCell ref="H142:H143"/>
    <mergeCell ref="I142:I143"/>
    <mergeCell ref="J142:J143"/>
    <mergeCell ref="D144:D145"/>
    <mergeCell ref="F144:F145"/>
    <mergeCell ref="G144:G145"/>
    <mergeCell ref="H144:H145"/>
    <mergeCell ref="I144:I145"/>
    <mergeCell ref="J144:J145"/>
    <mergeCell ref="D146:D147"/>
    <mergeCell ref="F146:F147"/>
    <mergeCell ref="G146:G147"/>
    <mergeCell ref="H146:H147"/>
    <mergeCell ref="I146:I147"/>
    <mergeCell ref="J146:J147"/>
    <mergeCell ref="D148:D149"/>
    <mergeCell ref="F148:F149"/>
    <mergeCell ref="G148:G149"/>
    <mergeCell ref="H148:H149"/>
    <mergeCell ref="I148:I149"/>
    <mergeCell ref="J148:J149"/>
    <mergeCell ref="C150:C159"/>
    <mergeCell ref="D150:D151"/>
    <mergeCell ref="F150:F151"/>
    <mergeCell ref="G150:G151"/>
    <mergeCell ref="H150:H151"/>
    <mergeCell ref="I150:I151"/>
    <mergeCell ref="J150:J151"/>
    <mergeCell ref="D152:D153"/>
    <mergeCell ref="F152:F153"/>
    <mergeCell ref="G152:G153"/>
    <mergeCell ref="H152:H153"/>
    <mergeCell ref="I152:I153"/>
    <mergeCell ref="J152:J153"/>
    <mergeCell ref="D154:D155"/>
    <mergeCell ref="F154:F155"/>
    <mergeCell ref="G154:G155"/>
    <mergeCell ref="H154:H155"/>
    <mergeCell ref="I154:I155"/>
    <mergeCell ref="J154:J155"/>
    <mergeCell ref="D156:D157"/>
    <mergeCell ref="F156:F157"/>
    <mergeCell ref="G156:G157"/>
    <mergeCell ref="H156:H157"/>
    <mergeCell ref="I156:I157"/>
    <mergeCell ref="J156:J157"/>
    <mergeCell ref="D158:D159"/>
    <mergeCell ref="F158:F159"/>
    <mergeCell ref="G158:G159"/>
    <mergeCell ref="H158:H159"/>
    <mergeCell ref="I158:I159"/>
    <mergeCell ref="J158:J159"/>
    <mergeCell ref="C160:C169"/>
    <mergeCell ref="D160:D161"/>
    <mergeCell ref="F160:F161"/>
    <mergeCell ref="G160:G161"/>
    <mergeCell ref="H160:H161"/>
    <mergeCell ref="I160:I161"/>
    <mergeCell ref="J160:J161"/>
    <mergeCell ref="D162:D163"/>
    <mergeCell ref="F162:F163"/>
    <mergeCell ref="G162:G163"/>
    <mergeCell ref="H162:H163"/>
    <mergeCell ref="I162:I163"/>
    <mergeCell ref="J162:J163"/>
    <mergeCell ref="D164:D165"/>
    <mergeCell ref="F164:F165"/>
    <mergeCell ref="G164:G165"/>
    <mergeCell ref="H164:H165"/>
    <mergeCell ref="I164:I165"/>
    <mergeCell ref="J164:J165"/>
    <mergeCell ref="D166:D167"/>
    <mergeCell ref="F166:F167"/>
    <mergeCell ref="G166:G167"/>
    <mergeCell ref="H166:H167"/>
    <mergeCell ref="I166:I167"/>
    <mergeCell ref="J166:J167"/>
    <mergeCell ref="D168:D169"/>
    <mergeCell ref="F168:F169"/>
    <mergeCell ref="G168:G169"/>
    <mergeCell ref="H168:H169"/>
    <mergeCell ref="I168:I169"/>
    <mergeCell ref="J168:J169"/>
    <mergeCell ref="C170:C179"/>
    <mergeCell ref="D170:D171"/>
    <mergeCell ref="F170:F171"/>
    <mergeCell ref="G170:G171"/>
    <mergeCell ref="H170:H171"/>
    <mergeCell ref="I170:I171"/>
    <mergeCell ref="J170:J171"/>
    <mergeCell ref="D172:D173"/>
    <mergeCell ref="F172:F173"/>
    <mergeCell ref="G172:G173"/>
    <mergeCell ref="H172:H173"/>
    <mergeCell ref="I172:I173"/>
    <mergeCell ref="J172:J173"/>
    <mergeCell ref="D174:D175"/>
    <mergeCell ref="F174:F175"/>
    <mergeCell ref="G174:G175"/>
    <mergeCell ref="H174:H175"/>
    <mergeCell ref="I174:I175"/>
    <mergeCell ref="J174:J175"/>
    <mergeCell ref="D176:D177"/>
    <mergeCell ref="F176:F177"/>
    <mergeCell ref="G176:G177"/>
    <mergeCell ref="H176:H177"/>
    <mergeCell ref="I176:I177"/>
    <mergeCell ref="J176:J177"/>
    <mergeCell ref="D178:D179"/>
    <mergeCell ref="F178:F179"/>
    <mergeCell ref="G178:G179"/>
    <mergeCell ref="H178:H179"/>
    <mergeCell ref="I178:I179"/>
    <mergeCell ref="J178:J179"/>
    <mergeCell ref="C180:C189"/>
    <mergeCell ref="D180:D181"/>
    <mergeCell ref="F180:F181"/>
    <mergeCell ref="G180:G181"/>
    <mergeCell ref="H180:H181"/>
    <mergeCell ref="I180:I181"/>
    <mergeCell ref="J180:J181"/>
    <mergeCell ref="D182:D183"/>
    <mergeCell ref="F182:F183"/>
    <mergeCell ref="G182:G183"/>
    <mergeCell ref="H182:H183"/>
    <mergeCell ref="I182:I183"/>
    <mergeCell ref="J182:J183"/>
    <mergeCell ref="D184:D185"/>
    <mergeCell ref="F184:F185"/>
    <mergeCell ref="G184:G185"/>
    <mergeCell ref="H184:H185"/>
    <mergeCell ref="I184:I185"/>
    <mergeCell ref="J184:J185"/>
    <mergeCell ref="D186:D187"/>
    <mergeCell ref="F186:F187"/>
    <mergeCell ref="G186:G187"/>
    <mergeCell ref="H186:H187"/>
    <mergeCell ref="I186:I187"/>
    <mergeCell ref="J186:J187"/>
    <mergeCell ref="D188:D189"/>
    <mergeCell ref="F188:F189"/>
    <mergeCell ref="G188:G189"/>
    <mergeCell ref="H188:H189"/>
    <mergeCell ref="I188:I189"/>
    <mergeCell ref="J188:J189"/>
    <mergeCell ref="C190:C199"/>
    <mergeCell ref="D190:D191"/>
    <mergeCell ref="F190:F191"/>
    <mergeCell ref="G190:G191"/>
    <mergeCell ref="H190:H191"/>
    <mergeCell ref="I190:I191"/>
    <mergeCell ref="J190:J191"/>
    <mergeCell ref="D192:D193"/>
    <mergeCell ref="F192:F193"/>
    <mergeCell ref="G192:G193"/>
    <mergeCell ref="H192:H193"/>
    <mergeCell ref="I192:I193"/>
    <mergeCell ref="J192:J193"/>
    <mergeCell ref="D194:D195"/>
    <mergeCell ref="F194:F195"/>
    <mergeCell ref="G194:G195"/>
    <mergeCell ref="H194:H195"/>
    <mergeCell ref="I194:I195"/>
    <mergeCell ref="J194:J195"/>
    <mergeCell ref="D196:D197"/>
    <mergeCell ref="F196:F197"/>
    <mergeCell ref="G196:G197"/>
    <mergeCell ref="H196:H197"/>
    <mergeCell ref="I196:I197"/>
    <mergeCell ref="J196:J197"/>
    <mergeCell ref="D198:D199"/>
    <mergeCell ref="F198:F199"/>
    <mergeCell ref="G198:G199"/>
    <mergeCell ref="H198:H199"/>
    <mergeCell ref="I198:I199"/>
    <mergeCell ref="J198:J199"/>
    <mergeCell ref="C200:C209"/>
    <mergeCell ref="D200:D201"/>
    <mergeCell ref="F200:F201"/>
    <mergeCell ref="G200:G201"/>
    <mergeCell ref="H200:H201"/>
    <mergeCell ref="I200:I201"/>
    <mergeCell ref="J200:J201"/>
    <mergeCell ref="D202:D203"/>
    <mergeCell ref="F202:F203"/>
    <mergeCell ref="G202:G203"/>
    <mergeCell ref="H202:H203"/>
    <mergeCell ref="I202:I203"/>
    <mergeCell ref="J202:J203"/>
    <mergeCell ref="D204:D205"/>
    <mergeCell ref="F204:F205"/>
    <mergeCell ref="G204:G205"/>
    <mergeCell ref="H204:H205"/>
    <mergeCell ref="I204:I205"/>
    <mergeCell ref="J204:J205"/>
    <mergeCell ref="D206:D207"/>
    <mergeCell ref="F206:F207"/>
    <mergeCell ref="G206:G207"/>
    <mergeCell ref="H206:H207"/>
    <mergeCell ref="I206:I207"/>
    <mergeCell ref="J206:J207"/>
    <mergeCell ref="D208:D209"/>
    <mergeCell ref="F208:F209"/>
    <mergeCell ref="G208:G209"/>
    <mergeCell ref="H208:H209"/>
    <mergeCell ref="I208:I209"/>
    <mergeCell ref="J208:J209"/>
    <mergeCell ref="C210:C219"/>
    <mergeCell ref="D210:D211"/>
    <mergeCell ref="F210:F211"/>
    <mergeCell ref="G210:G211"/>
    <mergeCell ref="H210:H211"/>
    <mergeCell ref="I210:I211"/>
    <mergeCell ref="J210:J211"/>
    <mergeCell ref="D212:D213"/>
    <mergeCell ref="F212:F213"/>
    <mergeCell ref="G212:G213"/>
    <mergeCell ref="H212:H213"/>
    <mergeCell ref="I212:I213"/>
    <mergeCell ref="J212:J213"/>
    <mergeCell ref="D214:D215"/>
    <mergeCell ref="F214:F215"/>
    <mergeCell ref="G214:G215"/>
    <mergeCell ref="H214:H215"/>
    <mergeCell ref="I214:I215"/>
    <mergeCell ref="J214:J215"/>
    <mergeCell ref="D216:D217"/>
    <mergeCell ref="F216:F217"/>
    <mergeCell ref="G216:G217"/>
    <mergeCell ref="H216:H217"/>
    <mergeCell ref="I216:I217"/>
    <mergeCell ref="J216:J217"/>
    <mergeCell ref="D218:D219"/>
    <mergeCell ref="F218:F219"/>
    <mergeCell ref="G218:G219"/>
    <mergeCell ref="H218:H219"/>
    <mergeCell ref="I218:I219"/>
    <mergeCell ref="J218:J219"/>
    <mergeCell ref="C220:C229"/>
    <mergeCell ref="D220:D221"/>
    <mergeCell ref="F220:F221"/>
    <mergeCell ref="G220:G221"/>
    <mergeCell ref="H220:H221"/>
    <mergeCell ref="I220:I221"/>
    <mergeCell ref="J220:J221"/>
    <mergeCell ref="D222:D223"/>
    <mergeCell ref="F222:F223"/>
    <mergeCell ref="G222:G223"/>
    <mergeCell ref="H222:H223"/>
    <mergeCell ref="I222:I223"/>
    <mergeCell ref="J222:J223"/>
    <mergeCell ref="D224:D225"/>
    <mergeCell ref="F224:F225"/>
    <mergeCell ref="G224:G225"/>
    <mergeCell ref="H224:H225"/>
    <mergeCell ref="I224:I225"/>
    <mergeCell ref="J224:J225"/>
    <mergeCell ref="D226:D227"/>
    <mergeCell ref="F226:F227"/>
    <mergeCell ref="G226:G227"/>
    <mergeCell ref="H226:H227"/>
    <mergeCell ref="I226:I227"/>
    <mergeCell ref="J226:J227"/>
    <mergeCell ref="D228:D229"/>
    <mergeCell ref="F228:F229"/>
    <mergeCell ref="G228:G229"/>
    <mergeCell ref="H228:H229"/>
    <mergeCell ref="I228:I229"/>
    <mergeCell ref="J228:J229"/>
    <mergeCell ref="C230:C239"/>
    <mergeCell ref="D230:D231"/>
    <mergeCell ref="F230:F231"/>
    <mergeCell ref="G230:G231"/>
    <mergeCell ref="H230:H231"/>
    <mergeCell ref="I230:I231"/>
    <mergeCell ref="J230:J231"/>
    <mergeCell ref="D232:D233"/>
    <mergeCell ref="F232:F233"/>
    <mergeCell ref="G232:G233"/>
    <mergeCell ref="H232:H233"/>
    <mergeCell ref="I232:I233"/>
    <mergeCell ref="J232:J233"/>
    <mergeCell ref="D234:D235"/>
    <mergeCell ref="F234:F235"/>
    <mergeCell ref="G234:G235"/>
    <mergeCell ref="H234:H235"/>
    <mergeCell ref="I234:I235"/>
    <mergeCell ref="J234:J235"/>
    <mergeCell ref="D236:D237"/>
    <mergeCell ref="F236:F237"/>
    <mergeCell ref="G236:G237"/>
    <mergeCell ref="H236:H237"/>
    <mergeCell ref="I236:I237"/>
    <mergeCell ref="J236:J237"/>
    <mergeCell ref="D238:D239"/>
    <mergeCell ref="F238:F239"/>
    <mergeCell ref="G238:G239"/>
    <mergeCell ref="H238:H239"/>
    <mergeCell ref="I238:I239"/>
    <mergeCell ref="J238:J239"/>
    <mergeCell ref="C240:C249"/>
    <mergeCell ref="D240:D241"/>
    <mergeCell ref="F240:F241"/>
    <mergeCell ref="G240:G241"/>
    <mergeCell ref="H240:H241"/>
    <mergeCell ref="I240:I241"/>
    <mergeCell ref="J240:J241"/>
    <mergeCell ref="D242:D243"/>
    <mergeCell ref="F242:F243"/>
    <mergeCell ref="G242:G243"/>
    <mergeCell ref="H242:H243"/>
    <mergeCell ref="I242:I243"/>
    <mergeCell ref="J242:J243"/>
    <mergeCell ref="D244:D245"/>
    <mergeCell ref="F244:F245"/>
    <mergeCell ref="G244:G245"/>
    <mergeCell ref="H244:H245"/>
    <mergeCell ref="I244:I245"/>
    <mergeCell ref="J244:J245"/>
    <mergeCell ref="D246:D247"/>
    <mergeCell ref="F246:F247"/>
    <mergeCell ref="G246:G247"/>
    <mergeCell ref="H246:H247"/>
    <mergeCell ref="I246:I247"/>
    <mergeCell ref="J246:J247"/>
    <mergeCell ref="D248:D249"/>
    <mergeCell ref="F248:F249"/>
    <mergeCell ref="G248:G249"/>
    <mergeCell ref="H248:H249"/>
    <mergeCell ref="I248:I249"/>
    <mergeCell ref="J248:J249"/>
    <mergeCell ref="C250:C259"/>
    <mergeCell ref="D250:D251"/>
    <mergeCell ref="F250:F251"/>
    <mergeCell ref="G250:G251"/>
    <mergeCell ref="H250:H251"/>
    <mergeCell ref="I250:I251"/>
    <mergeCell ref="J250:J251"/>
    <mergeCell ref="D252:D253"/>
    <mergeCell ref="F252:F253"/>
    <mergeCell ref="G252:G253"/>
    <mergeCell ref="H252:H253"/>
    <mergeCell ref="I252:I253"/>
    <mergeCell ref="J252:J253"/>
    <mergeCell ref="D254:D255"/>
    <mergeCell ref="F254:F255"/>
    <mergeCell ref="G254:G255"/>
    <mergeCell ref="H254:H255"/>
    <mergeCell ref="I254:I255"/>
    <mergeCell ref="J254:J255"/>
    <mergeCell ref="D256:D257"/>
    <mergeCell ref="F256:F257"/>
    <mergeCell ref="G256:G257"/>
    <mergeCell ref="H256:H257"/>
    <mergeCell ref="I256:I257"/>
    <mergeCell ref="J256:J257"/>
    <mergeCell ref="D258:D259"/>
    <mergeCell ref="F258:F259"/>
    <mergeCell ref="G258:G259"/>
    <mergeCell ref="H258:H259"/>
    <mergeCell ref="I258:I259"/>
    <mergeCell ref="J258:J259"/>
    <mergeCell ref="C260:C269"/>
    <mergeCell ref="D260:D261"/>
    <mergeCell ref="F260:F261"/>
    <mergeCell ref="G260:G261"/>
    <mergeCell ref="H260:H261"/>
    <mergeCell ref="I260:I261"/>
    <mergeCell ref="J260:J261"/>
    <mergeCell ref="D262:D263"/>
    <mergeCell ref="F262:F263"/>
    <mergeCell ref="G262:G263"/>
    <mergeCell ref="H262:H263"/>
    <mergeCell ref="I262:I263"/>
    <mergeCell ref="J262:J263"/>
    <mergeCell ref="D264:D265"/>
    <mergeCell ref="F264:F265"/>
    <mergeCell ref="G264:G265"/>
    <mergeCell ref="H264:H265"/>
    <mergeCell ref="I264:I265"/>
    <mergeCell ref="J264:J265"/>
    <mergeCell ref="D266:D267"/>
    <mergeCell ref="F266:F267"/>
    <mergeCell ref="G266:G267"/>
    <mergeCell ref="H266:H267"/>
    <mergeCell ref="I266:I267"/>
    <mergeCell ref="J266:J267"/>
    <mergeCell ref="D268:D269"/>
    <mergeCell ref="F268:F269"/>
    <mergeCell ref="G268:G269"/>
    <mergeCell ref="H268:H269"/>
    <mergeCell ref="I268:I269"/>
    <mergeCell ref="J268:J269"/>
    <mergeCell ref="C270:C279"/>
    <mergeCell ref="D270:D271"/>
    <mergeCell ref="F270:F271"/>
    <mergeCell ref="G270:G271"/>
    <mergeCell ref="H270:H271"/>
    <mergeCell ref="I270:I271"/>
    <mergeCell ref="J270:J271"/>
    <mergeCell ref="D272:D273"/>
    <mergeCell ref="F272:F273"/>
    <mergeCell ref="G272:G273"/>
    <mergeCell ref="H272:H273"/>
    <mergeCell ref="I272:I273"/>
    <mergeCell ref="J272:J273"/>
    <mergeCell ref="D274:D275"/>
    <mergeCell ref="F274:F275"/>
    <mergeCell ref="G274:G275"/>
    <mergeCell ref="H274:H275"/>
    <mergeCell ref="I274:I275"/>
    <mergeCell ref="J274:J275"/>
    <mergeCell ref="D276:D277"/>
    <mergeCell ref="F276:F277"/>
    <mergeCell ref="G276:G277"/>
    <mergeCell ref="H276:H277"/>
    <mergeCell ref="I276:I277"/>
    <mergeCell ref="J276:J277"/>
    <mergeCell ref="D278:D279"/>
    <mergeCell ref="F278:F279"/>
    <mergeCell ref="G278:G279"/>
    <mergeCell ref="H278:H279"/>
    <mergeCell ref="I278:I279"/>
    <mergeCell ref="J278:J279"/>
    <mergeCell ref="C280:C289"/>
    <mergeCell ref="D280:D281"/>
    <mergeCell ref="F280:F281"/>
    <mergeCell ref="G280:G281"/>
    <mergeCell ref="H280:H281"/>
    <mergeCell ref="I280:I281"/>
    <mergeCell ref="J280:J281"/>
    <mergeCell ref="D282:D283"/>
    <mergeCell ref="F282:F283"/>
    <mergeCell ref="G282:G283"/>
    <mergeCell ref="H282:H283"/>
    <mergeCell ref="I282:I283"/>
    <mergeCell ref="J282:J283"/>
    <mergeCell ref="D284:D285"/>
    <mergeCell ref="F284:F285"/>
    <mergeCell ref="G284:G285"/>
    <mergeCell ref="H284:H285"/>
    <mergeCell ref="I284:I285"/>
    <mergeCell ref="J284:J285"/>
    <mergeCell ref="D286:D287"/>
    <mergeCell ref="F286:F287"/>
    <mergeCell ref="G286:G287"/>
    <mergeCell ref="H286:H287"/>
    <mergeCell ref="I286:I287"/>
    <mergeCell ref="J286:J287"/>
    <mergeCell ref="D288:D289"/>
    <mergeCell ref="F288:F289"/>
    <mergeCell ref="G288:G289"/>
    <mergeCell ref="H288:H289"/>
    <mergeCell ref="I288:I289"/>
    <mergeCell ref="J288:J289"/>
    <mergeCell ref="C290:C299"/>
    <mergeCell ref="D290:D291"/>
    <mergeCell ref="F290:F291"/>
    <mergeCell ref="G290:G291"/>
    <mergeCell ref="H290:H291"/>
    <mergeCell ref="I290:I291"/>
    <mergeCell ref="J290:J291"/>
    <mergeCell ref="D292:D293"/>
    <mergeCell ref="F292:F293"/>
    <mergeCell ref="G292:G293"/>
    <mergeCell ref="H292:H293"/>
    <mergeCell ref="I292:I293"/>
    <mergeCell ref="J292:J293"/>
    <mergeCell ref="D294:D295"/>
    <mergeCell ref="F294:F295"/>
    <mergeCell ref="G294:G295"/>
    <mergeCell ref="H294:H295"/>
    <mergeCell ref="I294:I295"/>
    <mergeCell ref="J294:J295"/>
    <mergeCell ref="D296:D297"/>
    <mergeCell ref="F296:F297"/>
    <mergeCell ref="G296:G297"/>
    <mergeCell ref="H296:H297"/>
    <mergeCell ref="I296:I297"/>
    <mergeCell ref="J296:J297"/>
    <mergeCell ref="D298:D299"/>
    <mergeCell ref="F298:F299"/>
    <mergeCell ref="G298:G299"/>
    <mergeCell ref="H298:H299"/>
    <mergeCell ref="I298:I299"/>
    <mergeCell ref="J298:J299"/>
    <mergeCell ref="C300:C309"/>
    <mergeCell ref="D300:D301"/>
    <mergeCell ref="F300:F301"/>
    <mergeCell ref="G300:G301"/>
    <mergeCell ref="H300:H301"/>
    <mergeCell ref="I300:I301"/>
    <mergeCell ref="J300:J301"/>
    <mergeCell ref="D302:D303"/>
    <mergeCell ref="F302:F303"/>
    <mergeCell ref="G302:G303"/>
    <mergeCell ref="H302:H303"/>
    <mergeCell ref="I302:I303"/>
    <mergeCell ref="J302:J303"/>
    <mergeCell ref="D304:D305"/>
    <mergeCell ref="F304:F305"/>
    <mergeCell ref="G304:G305"/>
    <mergeCell ref="H304:H305"/>
    <mergeCell ref="I304:I305"/>
    <mergeCell ref="J304:J305"/>
    <mergeCell ref="D306:D307"/>
    <mergeCell ref="F306:F307"/>
    <mergeCell ref="G306:G307"/>
    <mergeCell ref="H306:H307"/>
    <mergeCell ref="I306:I307"/>
    <mergeCell ref="J306:J307"/>
    <mergeCell ref="D308:D309"/>
    <mergeCell ref="F308:F309"/>
    <mergeCell ref="G308:G309"/>
    <mergeCell ref="H308:H309"/>
    <mergeCell ref="I308:I309"/>
    <mergeCell ref="J308:J309"/>
    <mergeCell ref="C310:C319"/>
    <mergeCell ref="D310:D311"/>
    <mergeCell ref="F310:F311"/>
    <mergeCell ref="G310:G311"/>
    <mergeCell ref="H310:H311"/>
    <mergeCell ref="I310:I311"/>
    <mergeCell ref="J310:J311"/>
    <mergeCell ref="D312:D313"/>
    <mergeCell ref="F312:F313"/>
    <mergeCell ref="G312:G313"/>
    <mergeCell ref="H312:H313"/>
    <mergeCell ref="I312:I313"/>
    <mergeCell ref="J312:J313"/>
    <mergeCell ref="D314:D315"/>
    <mergeCell ref="F314:F315"/>
    <mergeCell ref="G314:G315"/>
    <mergeCell ref="H314:H315"/>
    <mergeCell ref="I314:I315"/>
    <mergeCell ref="J314:J315"/>
    <mergeCell ref="D316:D317"/>
    <mergeCell ref="F316:F317"/>
    <mergeCell ref="G316:G317"/>
    <mergeCell ref="H316:H317"/>
    <mergeCell ref="I316:I317"/>
    <mergeCell ref="J316:J317"/>
    <mergeCell ref="D318:D319"/>
    <mergeCell ref="F318:F319"/>
    <mergeCell ref="G318:G319"/>
    <mergeCell ref="H318:H319"/>
    <mergeCell ref="I318:I319"/>
    <mergeCell ref="J318:J319"/>
    <mergeCell ref="C320:C329"/>
    <mergeCell ref="D320:D321"/>
    <mergeCell ref="F320:F321"/>
    <mergeCell ref="G320:G321"/>
    <mergeCell ref="H320:H321"/>
    <mergeCell ref="I320:I321"/>
    <mergeCell ref="J320:J321"/>
    <mergeCell ref="D322:D323"/>
    <mergeCell ref="F322:F323"/>
    <mergeCell ref="G322:G323"/>
    <mergeCell ref="H322:H323"/>
    <mergeCell ref="I322:I323"/>
    <mergeCell ref="J322:J323"/>
    <mergeCell ref="D324:D325"/>
    <mergeCell ref="F324:F325"/>
    <mergeCell ref="G324:G325"/>
    <mergeCell ref="H324:H325"/>
    <mergeCell ref="I324:I325"/>
    <mergeCell ref="J324:J325"/>
    <mergeCell ref="D326:D327"/>
    <mergeCell ref="F326:F327"/>
    <mergeCell ref="G326:G327"/>
    <mergeCell ref="H326:H327"/>
    <mergeCell ref="I326:I327"/>
    <mergeCell ref="J326:J327"/>
    <mergeCell ref="D328:D329"/>
    <mergeCell ref="F328:F329"/>
    <mergeCell ref="G328:G329"/>
    <mergeCell ref="H328:H329"/>
    <mergeCell ref="I328:I329"/>
    <mergeCell ref="J328:J329"/>
    <mergeCell ref="C330:C339"/>
    <mergeCell ref="D330:D331"/>
    <mergeCell ref="F330:F331"/>
    <mergeCell ref="G330:G331"/>
    <mergeCell ref="H330:H331"/>
    <mergeCell ref="I330:I331"/>
    <mergeCell ref="J330:J331"/>
    <mergeCell ref="D332:D333"/>
    <mergeCell ref="F332:F333"/>
    <mergeCell ref="G332:G333"/>
    <mergeCell ref="H332:H333"/>
    <mergeCell ref="I332:I333"/>
    <mergeCell ref="J332:J333"/>
    <mergeCell ref="D334:D335"/>
    <mergeCell ref="F334:F335"/>
    <mergeCell ref="G334:G335"/>
    <mergeCell ref="H334:H335"/>
    <mergeCell ref="I334:I335"/>
    <mergeCell ref="J334:J335"/>
    <mergeCell ref="D336:D337"/>
    <mergeCell ref="F336:F337"/>
    <mergeCell ref="G336:G337"/>
    <mergeCell ref="H336:H337"/>
    <mergeCell ref="I336:I337"/>
    <mergeCell ref="J336:J337"/>
    <mergeCell ref="D338:D339"/>
    <mergeCell ref="F338:F339"/>
    <mergeCell ref="G338:G339"/>
    <mergeCell ref="H338:H339"/>
    <mergeCell ref="I338:I339"/>
    <mergeCell ref="J338:J339"/>
    <mergeCell ref="C340:C349"/>
    <mergeCell ref="D340:D341"/>
    <mergeCell ref="F340:F341"/>
    <mergeCell ref="G340:G341"/>
    <mergeCell ref="H340:H341"/>
    <mergeCell ref="I340:I341"/>
    <mergeCell ref="J340:J341"/>
    <mergeCell ref="D342:D343"/>
    <mergeCell ref="F342:F343"/>
    <mergeCell ref="G342:G343"/>
    <mergeCell ref="H342:H343"/>
    <mergeCell ref="I342:I343"/>
    <mergeCell ref="J342:J343"/>
    <mergeCell ref="D344:D345"/>
    <mergeCell ref="F344:F345"/>
    <mergeCell ref="G344:G345"/>
    <mergeCell ref="H344:H345"/>
    <mergeCell ref="I344:I345"/>
    <mergeCell ref="J344:J345"/>
    <mergeCell ref="D346:D347"/>
    <mergeCell ref="F346:F347"/>
    <mergeCell ref="G346:G347"/>
    <mergeCell ref="H346:H347"/>
    <mergeCell ref="I346:I347"/>
    <mergeCell ref="J346:J347"/>
    <mergeCell ref="D348:D349"/>
    <mergeCell ref="F348:F349"/>
    <mergeCell ref="G348:G349"/>
    <mergeCell ref="H348:H349"/>
    <mergeCell ref="I348:I349"/>
    <mergeCell ref="J348:J349"/>
    <mergeCell ref="C350:C359"/>
    <mergeCell ref="D350:D351"/>
    <mergeCell ref="F350:F351"/>
    <mergeCell ref="G350:G351"/>
    <mergeCell ref="H350:H351"/>
    <mergeCell ref="I350:I351"/>
    <mergeCell ref="J350:J351"/>
    <mergeCell ref="D352:D353"/>
    <mergeCell ref="F352:F353"/>
    <mergeCell ref="G352:G353"/>
    <mergeCell ref="H352:H353"/>
    <mergeCell ref="I352:I353"/>
    <mergeCell ref="J352:J353"/>
    <mergeCell ref="D354:D355"/>
    <mergeCell ref="F354:F355"/>
    <mergeCell ref="G354:G355"/>
    <mergeCell ref="H354:H355"/>
    <mergeCell ref="I354:I355"/>
    <mergeCell ref="J354:J355"/>
    <mergeCell ref="D356:D357"/>
    <mergeCell ref="F356:F357"/>
    <mergeCell ref="G356:G357"/>
    <mergeCell ref="H356:H357"/>
    <mergeCell ref="I356:I357"/>
    <mergeCell ref="J356:J357"/>
    <mergeCell ref="D358:D359"/>
    <mergeCell ref="F358:F359"/>
    <mergeCell ref="G358:G359"/>
    <mergeCell ref="H358:H359"/>
    <mergeCell ref="I358:I359"/>
    <mergeCell ref="J358:J359"/>
    <mergeCell ref="C360:C369"/>
    <mergeCell ref="D360:D361"/>
    <mergeCell ref="F360:F361"/>
    <mergeCell ref="G360:G361"/>
    <mergeCell ref="H360:H361"/>
    <mergeCell ref="I360:I361"/>
    <mergeCell ref="J360:J361"/>
    <mergeCell ref="D362:D363"/>
    <mergeCell ref="F362:F363"/>
    <mergeCell ref="G362:G363"/>
    <mergeCell ref="H362:H363"/>
    <mergeCell ref="I362:I363"/>
    <mergeCell ref="J362:J363"/>
    <mergeCell ref="D364:D365"/>
    <mergeCell ref="F364:F365"/>
    <mergeCell ref="G364:G365"/>
    <mergeCell ref="H364:H365"/>
    <mergeCell ref="I364:I365"/>
    <mergeCell ref="J364:J365"/>
    <mergeCell ref="D366:D367"/>
    <mergeCell ref="F366:F367"/>
    <mergeCell ref="G366:G367"/>
    <mergeCell ref="H366:H367"/>
    <mergeCell ref="I366:I367"/>
    <mergeCell ref="J366:J367"/>
    <mergeCell ref="D368:D369"/>
    <mergeCell ref="F368:F369"/>
    <mergeCell ref="G368:G369"/>
    <mergeCell ref="H368:H369"/>
    <mergeCell ref="I368:I369"/>
    <mergeCell ref="J368:J369"/>
    <mergeCell ref="C370:C379"/>
    <mergeCell ref="D370:D371"/>
    <mergeCell ref="F370:F371"/>
    <mergeCell ref="G370:G371"/>
    <mergeCell ref="H370:H371"/>
    <mergeCell ref="I370:I371"/>
    <mergeCell ref="J370:J371"/>
    <mergeCell ref="D372:D373"/>
    <mergeCell ref="F372:F373"/>
    <mergeCell ref="G372:G373"/>
    <mergeCell ref="H372:H373"/>
    <mergeCell ref="I372:I373"/>
    <mergeCell ref="J372:J373"/>
    <mergeCell ref="D374:D375"/>
    <mergeCell ref="F374:F375"/>
    <mergeCell ref="G374:G375"/>
    <mergeCell ref="H374:H375"/>
    <mergeCell ref="I374:I375"/>
    <mergeCell ref="J374:J375"/>
    <mergeCell ref="D376:D377"/>
    <mergeCell ref="F376:F377"/>
    <mergeCell ref="G376:G377"/>
    <mergeCell ref="H376:H377"/>
    <mergeCell ref="I376:I377"/>
    <mergeCell ref="J376:J377"/>
    <mergeCell ref="D378:D379"/>
    <mergeCell ref="F378:F379"/>
    <mergeCell ref="G378:G379"/>
    <mergeCell ref="H378:H379"/>
    <mergeCell ref="I378:I379"/>
    <mergeCell ref="J378:J379"/>
    <mergeCell ref="C380:C389"/>
    <mergeCell ref="D380:D381"/>
    <mergeCell ref="F380:F381"/>
    <mergeCell ref="G380:G381"/>
    <mergeCell ref="H380:H381"/>
    <mergeCell ref="I380:I381"/>
    <mergeCell ref="J380:J381"/>
    <mergeCell ref="D382:D383"/>
    <mergeCell ref="F382:F383"/>
    <mergeCell ref="G382:G383"/>
    <mergeCell ref="H382:H383"/>
    <mergeCell ref="I382:I383"/>
    <mergeCell ref="J382:J383"/>
    <mergeCell ref="D384:D385"/>
    <mergeCell ref="F384:F385"/>
    <mergeCell ref="G384:G385"/>
    <mergeCell ref="H384:H385"/>
    <mergeCell ref="I384:I385"/>
    <mergeCell ref="J384:J385"/>
    <mergeCell ref="D386:D387"/>
    <mergeCell ref="F386:F387"/>
    <mergeCell ref="G386:G387"/>
    <mergeCell ref="H386:H387"/>
    <mergeCell ref="I386:I387"/>
    <mergeCell ref="J386:J387"/>
    <mergeCell ref="D388:D389"/>
    <mergeCell ref="F388:F389"/>
    <mergeCell ref="G388:G389"/>
    <mergeCell ref="H388:H389"/>
    <mergeCell ref="I388:I389"/>
    <mergeCell ref="J388:J389"/>
    <mergeCell ref="B390:B639"/>
    <mergeCell ref="C390:C399"/>
    <mergeCell ref="D390:D391"/>
    <mergeCell ref="F390:F391"/>
    <mergeCell ref="G390:G391"/>
    <mergeCell ref="H390:H391"/>
    <mergeCell ref="I390:I391"/>
    <mergeCell ref="J390:J391"/>
    <mergeCell ref="D392:D393"/>
    <mergeCell ref="F392:F393"/>
    <mergeCell ref="G392:G393"/>
    <mergeCell ref="H392:H393"/>
    <mergeCell ref="I392:I393"/>
    <mergeCell ref="J392:J393"/>
    <mergeCell ref="D394:D395"/>
    <mergeCell ref="F394:F395"/>
    <mergeCell ref="G394:G395"/>
    <mergeCell ref="H394:H395"/>
    <mergeCell ref="I394:I395"/>
    <mergeCell ref="J394:J395"/>
    <mergeCell ref="D396:D397"/>
    <mergeCell ref="F396:F397"/>
    <mergeCell ref="G396:G397"/>
    <mergeCell ref="H396:H397"/>
    <mergeCell ref="I396:I397"/>
    <mergeCell ref="J396:J397"/>
    <mergeCell ref="D398:D399"/>
    <mergeCell ref="F398:F399"/>
    <mergeCell ref="G398:G399"/>
    <mergeCell ref="H398:H399"/>
    <mergeCell ref="I398:I399"/>
    <mergeCell ref="J398:J399"/>
    <mergeCell ref="C400:C409"/>
    <mergeCell ref="D400:D401"/>
    <mergeCell ref="F400:F401"/>
    <mergeCell ref="G400:G401"/>
    <mergeCell ref="H400:H401"/>
    <mergeCell ref="I400:I401"/>
    <mergeCell ref="J400:J401"/>
    <mergeCell ref="D402:D403"/>
    <mergeCell ref="F402:F403"/>
    <mergeCell ref="G402:G403"/>
    <mergeCell ref="H402:H403"/>
    <mergeCell ref="I402:I403"/>
    <mergeCell ref="J402:J403"/>
    <mergeCell ref="D404:D405"/>
    <mergeCell ref="F404:F405"/>
    <mergeCell ref="G404:G405"/>
    <mergeCell ref="H404:H405"/>
    <mergeCell ref="I404:I405"/>
    <mergeCell ref="J404:J405"/>
    <mergeCell ref="D406:D407"/>
    <mergeCell ref="F406:F407"/>
    <mergeCell ref="G406:G407"/>
    <mergeCell ref="H406:H407"/>
    <mergeCell ref="I406:I407"/>
    <mergeCell ref="J406:J407"/>
    <mergeCell ref="D408:D409"/>
    <mergeCell ref="F408:F409"/>
    <mergeCell ref="G408:G409"/>
    <mergeCell ref="H408:H409"/>
    <mergeCell ref="I408:I409"/>
    <mergeCell ref="J408:J409"/>
    <mergeCell ref="C410:C419"/>
    <mergeCell ref="D410:D411"/>
    <mergeCell ref="F410:F411"/>
    <mergeCell ref="G410:G411"/>
    <mergeCell ref="H410:H411"/>
    <mergeCell ref="I410:I411"/>
    <mergeCell ref="J410:J411"/>
    <mergeCell ref="D412:D413"/>
    <mergeCell ref="F412:F413"/>
    <mergeCell ref="G412:G413"/>
    <mergeCell ref="H412:H413"/>
    <mergeCell ref="I412:I413"/>
    <mergeCell ref="J412:J413"/>
    <mergeCell ref="D414:D415"/>
    <mergeCell ref="F414:F415"/>
    <mergeCell ref="G414:G415"/>
    <mergeCell ref="H414:H415"/>
    <mergeCell ref="I414:I415"/>
    <mergeCell ref="J414:J415"/>
    <mergeCell ref="D416:D417"/>
    <mergeCell ref="F416:F417"/>
    <mergeCell ref="G416:G417"/>
    <mergeCell ref="H416:H417"/>
    <mergeCell ref="I416:I417"/>
    <mergeCell ref="J416:J417"/>
    <mergeCell ref="D418:D419"/>
    <mergeCell ref="F418:F419"/>
    <mergeCell ref="G418:G419"/>
    <mergeCell ref="H418:H419"/>
    <mergeCell ref="I418:I419"/>
    <mergeCell ref="J418:J419"/>
    <mergeCell ref="C420:C429"/>
    <mergeCell ref="D420:D421"/>
    <mergeCell ref="F420:F421"/>
    <mergeCell ref="G420:G421"/>
    <mergeCell ref="H420:H421"/>
    <mergeCell ref="I420:I421"/>
    <mergeCell ref="J420:J421"/>
    <mergeCell ref="D422:D423"/>
    <mergeCell ref="F422:F423"/>
    <mergeCell ref="G422:G423"/>
    <mergeCell ref="H422:H423"/>
    <mergeCell ref="I422:I423"/>
    <mergeCell ref="J422:J423"/>
    <mergeCell ref="D424:D425"/>
    <mergeCell ref="F424:F425"/>
    <mergeCell ref="G424:G425"/>
    <mergeCell ref="H424:H425"/>
    <mergeCell ref="I424:I425"/>
    <mergeCell ref="J424:J425"/>
    <mergeCell ref="D426:D427"/>
    <mergeCell ref="F426:F427"/>
    <mergeCell ref="G426:G427"/>
    <mergeCell ref="H426:H427"/>
    <mergeCell ref="I426:I427"/>
    <mergeCell ref="J426:J427"/>
    <mergeCell ref="D428:D429"/>
    <mergeCell ref="F428:F429"/>
    <mergeCell ref="G428:G429"/>
    <mergeCell ref="H428:H429"/>
    <mergeCell ref="I428:I429"/>
    <mergeCell ref="J428:J429"/>
    <mergeCell ref="C430:C439"/>
    <mergeCell ref="D430:D431"/>
    <mergeCell ref="F430:F431"/>
    <mergeCell ref="G430:G431"/>
    <mergeCell ref="H430:H431"/>
    <mergeCell ref="I430:I431"/>
    <mergeCell ref="J430:J431"/>
    <mergeCell ref="D432:D433"/>
    <mergeCell ref="F432:F433"/>
    <mergeCell ref="G432:G433"/>
    <mergeCell ref="H432:H433"/>
    <mergeCell ref="I432:I433"/>
    <mergeCell ref="J432:J433"/>
    <mergeCell ref="D434:D435"/>
    <mergeCell ref="F434:F435"/>
    <mergeCell ref="G434:G435"/>
    <mergeCell ref="H434:H435"/>
    <mergeCell ref="I434:I435"/>
    <mergeCell ref="J434:J435"/>
    <mergeCell ref="D436:D437"/>
    <mergeCell ref="F436:F437"/>
    <mergeCell ref="G436:G437"/>
    <mergeCell ref="H436:H437"/>
    <mergeCell ref="I436:I437"/>
    <mergeCell ref="J436:J437"/>
    <mergeCell ref="D438:D439"/>
    <mergeCell ref="F438:F439"/>
    <mergeCell ref="G438:G439"/>
    <mergeCell ref="H438:H439"/>
    <mergeCell ref="I438:I439"/>
    <mergeCell ref="J438:J439"/>
    <mergeCell ref="C440:C449"/>
    <mergeCell ref="D440:D441"/>
    <mergeCell ref="F440:F441"/>
    <mergeCell ref="G440:G441"/>
    <mergeCell ref="H440:H441"/>
    <mergeCell ref="I440:I441"/>
    <mergeCell ref="J440:J441"/>
    <mergeCell ref="D442:D443"/>
    <mergeCell ref="F442:F443"/>
    <mergeCell ref="G442:G443"/>
    <mergeCell ref="H442:H443"/>
    <mergeCell ref="I442:I443"/>
    <mergeCell ref="J442:J443"/>
    <mergeCell ref="D444:D445"/>
    <mergeCell ref="F444:F445"/>
    <mergeCell ref="G444:G445"/>
    <mergeCell ref="H444:H445"/>
    <mergeCell ref="I444:I445"/>
    <mergeCell ref="J444:J445"/>
    <mergeCell ref="D446:D447"/>
    <mergeCell ref="F446:F447"/>
    <mergeCell ref="G446:G447"/>
    <mergeCell ref="H446:H447"/>
    <mergeCell ref="I446:I447"/>
    <mergeCell ref="J446:J447"/>
    <mergeCell ref="D448:D449"/>
    <mergeCell ref="F448:F449"/>
    <mergeCell ref="G448:G449"/>
    <mergeCell ref="H448:H449"/>
    <mergeCell ref="I448:I449"/>
    <mergeCell ref="J448:J449"/>
    <mergeCell ref="C450:C459"/>
    <mergeCell ref="D450:D451"/>
    <mergeCell ref="F450:F451"/>
    <mergeCell ref="G450:G451"/>
    <mergeCell ref="H450:H451"/>
    <mergeCell ref="I450:I451"/>
    <mergeCell ref="J450:J451"/>
    <mergeCell ref="D452:D453"/>
    <mergeCell ref="F452:F453"/>
    <mergeCell ref="G452:G453"/>
    <mergeCell ref="H452:H453"/>
    <mergeCell ref="I452:I453"/>
    <mergeCell ref="J452:J453"/>
    <mergeCell ref="D454:D455"/>
    <mergeCell ref="F454:F455"/>
    <mergeCell ref="G454:G455"/>
    <mergeCell ref="H454:H455"/>
    <mergeCell ref="I454:I455"/>
    <mergeCell ref="J454:J455"/>
    <mergeCell ref="D456:D457"/>
    <mergeCell ref="F456:F457"/>
    <mergeCell ref="G456:G457"/>
    <mergeCell ref="H456:H457"/>
    <mergeCell ref="I456:I457"/>
    <mergeCell ref="J456:J457"/>
    <mergeCell ref="D458:D459"/>
    <mergeCell ref="F458:F459"/>
    <mergeCell ref="G458:G459"/>
    <mergeCell ref="H458:H459"/>
    <mergeCell ref="I458:I459"/>
    <mergeCell ref="J458:J459"/>
    <mergeCell ref="C460:C469"/>
    <mergeCell ref="D460:D461"/>
    <mergeCell ref="F460:F461"/>
    <mergeCell ref="G460:G461"/>
    <mergeCell ref="H460:H461"/>
    <mergeCell ref="I460:I461"/>
    <mergeCell ref="J460:J461"/>
    <mergeCell ref="D462:D463"/>
    <mergeCell ref="F462:F463"/>
    <mergeCell ref="G462:G463"/>
    <mergeCell ref="H462:H463"/>
    <mergeCell ref="I462:I463"/>
    <mergeCell ref="J462:J463"/>
    <mergeCell ref="D464:D465"/>
    <mergeCell ref="F464:F465"/>
    <mergeCell ref="G464:G465"/>
    <mergeCell ref="H464:H465"/>
    <mergeCell ref="I464:I465"/>
    <mergeCell ref="J464:J465"/>
    <mergeCell ref="D466:D467"/>
    <mergeCell ref="F466:F467"/>
    <mergeCell ref="G466:G467"/>
    <mergeCell ref="H466:H467"/>
    <mergeCell ref="I466:I467"/>
    <mergeCell ref="J466:J467"/>
    <mergeCell ref="D468:D469"/>
    <mergeCell ref="F468:F469"/>
    <mergeCell ref="G468:G469"/>
    <mergeCell ref="H468:H469"/>
    <mergeCell ref="I468:I469"/>
    <mergeCell ref="J468:J469"/>
    <mergeCell ref="C470:C479"/>
    <mergeCell ref="D470:D471"/>
    <mergeCell ref="F470:F471"/>
    <mergeCell ref="G470:G471"/>
    <mergeCell ref="H470:H471"/>
    <mergeCell ref="I470:I471"/>
    <mergeCell ref="J470:J471"/>
    <mergeCell ref="D472:D473"/>
    <mergeCell ref="F472:F473"/>
    <mergeCell ref="G472:G473"/>
    <mergeCell ref="H472:H473"/>
    <mergeCell ref="I472:I473"/>
    <mergeCell ref="J472:J473"/>
    <mergeCell ref="D474:D475"/>
    <mergeCell ref="F474:F475"/>
    <mergeCell ref="G474:G475"/>
    <mergeCell ref="H474:H475"/>
    <mergeCell ref="I474:I475"/>
    <mergeCell ref="J474:J475"/>
    <mergeCell ref="D476:D477"/>
    <mergeCell ref="F476:F477"/>
    <mergeCell ref="G476:G477"/>
    <mergeCell ref="H476:H477"/>
    <mergeCell ref="I476:I477"/>
    <mergeCell ref="J476:J477"/>
    <mergeCell ref="D478:D479"/>
    <mergeCell ref="F478:F479"/>
    <mergeCell ref="G478:G479"/>
    <mergeCell ref="H478:H479"/>
    <mergeCell ref="I478:I479"/>
    <mergeCell ref="J478:J479"/>
    <mergeCell ref="C480:C489"/>
    <mergeCell ref="D480:D481"/>
    <mergeCell ref="F480:F481"/>
    <mergeCell ref="G480:G481"/>
    <mergeCell ref="H480:H481"/>
    <mergeCell ref="I480:I481"/>
    <mergeCell ref="J480:J481"/>
    <mergeCell ref="D482:D483"/>
    <mergeCell ref="F482:F483"/>
    <mergeCell ref="G482:G483"/>
    <mergeCell ref="H482:H483"/>
    <mergeCell ref="I482:I483"/>
    <mergeCell ref="J482:J483"/>
    <mergeCell ref="D484:D485"/>
    <mergeCell ref="F484:F485"/>
    <mergeCell ref="G484:G485"/>
    <mergeCell ref="H484:H485"/>
    <mergeCell ref="I484:I485"/>
    <mergeCell ref="J484:J485"/>
    <mergeCell ref="D486:D487"/>
    <mergeCell ref="F486:F487"/>
    <mergeCell ref="G486:G487"/>
    <mergeCell ref="H486:H487"/>
    <mergeCell ref="I486:I487"/>
    <mergeCell ref="J486:J487"/>
    <mergeCell ref="D488:D489"/>
    <mergeCell ref="F488:F489"/>
    <mergeCell ref="G488:G489"/>
    <mergeCell ref="H488:H489"/>
    <mergeCell ref="I488:I489"/>
    <mergeCell ref="J488:J489"/>
    <mergeCell ref="C490:C499"/>
    <mergeCell ref="D490:D491"/>
    <mergeCell ref="F490:F491"/>
    <mergeCell ref="G490:G491"/>
    <mergeCell ref="H490:H491"/>
    <mergeCell ref="I490:I491"/>
    <mergeCell ref="J490:J491"/>
    <mergeCell ref="D492:D493"/>
    <mergeCell ref="F492:F493"/>
    <mergeCell ref="G492:G493"/>
    <mergeCell ref="H492:H493"/>
    <mergeCell ref="I492:I493"/>
    <mergeCell ref="J492:J493"/>
    <mergeCell ref="D494:D495"/>
    <mergeCell ref="F494:F495"/>
    <mergeCell ref="G494:G495"/>
    <mergeCell ref="H494:H495"/>
    <mergeCell ref="I494:I495"/>
    <mergeCell ref="J494:J495"/>
    <mergeCell ref="D496:D497"/>
    <mergeCell ref="F496:F497"/>
    <mergeCell ref="G496:G497"/>
    <mergeCell ref="H496:H497"/>
    <mergeCell ref="I496:I497"/>
    <mergeCell ref="J496:J497"/>
    <mergeCell ref="D498:D499"/>
    <mergeCell ref="F498:F499"/>
    <mergeCell ref="G498:G499"/>
    <mergeCell ref="H498:H499"/>
    <mergeCell ref="I498:I499"/>
    <mergeCell ref="J498:J499"/>
    <mergeCell ref="C500:C509"/>
    <mergeCell ref="D500:D501"/>
    <mergeCell ref="F500:F501"/>
    <mergeCell ref="G500:G501"/>
    <mergeCell ref="H500:H501"/>
    <mergeCell ref="I500:I501"/>
    <mergeCell ref="J500:J501"/>
    <mergeCell ref="D502:D503"/>
    <mergeCell ref="F502:F503"/>
    <mergeCell ref="G502:G503"/>
    <mergeCell ref="H502:H503"/>
    <mergeCell ref="I502:I503"/>
    <mergeCell ref="J502:J503"/>
    <mergeCell ref="D504:D505"/>
    <mergeCell ref="F504:F505"/>
    <mergeCell ref="G504:G505"/>
    <mergeCell ref="H504:H505"/>
    <mergeCell ref="I504:I505"/>
    <mergeCell ref="J504:J505"/>
    <mergeCell ref="D506:D507"/>
    <mergeCell ref="F506:F507"/>
    <mergeCell ref="G506:G507"/>
    <mergeCell ref="H506:H507"/>
    <mergeCell ref="I506:I507"/>
    <mergeCell ref="J506:J507"/>
    <mergeCell ref="D508:D509"/>
    <mergeCell ref="F508:F509"/>
    <mergeCell ref="G508:G509"/>
    <mergeCell ref="H508:H509"/>
    <mergeCell ref="I508:I509"/>
    <mergeCell ref="J508:J509"/>
    <mergeCell ref="C510:C519"/>
    <mergeCell ref="D510:D511"/>
    <mergeCell ref="F510:F511"/>
    <mergeCell ref="G510:G511"/>
    <mergeCell ref="H510:H511"/>
    <mergeCell ref="I510:I511"/>
    <mergeCell ref="J510:J511"/>
    <mergeCell ref="D512:D513"/>
    <mergeCell ref="F512:F513"/>
    <mergeCell ref="G512:G513"/>
    <mergeCell ref="H512:H513"/>
    <mergeCell ref="I512:I513"/>
    <mergeCell ref="J512:J513"/>
    <mergeCell ref="D514:D515"/>
    <mergeCell ref="F514:F515"/>
    <mergeCell ref="G514:G515"/>
    <mergeCell ref="H514:H515"/>
    <mergeCell ref="I514:I515"/>
    <mergeCell ref="J514:J515"/>
    <mergeCell ref="D516:D517"/>
    <mergeCell ref="F516:F517"/>
    <mergeCell ref="G516:G517"/>
    <mergeCell ref="H516:H517"/>
    <mergeCell ref="I516:I517"/>
    <mergeCell ref="J516:J517"/>
    <mergeCell ref="D518:D519"/>
    <mergeCell ref="F518:F519"/>
    <mergeCell ref="G518:G519"/>
    <mergeCell ref="H518:H519"/>
    <mergeCell ref="I518:I519"/>
    <mergeCell ref="J518:J519"/>
    <mergeCell ref="C520:C529"/>
    <mergeCell ref="D520:D521"/>
    <mergeCell ref="F520:F521"/>
    <mergeCell ref="G520:G521"/>
    <mergeCell ref="H520:H521"/>
    <mergeCell ref="I520:I521"/>
    <mergeCell ref="J520:J521"/>
    <mergeCell ref="D522:D523"/>
    <mergeCell ref="F522:F523"/>
    <mergeCell ref="G522:G523"/>
    <mergeCell ref="H522:H523"/>
    <mergeCell ref="I522:I523"/>
    <mergeCell ref="J522:J523"/>
    <mergeCell ref="D524:D525"/>
    <mergeCell ref="F524:F525"/>
    <mergeCell ref="G524:G525"/>
    <mergeCell ref="H524:H525"/>
    <mergeCell ref="I524:I525"/>
    <mergeCell ref="J524:J525"/>
    <mergeCell ref="D526:D527"/>
    <mergeCell ref="F526:F527"/>
    <mergeCell ref="G526:G527"/>
    <mergeCell ref="H526:H527"/>
    <mergeCell ref="I526:I527"/>
    <mergeCell ref="J526:J527"/>
    <mergeCell ref="D528:D529"/>
    <mergeCell ref="F528:F529"/>
    <mergeCell ref="G528:G529"/>
    <mergeCell ref="H528:H529"/>
    <mergeCell ref="I528:I529"/>
    <mergeCell ref="J528:J529"/>
    <mergeCell ref="C530:C539"/>
    <mergeCell ref="D530:D531"/>
    <mergeCell ref="F530:F531"/>
    <mergeCell ref="G530:G531"/>
    <mergeCell ref="H530:H531"/>
    <mergeCell ref="I530:I531"/>
    <mergeCell ref="J530:J531"/>
    <mergeCell ref="D532:D533"/>
    <mergeCell ref="F532:F533"/>
    <mergeCell ref="G532:G533"/>
    <mergeCell ref="H532:H533"/>
    <mergeCell ref="I532:I533"/>
    <mergeCell ref="J532:J533"/>
    <mergeCell ref="D534:D535"/>
    <mergeCell ref="F534:F535"/>
    <mergeCell ref="G534:G535"/>
    <mergeCell ref="H534:H535"/>
    <mergeCell ref="I534:I535"/>
    <mergeCell ref="J534:J535"/>
    <mergeCell ref="D536:D537"/>
    <mergeCell ref="F536:F537"/>
    <mergeCell ref="G536:G537"/>
    <mergeCell ref="H536:H537"/>
    <mergeCell ref="I536:I537"/>
    <mergeCell ref="J536:J537"/>
    <mergeCell ref="D538:D539"/>
    <mergeCell ref="F538:F539"/>
    <mergeCell ref="G538:G539"/>
    <mergeCell ref="H538:H539"/>
    <mergeCell ref="I538:I539"/>
    <mergeCell ref="J538:J539"/>
    <mergeCell ref="C540:C549"/>
    <mergeCell ref="D540:D541"/>
    <mergeCell ref="F540:F541"/>
    <mergeCell ref="G540:G541"/>
    <mergeCell ref="H540:H541"/>
    <mergeCell ref="I540:I541"/>
    <mergeCell ref="J540:J541"/>
    <mergeCell ref="D542:D543"/>
    <mergeCell ref="F542:F543"/>
    <mergeCell ref="G542:G543"/>
    <mergeCell ref="H542:H543"/>
    <mergeCell ref="I542:I543"/>
    <mergeCell ref="J542:J543"/>
    <mergeCell ref="D544:D545"/>
    <mergeCell ref="F544:F545"/>
    <mergeCell ref="G544:G545"/>
    <mergeCell ref="H544:H545"/>
    <mergeCell ref="I544:I545"/>
    <mergeCell ref="J544:J545"/>
    <mergeCell ref="D546:D547"/>
    <mergeCell ref="F546:F547"/>
    <mergeCell ref="G546:G547"/>
    <mergeCell ref="H546:H547"/>
    <mergeCell ref="I546:I547"/>
    <mergeCell ref="J546:J547"/>
    <mergeCell ref="D548:D549"/>
    <mergeCell ref="F548:F549"/>
    <mergeCell ref="G548:G549"/>
    <mergeCell ref="H548:H549"/>
    <mergeCell ref="I548:I549"/>
    <mergeCell ref="J548:J549"/>
    <mergeCell ref="C550:C559"/>
    <mergeCell ref="D550:D551"/>
    <mergeCell ref="F550:F551"/>
    <mergeCell ref="G550:G551"/>
    <mergeCell ref="H550:H551"/>
    <mergeCell ref="I550:I551"/>
    <mergeCell ref="J550:J551"/>
    <mergeCell ref="D552:D553"/>
    <mergeCell ref="F552:F553"/>
    <mergeCell ref="G552:G553"/>
    <mergeCell ref="H552:H553"/>
    <mergeCell ref="I552:I553"/>
    <mergeCell ref="J552:J553"/>
    <mergeCell ref="D554:D555"/>
    <mergeCell ref="F554:F555"/>
    <mergeCell ref="G554:G555"/>
    <mergeCell ref="H554:H555"/>
    <mergeCell ref="I554:I555"/>
    <mergeCell ref="J554:J555"/>
    <mergeCell ref="D556:D557"/>
    <mergeCell ref="F556:F557"/>
    <mergeCell ref="G556:G557"/>
    <mergeCell ref="H556:H557"/>
    <mergeCell ref="I556:I557"/>
    <mergeCell ref="J556:J557"/>
    <mergeCell ref="D558:D559"/>
    <mergeCell ref="F558:F559"/>
    <mergeCell ref="G558:G559"/>
    <mergeCell ref="H558:H559"/>
    <mergeCell ref="I558:I559"/>
    <mergeCell ref="J558:J559"/>
    <mergeCell ref="C560:C569"/>
    <mergeCell ref="D560:D561"/>
    <mergeCell ref="F560:F561"/>
    <mergeCell ref="G560:G561"/>
    <mergeCell ref="H560:H561"/>
    <mergeCell ref="I560:I561"/>
    <mergeCell ref="J560:J561"/>
    <mergeCell ref="D562:D563"/>
    <mergeCell ref="F562:F563"/>
    <mergeCell ref="G562:G563"/>
    <mergeCell ref="H562:H563"/>
    <mergeCell ref="I562:I563"/>
    <mergeCell ref="J562:J563"/>
    <mergeCell ref="D564:D565"/>
    <mergeCell ref="F564:F565"/>
    <mergeCell ref="G564:G565"/>
    <mergeCell ref="H564:H565"/>
    <mergeCell ref="I564:I565"/>
    <mergeCell ref="J564:J565"/>
    <mergeCell ref="D566:D567"/>
    <mergeCell ref="F566:F567"/>
    <mergeCell ref="G566:G567"/>
    <mergeCell ref="H566:H567"/>
    <mergeCell ref="I566:I567"/>
    <mergeCell ref="J566:J567"/>
    <mergeCell ref="D568:D569"/>
    <mergeCell ref="F568:F569"/>
    <mergeCell ref="G568:G569"/>
    <mergeCell ref="H568:H569"/>
    <mergeCell ref="I568:I569"/>
    <mergeCell ref="J568:J569"/>
    <mergeCell ref="C570:C579"/>
    <mergeCell ref="D570:D571"/>
    <mergeCell ref="F570:F571"/>
    <mergeCell ref="G570:G571"/>
    <mergeCell ref="H570:H571"/>
    <mergeCell ref="I570:I571"/>
    <mergeCell ref="J570:J571"/>
    <mergeCell ref="D572:D573"/>
    <mergeCell ref="F572:F573"/>
    <mergeCell ref="G572:G573"/>
    <mergeCell ref="H572:H573"/>
    <mergeCell ref="I572:I573"/>
    <mergeCell ref="J572:J573"/>
    <mergeCell ref="D574:D575"/>
    <mergeCell ref="F574:F575"/>
    <mergeCell ref="G574:G575"/>
    <mergeCell ref="H574:H575"/>
    <mergeCell ref="I574:I575"/>
    <mergeCell ref="J574:J575"/>
    <mergeCell ref="D576:D577"/>
    <mergeCell ref="F576:F577"/>
    <mergeCell ref="G576:G577"/>
    <mergeCell ref="H576:H577"/>
    <mergeCell ref="I576:I577"/>
    <mergeCell ref="J576:J577"/>
    <mergeCell ref="D578:D579"/>
    <mergeCell ref="F578:F579"/>
    <mergeCell ref="G578:G579"/>
    <mergeCell ref="H578:H579"/>
    <mergeCell ref="I578:I579"/>
    <mergeCell ref="J578:J579"/>
    <mergeCell ref="C580:C589"/>
    <mergeCell ref="D580:D581"/>
    <mergeCell ref="F580:F581"/>
    <mergeCell ref="G580:G581"/>
    <mergeCell ref="H580:H581"/>
    <mergeCell ref="I580:I581"/>
    <mergeCell ref="J580:J581"/>
    <mergeCell ref="D582:D583"/>
    <mergeCell ref="F582:F583"/>
    <mergeCell ref="G582:G583"/>
    <mergeCell ref="H582:H583"/>
    <mergeCell ref="I582:I583"/>
    <mergeCell ref="J582:J583"/>
    <mergeCell ref="D584:D585"/>
    <mergeCell ref="F584:F585"/>
    <mergeCell ref="G584:G585"/>
    <mergeCell ref="H584:H585"/>
    <mergeCell ref="I584:I585"/>
    <mergeCell ref="J584:J585"/>
    <mergeCell ref="D586:D587"/>
    <mergeCell ref="F586:F587"/>
    <mergeCell ref="G586:G587"/>
    <mergeCell ref="H586:H587"/>
    <mergeCell ref="I586:I587"/>
    <mergeCell ref="J586:J587"/>
    <mergeCell ref="D588:D589"/>
    <mergeCell ref="F588:F589"/>
    <mergeCell ref="G588:G589"/>
    <mergeCell ref="H588:H589"/>
    <mergeCell ref="I588:I589"/>
    <mergeCell ref="J588:J589"/>
    <mergeCell ref="C590:C599"/>
    <mergeCell ref="D590:D591"/>
    <mergeCell ref="F590:F591"/>
    <mergeCell ref="G590:G591"/>
    <mergeCell ref="H590:H591"/>
    <mergeCell ref="I590:I591"/>
    <mergeCell ref="J590:J591"/>
    <mergeCell ref="D592:D593"/>
    <mergeCell ref="F592:F593"/>
    <mergeCell ref="G592:G593"/>
    <mergeCell ref="H592:H593"/>
    <mergeCell ref="I592:I593"/>
    <mergeCell ref="J592:J593"/>
    <mergeCell ref="D594:D595"/>
    <mergeCell ref="F594:F595"/>
    <mergeCell ref="G594:G595"/>
    <mergeCell ref="H594:H595"/>
    <mergeCell ref="I594:I595"/>
    <mergeCell ref="J594:J595"/>
    <mergeCell ref="D596:D597"/>
    <mergeCell ref="F596:F597"/>
    <mergeCell ref="G596:G597"/>
    <mergeCell ref="H596:H597"/>
    <mergeCell ref="I596:I597"/>
    <mergeCell ref="J596:J597"/>
    <mergeCell ref="D598:D599"/>
    <mergeCell ref="F598:F599"/>
    <mergeCell ref="G598:G599"/>
    <mergeCell ref="H598:H599"/>
    <mergeCell ref="I598:I599"/>
    <mergeCell ref="J598:J599"/>
    <mergeCell ref="C600:C609"/>
    <mergeCell ref="D600:D601"/>
    <mergeCell ref="F600:F601"/>
    <mergeCell ref="G600:G601"/>
    <mergeCell ref="H600:H601"/>
    <mergeCell ref="I600:I601"/>
    <mergeCell ref="J600:J601"/>
    <mergeCell ref="D602:D603"/>
    <mergeCell ref="F602:F603"/>
    <mergeCell ref="G602:G603"/>
    <mergeCell ref="H602:H603"/>
    <mergeCell ref="I602:I603"/>
    <mergeCell ref="J602:J603"/>
    <mergeCell ref="D604:D605"/>
    <mergeCell ref="F604:F605"/>
    <mergeCell ref="G604:G605"/>
    <mergeCell ref="H604:H605"/>
    <mergeCell ref="I604:I605"/>
    <mergeCell ref="J604:J605"/>
    <mergeCell ref="D606:D607"/>
    <mergeCell ref="F606:F607"/>
    <mergeCell ref="G606:G607"/>
    <mergeCell ref="H606:H607"/>
    <mergeCell ref="I606:I607"/>
    <mergeCell ref="J606:J607"/>
    <mergeCell ref="D608:D609"/>
    <mergeCell ref="F608:F609"/>
    <mergeCell ref="G608:G609"/>
    <mergeCell ref="H608:H609"/>
    <mergeCell ref="I608:I609"/>
    <mergeCell ref="J608:J609"/>
    <mergeCell ref="C610:C619"/>
    <mergeCell ref="D610:D611"/>
    <mergeCell ref="F610:F611"/>
    <mergeCell ref="G610:G611"/>
    <mergeCell ref="H610:H611"/>
    <mergeCell ref="I610:I611"/>
    <mergeCell ref="J610:J611"/>
    <mergeCell ref="D612:D613"/>
    <mergeCell ref="F612:F613"/>
    <mergeCell ref="G612:G613"/>
    <mergeCell ref="H612:H613"/>
    <mergeCell ref="I612:I613"/>
    <mergeCell ref="J612:J613"/>
    <mergeCell ref="D614:D615"/>
    <mergeCell ref="F614:F615"/>
    <mergeCell ref="G614:G615"/>
    <mergeCell ref="H614:H615"/>
    <mergeCell ref="I614:I615"/>
    <mergeCell ref="J614:J615"/>
    <mergeCell ref="D616:D617"/>
    <mergeCell ref="F616:F617"/>
    <mergeCell ref="G616:G617"/>
    <mergeCell ref="H616:H617"/>
    <mergeCell ref="I616:I617"/>
    <mergeCell ref="J616:J617"/>
    <mergeCell ref="D618:D619"/>
    <mergeCell ref="F618:F619"/>
    <mergeCell ref="G618:G619"/>
    <mergeCell ref="H618:H619"/>
    <mergeCell ref="I618:I619"/>
    <mergeCell ref="J618:J619"/>
    <mergeCell ref="C620:C629"/>
    <mergeCell ref="D620:D621"/>
    <mergeCell ref="F620:F621"/>
    <mergeCell ref="G620:G621"/>
    <mergeCell ref="H620:H621"/>
    <mergeCell ref="I620:I621"/>
    <mergeCell ref="J620:J621"/>
    <mergeCell ref="D622:D623"/>
    <mergeCell ref="F622:F623"/>
    <mergeCell ref="G622:G623"/>
    <mergeCell ref="H622:H623"/>
    <mergeCell ref="I622:I623"/>
    <mergeCell ref="J622:J623"/>
    <mergeCell ref="D624:D625"/>
    <mergeCell ref="F624:F625"/>
    <mergeCell ref="G624:G625"/>
    <mergeCell ref="H624:H625"/>
    <mergeCell ref="I624:I625"/>
    <mergeCell ref="J624:J625"/>
    <mergeCell ref="D626:D627"/>
    <mergeCell ref="F626:F627"/>
    <mergeCell ref="G626:G627"/>
    <mergeCell ref="H626:H627"/>
    <mergeCell ref="I626:I627"/>
    <mergeCell ref="J626:J627"/>
    <mergeCell ref="D628:D629"/>
    <mergeCell ref="F628:F629"/>
    <mergeCell ref="G628:G629"/>
    <mergeCell ref="H628:H629"/>
    <mergeCell ref="I628:I629"/>
    <mergeCell ref="J628:J629"/>
    <mergeCell ref="C630:C639"/>
    <mergeCell ref="D630:D631"/>
    <mergeCell ref="F630:F631"/>
    <mergeCell ref="G630:G631"/>
    <mergeCell ref="H630:H631"/>
    <mergeCell ref="I630:I631"/>
    <mergeCell ref="J630:J631"/>
    <mergeCell ref="D632:D633"/>
    <mergeCell ref="F632:F633"/>
    <mergeCell ref="G632:G633"/>
    <mergeCell ref="H632:H633"/>
    <mergeCell ref="I632:I633"/>
    <mergeCell ref="J632:J633"/>
    <mergeCell ref="D634:D635"/>
    <mergeCell ref="F634:F635"/>
    <mergeCell ref="G634:G635"/>
    <mergeCell ref="H634:H635"/>
    <mergeCell ref="I634:I635"/>
    <mergeCell ref="J634:J635"/>
    <mergeCell ref="D636:D637"/>
    <mergeCell ref="F636:F637"/>
    <mergeCell ref="G636:G637"/>
    <mergeCell ref="H636:H637"/>
    <mergeCell ref="I636:I637"/>
    <mergeCell ref="J636:J637"/>
    <mergeCell ref="D638:D639"/>
    <mergeCell ref="F638:F639"/>
    <mergeCell ref="G638:G639"/>
    <mergeCell ref="H638:H639"/>
    <mergeCell ref="I638:I639"/>
    <mergeCell ref="J638:J639"/>
    <mergeCell ref="B640:B699"/>
    <mergeCell ref="C640:C649"/>
    <mergeCell ref="D640:D641"/>
    <mergeCell ref="F640:F641"/>
    <mergeCell ref="G640:G641"/>
    <mergeCell ref="H640:H641"/>
    <mergeCell ref="I640:I641"/>
    <mergeCell ref="J640:J641"/>
    <mergeCell ref="D642:D643"/>
    <mergeCell ref="F642:F643"/>
    <mergeCell ref="G642:G643"/>
    <mergeCell ref="H642:H643"/>
    <mergeCell ref="I642:I643"/>
    <mergeCell ref="J642:J643"/>
    <mergeCell ref="D644:D645"/>
    <mergeCell ref="F644:F645"/>
    <mergeCell ref="G644:G645"/>
    <mergeCell ref="H644:H645"/>
    <mergeCell ref="I644:I645"/>
    <mergeCell ref="J644:J645"/>
    <mergeCell ref="D646:D647"/>
    <mergeCell ref="F646:F647"/>
    <mergeCell ref="G646:G647"/>
    <mergeCell ref="H646:H647"/>
    <mergeCell ref="I646:I647"/>
    <mergeCell ref="J646:J647"/>
    <mergeCell ref="D648:D649"/>
    <mergeCell ref="F648:F649"/>
    <mergeCell ref="G648:G649"/>
    <mergeCell ref="H648:H649"/>
    <mergeCell ref="I648:I649"/>
    <mergeCell ref="J648:J649"/>
    <mergeCell ref="C650:C659"/>
    <mergeCell ref="D650:D651"/>
    <mergeCell ref="F650:F651"/>
    <mergeCell ref="G650:G651"/>
    <mergeCell ref="H650:H651"/>
    <mergeCell ref="I650:I651"/>
    <mergeCell ref="J650:J651"/>
    <mergeCell ref="D652:D653"/>
    <mergeCell ref="F652:F653"/>
    <mergeCell ref="G652:G653"/>
    <mergeCell ref="H652:H653"/>
    <mergeCell ref="I652:I653"/>
    <mergeCell ref="J652:J653"/>
    <mergeCell ref="D654:D655"/>
    <mergeCell ref="F654:F655"/>
    <mergeCell ref="G654:G655"/>
    <mergeCell ref="H654:H655"/>
    <mergeCell ref="I654:I655"/>
    <mergeCell ref="J654:J655"/>
    <mergeCell ref="D656:D657"/>
    <mergeCell ref="F656:F657"/>
    <mergeCell ref="G656:G657"/>
    <mergeCell ref="H656:H657"/>
    <mergeCell ref="I656:I657"/>
    <mergeCell ref="J656:J657"/>
    <mergeCell ref="D658:D659"/>
    <mergeCell ref="F658:F659"/>
    <mergeCell ref="G658:G659"/>
    <mergeCell ref="H658:H659"/>
    <mergeCell ref="I658:I659"/>
    <mergeCell ref="J658:J659"/>
    <mergeCell ref="C660:C669"/>
    <mergeCell ref="D660:D661"/>
    <mergeCell ref="F660:F661"/>
    <mergeCell ref="G660:G661"/>
    <mergeCell ref="H660:H661"/>
    <mergeCell ref="I660:I661"/>
    <mergeCell ref="J660:J661"/>
    <mergeCell ref="D662:D663"/>
    <mergeCell ref="F662:F663"/>
    <mergeCell ref="G662:G663"/>
    <mergeCell ref="H662:H663"/>
    <mergeCell ref="I662:I663"/>
    <mergeCell ref="J662:J663"/>
    <mergeCell ref="D664:D665"/>
    <mergeCell ref="F664:F665"/>
    <mergeCell ref="G664:G665"/>
    <mergeCell ref="H664:H665"/>
    <mergeCell ref="I664:I665"/>
    <mergeCell ref="J664:J665"/>
    <mergeCell ref="D666:D667"/>
    <mergeCell ref="F666:F667"/>
    <mergeCell ref="G666:G667"/>
    <mergeCell ref="H666:H667"/>
    <mergeCell ref="I666:I667"/>
    <mergeCell ref="J666:J667"/>
    <mergeCell ref="D668:D669"/>
    <mergeCell ref="F668:F669"/>
    <mergeCell ref="G668:G669"/>
    <mergeCell ref="H668:H669"/>
    <mergeCell ref="I668:I669"/>
    <mergeCell ref="J668:J669"/>
    <mergeCell ref="C670:C679"/>
    <mergeCell ref="D670:D671"/>
    <mergeCell ref="F670:F671"/>
    <mergeCell ref="G670:G671"/>
    <mergeCell ref="H670:H671"/>
    <mergeCell ref="I670:I671"/>
    <mergeCell ref="J670:J671"/>
    <mergeCell ref="D672:D673"/>
    <mergeCell ref="F672:F673"/>
    <mergeCell ref="G672:G673"/>
    <mergeCell ref="H672:H673"/>
    <mergeCell ref="I672:I673"/>
    <mergeCell ref="J672:J673"/>
    <mergeCell ref="D674:D675"/>
    <mergeCell ref="F674:F675"/>
    <mergeCell ref="G674:G675"/>
    <mergeCell ref="H674:H675"/>
    <mergeCell ref="I674:I675"/>
    <mergeCell ref="J674:J675"/>
    <mergeCell ref="D676:D677"/>
    <mergeCell ref="F676:F677"/>
    <mergeCell ref="G676:G677"/>
    <mergeCell ref="H676:H677"/>
    <mergeCell ref="I676:I677"/>
    <mergeCell ref="J676:J677"/>
    <mergeCell ref="D678:D679"/>
    <mergeCell ref="F678:F679"/>
    <mergeCell ref="G678:G679"/>
    <mergeCell ref="H678:H679"/>
    <mergeCell ref="I678:I679"/>
    <mergeCell ref="J678:J679"/>
    <mergeCell ref="C680:C689"/>
    <mergeCell ref="D680:D681"/>
    <mergeCell ref="F680:F681"/>
    <mergeCell ref="G680:G681"/>
    <mergeCell ref="H680:H681"/>
    <mergeCell ref="I680:I681"/>
    <mergeCell ref="J680:J681"/>
    <mergeCell ref="D682:D683"/>
    <mergeCell ref="F682:F683"/>
    <mergeCell ref="G682:G683"/>
    <mergeCell ref="H682:H683"/>
    <mergeCell ref="I682:I683"/>
    <mergeCell ref="J682:J683"/>
    <mergeCell ref="D684:D685"/>
    <mergeCell ref="F684:F685"/>
    <mergeCell ref="G684:G685"/>
    <mergeCell ref="H684:H685"/>
    <mergeCell ref="I684:I685"/>
    <mergeCell ref="J684:J685"/>
    <mergeCell ref="D686:D687"/>
    <mergeCell ref="F686:F687"/>
    <mergeCell ref="G686:G687"/>
    <mergeCell ref="H686:H687"/>
    <mergeCell ref="I686:I687"/>
    <mergeCell ref="J686:J687"/>
    <mergeCell ref="D688:D689"/>
    <mergeCell ref="F688:F689"/>
    <mergeCell ref="G688:G689"/>
    <mergeCell ref="H688:H689"/>
    <mergeCell ref="I688:I689"/>
    <mergeCell ref="J688:J689"/>
    <mergeCell ref="C690:C699"/>
    <mergeCell ref="D690:D691"/>
    <mergeCell ref="F690:F691"/>
    <mergeCell ref="G690:G691"/>
    <mergeCell ref="H690:H691"/>
    <mergeCell ref="I690:I691"/>
    <mergeCell ref="J690:J691"/>
    <mergeCell ref="D692:D693"/>
    <mergeCell ref="F692:F693"/>
    <mergeCell ref="G692:G693"/>
    <mergeCell ref="H692:H693"/>
    <mergeCell ref="I692:I693"/>
    <mergeCell ref="J692:J693"/>
    <mergeCell ref="D694:D695"/>
    <mergeCell ref="F694:F695"/>
    <mergeCell ref="G694:G695"/>
    <mergeCell ref="H694:H695"/>
    <mergeCell ref="I694:I695"/>
    <mergeCell ref="J694:J695"/>
    <mergeCell ref="D696:D697"/>
    <mergeCell ref="F696:F697"/>
    <mergeCell ref="G696:G697"/>
    <mergeCell ref="H696:H697"/>
    <mergeCell ref="I696:I697"/>
    <mergeCell ref="J696:J697"/>
    <mergeCell ref="D698:D699"/>
    <mergeCell ref="F698:F699"/>
    <mergeCell ref="G698:G699"/>
    <mergeCell ref="H698:H699"/>
    <mergeCell ref="I698:I699"/>
    <mergeCell ref="J698:J699"/>
    <mergeCell ref="B700:B829"/>
    <mergeCell ref="C700:C709"/>
    <mergeCell ref="D700:D701"/>
    <mergeCell ref="F700:F701"/>
    <mergeCell ref="G700:G701"/>
    <mergeCell ref="H700:H701"/>
    <mergeCell ref="I700:I701"/>
    <mergeCell ref="J700:J701"/>
    <mergeCell ref="D702:D703"/>
    <mergeCell ref="F702:F703"/>
    <mergeCell ref="G702:G703"/>
    <mergeCell ref="H702:H703"/>
    <mergeCell ref="I702:I703"/>
    <mergeCell ref="J702:J703"/>
    <mergeCell ref="D704:D705"/>
    <mergeCell ref="F704:F705"/>
    <mergeCell ref="G704:G705"/>
    <mergeCell ref="H704:H705"/>
    <mergeCell ref="I704:I705"/>
    <mergeCell ref="J704:J705"/>
    <mergeCell ref="D706:D707"/>
    <mergeCell ref="F706:F707"/>
    <mergeCell ref="G706:G707"/>
    <mergeCell ref="H706:H707"/>
    <mergeCell ref="I706:I707"/>
    <mergeCell ref="J706:J707"/>
    <mergeCell ref="D708:D709"/>
    <mergeCell ref="F708:F709"/>
    <mergeCell ref="G708:G709"/>
    <mergeCell ref="H708:H709"/>
    <mergeCell ref="I708:I709"/>
    <mergeCell ref="J708:J709"/>
    <mergeCell ref="C710:C719"/>
    <mergeCell ref="D710:D711"/>
    <mergeCell ref="F710:F711"/>
    <mergeCell ref="G710:G711"/>
    <mergeCell ref="H710:H711"/>
    <mergeCell ref="I710:I711"/>
    <mergeCell ref="J710:J711"/>
    <mergeCell ref="D712:D713"/>
    <mergeCell ref="F712:F713"/>
    <mergeCell ref="G712:G713"/>
    <mergeCell ref="H712:H713"/>
    <mergeCell ref="I712:I713"/>
    <mergeCell ref="J712:J713"/>
    <mergeCell ref="D714:D715"/>
    <mergeCell ref="F714:F715"/>
    <mergeCell ref="G714:G715"/>
    <mergeCell ref="H714:H715"/>
    <mergeCell ref="I714:I715"/>
    <mergeCell ref="J714:J715"/>
    <mergeCell ref="D716:D717"/>
    <mergeCell ref="F716:F717"/>
    <mergeCell ref="G716:G717"/>
    <mergeCell ref="H716:H717"/>
    <mergeCell ref="I716:I717"/>
    <mergeCell ref="J716:J717"/>
    <mergeCell ref="D718:D719"/>
    <mergeCell ref="F718:F719"/>
    <mergeCell ref="G718:G719"/>
    <mergeCell ref="H718:H719"/>
    <mergeCell ref="I718:I719"/>
    <mergeCell ref="J718:J719"/>
    <mergeCell ref="C720:C729"/>
    <mergeCell ref="D720:D721"/>
    <mergeCell ref="F720:F721"/>
    <mergeCell ref="G720:G721"/>
    <mergeCell ref="H720:H721"/>
    <mergeCell ref="I720:I721"/>
    <mergeCell ref="J720:J721"/>
    <mergeCell ref="D722:D723"/>
    <mergeCell ref="F722:F723"/>
    <mergeCell ref="G722:G723"/>
    <mergeCell ref="H722:H723"/>
    <mergeCell ref="I722:I723"/>
    <mergeCell ref="J722:J723"/>
    <mergeCell ref="D724:D725"/>
    <mergeCell ref="F724:F725"/>
    <mergeCell ref="G724:G725"/>
    <mergeCell ref="H724:H725"/>
    <mergeCell ref="I724:I725"/>
    <mergeCell ref="J724:J725"/>
    <mergeCell ref="D726:D727"/>
    <mergeCell ref="F726:F727"/>
    <mergeCell ref="G726:G727"/>
    <mergeCell ref="H726:H727"/>
    <mergeCell ref="I726:I727"/>
    <mergeCell ref="J726:J727"/>
    <mergeCell ref="D728:D729"/>
    <mergeCell ref="F728:F729"/>
    <mergeCell ref="G728:G729"/>
    <mergeCell ref="H728:H729"/>
    <mergeCell ref="I728:I729"/>
    <mergeCell ref="J728:J729"/>
    <mergeCell ref="C730:C739"/>
    <mergeCell ref="D730:D731"/>
    <mergeCell ref="F730:F731"/>
    <mergeCell ref="G730:G731"/>
    <mergeCell ref="H730:H731"/>
    <mergeCell ref="I730:I731"/>
    <mergeCell ref="J730:J731"/>
    <mergeCell ref="D732:D733"/>
    <mergeCell ref="F732:F733"/>
    <mergeCell ref="G732:G733"/>
    <mergeCell ref="H732:H733"/>
    <mergeCell ref="I732:I733"/>
    <mergeCell ref="J732:J733"/>
    <mergeCell ref="D734:D735"/>
    <mergeCell ref="F734:F735"/>
    <mergeCell ref="G734:G735"/>
    <mergeCell ref="H734:H735"/>
    <mergeCell ref="I734:I735"/>
    <mergeCell ref="J734:J735"/>
    <mergeCell ref="D736:D737"/>
    <mergeCell ref="F736:F737"/>
    <mergeCell ref="G736:G737"/>
    <mergeCell ref="H736:H737"/>
    <mergeCell ref="I736:I737"/>
    <mergeCell ref="J736:J737"/>
    <mergeCell ref="D738:D739"/>
    <mergeCell ref="F738:F739"/>
    <mergeCell ref="G738:G739"/>
    <mergeCell ref="H738:H739"/>
    <mergeCell ref="I738:I739"/>
    <mergeCell ref="J738:J739"/>
    <mergeCell ref="C740:C749"/>
    <mergeCell ref="D740:D741"/>
    <mergeCell ref="F740:F741"/>
    <mergeCell ref="G740:G741"/>
    <mergeCell ref="H740:H741"/>
    <mergeCell ref="I740:I741"/>
    <mergeCell ref="J740:J741"/>
    <mergeCell ref="D742:D743"/>
    <mergeCell ref="F742:F743"/>
    <mergeCell ref="G742:G743"/>
    <mergeCell ref="H742:H743"/>
    <mergeCell ref="I742:I743"/>
    <mergeCell ref="J742:J743"/>
    <mergeCell ref="D744:D745"/>
    <mergeCell ref="F744:F745"/>
    <mergeCell ref="G744:G745"/>
    <mergeCell ref="H744:H745"/>
    <mergeCell ref="I744:I745"/>
    <mergeCell ref="J744:J745"/>
    <mergeCell ref="D746:D747"/>
    <mergeCell ref="F746:F747"/>
    <mergeCell ref="G746:G747"/>
    <mergeCell ref="H746:H747"/>
    <mergeCell ref="I746:I747"/>
    <mergeCell ref="J746:J747"/>
    <mergeCell ref="D748:D749"/>
    <mergeCell ref="F748:F749"/>
    <mergeCell ref="G748:G749"/>
    <mergeCell ref="H748:H749"/>
    <mergeCell ref="I748:I749"/>
    <mergeCell ref="J748:J749"/>
    <mergeCell ref="C750:C759"/>
    <mergeCell ref="D750:D751"/>
    <mergeCell ref="F750:F751"/>
    <mergeCell ref="G750:G751"/>
    <mergeCell ref="H750:H751"/>
    <mergeCell ref="I750:I751"/>
    <mergeCell ref="J750:J751"/>
    <mergeCell ref="D752:D753"/>
    <mergeCell ref="F752:F753"/>
    <mergeCell ref="G752:G753"/>
    <mergeCell ref="H752:H753"/>
    <mergeCell ref="I752:I753"/>
    <mergeCell ref="J752:J753"/>
    <mergeCell ref="D754:D755"/>
    <mergeCell ref="F754:F755"/>
    <mergeCell ref="G754:G755"/>
    <mergeCell ref="H754:H755"/>
    <mergeCell ref="I754:I755"/>
    <mergeCell ref="J754:J755"/>
    <mergeCell ref="D756:D757"/>
    <mergeCell ref="F756:F757"/>
    <mergeCell ref="G756:G757"/>
    <mergeCell ref="H756:H757"/>
    <mergeCell ref="I756:I757"/>
    <mergeCell ref="J756:J757"/>
    <mergeCell ref="D758:D759"/>
    <mergeCell ref="F758:F759"/>
    <mergeCell ref="G758:G759"/>
    <mergeCell ref="H758:H759"/>
    <mergeCell ref="I758:I759"/>
    <mergeCell ref="J758:J759"/>
    <mergeCell ref="C760:C769"/>
    <mergeCell ref="D760:D761"/>
    <mergeCell ref="F760:F761"/>
    <mergeCell ref="G760:G761"/>
    <mergeCell ref="H760:H761"/>
    <mergeCell ref="I760:I761"/>
    <mergeCell ref="J760:J761"/>
    <mergeCell ref="D762:D763"/>
    <mergeCell ref="F762:F763"/>
    <mergeCell ref="G762:G763"/>
    <mergeCell ref="H762:H763"/>
    <mergeCell ref="I762:I763"/>
    <mergeCell ref="J762:J763"/>
    <mergeCell ref="D764:D765"/>
    <mergeCell ref="F764:F765"/>
    <mergeCell ref="G764:G765"/>
    <mergeCell ref="H764:H765"/>
    <mergeCell ref="I764:I765"/>
    <mergeCell ref="J764:J765"/>
    <mergeCell ref="D766:D767"/>
    <mergeCell ref="F766:F767"/>
    <mergeCell ref="G766:G767"/>
    <mergeCell ref="H766:H767"/>
    <mergeCell ref="I766:I767"/>
    <mergeCell ref="J766:J767"/>
    <mergeCell ref="D768:D769"/>
    <mergeCell ref="F768:F769"/>
    <mergeCell ref="G768:G769"/>
    <mergeCell ref="H768:H769"/>
    <mergeCell ref="I768:I769"/>
    <mergeCell ref="J768:J769"/>
    <mergeCell ref="C770:C779"/>
    <mergeCell ref="D770:D771"/>
    <mergeCell ref="F770:F771"/>
    <mergeCell ref="G770:G771"/>
    <mergeCell ref="H770:H771"/>
    <mergeCell ref="I770:I771"/>
    <mergeCell ref="J770:J771"/>
    <mergeCell ref="D772:D773"/>
    <mergeCell ref="F772:F773"/>
    <mergeCell ref="G772:G773"/>
    <mergeCell ref="H772:H773"/>
    <mergeCell ref="I772:I773"/>
    <mergeCell ref="J772:J773"/>
    <mergeCell ref="D774:D775"/>
    <mergeCell ref="F774:F775"/>
    <mergeCell ref="G774:G775"/>
    <mergeCell ref="H774:H775"/>
    <mergeCell ref="I774:I775"/>
    <mergeCell ref="J774:J775"/>
    <mergeCell ref="D776:D777"/>
    <mergeCell ref="F776:F777"/>
    <mergeCell ref="G776:G777"/>
    <mergeCell ref="H776:H777"/>
    <mergeCell ref="I776:I777"/>
    <mergeCell ref="J776:J777"/>
    <mergeCell ref="D778:D779"/>
    <mergeCell ref="F778:F779"/>
    <mergeCell ref="G778:G779"/>
    <mergeCell ref="H778:H779"/>
    <mergeCell ref="I778:I779"/>
    <mergeCell ref="J778:J779"/>
    <mergeCell ref="C780:C789"/>
    <mergeCell ref="D780:D781"/>
    <mergeCell ref="F780:F781"/>
    <mergeCell ref="G780:G781"/>
    <mergeCell ref="H780:H781"/>
    <mergeCell ref="I780:I781"/>
    <mergeCell ref="J780:J781"/>
    <mergeCell ref="D782:D783"/>
    <mergeCell ref="F782:F783"/>
    <mergeCell ref="G782:G783"/>
    <mergeCell ref="H782:H783"/>
    <mergeCell ref="I782:I783"/>
    <mergeCell ref="J782:J783"/>
    <mergeCell ref="D784:D785"/>
    <mergeCell ref="F784:F785"/>
    <mergeCell ref="G784:G785"/>
    <mergeCell ref="H784:H785"/>
    <mergeCell ref="I784:I785"/>
    <mergeCell ref="J784:J785"/>
    <mergeCell ref="D786:D787"/>
    <mergeCell ref="F786:F787"/>
    <mergeCell ref="G786:G787"/>
    <mergeCell ref="H786:H787"/>
    <mergeCell ref="I786:I787"/>
    <mergeCell ref="J786:J787"/>
    <mergeCell ref="D788:D789"/>
    <mergeCell ref="F788:F789"/>
    <mergeCell ref="G788:G789"/>
    <mergeCell ref="H788:H789"/>
    <mergeCell ref="I788:I789"/>
    <mergeCell ref="J788:J789"/>
    <mergeCell ref="C790:C799"/>
    <mergeCell ref="D790:D791"/>
    <mergeCell ref="F790:F791"/>
    <mergeCell ref="G790:G791"/>
    <mergeCell ref="H790:H791"/>
    <mergeCell ref="I790:I791"/>
    <mergeCell ref="J790:J791"/>
    <mergeCell ref="D792:D793"/>
    <mergeCell ref="F792:F793"/>
    <mergeCell ref="G792:G793"/>
    <mergeCell ref="H792:H793"/>
    <mergeCell ref="I792:I793"/>
    <mergeCell ref="J792:J793"/>
    <mergeCell ref="D794:D795"/>
    <mergeCell ref="F794:F795"/>
    <mergeCell ref="G794:G795"/>
    <mergeCell ref="H794:H795"/>
    <mergeCell ref="I794:I795"/>
    <mergeCell ref="J794:J795"/>
    <mergeCell ref="D796:D797"/>
    <mergeCell ref="F796:F797"/>
    <mergeCell ref="G796:G797"/>
    <mergeCell ref="H796:H797"/>
    <mergeCell ref="I796:I797"/>
    <mergeCell ref="J796:J797"/>
    <mergeCell ref="D798:D799"/>
    <mergeCell ref="F798:F799"/>
    <mergeCell ref="G798:G799"/>
    <mergeCell ref="H798:H799"/>
    <mergeCell ref="I798:I799"/>
    <mergeCell ref="J798:J799"/>
    <mergeCell ref="C800:C809"/>
    <mergeCell ref="D800:D801"/>
    <mergeCell ref="F800:F801"/>
    <mergeCell ref="G800:G801"/>
    <mergeCell ref="H800:H801"/>
    <mergeCell ref="I800:I801"/>
    <mergeCell ref="J800:J801"/>
    <mergeCell ref="D802:D803"/>
    <mergeCell ref="F802:F803"/>
    <mergeCell ref="G802:G803"/>
    <mergeCell ref="H802:H803"/>
    <mergeCell ref="I802:I803"/>
    <mergeCell ref="J802:J803"/>
    <mergeCell ref="D804:D805"/>
    <mergeCell ref="F804:F805"/>
    <mergeCell ref="G804:G805"/>
    <mergeCell ref="H804:H805"/>
    <mergeCell ref="I804:I805"/>
    <mergeCell ref="J804:J805"/>
    <mergeCell ref="D806:D807"/>
    <mergeCell ref="F806:F807"/>
    <mergeCell ref="G806:G807"/>
    <mergeCell ref="H806:H807"/>
    <mergeCell ref="I806:I807"/>
    <mergeCell ref="J806:J807"/>
    <mergeCell ref="D808:D809"/>
    <mergeCell ref="F808:F809"/>
    <mergeCell ref="G808:G809"/>
    <mergeCell ref="H808:H809"/>
    <mergeCell ref="I808:I809"/>
    <mergeCell ref="J808:J809"/>
    <mergeCell ref="C810:C819"/>
    <mergeCell ref="D810:D811"/>
    <mergeCell ref="F810:F811"/>
    <mergeCell ref="G810:G811"/>
    <mergeCell ref="H810:H811"/>
    <mergeCell ref="I810:I811"/>
    <mergeCell ref="J810:J811"/>
    <mergeCell ref="D812:D813"/>
    <mergeCell ref="F812:F813"/>
    <mergeCell ref="G812:G813"/>
    <mergeCell ref="H812:H813"/>
    <mergeCell ref="I812:I813"/>
    <mergeCell ref="J812:J813"/>
    <mergeCell ref="D814:D815"/>
    <mergeCell ref="F814:F815"/>
    <mergeCell ref="G814:G815"/>
    <mergeCell ref="H814:H815"/>
    <mergeCell ref="I814:I815"/>
    <mergeCell ref="J814:J815"/>
    <mergeCell ref="D816:D817"/>
    <mergeCell ref="F816:F817"/>
    <mergeCell ref="G816:G817"/>
    <mergeCell ref="H816:H817"/>
    <mergeCell ref="I816:I817"/>
    <mergeCell ref="J816:J817"/>
    <mergeCell ref="D818:D819"/>
    <mergeCell ref="F818:F819"/>
    <mergeCell ref="G818:G819"/>
    <mergeCell ref="H818:H819"/>
    <mergeCell ref="I818:I819"/>
    <mergeCell ref="J818:J819"/>
    <mergeCell ref="C820:C829"/>
    <mergeCell ref="D820:D821"/>
    <mergeCell ref="F820:F821"/>
    <mergeCell ref="G820:G821"/>
    <mergeCell ref="H820:H821"/>
    <mergeCell ref="I820:I821"/>
    <mergeCell ref="J820:J821"/>
    <mergeCell ref="D822:D823"/>
    <mergeCell ref="F822:F823"/>
    <mergeCell ref="G822:G823"/>
    <mergeCell ref="H822:H823"/>
    <mergeCell ref="I822:I823"/>
    <mergeCell ref="J822:J823"/>
    <mergeCell ref="D824:D825"/>
    <mergeCell ref="F824:F825"/>
    <mergeCell ref="G824:G825"/>
    <mergeCell ref="H824:H825"/>
    <mergeCell ref="I824:I825"/>
    <mergeCell ref="J824:J825"/>
    <mergeCell ref="D826:D827"/>
    <mergeCell ref="F826:F827"/>
    <mergeCell ref="G826:G827"/>
    <mergeCell ref="H826:H827"/>
    <mergeCell ref="I826:I827"/>
    <mergeCell ref="J826:J827"/>
    <mergeCell ref="D828:D829"/>
    <mergeCell ref="F828:F829"/>
    <mergeCell ref="G828:G829"/>
    <mergeCell ref="H828:H829"/>
    <mergeCell ref="I828:I829"/>
    <mergeCell ref="J828:J829"/>
    <mergeCell ref="B830:B1019"/>
    <mergeCell ref="C830:C839"/>
    <mergeCell ref="D830:D831"/>
    <mergeCell ref="F830:F831"/>
    <mergeCell ref="G830:G831"/>
    <mergeCell ref="H830:H831"/>
    <mergeCell ref="I830:I831"/>
    <mergeCell ref="J830:J831"/>
    <mergeCell ref="D832:D833"/>
    <mergeCell ref="F832:F833"/>
    <mergeCell ref="G832:G833"/>
    <mergeCell ref="H832:H833"/>
    <mergeCell ref="I832:I833"/>
    <mergeCell ref="J832:J833"/>
    <mergeCell ref="D834:D835"/>
    <mergeCell ref="F834:F835"/>
    <mergeCell ref="G834:G835"/>
    <mergeCell ref="H834:H835"/>
    <mergeCell ref="I834:I835"/>
    <mergeCell ref="J834:J835"/>
    <mergeCell ref="D836:D837"/>
    <mergeCell ref="F836:F837"/>
    <mergeCell ref="G836:G837"/>
    <mergeCell ref="H836:H837"/>
    <mergeCell ref="I836:I837"/>
    <mergeCell ref="J836:J837"/>
    <mergeCell ref="D838:D839"/>
    <mergeCell ref="F838:F839"/>
    <mergeCell ref="G838:G839"/>
    <mergeCell ref="H838:H839"/>
    <mergeCell ref="I838:I839"/>
    <mergeCell ref="J838:J839"/>
    <mergeCell ref="C840:C849"/>
    <mergeCell ref="D840:D841"/>
    <mergeCell ref="F840:F841"/>
    <mergeCell ref="G840:G841"/>
    <mergeCell ref="H840:H841"/>
    <mergeCell ref="I840:I841"/>
    <mergeCell ref="J840:J841"/>
    <mergeCell ref="D842:D843"/>
    <mergeCell ref="F842:F843"/>
    <mergeCell ref="G842:G843"/>
    <mergeCell ref="H842:H843"/>
    <mergeCell ref="I842:I843"/>
    <mergeCell ref="J842:J843"/>
    <mergeCell ref="D844:D845"/>
    <mergeCell ref="F844:F845"/>
    <mergeCell ref="G844:G845"/>
    <mergeCell ref="H844:H845"/>
    <mergeCell ref="I844:I845"/>
    <mergeCell ref="J844:J845"/>
    <mergeCell ref="D846:D847"/>
    <mergeCell ref="F846:F847"/>
    <mergeCell ref="G846:G847"/>
    <mergeCell ref="H846:H847"/>
    <mergeCell ref="I846:I847"/>
    <mergeCell ref="J846:J847"/>
    <mergeCell ref="D848:D849"/>
    <mergeCell ref="F848:F849"/>
    <mergeCell ref="G848:G849"/>
    <mergeCell ref="H848:H849"/>
    <mergeCell ref="I848:I849"/>
    <mergeCell ref="J848:J849"/>
    <mergeCell ref="C850:C859"/>
    <mergeCell ref="D850:D851"/>
    <mergeCell ref="F850:F851"/>
    <mergeCell ref="G850:G851"/>
    <mergeCell ref="H850:H851"/>
    <mergeCell ref="I850:I851"/>
    <mergeCell ref="J850:J851"/>
    <mergeCell ref="D852:D853"/>
    <mergeCell ref="F852:F853"/>
    <mergeCell ref="G852:G853"/>
    <mergeCell ref="H852:H853"/>
    <mergeCell ref="I852:I853"/>
    <mergeCell ref="J852:J853"/>
    <mergeCell ref="D854:D855"/>
    <mergeCell ref="F854:F855"/>
    <mergeCell ref="G854:G855"/>
    <mergeCell ref="H854:H855"/>
    <mergeCell ref="I854:I855"/>
    <mergeCell ref="J854:J855"/>
    <mergeCell ref="D856:D857"/>
    <mergeCell ref="F856:F857"/>
    <mergeCell ref="G856:G857"/>
    <mergeCell ref="H856:H857"/>
    <mergeCell ref="I856:I857"/>
    <mergeCell ref="J856:J857"/>
    <mergeCell ref="D858:D859"/>
    <mergeCell ref="F858:F859"/>
    <mergeCell ref="G858:G859"/>
    <mergeCell ref="H858:H859"/>
    <mergeCell ref="I858:I859"/>
    <mergeCell ref="J858:J859"/>
    <mergeCell ref="C860:C869"/>
    <mergeCell ref="D860:D861"/>
    <mergeCell ref="F860:F861"/>
    <mergeCell ref="G860:G861"/>
    <mergeCell ref="H860:H861"/>
    <mergeCell ref="I860:I861"/>
    <mergeCell ref="J860:J861"/>
    <mergeCell ref="D862:D863"/>
    <mergeCell ref="F862:F863"/>
    <mergeCell ref="G862:G863"/>
    <mergeCell ref="H862:H863"/>
    <mergeCell ref="I862:I863"/>
    <mergeCell ref="J862:J863"/>
    <mergeCell ref="D864:D865"/>
    <mergeCell ref="F864:F865"/>
    <mergeCell ref="G864:G865"/>
    <mergeCell ref="H864:H865"/>
    <mergeCell ref="I864:I865"/>
    <mergeCell ref="J864:J865"/>
    <mergeCell ref="D866:D867"/>
    <mergeCell ref="F866:F867"/>
    <mergeCell ref="G866:G867"/>
    <mergeCell ref="H866:H867"/>
    <mergeCell ref="I866:I867"/>
    <mergeCell ref="J866:J867"/>
    <mergeCell ref="D868:D869"/>
    <mergeCell ref="F868:F869"/>
    <mergeCell ref="G868:G869"/>
    <mergeCell ref="H868:H869"/>
    <mergeCell ref="I868:I869"/>
    <mergeCell ref="J868:J869"/>
    <mergeCell ref="C870:C879"/>
    <mergeCell ref="D870:D871"/>
    <mergeCell ref="F870:F871"/>
    <mergeCell ref="G870:G871"/>
    <mergeCell ref="H870:H871"/>
    <mergeCell ref="I870:I871"/>
    <mergeCell ref="J870:J871"/>
    <mergeCell ref="D872:D873"/>
    <mergeCell ref="F872:F873"/>
    <mergeCell ref="G872:G873"/>
    <mergeCell ref="H872:H873"/>
    <mergeCell ref="I872:I873"/>
    <mergeCell ref="J872:J873"/>
    <mergeCell ref="D874:D875"/>
    <mergeCell ref="F874:F875"/>
    <mergeCell ref="G874:G875"/>
    <mergeCell ref="H874:H875"/>
    <mergeCell ref="I874:I875"/>
    <mergeCell ref="J874:J875"/>
    <mergeCell ref="D876:D877"/>
    <mergeCell ref="F876:F877"/>
    <mergeCell ref="G876:G877"/>
    <mergeCell ref="H876:H877"/>
    <mergeCell ref="I876:I877"/>
    <mergeCell ref="J876:J877"/>
    <mergeCell ref="D878:D879"/>
    <mergeCell ref="F878:F879"/>
    <mergeCell ref="G878:G879"/>
    <mergeCell ref="H878:H879"/>
    <mergeCell ref="I878:I879"/>
    <mergeCell ref="J878:J879"/>
    <mergeCell ref="C880:C889"/>
    <mergeCell ref="D880:D881"/>
    <mergeCell ref="F880:F881"/>
    <mergeCell ref="G880:G881"/>
    <mergeCell ref="H880:H881"/>
    <mergeCell ref="I880:I881"/>
    <mergeCell ref="J880:J881"/>
    <mergeCell ref="D882:D883"/>
    <mergeCell ref="F882:F883"/>
    <mergeCell ref="G882:G883"/>
    <mergeCell ref="H882:H883"/>
    <mergeCell ref="I882:I883"/>
    <mergeCell ref="J882:J883"/>
    <mergeCell ref="D884:D885"/>
    <mergeCell ref="F884:F885"/>
    <mergeCell ref="G884:G885"/>
    <mergeCell ref="H884:H885"/>
    <mergeCell ref="I884:I885"/>
    <mergeCell ref="J884:J885"/>
    <mergeCell ref="D886:D887"/>
    <mergeCell ref="F886:F887"/>
    <mergeCell ref="G886:G887"/>
    <mergeCell ref="H886:H887"/>
    <mergeCell ref="I886:I887"/>
    <mergeCell ref="J886:J887"/>
    <mergeCell ref="D888:D889"/>
    <mergeCell ref="F888:F889"/>
    <mergeCell ref="G888:G889"/>
    <mergeCell ref="H888:H889"/>
    <mergeCell ref="I888:I889"/>
    <mergeCell ref="J888:J889"/>
    <mergeCell ref="C890:C899"/>
    <mergeCell ref="D890:D891"/>
    <mergeCell ref="F890:F891"/>
    <mergeCell ref="G890:G891"/>
    <mergeCell ref="H890:H891"/>
    <mergeCell ref="I890:I891"/>
    <mergeCell ref="J890:J891"/>
    <mergeCell ref="D892:D893"/>
    <mergeCell ref="F892:F893"/>
    <mergeCell ref="G892:G893"/>
    <mergeCell ref="H892:H893"/>
    <mergeCell ref="I892:I893"/>
    <mergeCell ref="J892:J893"/>
    <mergeCell ref="D894:D895"/>
    <mergeCell ref="F894:F895"/>
    <mergeCell ref="G894:G895"/>
    <mergeCell ref="H894:H895"/>
    <mergeCell ref="I894:I895"/>
    <mergeCell ref="J894:J895"/>
    <mergeCell ref="D896:D897"/>
    <mergeCell ref="F896:F897"/>
    <mergeCell ref="G896:G897"/>
    <mergeCell ref="H896:H897"/>
    <mergeCell ref="I896:I897"/>
    <mergeCell ref="J896:J897"/>
    <mergeCell ref="D898:D899"/>
    <mergeCell ref="F898:F899"/>
    <mergeCell ref="G898:G899"/>
    <mergeCell ref="H898:H899"/>
    <mergeCell ref="I898:I899"/>
    <mergeCell ref="J898:J899"/>
    <mergeCell ref="C900:C909"/>
    <mergeCell ref="D900:D901"/>
    <mergeCell ref="F900:F901"/>
    <mergeCell ref="G900:G901"/>
    <mergeCell ref="H900:H901"/>
    <mergeCell ref="I900:I901"/>
    <mergeCell ref="J900:J901"/>
    <mergeCell ref="D902:D903"/>
    <mergeCell ref="F902:F903"/>
    <mergeCell ref="G902:G903"/>
    <mergeCell ref="H902:H903"/>
    <mergeCell ref="I902:I903"/>
    <mergeCell ref="J902:J903"/>
    <mergeCell ref="D904:D905"/>
    <mergeCell ref="F904:F905"/>
    <mergeCell ref="G904:G905"/>
    <mergeCell ref="H904:H905"/>
    <mergeCell ref="I904:I905"/>
    <mergeCell ref="J904:J905"/>
    <mergeCell ref="D906:D907"/>
    <mergeCell ref="F906:F907"/>
    <mergeCell ref="G906:G907"/>
    <mergeCell ref="H906:H907"/>
    <mergeCell ref="I906:I907"/>
    <mergeCell ref="J906:J907"/>
    <mergeCell ref="D908:D909"/>
    <mergeCell ref="F908:F909"/>
    <mergeCell ref="G908:G909"/>
    <mergeCell ref="H908:H909"/>
    <mergeCell ref="I908:I909"/>
    <mergeCell ref="J908:J909"/>
    <mergeCell ref="C910:C919"/>
    <mergeCell ref="D910:D911"/>
    <mergeCell ref="F910:F911"/>
    <mergeCell ref="G910:G911"/>
    <mergeCell ref="H910:H911"/>
    <mergeCell ref="I910:I911"/>
    <mergeCell ref="J910:J911"/>
    <mergeCell ref="D912:D913"/>
    <mergeCell ref="F912:F913"/>
    <mergeCell ref="G912:G913"/>
    <mergeCell ref="H912:H913"/>
    <mergeCell ref="I912:I913"/>
    <mergeCell ref="J912:J913"/>
    <mergeCell ref="D914:D915"/>
    <mergeCell ref="F914:F915"/>
    <mergeCell ref="G914:G915"/>
    <mergeCell ref="H914:H915"/>
    <mergeCell ref="I914:I915"/>
    <mergeCell ref="J914:J915"/>
    <mergeCell ref="D916:D917"/>
    <mergeCell ref="F916:F917"/>
    <mergeCell ref="G916:G917"/>
    <mergeCell ref="H916:H917"/>
    <mergeCell ref="I916:I917"/>
    <mergeCell ref="J916:J917"/>
    <mergeCell ref="D918:D919"/>
    <mergeCell ref="F918:F919"/>
    <mergeCell ref="G918:G919"/>
    <mergeCell ref="H918:H919"/>
    <mergeCell ref="I918:I919"/>
    <mergeCell ref="J918:J919"/>
    <mergeCell ref="C920:C929"/>
    <mergeCell ref="D920:D921"/>
    <mergeCell ref="F920:F921"/>
    <mergeCell ref="G920:G921"/>
    <mergeCell ref="H920:H921"/>
    <mergeCell ref="I920:I921"/>
    <mergeCell ref="J920:J921"/>
    <mergeCell ref="D922:D923"/>
    <mergeCell ref="F922:F923"/>
    <mergeCell ref="G922:G923"/>
    <mergeCell ref="H922:H923"/>
    <mergeCell ref="I922:I923"/>
    <mergeCell ref="J922:J923"/>
    <mergeCell ref="D924:D925"/>
    <mergeCell ref="F924:F925"/>
    <mergeCell ref="G924:G925"/>
    <mergeCell ref="H924:H925"/>
    <mergeCell ref="I924:I925"/>
    <mergeCell ref="J924:J925"/>
    <mergeCell ref="D926:D927"/>
    <mergeCell ref="F926:F927"/>
    <mergeCell ref="G926:G927"/>
    <mergeCell ref="H926:H927"/>
    <mergeCell ref="I926:I927"/>
    <mergeCell ref="J926:J927"/>
    <mergeCell ref="D928:D929"/>
    <mergeCell ref="F928:F929"/>
    <mergeCell ref="G928:G929"/>
    <mergeCell ref="H928:H929"/>
    <mergeCell ref="I928:I929"/>
    <mergeCell ref="J928:J929"/>
    <mergeCell ref="C930:C939"/>
    <mergeCell ref="D930:D931"/>
    <mergeCell ref="F930:F931"/>
    <mergeCell ref="G930:G931"/>
    <mergeCell ref="H930:H931"/>
    <mergeCell ref="I930:I931"/>
    <mergeCell ref="J930:J931"/>
    <mergeCell ref="D932:D933"/>
    <mergeCell ref="F932:F933"/>
    <mergeCell ref="G932:G933"/>
    <mergeCell ref="H932:H933"/>
    <mergeCell ref="I932:I933"/>
    <mergeCell ref="J932:J933"/>
    <mergeCell ref="D934:D935"/>
    <mergeCell ref="F934:F935"/>
    <mergeCell ref="G934:G935"/>
    <mergeCell ref="H934:H935"/>
    <mergeCell ref="I934:I935"/>
    <mergeCell ref="J934:J935"/>
    <mergeCell ref="D936:D937"/>
    <mergeCell ref="F936:F937"/>
    <mergeCell ref="G936:G937"/>
    <mergeCell ref="H936:H937"/>
    <mergeCell ref="I936:I937"/>
    <mergeCell ref="J936:J937"/>
    <mergeCell ref="D938:D939"/>
    <mergeCell ref="F938:F939"/>
    <mergeCell ref="G938:G939"/>
    <mergeCell ref="H938:H939"/>
    <mergeCell ref="I938:I939"/>
    <mergeCell ref="J938:J939"/>
    <mergeCell ref="C940:C949"/>
    <mergeCell ref="D940:D941"/>
    <mergeCell ref="F940:F941"/>
    <mergeCell ref="G940:G941"/>
    <mergeCell ref="H940:H941"/>
    <mergeCell ref="I940:I941"/>
    <mergeCell ref="J940:J941"/>
    <mergeCell ref="D942:D943"/>
    <mergeCell ref="F942:F943"/>
    <mergeCell ref="G942:G943"/>
    <mergeCell ref="H942:H943"/>
    <mergeCell ref="I942:I943"/>
    <mergeCell ref="J942:J943"/>
    <mergeCell ref="D944:D945"/>
    <mergeCell ref="F944:F945"/>
    <mergeCell ref="G944:G945"/>
    <mergeCell ref="H944:H945"/>
    <mergeCell ref="I944:I945"/>
    <mergeCell ref="J944:J945"/>
    <mergeCell ref="D946:D947"/>
    <mergeCell ref="F946:F947"/>
    <mergeCell ref="G946:G947"/>
    <mergeCell ref="H946:H947"/>
    <mergeCell ref="I946:I947"/>
    <mergeCell ref="J946:J947"/>
    <mergeCell ref="D948:D949"/>
    <mergeCell ref="F948:F949"/>
    <mergeCell ref="G948:G949"/>
    <mergeCell ref="H948:H949"/>
    <mergeCell ref="I948:I949"/>
    <mergeCell ref="J948:J949"/>
    <mergeCell ref="C950:C959"/>
    <mergeCell ref="D950:D951"/>
    <mergeCell ref="F950:F951"/>
    <mergeCell ref="G950:G951"/>
    <mergeCell ref="H950:H951"/>
    <mergeCell ref="I950:I951"/>
    <mergeCell ref="J950:J951"/>
    <mergeCell ref="D952:D953"/>
    <mergeCell ref="F952:F953"/>
    <mergeCell ref="G952:G953"/>
    <mergeCell ref="H952:H953"/>
    <mergeCell ref="I952:I953"/>
    <mergeCell ref="J952:J953"/>
    <mergeCell ref="D954:D955"/>
    <mergeCell ref="F954:F955"/>
    <mergeCell ref="G954:G955"/>
    <mergeCell ref="H954:H955"/>
    <mergeCell ref="I954:I955"/>
    <mergeCell ref="J954:J955"/>
    <mergeCell ref="D956:D957"/>
    <mergeCell ref="F956:F957"/>
    <mergeCell ref="G956:G957"/>
    <mergeCell ref="H956:H957"/>
    <mergeCell ref="I956:I957"/>
    <mergeCell ref="J956:J957"/>
    <mergeCell ref="D958:D959"/>
    <mergeCell ref="F958:F959"/>
    <mergeCell ref="G958:G959"/>
    <mergeCell ref="H958:H959"/>
    <mergeCell ref="I958:I959"/>
    <mergeCell ref="J958:J959"/>
    <mergeCell ref="C960:C969"/>
    <mergeCell ref="D960:D961"/>
    <mergeCell ref="F960:F961"/>
    <mergeCell ref="G960:G961"/>
    <mergeCell ref="H960:H961"/>
    <mergeCell ref="I960:I961"/>
    <mergeCell ref="J960:J961"/>
    <mergeCell ref="D962:D963"/>
    <mergeCell ref="F962:F963"/>
    <mergeCell ref="G962:G963"/>
    <mergeCell ref="H962:H963"/>
    <mergeCell ref="I962:I963"/>
    <mergeCell ref="J962:J963"/>
    <mergeCell ref="D964:D965"/>
    <mergeCell ref="F964:F965"/>
    <mergeCell ref="G964:G965"/>
    <mergeCell ref="H964:H965"/>
    <mergeCell ref="I964:I965"/>
    <mergeCell ref="J964:J965"/>
    <mergeCell ref="D966:D967"/>
    <mergeCell ref="F966:F967"/>
    <mergeCell ref="G966:G967"/>
    <mergeCell ref="H966:H967"/>
    <mergeCell ref="I966:I967"/>
    <mergeCell ref="J966:J967"/>
    <mergeCell ref="D968:D969"/>
    <mergeCell ref="F968:F969"/>
    <mergeCell ref="G968:G969"/>
    <mergeCell ref="H968:H969"/>
    <mergeCell ref="I968:I969"/>
    <mergeCell ref="J968:J969"/>
    <mergeCell ref="C970:C979"/>
    <mergeCell ref="D970:D971"/>
    <mergeCell ref="F970:F971"/>
    <mergeCell ref="G970:G971"/>
    <mergeCell ref="H970:H971"/>
    <mergeCell ref="I970:I971"/>
    <mergeCell ref="J970:J971"/>
    <mergeCell ref="D972:D973"/>
    <mergeCell ref="F972:F973"/>
    <mergeCell ref="G972:G973"/>
    <mergeCell ref="H972:H973"/>
    <mergeCell ref="I972:I973"/>
    <mergeCell ref="J972:J973"/>
    <mergeCell ref="D974:D975"/>
    <mergeCell ref="F974:F975"/>
    <mergeCell ref="G974:G975"/>
    <mergeCell ref="H974:H975"/>
    <mergeCell ref="I974:I975"/>
    <mergeCell ref="J974:J975"/>
    <mergeCell ref="D976:D977"/>
    <mergeCell ref="F976:F977"/>
    <mergeCell ref="G976:G977"/>
    <mergeCell ref="H976:H977"/>
    <mergeCell ref="I976:I977"/>
    <mergeCell ref="J976:J977"/>
    <mergeCell ref="D978:D979"/>
    <mergeCell ref="F978:F979"/>
    <mergeCell ref="G978:G979"/>
    <mergeCell ref="H978:H979"/>
    <mergeCell ref="I978:I979"/>
    <mergeCell ref="J978:J979"/>
    <mergeCell ref="C980:C989"/>
    <mergeCell ref="D980:D981"/>
    <mergeCell ref="F980:F981"/>
    <mergeCell ref="G980:G981"/>
    <mergeCell ref="H980:H981"/>
    <mergeCell ref="I980:I981"/>
    <mergeCell ref="J980:J981"/>
    <mergeCell ref="D982:D983"/>
    <mergeCell ref="F982:F983"/>
    <mergeCell ref="G982:G983"/>
    <mergeCell ref="H982:H983"/>
    <mergeCell ref="I982:I983"/>
    <mergeCell ref="J982:J983"/>
    <mergeCell ref="D984:D985"/>
    <mergeCell ref="F984:F985"/>
    <mergeCell ref="G984:G985"/>
    <mergeCell ref="H984:H985"/>
    <mergeCell ref="I984:I985"/>
    <mergeCell ref="J984:J985"/>
    <mergeCell ref="D986:D987"/>
    <mergeCell ref="F986:F987"/>
    <mergeCell ref="G986:G987"/>
    <mergeCell ref="H986:H987"/>
    <mergeCell ref="I986:I987"/>
    <mergeCell ref="J986:J987"/>
    <mergeCell ref="D988:D989"/>
    <mergeCell ref="F988:F989"/>
    <mergeCell ref="G988:G989"/>
    <mergeCell ref="H988:H989"/>
    <mergeCell ref="I988:I989"/>
    <mergeCell ref="J988:J989"/>
    <mergeCell ref="C990:C999"/>
    <mergeCell ref="D990:D991"/>
    <mergeCell ref="F990:F991"/>
    <mergeCell ref="G990:G991"/>
    <mergeCell ref="H990:H991"/>
    <mergeCell ref="I990:I991"/>
    <mergeCell ref="J990:J991"/>
    <mergeCell ref="D992:D993"/>
    <mergeCell ref="F992:F993"/>
    <mergeCell ref="G992:G993"/>
    <mergeCell ref="H992:H993"/>
    <mergeCell ref="I992:I993"/>
    <mergeCell ref="J992:J993"/>
    <mergeCell ref="D994:D995"/>
    <mergeCell ref="F994:F995"/>
    <mergeCell ref="G994:G995"/>
    <mergeCell ref="H994:H995"/>
    <mergeCell ref="I994:I995"/>
    <mergeCell ref="J994:J995"/>
    <mergeCell ref="D996:D997"/>
    <mergeCell ref="F996:F997"/>
    <mergeCell ref="G996:G997"/>
    <mergeCell ref="H996:H997"/>
    <mergeCell ref="I996:I997"/>
    <mergeCell ref="J996:J997"/>
    <mergeCell ref="D998:D999"/>
    <mergeCell ref="F998:F999"/>
    <mergeCell ref="G998:G999"/>
    <mergeCell ref="H998:H999"/>
    <mergeCell ref="I998:I999"/>
    <mergeCell ref="J998:J999"/>
    <mergeCell ref="C1000:C1009"/>
    <mergeCell ref="D1000:D1001"/>
    <mergeCell ref="F1000:F1001"/>
    <mergeCell ref="G1000:G1001"/>
    <mergeCell ref="H1000:H1001"/>
    <mergeCell ref="I1000:I1001"/>
    <mergeCell ref="J1000:J1001"/>
    <mergeCell ref="D1002:D1003"/>
    <mergeCell ref="F1002:F1003"/>
    <mergeCell ref="G1002:G1003"/>
    <mergeCell ref="H1002:H1003"/>
    <mergeCell ref="I1002:I1003"/>
    <mergeCell ref="J1002:J1003"/>
    <mergeCell ref="D1004:D1005"/>
    <mergeCell ref="F1004:F1005"/>
    <mergeCell ref="G1004:G1005"/>
    <mergeCell ref="H1004:H1005"/>
    <mergeCell ref="I1004:I1005"/>
    <mergeCell ref="J1004:J1005"/>
    <mergeCell ref="D1006:D1007"/>
    <mergeCell ref="F1006:F1007"/>
    <mergeCell ref="G1006:G1007"/>
    <mergeCell ref="H1006:H1007"/>
    <mergeCell ref="I1006:I1007"/>
    <mergeCell ref="J1006:J1007"/>
    <mergeCell ref="D1008:D1009"/>
    <mergeCell ref="F1008:F1009"/>
    <mergeCell ref="G1008:G1009"/>
    <mergeCell ref="H1008:H1009"/>
    <mergeCell ref="I1008:I1009"/>
    <mergeCell ref="J1008:J1009"/>
    <mergeCell ref="C1010:C1019"/>
    <mergeCell ref="D1010:D1011"/>
    <mergeCell ref="F1010:F1011"/>
    <mergeCell ref="G1010:G1011"/>
    <mergeCell ref="H1010:H1011"/>
    <mergeCell ref="I1010:I1011"/>
    <mergeCell ref="J1010:J1011"/>
    <mergeCell ref="D1012:D1013"/>
    <mergeCell ref="F1012:F1013"/>
    <mergeCell ref="G1012:G1013"/>
    <mergeCell ref="H1012:H1013"/>
    <mergeCell ref="I1012:I1013"/>
    <mergeCell ref="J1012:J1013"/>
    <mergeCell ref="D1014:D1015"/>
    <mergeCell ref="F1014:F1015"/>
    <mergeCell ref="G1014:G1015"/>
    <mergeCell ref="H1014:H1015"/>
    <mergeCell ref="I1014:I1015"/>
    <mergeCell ref="J1014:J1015"/>
    <mergeCell ref="D1016:D1017"/>
    <mergeCell ref="F1016:F1017"/>
    <mergeCell ref="G1016:G1017"/>
    <mergeCell ref="H1016:H1017"/>
    <mergeCell ref="I1016:I1017"/>
    <mergeCell ref="J1016:J1017"/>
    <mergeCell ref="D1018:D1019"/>
    <mergeCell ref="F1018:F1019"/>
    <mergeCell ref="G1018:G1019"/>
    <mergeCell ref="H1018:H1019"/>
    <mergeCell ref="I1018:I1019"/>
    <mergeCell ref="J1018:J101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76"/>
  <sheetViews>
    <sheetView showFormulas="false" showGridLines="true" showRowColHeaders="true" showZeros="true" rightToLeft="false" tabSelected="false" showOutlineSymbols="true" defaultGridColor="true" view="normal" topLeftCell="D434" colorId="64" zoomScale="124" zoomScaleNormal="124" zoomScalePageLayoutView="100" workbookViewId="0">
      <selection pane="topLeft" activeCell="K443" activeCellId="0" sqref="K443"/>
    </sheetView>
  </sheetViews>
  <sheetFormatPr defaultColWidth="11.53515625" defaultRowHeight="12.8" zeroHeight="false" outlineLevelRow="0" outlineLevelCol="0"/>
  <cols>
    <col collapsed="false" customWidth="true" hidden="false" outlineLevel="0" max="1" min="1" style="0" width="33.93"/>
    <col collapsed="false" customWidth="true" hidden="false" outlineLevel="0" max="2" min="2" style="1" width="33.93"/>
    <col collapsed="false" customWidth="true" hidden="false" outlineLevel="0" max="3" min="3" style="1" width="39.79"/>
    <col collapsed="false" customWidth="true" hidden="false" outlineLevel="0" max="4" min="4" style="1" width="43.43"/>
    <col collapsed="false" customWidth="true" hidden="false" outlineLevel="0" max="5" min="5" style="1" width="77.79"/>
    <col collapsed="false" customWidth="true" hidden="false" outlineLevel="0" max="6" min="6" style="1" width="17.72"/>
    <col collapsed="false" customWidth="true" hidden="false" outlineLevel="0" max="7" min="7" style="1" width="43.01"/>
    <col collapsed="false" customWidth="true" hidden="false" outlineLevel="0" max="8" min="8" style="1" width="26.96"/>
    <col collapsed="false" customWidth="true" hidden="false" outlineLevel="0" max="9" min="9" style="1" width="6.96"/>
    <col collapsed="false" customWidth="true" hidden="false" outlineLevel="0" max="10" min="10" style="1" width="56.8"/>
    <col collapsed="false" customWidth="true" hidden="false" outlineLevel="0" max="11" min="11" style="1" width="121.72"/>
    <col collapsed="false" customWidth="true" hidden="false" outlineLevel="0" max="12" min="12" style="0" width="11.71"/>
  </cols>
  <sheetData>
    <row r="1" customFormat="false" ht="15" hidden="false" customHeight="false" outlineLevel="0" collapsed="false">
      <c r="A1" s="45" t="s">
        <v>1</v>
      </c>
      <c r="B1" s="45" t="s">
        <v>3775</v>
      </c>
      <c r="C1" s="46" t="s">
        <v>3776</v>
      </c>
      <c r="D1" s="46" t="s">
        <v>3777</v>
      </c>
      <c r="E1" s="46" t="s">
        <v>3778</v>
      </c>
      <c r="F1" s="46" t="s">
        <v>27</v>
      </c>
      <c r="G1" s="46" t="s">
        <v>3779</v>
      </c>
      <c r="H1" s="1" t="s">
        <v>28</v>
      </c>
      <c r="I1" s="45" t="s">
        <v>29</v>
      </c>
      <c r="J1" s="1" t="s">
        <v>3780</v>
      </c>
      <c r="K1" s="1" t="s">
        <v>3781</v>
      </c>
    </row>
    <row r="2" customFormat="false" ht="12.8" hidden="false" customHeight="true" outlineLevel="0" collapsed="false">
      <c r="A2" s="47" t="s">
        <v>3782</v>
      </c>
      <c r="B2" s="48" t="s">
        <v>3783</v>
      </c>
      <c r="C2" s="49" t="s">
        <v>3784</v>
      </c>
      <c r="D2" s="1" t="s">
        <v>3785</v>
      </c>
      <c r="E2" s="1" t="s">
        <v>3786</v>
      </c>
      <c r="F2" s="1" t="s">
        <v>3787</v>
      </c>
      <c r="G2" s="1" t="s">
        <v>3788</v>
      </c>
      <c r="H2" s="50" t="s">
        <v>3789</v>
      </c>
      <c r="I2" s="34" t="s">
        <v>40</v>
      </c>
      <c r="J2" s="50" t="s">
        <v>3790</v>
      </c>
      <c r="K2" s="50" t="s">
        <v>3791</v>
      </c>
    </row>
    <row r="3" customFormat="false" ht="12.8" hidden="false" customHeight="false" outlineLevel="0" collapsed="false">
      <c r="B3" s="48"/>
      <c r="C3" s="48"/>
      <c r="D3" s="50"/>
      <c r="E3" s="50"/>
      <c r="F3" s="50" t="s">
        <v>3792</v>
      </c>
      <c r="G3" s="50" t="s">
        <v>3793</v>
      </c>
      <c r="H3" s="1" t="s">
        <v>3792</v>
      </c>
      <c r="I3" s="34"/>
      <c r="J3" s="1" t="s">
        <v>3792</v>
      </c>
      <c r="K3" s="1" t="s">
        <v>3794</v>
      </c>
    </row>
    <row r="4" customFormat="false" ht="12.8" hidden="false" customHeight="false" outlineLevel="0" collapsed="false">
      <c r="B4" s="48"/>
      <c r="C4" s="48"/>
      <c r="D4" s="1" t="s">
        <v>3795</v>
      </c>
      <c r="E4" s="1" t="s">
        <v>3796</v>
      </c>
      <c r="F4" s="1" t="s">
        <v>3797</v>
      </c>
      <c r="G4" s="1" t="s">
        <v>3798</v>
      </c>
      <c r="H4" s="50" t="s">
        <v>3799</v>
      </c>
      <c r="I4" s="37" t="s">
        <v>50</v>
      </c>
      <c r="J4" s="50" t="s">
        <v>3800</v>
      </c>
      <c r="K4" s="50" t="s">
        <v>3801</v>
      </c>
    </row>
    <row r="5" customFormat="false" ht="12.8" hidden="false" customHeight="false" outlineLevel="0" collapsed="false">
      <c r="B5" s="48"/>
      <c r="C5" s="48"/>
      <c r="D5" s="50"/>
      <c r="E5" s="50"/>
      <c r="F5" s="50" t="s">
        <v>3792</v>
      </c>
      <c r="G5" s="50" t="s">
        <v>3802</v>
      </c>
      <c r="H5" s="1" t="s">
        <v>3792</v>
      </c>
      <c r="I5" s="37"/>
      <c r="J5" s="1" t="s">
        <v>3792</v>
      </c>
      <c r="K5" s="1" t="s">
        <v>3803</v>
      </c>
    </row>
    <row r="6" customFormat="false" ht="12.8" hidden="false" customHeight="false" outlineLevel="0" collapsed="false">
      <c r="B6" s="48"/>
      <c r="C6" s="48"/>
      <c r="D6" s="1" t="s">
        <v>3804</v>
      </c>
      <c r="E6" s="1" t="s">
        <v>3805</v>
      </c>
      <c r="F6" s="1" t="s">
        <v>3806</v>
      </c>
      <c r="G6" s="1" t="s">
        <v>3788</v>
      </c>
      <c r="H6" s="50" t="s">
        <v>3807</v>
      </c>
      <c r="I6" s="34" t="s">
        <v>40</v>
      </c>
      <c r="J6" s="50" t="s">
        <v>3808</v>
      </c>
      <c r="K6" s="50" t="s">
        <v>3809</v>
      </c>
    </row>
    <row r="7" customFormat="false" ht="12.8" hidden="false" customHeight="false" outlineLevel="0" collapsed="false">
      <c r="B7" s="48"/>
      <c r="C7" s="48"/>
      <c r="D7" s="50"/>
      <c r="E7" s="50"/>
      <c r="F7" s="50" t="s">
        <v>3792</v>
      </c>
      <c r="G7" s="50" t="s">
        <v>3810</v>
      </c>
      <c r="H7" s="1" t="s">
        <v>3792</v>
      </c>
      <c r="I7" s="34"/>
      <c r="J7" s="1" t="s">
        <v>3792</v>
      </c>
      <c r="K7" s="1" t="s">
        <v>3811</v>
      </c>
    </row>
    <row r="8" customFormat="false" ht="12.8" hidden="false" customHeight="false" outlineLevel="0" collapsed="false">
      <c r="B8" s="48"/>
      <c r="C8" s="48"/>
      <c r="D8" s="1" t="s">
        <v>3812</v>
      </c>
      <c r="E8" s="1" t="s">
        <v>3813</v>
      </c>
      <c r="F8" s="1" t="s">
        <v>3787</v>
      </c>
      <c r="G8" s="1" t="s">
        <v>3788</v>
      </c>
      <c r="H8" s="50" t="s">
        <v>3814</v>
      </c>
      <c r="I8" s="39" t="s">
        <v>67</v>
      </c>
      <c r="J8" s="50" t="s">
        <v>3815</v>
      </c>
      <c r="K8" s="50" t="s">
        <v>3816</v>
      </c>
    </row>
    <row r="9" customFormat="false" ht="12.8" hidden="false" customHeight="false" outlineLevel="0" collapsed="false">
      <c r="B9" s="48"/>
      <c r="C9" s="48"/>
      <c r="D9" s="50"/>
      <c r="E9" s="50"/>
      <c r="F9" s="50" t="s">
        <v>3792</v>
      </c>
      <c r="G9" s="50" t="s">
        <v>3817</v>
      </c>
      <c r="H9" s="1" t="s">
        <v>3792</v>
      </c>
      <c r="I9" s="39"/>
      <c r="J9" s="1" t="s">
        <v>3792</v>
      </c>
      <c r="K9" s="1" t="s">
        <v>3818</v>
      </c>
    </row>
    <row r="10" customFormat="false" ht="12.8" hidden="false" customHeight="false" outlineLevel="0" collapsed="false">
      <c r="B10" s="48"/>
      <c r="C10" s="48"/>
      <c r="D10" s="1" t="s">
        <v>3819</v>
      </c>
      <c r="E10" s="1" t="s">
        <v>3820</v>
      </c>
      <c r="F10" s="1" t="s">
        <v>3806</v>
      </c>
      <c r="G10" s="1" t="s">
        <v>3821</v>
      </c>
      <c r="H10" s="51" t="s">
        <v>3822</v>
      </c>
      <c r="I10" s="34" t="s">
        <v>40</v>
      </c>
      <c r="J10" s="51" t="s">
        <v>3823</v>
      </c>
      <c r="K10" s="51" t="s">
        <v>3824</v>
      </c>
    </row>
    <row r="11" customFormat="false" ht="12.8" hidden="false" customHeight="false" outlineLevel="0" collapsed="false">
      <c r="B11" s="48"/>
      <c r="C11" s="49"/>
      <c r="D11" s="51"/>
      <c r="E11" s="51"/>
      <c r="F11" s="51" t="s">
        <v>3792</v>
      </c>
      <c r="G11" s="51" t="s">
        <v>3825</v>
      </c>
      <c r="H11" s="1" t="s">
        <v>3792</v>
      </c>
      <c r="I11" s="34"/>
      <c r="J11" s="1" t="s">
        <v>3792</v>
      </c>
      <c r="K11" s="1" t="s">
        <v>3826</v>
      </c>
    </row>
    <row r="12" customFormat="false" ht="12.8" hidden="false" customHeight="true" outlineLevel="0" collapsed="false">
      <c r="B12" s="48"/>
      <c r="C12" s="49" t="s">
        <v>3827</v>
      </c>
      <c r="D12" s="1" t="s">
        <v>3785</v>
      </c>
      <c r="E12" s="1" t="s">
        <v>3786</v>
      </c>
      <c r="F12" s="1" t="s">
        <v>3797</v>
      </c>
      <c r="G12" s="1" t="s">
        <v>3828</v>
      </c>
      <c r="H12" s="50" t="s">
        <v>3829</v>
      </c>
      <c r="I12" s="37" t="s">
        <v>50</v>
      </c>
      <c r="J12" s="50" t="s">
        <v>3830</v>
      </c>
      <c r="K12" s="50" t="s">
        <v>3831</v>
      </c>
    </row>
    <row r="13" customFormat="false" ht="12.8" hidden="false" customHeight="false" outlineLevel="0" collapsed="false">
      <c r="B13" s="48"/>
      <c r="C13" s="48"/>
      <c r="D13" s="50"/>
      <c r="E13" s="50"/>
      <c r="F13" s="50" t="s">
        <v>3792</v>
      </c>
      <c r="G13" s="50" t="s">
        <v>3832</v>
      </c>
      <c r="H13" s="1" t="s">
        <v>3792</v>
      </c>
      <c r="I13" s="37"/>
      <c r="J13" s="1" t="s">
        <v>3792</v>
      </c>
      <c r="K13" s="1" t="s">
        <v>3833</v>
      </c>
    </row>
    <row r="14" customFormat="false" ht="12.8" hidden="false" customHeight="false" outlineLevel="0" collapsed="false">
      <c r="B14" s="48"/>
      <c r="C14" s="48"/>
      <c r="D14" s="1" t="s">
        <v>3795</v>
      </c>
      <c r="E14" s="1" t="s">
        <v>3796</v>
      </c>
      <c r="F14" s="1" t="s">
        <v>3787</v>
      </c>
      <c r="G14" s="1" t="s">
        <v>3834</v>
      </c>
      <c r="H14" s="50" t="s">
        <v>3835</v>
      </c>
      <c r="I14" s="34" t="s">
        <v>40</v>
      </c>
      <c r="J14" s="50" t="s">
        <v>3836</v>
      </c>
      <c r="K14" s="50" t="s">
        <v>3837</v>
      </c>
    </row>
    <row r="15" customFormat="false" ht="12.8" hidden="false" customHeight="false" outlineLevel="0" collapsed="false">
      <c r="B15" s="48"/>
      <c r="C15" s="48"/>
      <c r="D15" s="50"/>
      <c r="E15" s="50"/>
      <c r="F15" s="50" t="s">
        <v>3792</v>
      </c>
      <c r="G15" s="50" t="s">
        <v>3838</v>
      </c>
      <c r="H15" s="1" t="s">
        <v>3792</v>
      </c>
      <c r="I15" s="34"/>
      <c r="J15" s="1" t="s">
        <v>3792</v>
      </c>
      <c r="K15" s="1" t="s">
        <v>3839</v>
      </c>
    </row>
    <row r="16" customFormat="false" ht="12.8" hidden="false" customHeight="false" outlineLevel="0" collapsed="false">
      <c r="B16" s="48"/>
      <c r="C16" s="48"/>
      <c r="D16" s="1" t="s">
        <v>3804</v>
      </c>
      <c r="E16" s="1" t="s">
        <v>3805</v>
      </c>
      <c r="F16" s="1" t="s">
        <v>3806</v>
      </c>
      <c r="G16" s="1" t="s">
        <v>3840</v>
      </c>
      <c r="H16" s="50" t="s">
        <v>3841</v>
      </c>
      <c r="I16" s="39" t="s">
        <v>67</v>
      </c>
      <c r="J16" s="50" t="s">
        <v>3842</v>
      </c>
      <c r="K16" s="50" t="s">
        <v>3843</v>
      </c>
    </row>
    <row r="17" customFormat="false" ht="12.8" hidden="false" customHeight="false" outlineLevel="0" collapsed="false">
      <c r="B17" s="48"/>
      <c r="C17" s="48"/>
      <c r="D17" s="50"/>
      <c r="E17" s="50"/>
      <c r="F17" s="50" t="s">
        <v>3792</v>
      </c>
      <c r="G17" s="50" t="s">
        <v>3844</v>
      </c>
      <c r="H17" s="1" t="s">
        <v>3792</v>
      </c>
      <c r="I17" s="39"/>
      <c r="J17" s="1" t="s">
        <v>3792</v>
      </c>
      <c r="K17" s="1" t="s">
        <v>3845</v>
      </c>
    </row>
    <row r="18" customFormat="false" ht="12.8" hidden="false" customHeight="false" outlineLevel="0" collapsed="false">
      <c r="B18" s="48"/>
      <c r="C18" s="48"/>
      <c r="D18" s="1" t="s">
        <v>3812</v>
      </c>
      <c r="E18" s="1" t="s">
        <v>3813</v>
      </c>
      <c r="F18" s="1" t="s">
        <v>3806</v>
      </c>
      <c r="G18" s="1" t="s">
        <v>3846</v>
      </c>
      <c r="H18" s="50" t="s">
        <v>3847</v>
      </c>
      <c r="I18" s="34" t="s">
        <v>40</v>
      </c>
      <c r="J18" s="50" t="s">
        <v>3848</v>
      </c>
      <c r="K18" s="50" t="s">
        <v>3849</v>
      </c>
    </row>
    <row r="19" customFormat="false" ht="12.8" hidden="false" customHeight="false" outlineLevel="0" collapsed="false">
      <c r="B19" s="48"/>
      <c r="C19" s="48"/>
      <c r="D19" s="50"/>
      <c r="E19" s="50"/>
      <c r="F19" s="50" t="s">
        <v>3792</v>
      </c>
      <c r="G19" s="50" t="s">
        <v>3850</v>
      </c>
      <c r="H19" s="1" t="s">
        <v>3792</v>
      </c>
      <c r="I19" s="34"/>
      <c r="J19" s="1" t="s">
        <v>3792</v>
      </c>
      <c r="K19" s="1" t="s">
        <v>3851</v>
      </c>
    </row>
    <row r="20" customFormat="false" ht="12.8" hidden="false" customHeight="false" outlineLevel="0" collapsed="false">
      <c r="B20" s="48"/>
      <c r="C20" s="48"/>
      <c r="D20" s="1" t="s">
        <v>3819</v>
      </c>
      <c r="E20" s="1" t="s">
        <v>3820</v>
      </c>
      <c r="F20" s="1" t="s">
        <v>3787</v>
      </c>
      <c r="G20" s="1" t="s">
        <v>3852</v>
      </c>
      <c r="H20" s="51" t="s">
        <v>3853</v>
      </c>
      <c r="I20" s="37" t="s">
        <v>50</v>
      </c>
      <c r="J20" s="51" t="s">
        <v>3854</v>
      </c>
      <c r="K20" s="51" t="s">
        <v>3855</v>
      </c>
    </row>
    <row r="21" customFormat="false" ht="12.8" hidden="false" customHeight="false" outlineLevel="0" collapsed="false">
      <c r="B21" s="48"/>
      <c r="C21" s="49"/>
      <c r="D21" s="51"/>
      <c r="E21" s="51"/>
      <c r="F21" s="51" t="s">
        <v>3792</v>
      </c>
      <c r="G21" s="51" t="s">
        <v>3856</v>
      </c>
      <c r="H21" s="1" t="s">
        <v>3792</v>
      </c>
      <c r="I21" s="37"/>
      <c r="J21" s="1" t="s">
        <v>3792</v>
      </c>
      <c r="K21" s="1" t="s">
        <v>3857</v>
      </c>
    </row>
    <row r="22" customFormat="false" ht="12.8" hidden="false" customHeight="true" outlineLevel="0" collapsed="false">
      <c r="B22" s="48"/>
      <c r="C22" s="49" t="s">
        <v>3858</v>
      </c>
      <c r="D22" s="1" t="s">
        <v>3859</v>
      </c>
      <c r="E22" s="1" t="s">
        <v>3860</v>
      </c>
      <c r="F22" s="1" t="s">
        <v>3797</v>
      </c>
      <c r="G22" s="1" t="s">
        <v>3861</v>
      </c>
      <c r="H22" s="50" t="s">
        <v>3862</v>
      </c>
      <c r="I22" s="34" t="s">
        <v>40</v>
      </c>
      <c r="J22" s="50" t="s">
        <v>3863</v>
      </c>
      <c r="K22" s="50" t="s">
        <v>3864</v>
      </c>
    </row>
    <row r="23" customFormat="false" ht="12.8" hidden="false" customHeight="false" outlineLevel="0" collapsed="false">
      <c r="B23" s="48"/>
      <c r="C23" s="48"/>
      <c r="D23" s="50"/>
      <c r="E23" s="50"/>
      <c r="F23" s="50" t="s">
        <v>3792</v>
      </c>
      <c r="G23" s="50" t="s">
        <v>3865</v>
      </c>
      <c r="H23" s="1" t="s">
        <v>3792</v>
      </c>
      <c r="I23" s="34"/>
      <c r="J23" s="1" t="s">
        <v>3792</v>
      </c>
      <c r="K23" s="1" t="s">
        <v>3866</v>
      </c>
    </row>
    <row r="24" customFormat="false" ht="12.8" hidden="false" customHeight="false" outlineLevel="0" collapsed="false">
      <c r="B24" s="48"/>
      <c r="C24" s="48"/>
      <c r="D24" s="1" t="s">
        <v>3867</v>
      </c>
      <c r="E24" s="1" t="s">
        <v>3868</v>
      </c>
      <c r="F24" s="1" t="s">
        <v>3797</v>
      </c>
      <c r="G24" s="1" t="s">
        <v>3869</v>
      </c>
      <c r="H24" s="50" t="s">
        <v>3870</v>
      </c>
      <c r="I24" s="39" t="s">
        <v>67</v>
      </c>
      <c r="J24" s="50" t="s">
        <v>3871</v>
      </c>
      <c r="K24" s="50" t="s">
        <v>3872</v>
      </c>
    </row>
    <row r="25" customFormat="false" ht="12.8" hidden="false" customHeight="false" outlineLevel="0" collapsed="false">
      <c r="B25" s="48"/>
      <c r="C25" s="48"/>
      <c r="D25" s="50"/>
      <c r="E25" s="50"/>
      <c r="F25" s="50" t="s">
        <v>3792</v>
      </c>
      <c r="G25" s="50" t="s">
        <v>3873</v>
      </c>
      <c r="H25" s="1" t="s">
        <v>3792</v>
      </c>
      <c r="I25" s="39"/>
      <c r="J25" s="1" t="s">
        <v>3792</v>
      </c>
      <c r="K25" s="1" t="s">
        <v>3874</v>
      </c>
    </row>
    <row r="26" customFormat="false" ht="12.8" hidden="false" customHeight="false" outlineLevel="0" collapsed="false">
      <c r="B26" s="48"/>
      <c r="C26" s="48"/>
      <c r="D26" s="1" t="s">
        <v>3875</v>
      </c>
      <c r="E26" s="1" t="s">
        <v>3876</v>
      </c>
      <c r="F26" s="1" t="s">
        <v>3806</v>
      </c>
      <c r="G26" s="1" t="s">
        <v>3877</v>
      </c>
      <c r="H26" s="50" t="s">
        <v>3878</v>
      </c>
      <c r="I26" s="34" t="s">
        <v>40</v>
      </c>
      <c r="J26" s="50" t="s">
        <v>3879</v>
      </c>
      <c r="K26" s="50" t="s">
        <v>3880</v>
      </c>
    </row>
    <row r="27" customFormat="false" ht="12.8" hidden="false" customHeight="false" outlineLevel="0" collapsed="false">
      <c r="B27" s="48"/>
      <c r="C27" s="48"/>
      <c r="D27" s="50"/>
      <c r="E27" s="50"/>
      <c r="F27" s="50" t="s">
        <v>3792</v>
      </c>
      <c r="G27" s="50" t="s">
        <v>3881</v>
      </c>
      <c r="H27" s="1" t="s">
        <v>3792</v>
      </c>
      <c r="I27" s="34"/>
      <c r="J27" s="1" t="s">
        <v>3792</v>
      </c>
      <c r="K27" s="1" t="s">
        <v>3882</v>
      </c>
    </row>
    <row r="28" customFormat="false" ht="12.8" hidden="false" customHeight="false" outlineLevel="0" collapsed="false">
      <c r="B28" s="48"/>
      <c r="C28" s="48"/>
      <c r="D28" s="1" t="s">
        <v>3883</v>
      </c>
      <c r="E28" s="1" t="s">
        <v>3884</v>
      </c>
      <c r="F28" s="1" t="s">
        <v>3787</v>
      </c>
      <c r="G28" s="1" t="s">
        <v>3885</v>
      </c>
      <c r="H28" s="50" t="s">
        <v>3886</v>
      </c>
      <c r="I28" s="37" t="s">
        <v>50</v>
      </c>
      <c r="J28" s="50" t="s">
        <v>3887</v>
      </c>
      <c r="K28" s="50" t="s">
        <v>3888</v>
      </c>
    </row>
    <row r="29" customFormat="false" ht="12.8" hidden="false" customHeight="false" outlineLevel="0" collapsed="false">
      <c r="B29" s="48"/>
      <c r="C29" s="48"/>
      <c r="D29" s="50"/>
      <c r="E29" s="50"/>
      <c r="F29" s="50" t="s">
        <v>3792</v>
      </c>
      <c r="G29" s="50" t="s">
        <v>3889</v>
      </c>
      <c r="H29" s="1" t="s">
        <v>3792</v>
      </c>
      <c r="I29" s="37"/>
      <c r="J29" s="1" t="s">
        <v>3792</v>
      </c>
      <c r="K29" s="1" t="s">
        <v>3890</v>
      </c>
    </row>
    <row r="30" customFormat="false" ht="12.8" hidden="false" customHeight="false" outlineLevel="0" collapsed="false">
      <c r="B30" s="48"/>
      <c r="C30" s="48"/>
      <c r="D30" s="1" t="s">
        <v>3891</v>
      </c>
      <c r="E30" s="1" t="s">
        <v>3892</v>
      </c>
      <c r="F30" s="1" t="s">
        <v>3806</v>
      </c>
      <c r="G30" s="1" t="s">
        <v>3893</v>
      </c>
      <c r="H30" s="51" t="s">
        <v>3894</v>
      </c>
      <c r="I30" s="34" t="s">
        <v>40</v>
      </c>
      <c r="J30" s="51" t="s">
        <v>3895</v>
      </c>
      <c r="K30" s="51" t="s">
        <v>3896</v>
      </c>
    </row>
    <row r="31" customFormat="false" ht="12.8" hidden="false" customHeight="false" outlineLevel="0" collapsed="false">
      <c r="B31" s="48"/>
      <c r="C31" s="49"/>
      <c r="D31" s="51"/>
      <c r="E31" s="51"/>
      <c r="F31" s="51" t="s">
        <v>3792</v>
      </c>
      <c r="G31" s="51" t="s">
        <v>3897</v>
      </c>
      <c r="H31" s="1" t="s">
        <v>3792</v>
      </c>
      <c r="I31" s="34"/>
      <c r="J31" s="1" t="s">
        <v>3792</v>
      </c>
      <c r="K31" s="1" t="s">
        <v>3898</v>
      </c>
    </row>
    <row r="32" customFormat="false" ht="12.8" hidden="false" customHeight="true" outlineLevel="0" collapsed="false">
      <c r="B32" s="48"/>
      <c r="C32" s="49" t="s">
        <v>3899</v>
      </c>
      <c r="D32" s="52" t="s">
        <v>3900</v>
      </c>
      <c r="E32" s="1" t="s">
        <v>3901</v>
      </c>
      <c r="F32" s="1" t="s">
        <v>3797</v>
      </c>
      <c r="G32" s="1" t="s">
        <v>3902</v>
      </c>
      <c r="H32" s="50" t="s">
        <v>3903</v>
      </c>
      <c r="I32" s="39" t="s">
        <v>67</v>
      </c>
      <c r="J32" s="50" t="s">
        <v>3904</v>
      </c>
      <c r="K32" s="50" t="s">
        <v>3905</v>
      </c>
    </row>
    <row r="33" customFormat="false" ht="12.8" hidden="false" customHeight="false" outlineLevel="0" collapsed="false">
      <c r="B33" s="48"/>
      <c r="C33" s="48"/>
      <c r="D33" s="53"/>
      <c r="E33" s="50"/>
      <c r="F33" s="50" t="s">
        <v>3792</v>
      </c>
      <c r="G33" s="50" t="s">
        <v>3906</v>
      </c>
      <c r="H33" s="1" t="s">
        <v>3792</v>
      </c>
      <c r="I33" s="39"/>
      <c r="J33" s="1" t="s">
        <v>3792</v>
      </c>
      <c r="K33" s="1" t="s">
        <v>3907</v>
      </c>
    </row>
    <row r="34" customFormat="false" ht="12.8" hidden="false" customHeight="false" outlineLevel="0" collapsed="false">
      <c r="B34" s="48"/>
      <c r="C34" s="48"/>
      <c r="D34" s="52" t="s">
        <v>3908</v>
      </c>
      <c r="E34" s="1" t="s">
        <v>3909</v>
      </c>
      <c r="F34" s="1" t="s">
        <v>3787</v>
      </c>
      <c r="G34" s="1" t="s">
        <v>3910</v>
      </c>
      <c r="H34" s="50" t="s">
        <v>3911</v>
      </c>
      <c r="I34" s="34" t="s">
        <v>40</v>
      </c>
      <c r="J34" s="50" t="s">
        <v>3912</v>
      </c>
      <c r="K34" s="50" t="s">
        <v>3913</v>
      </c>
    </row>
    <row r="35" customFormat="false" ht="12.8" hidden="false" customHeight="false" outlineLevel="0" collapsed="false">
      <c r="B35" s="48"/>
      <c r="C35" s="48"/>
      <c r="D35" s="53"/>
      <c r="E35" s="50"/>
      <c r="F35" s="50" t="s">
        <v>3792</v>
      </c>
      <c r="G35" s="50" t="s">
        <v>3914</v>
      </c>
      <c r="H35" s="1" t="s">
        <v>3792</v>
      </c>
      <c r="I35" s="34"/>
      <c r="J35" s="1" t="s">
        <v>3792</v>
      </c>
      <c r="K35" s="1" t="s">
        <v>3915</v>
      </c>
    </row>
    <row r="36" customFormat="false" ht="12.8" hidden="false" customHeight="false" outlineLevel="0" collapsed="false">
      <c r="B36" s="48"/>
      <c r="C36" s="48"/>
      <c r="D36" s="1" t="s">
        <v>3916</v>
      </c>
      <c r="E36" s="1" t="s">
        <v>3917</v>
      </c>
      <c r="F36" s="1" t="s">
        <v>3787</v>
      </c>
      <c r="G36" s="1" t="s">
        <v>3918</v>
      </c>
      <c r="H36" s="50" t="s">
        <v>3919</v>
      </c>
      <c r="I36" s="37" t="s">
        <v>50</v>
      </c>
      <c r="J36" s="50" t="s">
        <v>3920</v>
      </c>
      <c r="K36" s="50" t="s">
        <v>3921</v>
      </c>
    </row>
    <row r="37" customFormat="false" ht="12.8" hidden="false" customHeight="false" outlineLevel="0" collapsed="false">
      <c r="B37" s="48"/>
      <c r="C37" s="48"/>
      <c r="D37" s="50"/>
      <c r="E37" s="50"/>
      <c r="F37" s="50" t="s">
        <v>3792</v>
      </c>
      <c r="G37" s="50" t="s">
        <v>3922</v>
      </c>
      <c r="H37" s="1" t="s">
        <v>3792</v>
      </c>
      <c r="I37" s="37"/>
      <c r="J37" s="1" t="s">
        <v>3792</v>
      </c>
      <c r="K37" s="1" t="s">
        <v>3923</v>
      </c>
    </row>
    <row r="38" customFormat="false" ht="12.8" hidden="false" customHeight="false" outlineLevel="0" collapsed="false">
      <c r="B38" s="48"/>
      <c r="C38" s="48"/>
      <c r="D38" s="1" t="s">
        <v>3924</v>
      </c>
      <c r="E38" s="1" t="s">
        <v>3925</v>
      </c>
      <c r="F38" s="1" t="s">
        <v>3797</v>
      </c>
      <c r="G38" s="1" t="s">
        <v>3926</v>
      </c>
      <c r="H38" s="50" t="s">
        <v>3927</v>
      </c>
      <c r="I38" s="34" t="s">
        <v>40</v>
      </c>
      <c r="J38" s="50" t="s">
        <v>3928</v>
      </c>
      <c r="K38" s="50" t="s">
        <v>3929</v>
      </c>
    </row>
    <row r="39" customFormat="false" ht="12.8" hidden="false" customHeight="false" outlineLevel="0" collapsed="false">
      <c r="B39" s="48"/>
      <c r="C39" s="48"/>
      <c r="D39" s="50"/>
      <c r="E39" s="50"/>
      <c r="F39" s="50" t="s">
        <v>3792</v>
      </c>
      <c r="G39" s="50" t="s">
        <v>3930</v>
      </c>
      <c r="H39" s="1" t="s">
        <v>3792</v>
      </c>
      <c r="I39" s="34"/>
      <c r="J39" s="1" t="s">
        <v>3792</v>
      </c>
      <c r="K39" s="1" t="s">
        <v>3931</v>
      </c>
    </row>
    <row r="40" customFormat="false" ht="12.8" hidden="false" customHeight="false" outlineLevel="0" collapsed="false">
      <c r="B40" s="48"/>
      <c r="C40" s="48"/>
      <c r="D40" s="1" t="s">
        <v>3932</v>
      </c>
      <c r="E40" s="1" t="s">
        <v>3933</v>
      </c>
      <c r="F40" s="1" t="s">
        <v>3806</v>
      </c>
      <c r="G40" s="1" t="s">
        <v>3934</v>
      </c>
      <c r="H40" s="51" t="s">
        <v>3935</v>
      </c>
      <c r="I40" s="39" t="s">
        <v>67</v>
      </c>
      <c r="J40" s="51" t="s">
        <v>3936</v>
      </c>
      <c r="K40" s="51" t="s">
        <v>3937</v>
      </c>
    </row>
    <row r="41" customFormat="false" ht="12.8" hidden="false" customHeight="false" outlineLevel="0" collapsed="false">
      <c r="B41" s="48"/>
      <c r="C41" s="49"/>
      <c r="D41" s="51"/>
      <c r="E41" s="51"/>
      <c r="F41" s="51" t="s">
        <v>3792</v>
      </c>
      <c r="G41" s="51" t="s">
        <v>3938</v>
      </c>
      <c r="H41" s="1" t="s">
        <v>3792</v>
      </c>
      <c r="I41" s="39"/>
      <c r="J41" s="1" t="s">
        <v>3792</v>
      </c>
      <c r="K41" s="1" t="s">
        <v>3939</v>
      </c>
    </row>
    <row r="42" customFormat="false" ht="12.8" hidden="false" customHeight="false" outlineLevel="0" collapsed="false">
      <c r="B42" s="48"/>
      <c r="C42" s="48" t="s">
        <v>3940</v>
      </c>
      <c r="D42" s="1" t="s">
        <v>3941</v>
      </c>
      <c r="E42" s="1" t="s">
        <v>3942</v>
      </c>
      <c r="F42" s="1" t="s">
        <v>3806</v>
      </c>
      <c r="G42" s="1" t="s">
        <v>3943</v>
      </c>
      <c r="H42" s="50" t="s">
        <v>3944</v>
      </c>
      <c r="I42" s="34" t="s">
        <v>40</v>
      </c>
      <c r="J42" s="50" t="s">
        <v>3945</v>
      </c>
      <c r="K42" s="50" t="s">
        <v>3946</v>
      </c>
    </row>
    <row r="43" customFormat="false" ht="12.8" hidden="false" customHeight="false" outlineLevel="0" collapsed="false">
      <c r="B43" s="48"/>
      <c r="C43" s="48"/>
      <c r="D43" s="50"/>
      <c r="E43" s="50"/>
      <c r="F43" s="50" t="s">
        <v>3792</v>
      </c>
      <c r="G43" s="50" t="s">
        <v>3947</v>
      </c>
      <c r="H43" s="1" t="s">
        <v>3792</v>
      </c>
      <c r="I43" s="34"/>
      <c r="J43" s="1" t="s">
        <v>3792</v>
      </c>
      <c r="K43" s="1" t="s">
        <v>3948</v>
      </c>
    </row>
    <row r="44" customFormat="false" ht="12.8" hidden="false" customHeight="false" outlineLevel="0" collapsed="false">
      <c r="B44" s="48"/>
      <c r="C44" s="48"/>
      <c r="D44" s="1" t="s">
        <v>3949</v>
      </c>
      <c r="E44" s="1" t="s">
        <v>3950</v>
      </c>
      <c r="F44" s="1" t="s">
        <v>3787</v>
      </c>
      <c r="G44" s="1" t="s">
        <v>3951</v>
      </c>
      <c r="H44" s="50" t="s">
        <v>3952</v>
      </c>
      <c r="I44" s="37" t="s">
        <v>50</v>
      </c>
      <c r="J44" s="50" t="s">
        <v>3953</v>
      </c>
      <c r="K44" s="50" t="s">
        <v>3954</v>
      </c>
    </row>
    <row r="45" customFormat="false" ht="12.8" hidden="false" customHeight="false" outlineLevel="0" collapsed="false">
      <c r="B45" s="48"/>
      <c r="C45" s="48"/>
      <c r="D45" s="50"/>
      <c r="E45" s="50"/>
      <c r="F45" s="50" t="s">
        <v>3792</v>
      </c>
      <c r="G45" s="50" t="s">
        <v>3955</v>
      </c>
      <c r="H45" s="1" t="s">
        <v>3792</v>
      </c>
      <c r="I45" s="37"/>
      <c r="J45" s="1" t="s">
        <v>3792</v>
      </c>
      <c r="K45" s="1" t="s">
        <v>3956</v>
      </c>
    </row>
    <row r="46" customFormat="false" ht="12.8" hidden="false" customHeight="false" outlineLevel="0" collapsed="false">
      <c r="B46" s="48"/>
      <c r="C46" s="48"/>
      <c r="D46" s="1" t="s">
        <v>3957</v>
      </c>
      <c r="E46" s="1" t="s">
        <v>3958</v>
      </c>
      <c r="F46" s="1" t="s">
        <v>3797</v>
      </c>
      <c r="G46" s="1" t="s">
        <v>3959</v>
      </c>
      <c r="H46" s="50" t="s">
        <v>3960</v>
      </c>
      <c r="I46" s="34" t="s">
        <v>40</v>
      </c>
      <c r="J46" s="50" t="s">
        <v>3961</v>
      </c>
      <c r="K46" s="50" t="s">
        <v>3962</v>
      </c>
    </row>
    <row r="47" customFormat="false" ht="12.8" hidden="false" customHeight="false" outlineLevel="0" collapsed="false">
      <c r="B47" s="48"/>
      <c r="C47" s="48"/>
      <c r="D47" s="50"/>
      <c r="E47" s="50"/>
      <c r="F47" s="50" t="s">
        <v>3792</v>
      </c>
      <c r="G47" s="50" t="s">
        <v>3963</v>
      </c>
      <c r="H47" s="1" t="s">
        <v>3792</v>
      </c>
      <c r="I47" s="34"/>
      <c r="J47" s="1" t="s">
        <v>3792</v>
      </c>
      <c r="K47" s="1" t="s">
        <v>3964</v>
      </c>
    </row>
    <row r="48" customFormat="false" ht="12.8" hidden="false" customHeight="false" outlineLevel="0" collapsed="false">
      <c r="B48" s="48"/>
      <c r="C48" s="48"/>
      <c r="D48" s="1" t="s">
        <v>3965</v>
      </c>
      <c r="E48" s="1" t="s">
        <v>3966</v>
      </c>
      <c r="F48" s="1" t="s">
        <v>3787</v>
      </c>
      <c r="G48" s="1" t="s">
        <v>3967</v>
      </c>
      <c r="H48" s="50" t="s">
        <v>3968</v>
      </c>
      <c r="I48" s="39" t="s">
        <v>67</v>
      </c>
      <c r="J48" s="50" t="s">
        <v>3969</v>
      </c>
      <c r="K48" s="50" t="s">
        <v>3970</v>
      </c>
    </row>
    <row r="49" customFormat="false" ht="12.8" hidden="false" customHeight="false" outlineLevel="0" collapsed="false">
      <c r="B49" s="48"/>
      <c r="C49" s="48"/>
      <c r="D49" s="50"/>
      <c r="E49" s="50"/>
      <c r="F49" s="50" t="s">
        <v>3792</v>
      </c>
      <c r="G49" s="50" t="s">
        <v>3971</v>
      </c>
      <c r="H49" s="1" t="s">
        <v>3792</v>
      </c>
      <c r="I49" s="39"/>
      <c r="J49" s="1" t="s">
        <v>3792</v>
      </c>
      <c r="K49" s="1" t="s">
        <v>3972</v>
      </c>
    </row>
    <row r="50" customFormat="false" ht="12.8" hidden="false" customHeight="false" outlineLevel="0" collapsed="false">
      <c r="B50" s="48"/>
      <c r="C50" s="48"/>
      <c r="D50" s="1" t="s">
        <v>3973</v>
      </c>
      <c r="E50" s="1" t="s">
        <v>3974</v>
      </c>
      <c r="F50" s="1" t="s">
        <v>3806</v>
      </c>
      <c r="G50" s="1" t="s">
        <v>3975</v>
      </c>
      <c r="H50" s="50" t="s">
        <v>3976</v>
      </c>
      <c r="I50" s="34" t="s">
        <v>40</v>
      </c>
      <c r="J50" s="50" t="s">
        <v>3977</v>
      </c>
      <c r="K50" s="50" t="s">
        <v>3978</v>
      </c>
    </row>
    <row r="51" customFormat="false" ht="12.8" hidden="false" customHeight="false" outlineLevel="0" collapsed="false">
      <c r="B51" s="48"/>
      <c r="C51" s="48"/>
      <c r="D51" s="50"/>
      <c r="E51" s="50"/>
      <c r="F51" s="50" t="s">
        <v>3792</v>
      </c>
      <c r="G51" s="50" t="s">
        <v>3979</v>
      </c>
      <c r="H51" s="1" t="s">
        <v>3792</v>
      </c>
      <c r="I51" s="34"/>
      <c r="J51" s="1" t="s">
        <v>3792</v>
      </c>
      <c r="K51" s="1" t="s">
        <v>3980</v>
      </c>
    </row>
    <row r="52" customFormat="false" ht="12.8" hidden="false" customHeight="false" outlineLevel="0" collapsed="false">
      <c r="B52" s="48"/>
      <c r="C52" s="48"/>
      <c r="F52" s="1" t="s">
        <v>3797</v>
      </c>
      <c r="H52" s="54"/>
      <c r="I52" s="37" t="s">
        <v>50</v>
      </c>
      <c r="J52" s="54"/>
      <c r="K52" s="54" t="s">
        <v>3981</v>
      </c>
    </row>
    <row r="53" customFormat="false" ht="12.8" hidden="false" customHeight="false" outlineLevel="0" collapsed="false">
      <c r="B53" s="48"/>
      <c r="C53" s="48"/>
      <c r="D53" s="54"/>
      <c r="E53" s="54"/>
      <c r="F53" s="54" t="s">
        <v>3792</v>
      </c>
      <c r="G53" s="54"/>
      <c r="I53" s="37"/>
      <c r="K53" s="1" t="s">
        <v>3982</v>
      </c>
    </row>
    <row r="54" customFormat="false" ht="12.8" hidden="false" customHeight="true" outlineLevel="0" collapsed="false">
      <c r="B54" s="48" t="s">
        <v>3983</v>
      </c>
      <c r="C54" s="49" t="s">
        <v>3984</v>
      </c>
      <c r="D54" s="1" t="s">
        <v>3985</v>
      </c>
      <c r="E54" s="1" t="s">
        <v>3986</v>
      </c>
      <c r="F54" s="1" t="s">
        <v>3797</v>
      </c>
      <c r="G54" s="1" t="s">
        <v>3987</v>
      </c>
      <c r="H54" s="50" t="s">
        <v>3988</v>
      </c>
      <c r="I54" s="34" t="s">
        <v>40</v>
      </c>
      <c r="J54" s="50" t="s">
        <v>3989</v>
      </c>
      <c r="K54" s="50" t="s">
        <v>3990</v>
      </c>
    </row>
    <row r="55" customFormat="false" ht="12.8" hidden="false" customHeight="false" outlineLevel="0" collapsed="false">
      <c r="B55" s="48"/>
      <c r="C55" s="48"/>
      <c r="D55" s="50"/>
      <c r="E55" s="50"/>
      <c r="F55" s="50" t="s">
        <v>3792</v>
      </c>
      <c r="G55" s="50" t="s">
        <v>3991</v>
      </c>
      <c r="H55" s="1" t="s">
        <v>3792</v>
      </c>
      <c r="I55" s="34"/>
      <c r="J55" s="1" t="s">
        <v>3792</v>
      </c>
      <c r="K55" s="1" t="s">
        <v>3992</v>
      </c>
    </row>
    <row r="56" customFormat="false" ht="12.8" hidden="false" customHeight="false" outlineLevel="0" collapsed="false">
      <c r="B56" s="48"/>
      <c r="C56" s="48"/>
      <c r="D56" s="1" t="s">
        <v>3993</v>
      </c>
      <c r="E56" s="1" t="s">
        <v>3994</v>
      </c>
      <c r="F56" s="1" t="s">
        <v>3787</v>
      </c>
      <c r="G56" s="1" t="s">
        <v>3995</v>
      </c>
      <c r="H56" s="50" t="s">
        <v>3996</v>
      </c>
      <c r="I56" s="39" t="s">
        <v>67</v>
      </c>
      <c r="J56" s="50" t="s">
        <v>3997</v>
      </c>
      <c r="K56" s="50" t="s">
        <v>3998</v>
      </c>
    </row>
    <row r="57" customFormat="false" ht="12.8" hidden="false" customHeight="false" outlineLevel="0" collapsed="false">
      <c r="B57" s="48"/>
      <c r="C57" s="48"/>
      <c r="D57" s="50"/>
      <c r="E57" s="50"/>
      <c r="F57" s="50" t="s">
        <v>3792</v>
      </c>
      <c r="G57" s="50" t="s">
        <v>3999</v>
      </c>
      <c r="H57" s="1" t="s">
        <v>3792</v>
      </c>
      <c r="I57" s="39"/>
      <c r="J57" s="1" t="s">
        <v>3792</v>
      </c>
      <c r="K57" s="1" t="s">
        <v>4000</v>
      </c>
    </row>
    <row r="58" customFormat="false" ht="12.8" hidden="false" customHeight="false" outlineLevel="0" collapsed="false">
      <c r="B58" s="48"/>
      <c r="C58" s="48"/>
      <c r="D58" s="1" t="s">
        <v>4001</v>
      </c>
      <c r="E58" s="1" t="s">
        <v>4002</v>
      </c>
      <c r="F58" s="1" t="s">
        <v>3806</v>
      </c>
      <c r="G58" s="1" t="s">
        <v>3995</v>
      </c>
      <c r="H58" s="50" t="s">
        <v>4003</v>
      </c>
      <c r="I58" s="34" t="s">
        <v>40</v>
      </c>
      <c r="J58" s="50" t="s">
        <v>4004</v>
      </c>
      <c r="K58" s="50" t="s">
        <v>4005</v>
      </c>
    </row>
    <row r="59" customFormat="false" ht="12.8" hidden="false" customHeight="false" outlineLevel="0" collapsed="false">
      <c r="B59" s="48"/>
      <c r="C59" s="48"/>
      <c r="D59" s="50"/>
      <c r="E59" s="50"/>
      <c r="F59" s="50" t="s">
        <v>3792</v>
      </c>
      <c r="G59" s="50" t="s">
        <v>3999</v>
      </c>
      <c r="H59" s="1" t="s">
        <v>3792</v>
      </c>
      <c r="I59" s="34"/>
      <c r="J59" s="1" t="s">
        <v>3792</v>
      </c>
      <c r="K59" s="1" t="s">
        <v>4006</v>
      </c>
    </row>
    <row r="60" customFormat="false" ht="12.8" hidden="false" customHeight="false" outlineLevel="0" collapsed="false">
      <c r="B60" s="48"/>
      <c r="C60" s="48"/>
      <c r="D60" s="1" t="s">
        <v>4007</v>
      </c>
      <c r="E60" s="1" t="s">
        <v>4008</v>
      </c>
      <c r="F60" s="1" t="s">
        <v>3787</v>
      </c>
      <c r="G60" s="1" t="s">
        <v>4009</v>
      </c>
      <c r="H60" s="50" t="s">
        <v>4010</v>
      </c>
      <c r="I60" s="37" t="s">
        <v>50</v>
      </c>
      <c r="J60" s="50" t="s">
        <v>4011</v>
      </c>
      <c r="K60" s="50" t="s">
        <v>4012</v>
      </c>
    </row>
    <row r="61" customFormat="false" ht="12.8" hidden="false" customHeight="false" outlineLevel="0" collapsed="false">
      <c r="B61" s="48"/>
      <c r="C61" s="48"/>
      <c r="D61" s="50"/>
      <c r="E61" s="50"/>
      <c r="F61" s="50" t="s">
        <v>3792</v>
      </c>
      <c r="G61" s="50" t="s">
        <v>4013</v>
      </c>
      <c r="H61" s="1" t="s">
        <v>3792</v>
      </c>
      <c r="I61" s="37"/>
      <c r="J61" s="1" t="s">
        <v>3792</v>
      </c>
      <c r="K61" s="1" t="s">
        <v>4014</v>
      </c>
    </row>
    <row r="62" customFormat="false" ht="12.8" hidden="false" customHeight="false" outlineLevel="0" collapsed="false">
      <c r="B62" s="48"/>
      <c r="C62" s="48"/>
      <c r="D62" s="1" t="s">
        <v>4015</v>
      </c>
      <c r="E62" s="1" t="s">
        <v>4016</v>
      </c>
      <c r="F62" s="1" t="s">
        <v>3787</v>
      </c>
      <c r="G62" s="1" t="s">
        <v>4017</v>
      </c>
      <c r="H62" s="51" t="s">
        <v>4018</v>
      </c>
      <c r="I62" s="34" t="s">
        <v>40</v>
      </c>
      <c r="J62" s="51" t="s">
        <v>4019</v>
      </c>
      <c r="K62" s="51" t="s">
        <v>4020</v>
      </c>
    </row>
    <row r="63" customFormat="false" ht="12.8" hidden="false" customHeight="false" outlineLevel="0" collapsed="false">
      <c r="B63" s="48"/>
      <c r="C63" s="49"/>
      <c r="D63" s="51"/>
      <c r="E63" s="51"/>
      <c r="F63" s="51" t="s">
        <v>3792</v>
      </c>
      <c r="G63" s="50" t="s">
        <v>4021</v>
      </c>
      <c r="H63" s="1" t="s">
        <v>3792</v>
      </c>
      <c r="I63" s="34"/>
      <c r="J63" s="1" t="s">
        <v>3792</v>
      </c>
      <c r="K63" s="1" t="s">
        <v>4022</v>
      </c>
    </row>
    <row r="64" customFormat="false" ht="12.8" hidden="false" customHeight="true" outlineLevel="0" collapsed="false">
      <c r="B64" s="48"/>
      <c r="C64" s="49" t="s">
        <v>4023</v>
      </c>
      <c r="D64" s="1" t="s">
        <v>4024</v>
      </c>
      <c r="E64" s="1" t="s">
        <v>4025</v>
      </c>
      <c r="F64" s="1" t="s">
        <v>3797</v>
      </c>
      <c r="G64" s="1" t="s">
        <v>4026</v>
      </c>
      <c r="H64" s="50" t="s">
        <v>4027</v>
      </c>
      <c r="I64" s="39" t="s">
        <v>67</v>
      </c>
      <c r="J64" s="50" t="s">
        <v>4028</v>
      </c>
      <c r="K64" s="50" t="s">
        <v>4029</v>
      </c>
    </row>
    <row r="65" customFormat="false" ht="12.8" hidden="false" customHeight="false" outlineLevel="0" collapsed="false">
      <c r="B65" s="48"/>
      <c r="C65" s="48"/>
      <c r="D65" s="50"/>
      <c r="E65" s="50"/>
      <c r="F65" s="50" t="s">
        <v>3792</v>
      </c>
      <c r="G65" s="51" t="s">
        <v>4030</v>
      </c>
      <c r="H65" s="1" t="s">
        <v>3792</v>
      </c>
      <c r="I65" s="39"/>
      <c r="J65" s="1" t="s">
        <v>3792</v>
      </c>
      <c r="K65" s="1" t="s">
        <v>4031</v>
      </c>
    </row>
    <row r="66" customFormat="false" ht="12.8" hidden="false" customHeight="false" outlineLevel="0" collapsed="false">
      <c r="B66" s="48"/>
      <c r="C66" s="48"/>
      <c r="D66" s="1" t="s">
        <v>4032</v>
      </c>
      <c r="E66" s="1" t="s">
        <v>4033</v>
      </c>
      <c r="F66" s="1" t="s">
        <v>3797</v>
      </c>
      <c r="G66" s="1" t="s">
        <v>4034</v>
      </c>
      <c r="H66" s="50" t="s">
        <v>4035</v>
      </c>
      <c r="I66" s="34" t="s">
        <v>40</v>
      </c>
      <c r="J66" s="50" t="s">
        <v>4036</v>
      </c>
      <c r="K66" s="50" t="s">
        <v>4037</v>
      </c>
    </row>
    <row r="67" customFormat="false" ht="12.8" hidden="false" customHeight="false" outlineLevel="0" collapsed="false">
      <c r="B67" s="48"/>
      <c r="C67" s="48"/>
      <c r="D67" s="50"/>
      <c r="E67" s="50"/>
      <c r="F67" s="50" t="s">
        <v>3792</v>
      </c>
      <c r="G67" s="50" t="s">
        <v>4038</v>
      </c>
      <c r="H67" s="1" t="s">
        <v>3792</v>
      </c>
      <c r="I67" s="34"/>
      <c r="J67" s="1" t="s">
        <v>3792</v>
      </c>
      <c r="K67" s="1" t="s">
        <v>4039</v>
      </c>
    </row>
    <row r="68" customFormat="false" ht="12.8" hidden="false" customHeight="false" outlineLevel="0" collapsed="false">
      <c r="B68" s="48"/>
      <c r="C68" s="48"/>
      <c r="D68" s="1" t="s">
        <v>4040</v>
      </c>
      <c r="E68" s="1" t="s">
        <v>4041</v>
      </c>
      <c r="F68" s="1" t="s">
        <v>3787</v>
      </c>
      <c r="G68" s="1" t="s">
        <v>4042</v>
      </c>
      <c r="H68" s="50" t="s">
        <v>4043</v>
      </c>
      <c r="I68" s="37" t="s">
        <v>50</v>
      </c>
      <c r="J68" s="50" t="s">
        <v>4044</v>
      </c>
      <c r="K68" s="50" t="s">
        <v>4045</v>
      </c>
    </row>
    <row r="69" customFormat="false" ht="12.8" hidden="false" customHeight="false" outlineLevel="0" collapsed="false">
      <c r="B69" s="48"/>
      <c r="C69" s="48"/>
      <c r="D69" s="50"/>
      <c r="E69" s="50"/>
      <c r="F69" s="50" t="s">
        <v>3792</v>
      </c>
      <c r="G69" s="50" t="s">
        <v>4046</v>
      </c>
      <c r="H69" s="1" t="s">
        <v>3792</v>
      </c>
      <c r="I69" s="37"/>
      <c r="J69" s="1" t="s">
        <v>3792</v>
      </c>
      <c r="K69" s="1" t="s">
        <v>4047</v>
      </c>
    </row>
    <row r="70" customFormat="false" ht="12.8" hidden="false" customHeight="false" outlineLevel="0" collapsed="false">
      <c r="B70" s="48"/>
      <c r="C70" s="48"/>
      <c r="D70" s="1" t="s">
        <v>4048</v>
      </c>
      <c r="E70" s="1" t="s">
        <v>4049</v>
      </c>
      <c r="F70" s="1" t="s">
        <v>3806</v>
      </c>
      <c r="G70" s="1" t="s">
        <v>4050</v>
      </c>
      <c r="H70" s="50" t="s">
        <v>4051</v>
      </c>
      <c r="I70" s="34" t="s">
        <v>40</v>
      </c>
      <c r="J70" s="50" t="s">
        <v>4052</v>
      </c>
      <c r="K70" s="50" t="s">
        <v>4053</v>
      </c>
    </row>
    <row r="71" customFormat="false" ht="12.8" hidden="false" customHeight="false" outlineLevel="0" collapsed="false">
      <c r="B71" s="48"/>
      <c r="C71" s="48"/>
      <c r="D71" s="50"/>
      <c r="E71" s="50"/>
      <c r="F71" s="50" t="s">
        <v>3792</v>
      </c>
      <c r="G71" s="50" t="s">
        <v>4054</v>
      </c>
      <c r="H71" s="1" t="s">
        <v>3792</v>
      </c>
      <c r="I71" s="34"/>
      <c r="J71" s="1" t="s">
        <v>3792</v>
      </c>
      <c r="K71" s="1" t="s">
        <v>4055</v>
      </c>
    </row>
    <row r="72" customFormat="false" ht="12.8" hidden="false" customHeight="false" outlineLevel="0" collapsed="false">
      <c r="B72" s="48"/>
      <c r="C72" s="48"/>
      <c r="D72" s="1" t="s">
        <v>4056</v>
      </c>
      <c r="E72" s="1" t="s">
        <v>4057</v>
      </c>
      <c r="F72" s="1" t="s">
        <v>3787</v>
      </c>
      <c r="G72" s="1" t="s">
        <v>4058</v>
      </c>
      <c r="H72" s="51" t="s">
        <v>4059</v>
      </c>
      <c r="I72" s="39" t="s">
        <v>67</v>
      </c>
      <c r="J72" s="51" t="s">
        <v>4060</v>
      </c>
      <c r="K72" s="51" t="s">
        <v>4061</v>
      </c>
    </row>
    <row r="73" customFormat="false" ht="12.8" hidden="false" customHeight="false" outlineLevel="0" collapsed="false">
      <c r="B73" s="48"/>
      <c r="C73" s="49"/>
      <c r="D73" s="51"/>
      <c r="E73" s="51"/>
      <c r="F73" s="51" t="s">
        <v>3792</v>
      </c>
      <c r="G73" s="51" t="s">
        <v>4062</v>
      </c>
      <c r="H73" s="1" t="s">
        <v>3792</v>
      </c>
      <c r="I73" s="39"/>
      <c r="J73" s="1" t="s">
        <v>3792</v>
      </c>
      <c r="K73" s="1" t="s">
        <v>4063</v>
      </c>
    </row>
    <row r="74" customFormat="false" ht="12.8" hidden="false" customHeight="true" outlineLevel="0" collapsed="false">
      <c r="B74" s="48"/>
      <c r="C74" s="49" t="s">
        <v>4064</v>
      </c>
      <c r="D74" s="1" t="s">
        <v>4065</v>
      </c>
      <c r="E74" s="1" t="s">
        <v>4066</v>
      </c>
      <c r="F74" s="1" t="s">
        <v>3797</v>
      </c>
      <c r="G74" s="1" t="s">
        <v>4067</v>
      </c>
      <c r="H74" s="50" t="s">
        <v>4068</v>
      </c>
      <c r="I74" s="34" t="s">
        <v>40</v>
      </c>
      <c r="J74" s="50" t="s">
        <v>4069</v>
      </c>
      <c r="K74" s="50" t="s">
        <v>4070</v>
      </c>
    </row>
    <row r="75" customFormat="false" ht="12.8" hidden="false" customHeight="false" outlineLevel="0" collapsed="false">
      <c r="B75" s="48"/>
      <c r="C75" s="48"/>
      <c r="D75" s="50"/>
      <c r="E75" s="50"/>
      <c r="F75" s="50" t="s">
        <v>3792</v>
      </c>
      <c r="G75" s="50" t="s">
        <v>4071</v>
      </c>
      <c r="H75" s="1" t="s">
        <v>3792</v>
      </c>
      <c r="I75" s="34"/>
      <c r="J75" s="1" t="s">
        <v>3792</v>
      </c>
      <c r="K75" s="1" t="s">
        <v>4072</v>
      </c>
    </row>
    <row r="76" customFormat="false" ht="12.8" hidden="false" customHeight="false" outlineLevel="0" collapsed="false">
      <c r="B76" s="48"/>
      <c r="C76" s="48"/>
      <c r="D76" s="1" t="s">
        <v>4073</v>
      </c>
      <c r="E76" s="1" t="s">
        <v>4074</v>
      </c>
      <c r="F76" s="1" t="s">
        <v>3806</v>
      </c>
      <c r="G76" s="1" t="s">
        <v>4075</v>
      </c>
      <c r="H76" s="50" t="s">
        <v>4076</v>
      </c>
      <c r="I76" s="37" t="s">
        <v>50</v>
      </c>
      <c r="J76" s="50" t="s">
        <v>4077</v>
      </c>
      <c r="K76" s="50" t="s">
        <v>4078</v>
      </c>
    </row>
    <row r="77" customFormat="false" ht="12.8" hidden="false" customHeight="false" outlineLevel="0" collapsed="false">
      <c r="B77" s="48"/>
      <c r="C77" s="48"/>
      <c r="D77" s="50"/>
      <c r="E77" s="50"/>
      <c r="F77" s="50" t="s">
        <v>3792</v>
      </c>
      <c r="G77" s="50" t="s">
        <v>4079</v>
      </c>
      <c r="H77" s="1" t="s">
        <v>3792</v>
      </c>
      <c r="I77" s="37"/>
      <c r="J77" s="1" t="s">
        <v>3792</v>
      </c>
      <c r="K77" s="1" t="s">
        <v>4080</v>
      </c>
    </row>
    <row r="78" customFormat="false" ht="12.8" hidden="false" customHeight="false" outlineLevel="0" collapsed="false">
      <c r="B78" s="48"/>
      <c r="C78" s="48"/>
      <c r="D78" s="1" t="s">
        <v>4081</v>
      </c>
      <c r="E78" s="1" t="s">
        <v>4082</v>
      </c>
      <c r="F78" s="1" t="s">
        <v>3787</v>
      </c>
      <c r="G78" s="1" t="s">
        <v>4083</v>
      </c>
      <c r="H78" s="50" t="s">
        <v>4084</v>
      </c>
      <c r="I78" s="34" t="s">
        <v>40</v>
      </c>
      <c r="J78" s="50" t="s">
        <v>4085</v>
      </c>
      <c r="K78" s="50" t="s">
        <v>4086</v>
      </c>
    </row>
    <row r="79" customFormat="false" ht="12.8" hidden="false" customHeight="false" outlineLevel="0" collapsed="false">
      <c r="B79" s="48"/>
      <c r="C79" s="48"/>
      <c r="D79" s="50"/>
      <c r="E79" s="50"/>
      <c r="F79" s="50" t="s">
        <v>3792</v>
      </c>
      <c r="G79" s="50" t="s">
        <v>4087</v>
      </c>
      <c r="H79" s="1" t="s">
        <v>3792</v>
      </c>
      <c r="I79" s="34"/>
      <c r="J79" s="1" t="s">
        <v>3792</v>
      </c>
      <c r="K79" s="1" t="s">
        <v>4088</v>
      </c>
    </row>
    <row r="80" customFormat="false" ht="12.8" hidden="false" customHeight="false" outlineLevel="0" collapsed="false">
      <c r="B80" s="48"/>
      <c r="C80" s="48"/>
      <c r="D80" s="1" t="s">
        <v>4089</v>
      </c>
      <c r="E80" s="1" t="s">
        <v>4090</v>
      </c>
      <c r="F80" s="1" t="s">
        <v>3787</v>
      </c>
      <c r="G80" s="1" t="s">
        <v>4091</v>
      </c>
      <c r="H80" s="50" t="s">
        <v>4092</v>
      </c>
      <c r="I80" s="39" t="s">
        <v>67</v>
      </c>
      <c r="J80" s="50" t="s">
        <v>4093</v>
      </c>
      <c r="K80" s="50" t="s">
        <v>4094</v>
      </c>
    </row>
    <row r="81" customFormat="false" ht="12.8" hidden="false" customHeight="false" outlineLevel="0" collapsed="false">
      <c r="B81" s="48"/>
      <c r="C81" s="48"/>
      <c r="D81" s="50"/>
      <c r="E81" s="50"/>
      <c r="F81" s="50" t="s">
        <v>3792</v>
      </c>
      <c r="G81" s="50" t="s">
        <v>4095</v>
      </c>
      <c r="H81" s="1" t="s">
        <v>3792</v>
      </c>
      <c r="I81" s="39"/>
      <c r="J81" s="1" t="s">
        <v>3792</v>
      </c>
      <c r="K81" s="1" t="s">
        <v>4096</v>
      </c>
    </row>
    <row r="82" customFormat="false" ht="12.8" hidden="false" customHeight="false" outlineLevel="0" collapsed="false">
      <c r="B82" s="48"/>
      <c r="C82" s="48"/>
      <c r="D82" s="1" t="s">
        <v>4097</v>
      </c>
      <c r="E82" s="1" t="s">
        <v>4098</v>
      </c>
      <c r="F82" s="1" t="s">
        <v>3797</v>
      </c>
      <c r="G82" s="1" t="s">
        <v>4099</v>
      </c>
      <c r="H82" s="51" t="s">
        <v>4100</v>
      </c>
      <c r="I82" s="34" t="s">
        <v>40</v>
      </c>
      <c r="J82" s="51" t="s">
        <v>4101</v>
      </c>
      <c r="K82" s="51" t="s">
        <v>4102</v>
      </c>
    </row>
    <row r="83" customFormat="false" ht="12.8" hidden="false" customHeight="false" outlineLevel="0" collapsed="false">
      <c r="B83" s="48"/>
      <c r="C83" s="49"/>
      <c r="D83" s="51"/>
      <c r="E83" s="51"/>
      <c r="F83" s="51" t="s">
        <v>3792</v>
      </c>
      <c r="G83" s="51" t="s">
        <v>4103</v>
      </c>
      <c r="H83" s="1" t="s">
        <v>3792</v>
      </c>
      <c r="I83" s="34"/>
      <c r="J83" s="1" t="s">
        <v>3792</v>
      </c>
      <c r="K83" s="1" t="s">
        <v>4104</v>
      </c>
    </row>
    <row r="84" customFormat="false" ht="12.8" hidden="false" customHeight="true" outlineLevel="0" collapsed="false">
      <c r="B84" s="48"/>
      <c r="C84" s="49" t="s">
        <v>4105</v>
      </c>
      <c r="D84" s="1" t="s">
        <v>4024</v>
      </c>
      <c r="E84" s="1" t="s">
        <v>4025</v>
      </c>
      <c r="F84" s="1" t="s">
        <v>3797</v>
      </c>
      <c r="G84" s="1" t="s">
        <v>4106</v>
      </c>
      <c r="H84" s="50" t="s">
        <v>4107</v>
      </c>
      <c r="I84" s="37" t="s">
        <v>50</v>
      </c>
      <c r="J84" s="50" t="s">
        <v>4108</v>
      </c>
      <c r="K84" s="50" t="s">
        <v>4109</v>
      </c>
    </row>
    <row r="85" customFormat="false" ht="12.8" hidden="false" customHeight="false" outlineLevel="0" collapsed="false">
      <c r="B85" s="48"/>
      <c r="C85" s="48"/>
      <c r="D85" s="50"/>
      <c r="E85" s="50"/>
      <c r="F85" s="50" t="s">
        <v>3792</v>
      </c>
      <c r="G85" s="50" t="s">
        <v>4110</v>
      </c>
      <c r="H85" s="1" t="s">
        <v>3792</v>
      </c>
      <c r="I85" s="37"/>
      <c r="J85" s="1" t="s">
        <v>3792</v>
      </c>
      <c r="K85" s="1" t="s">
        <v>4111</v>
      </c>
    </row>
    <row r="86" customFormat="false" ht="12.8" hidden="false" customHeight="false" outlineLevel="0" collapsed="false">
      <c r="B86" s="48"/>
      <c r="C86" s="48"/>
      <c r="D86" s="1" t="s">
        <v>4112</v>
      </c>
      <c r="E86" s="1" t="s">
        <v>4113</v>
      </c>
      <c r="F86" s="1" t="s">
        <v>3787</v>
      </c>
      <c r="G86" s="1" t="s">
        <v>4114</v>
      </c>
      <c r="H86" s="50" t="s">
        <v>4115</v>
      </c>
      <c r="I86" s="34" t="s">
        <v>40</v>
      </c>
      <c r="J86" s="50" t="s">
        <v>4116</v>
      </c>
      <c r="K86" s="50" t="s">
        <v>4117</v>
      </c>
    </row>
    <row r="87" customFormat="false" ht="12.8" hidden="false" customHeight="false" outlineLevel="0" collapsed="false">
      <c r="B87" s="48"/>
      <c r="C87" s="48"/>
      <c r="D87" s="50"/>
      <c r="E87" s="50"/>
      <c r="F87" s="50" t="s">
        <v>3792</v>
      </c>
      <c r="G87" s="50" t="s">
        <v>4118</v>
      </c>
      <c r="H87" s="1" t="s">
        <v>3792</v>
      </c>
      <c r="I87" s="34"/>
      <c r="J87" s="1" t="s">
        <v>3792</v>
      </c>
      <c r="K87" s="1" t="s">
        <v>4119</v>
      </c>
    </row>
    <row r="88" customFormat="false" ht="12.8" hidden="false" customHeight="false" outlineLevel="0" collapsed="false">
      <c r="B88" s="48"/>
      <c r="C88" s="48"/>
      <c r="D88" s="1" t="s">
        <v>4120</v>
      </c>
      <c r="E88" s="1" t="s">
        <v>4121</v>
      </c>
      <c r="F88" s="1" t="s">
        <v>3806</v>
      </c>
      <c r="G88" s="1" t="s">
        <v>4122</v>
      </c>
      <c r="H88" s="50" t="s">
        <v>4123</v>
      </c>
      <c r="I88" s="39" t="s">
        <v>67</v>
      </c>
      <c r="J88" s="50" t="s">
        <v>4124</v>
      </c>
      <c r="K88" s="50" t="s">
        <v>4125</v>
      </c>
    </row>
    <row r="89" customFormat="false" ht="12.8" hidden="false" customHeight="false" outlineLevel="0" collapsed="false">
      <c r="B89" s="48"/>
      <c r="C89" s="48"/>
      <c r="D89" s="50"/>
      <c r="E89" s="50"/>
      <c r="F89" s="50" t="s">
        <v>3792</v>
      </c>
      <c r="G89" s="50" t="s">
        <v>4126</v>
      </c>
      <c r="H89" s="1" t="s">
        <v>3792</v>
      </c>
      <c r="I89" s="39"/>
      <c r="J89" s="1" t="s">
        <v>3792</v>
      </c>
      <c r="K89" s="1" t="s">
        <v>4127</v>
      </c>
    </row>
    <row r="90" customFormat="false" ht="12.8" hidden="false" customHeight="false" outlineLevel="0" collapsed="false">
      <c r="B90" s="48"/>
      <c r="C90" s="48"/>
      <c r="D90" s="1" t="s">
        <v>4048</v>
      </c>
      <c r="E90" s="1" t="s">
        <v>4049</v>
      </c>
      <c r="F90" s="1" t="s">
        <v>3806</v>
      </c>
      <c r="G90" s="1" t="s">
        <v>4050</v>
      </c>
      <c r="H90" s="50" t="s">
        <v>4128</v>
      </c>
      <c r="I90" s="34" t="s">
        <v>40</v>
      </c>
      <c r="J90" s="50" t="s">
        <v>4129</v>
      </c>
      <c r="K90" s="50" t="s">
        <v>4130</v>
      </c>
    </row>
    <row r="91" customFormat="false" ht="12.8" hidden="false" customHeight="false" outlineLevel="0" collapsed="false">
      <c r="B91" s="48"/>
      <c r="C91" s="48"/>
      <c r="D91" s="50"/>
      <c r="E91" s="50"/>
      <c r="F91" s="50" t="s">
        <v>3792</v>
      </c>
      <c r="G91" s="50" t="s">
        <v>4131</v>
      </c>
      <c r="H91" s="1" t="s">
        <v>3792</v>
      </c>
      <c r="I91" s="34"/>
      <c r="J91" s="1" t="s">
        <v>3792</v>
      </c>
      <c r="K91" s="1" t="s">
        <v>4132</v>
      </c>
    </row>
    <row r="92" customFormat="false" ht="12.8" hidden="false" customHeight="false" outlineLevel="0" collapsed="false">
      <c r="B92" s="48"/>
      <c r="C92" s="48"/>
      <c r="D92" s="1" t="s">
        <v>4056</v>
      </c>
      <c r="E92" s="1" t="s">
        <v>4057</v>
      </c>
      <c r="F92" s="1" t="s">
        <v>3787</v>
      </c>
      <c r="G92" s="1" t="s">
        <v>4133</v>
      </c>
      <c r="H92" s="51" t="s">
        <v>4134</v>
      </c>
      <c r="I92" s="37" t="s">
        <v>50</v>
      </c>
      <c r="J92" s="51" t="s">
        <v>4135</v>
      </c>
      <c r="K92" s="51" t="s">
        <v>4136</v>
      </c>
    </row>
    <row r="93" customFormat="false" ht="12.8" hidden="false" customHeight="false" outlineLevel="0" collapsed="false">
      <c r="B93" s="48"/>
      <c r="C93" s="49"/>
      <c r="D93" s="51"/>
      <c r="E93" s="51"/>
      <c r="F93" s="51" t="s">
        <v>3792</v>
      </c>
      <c r="G93" s="51" t="s">
        <v>4137</v>
      </c>
      <c r="H93" s="1" t="s">
        <v>3792</v>
      </c>
      <c r="I93" s="37"/>
      <c r="J93" s="1" t="s">
        <v>3792</v>
      </c>
      <c r="K93" s="1" t="s">
        <v>4138</v>
      </c>
    </row>
    <row r="94" customFormat="false" ht="12.8" hidden="false" customHeight="true" outlineLevel="0" collapsed="false">
      <c r="B94" s="48"/>
      <c r="C94" s="49" t="s">
        <v>4139</v>
      </c>
      <c r="D94" s="1" t="s">
        <v>4140</v>
      </c>
      <c r="E94" s="1" t="s">
        <v>4141</v>
      </c>
      <c r="F94" s="1" t="s">
        <v>3797</v>
      </c>
      <c r="G94" s="1" t="s">
        <v>4142</v>
      </c>
      <c r="H94" s="50" t="s">
        <v>4143</v>
      </c>
      <c r="I94" s="34" t="s">
        <v>40</v>
      </c>
      <c r="J94" s="50" t="s">
        <v>4144</v>
      </c>
      <c r="K94" s="50" t="s">
        <v>4145</v>
      </c>
    </row>
    <row r="95" customFormat="false" ht="12.8" hidden="false" customHeight="false" outlineLevel="0" collapsed="false">
      <c r="B95" s="48"/>
      <c r="C95" s="48"/>
      <c r="D95" s="50"/>
      <c r="E95" s="50"/>
      <c r="F95" s="50" t="s">
        <v>3792</v>
      </c>
      <c r="G95" s="50" t="s">
        <v>4146</v>
      </c>
      <c r="H95" s="1" t="s">
        <v>3792</v>
      </c>
      <c r="I95" s="34"/>
      <c r="J95" s="1" t="s">
        <v>3792</v>
      </c>
      <c r="K95" s="1" t="s">
        <v>4147</v>
      </c>
    </row>
    <row r="96" customFormat="false" ht="12.8" hidden="false" customHeight="false" outlineLevel="0" collapsed="false">
      <c r="B96" s="48"/>
      <c r="C96" s="48"/>
      <c r="D96" s="1" t="s">
        <v>4148</v>
      </c>
      <c r="E96" s="1" t="s">
        <v>4149</v>
      </c>
      <c r="F96" s="1" t="s">
        <v>3787</v>
      </c>
      <c r="G96" s="1" t="s">
        <v>4150</v>
      </c>
      <c r="H96" s="50" t="s">
        <v>4151</v>
      </c>
      <c r="I96" s="39" t="s">
        <v>67</v>
      </c>
      <c r="J96" s="50" t="s">
        <v>4152</v>
      </c>
      <c r="K96" s="50" t="s">
        <v>4153</v>
      </c>
    </row>
    <row r="97" customFormat="false" ht="12.8" hidden="false" customHeight="false" outlineLevel="0" collapsed="false">
      <c r="B97" s="48"/>
      <c r="C97" s="48"/>
      <c r="D97" s="50"/>
      <c r="E97" s="50"/>
      <c r="F97" s="50" t="s">
        <v>3792</v>
      </c>
      <c r="G97" s="50" t="s">
        <v>4154</v>
      </c>
      <c r="H97" s="1" t="s">
        <v>3792</v>
      </c>
      <c r="I97" s="39"/>
      <c r="J97" s="1" t="s">
        <v>3792</v>
      </c>
      <c r="K97" s="1" t="s">
        <v>4155</v>
      </c>
    </row>
    <row r="98" customFormat="false" ht="12.8" hidden="false" customHeight="false" outlineLevel="0" collapsed="false">
      <c r="B98" s="48"/>
      <c r="C98" s="48"/>
      <c r="D98" s="1" t="s">
        <v>4156</v>
      </c>
      <c r="E98" s="1" t="s">
        <v>4157</v>
      </c>
      <c r="F98" s="1" t="s">
        <v>3797</v>
      </c>
      <c r="G98" s="1" t="s">
        <v>4158</v>
      </c>
      <c r="H98" s="50" t="s">
        <v>4159</v>
      </c>
      <c r="I98" s="34" t="s">
        <v>40</v>
      </c>
      <c r="J98" s="50" t="s">
        <v>4160</v>
      </c>
      <c r="K98" s="50" t="s">
        <v>4161</v>
      </c>
    </row>
    <row r="99" customFormat="false" ht="12.8" hidden="false" customHeight="false" outlineLevel="0" collapsed="false">
      <c r="B99" s="48"/>
      <c r="C99" s="48"/>
      <c r="D99" s="50"/>
      <c r="E99" s="50"/>
      <c r="F99" s="50" t="s">
        <v>3792</v>
      </c>
      <c r="G99" s="50" t="s">
        <v>4162</v>
      </c>
      <c r="H99" s="1" t="s">
        <v>3792</v>
      </c>
      <c r="I99" s="34"/>
      <c r="J99" s="1" t="s">
        <v>3792</v>
      </c>
    </row>
    <row r="100" customFormat="false" ht="12.8" hidden="false" customHeight="false" outlineLevel="0" collapsed="false">
      <c r="B100" s="48"/>
      <c r="C100" s="48"/>
      <c r="D100" s="1" t="s">
        <v>4163</v>
      </c>
      <c r="E100" s="1" t="s">
        <v>4164</v>
      </c>
      <c r="F100" s="1" t="s">
        <v>3806</v>
      </c>
      <c r="G100" s="1" t="s">
        <v>4165</v>
      </c>
      <c r="H100" s="50" t="s">
        <v>4166</v>
      </c>
      <c r="I100" s="37" t="s">
        <v>50</v>
      </c>
      <c r="J100" s="50" t="s">
        <v>4167</v>
      </c>
      <c r="K100" s="50" t="s">
        <v>3791</v>
      </c>
    </row>
    <row r="101" customFormat="false" ht="12.8" hidden="false" customHeight="false" outlineLevel="0" collapsed="false">
      <c r="B101" s="48"/>
      <c r="C101" s="48"/>
      <c r="D101" s="50"/>
      <c r="E101" s="50"/>
      <c r="F101" s="50" t="s">
        <v>3792</v>
      </c>
      <c r="G101" s="50" t="s">
        <v>4168</v>
      </c>
      <c r="I101" s="37"/>
      <c r="J101" s="1" t="s">
        <v>3792</v>
      </c>
      <c r="K101" s="1" t="s">
        <v>4169</v>
      </c>
    </row>
    <row r="102" customFormat="false" ht="12.8" hidden="false" customHeight="false" outlineLevel="0" collapsed="false">
      <c r="B102" s="48"/>
      <c r="C102" s="48"/>
      <c r="D102" s="1" t="s">
        <v>4170</v>
      </c>
      <c r="E102" s="1" t="s">
        <v>4171</v>
      </c>
      <c r="F102" s="1" t="s">
        <v>3787</v>
      </c>
      <c r="G102" s="1" t="s">
        <v>4172</v>
      </c>
      <c r="H102" s="51" t="s">
        <v>4173</v>
      </c>
      <c r="I102" s="34" t="s">
        <v>40</v>
      </c>
      <c r="J102" s="51" t="s">
        <v>4174</v>
      </c>
      <c r="K102" s="51" t="s">
        <v>4175</v>
      </c>
    </row>
    <row r="103" customFormat="false" ht="12.8" hidden="false" customHeight="false" outlineLevel="0" collapsed="false">
      <c r="B103" s="48"/>
      <c r="C103" s="49"/>
      <c r="D103" s="51"/>
      <c r="E103" s="51"/>
      <c r="F103" s="51" t="s">
        <v>3792</v>
      </c>
      <c r="G103" s="51" t="s">
        <v>4176</v>
      </c>
      <c r="H103" s="1" t="s">
        <v>3792</v>
      </c>
      <c r="I103" s="34"/>
      <c r="J103" s="1" t="s">
        <v>3792</v>
      </c>
      <c r="K103" s="1" t="s">
        <v>4177</v>
      </c>
    </row>
    <row r="104" customFormat="false" ht="12.8" hidden="false" customHeight="true" outlineLevel="0" collapsed="false">
      <c r="B104" s="48"/>
      <c r="C104" s="55" t="s">
        <v>4178</v>
      </c>
      <c r="D104" s="1" t="s">
        <v>4179</v>
      </c>
      <c r="E104" s="1" t="s">
        <v>4180</v>
      </c>
      <c r="F104" s="1" t="s">
        <v>3806</v>
      </c>
      <c r="G104" s="1" t="s">
        <v>4181</v>
      </c>
      <c r="H104" s="50" t="s">
        <v>4182</v>
      </c>
      <c r="I104" s="39" t="s">
        <v>67</v>
      </c>
      <c r="J104" s="50" t="s">
        <v>4183</v>
      </c>
      <c r="K104" s="50" t="s">
        <v>4184</v>
      </c>
    </row>
    <row r="105" customFormat="false" ht="12.8" hidden="false" customHeight="false" outlineLevel="0" collapsed="false">
      <c r="B105" s="48"/>
      <c r="C105" s="48"/>
      <c r="D105" s="50"/>
      <c r="E105" s="50"/>
      <c r="F105" s="50" t="s">
        <v>3792</v>
      </c>
      <c r="G105" s="50" t="s">
        <v>4185</v>
      </c>
      <c r="H105" s="1" t="s">
        <v>3792</v>
      </c>
      <c r="I105" s="39"/>
      <c r="J105" s="1" t="s">
        <v>3792</v>
      </c>
      <c r="K105" s="1" t="s">
        <v>4186</v>
      </c>
    </row>
    <row r="106" customFormat="false" ht="12.8" hidden="false" customHeight="false" outlineLevel="0" collapsed="false">
      <c r="B106" s="48"/>
      <c r="C106" s="48"/>
      <c r="D106" s="1" t="s">
        <v>4187</v>
      </c>
      <c r="E106" s="1" t="s">
        <v>4188</v>
      </c>
      <c r="F106" s="1" t="s">
        <v>3797</v>
      </c>
      <c r="G106" s="1" t="s">
        <v>4189</v>
      </c>
      <c r="H106" s="50" t="s">
        <v>4190</v>
      </c>
      <c r="I106" s="34" t="s">
        <v>40</v>
      </c>
      <c r="J106" s="50" t="s">
        <v>4191</v>
      </c>
      <c r="K106" s="50" t="s">
        <v>4192</v>
      </c>
    </row>
    <row r="107" customFormat="false" ht="12.8" hidden="false" customHeight="false" outlineLevel="0" collapsed="false">
      <c r="B107" s="48"/>
      <c r="C107" s="48"/>
      <c r="D107" s="50"/>
      <c r="E107" s="50"/>
      <c r="F107" s="50" t="s">
        <v>3792</v>
      </c>
      <c r="G107" s="50" t="s">
        <v>4193</v>
      </c>
      <c r="H107" s="1" t="s">
        <v>3792</v>
      </c>
      <c r="I107" s="34"/>
      <c r="J107" s="1" t="s">
        <v>3792</v>
      </c>
      <c r="K107" s="1" t="s">
        <v>4194</v>
      </c>
    </row>
    <row r="108" customFormat="false" ht="12.8" hidden="false" customHeight="false" outlineLevel="0" collapsed="false">
      <c r="B108" s="48"/>
      <c r="C108" s="48"/>
      <c r="D108" s="1" t="s">
        <v>4195</v>
      </c>
      <c r="E108" s="1" t="s">
        <v>4196</v>
      </c>
      <c r="F108" s="1" t="s">
        <v>3787</v>
      </c>
      <c r="G108" s="1" t="s">
        <v>4197</v>
      </c>
      <c r="H108" s="50" t="s">
        <v>4198</v>
      </c>
      <c r="I108" s="37" t="s">
        <v>50</v>
      </c>
      <c r="J108" s="50" t="s">
        <v>4199</v>
      </c>
      <c r="K108" s="50" t="s">
        <v>4200</v>
      </c>
    </row>
    <row r="109" customFormat="false" ht="12.8" hidden="false" customHeight="false" outlineLevel="0" collapsed="false">
      <c r="B109" s="48"/>
      <c r="C109" s="48"/>
      <c r="D109" s="50"/>
      <c r="E109" s="50"/>
      <c r="F109" s="50" t="s">
        <v>3792</v>
      </c>
      <c r="G109" s="50" t="s">
        <v>4201</v>
      </c>
      <c r="H109" s="1" t="s">
        <v>3792</v>
      </c>
      <c r="I109" s="37"/>
      <c r="J109" s="1" t="s">
        <v>3792</v>
      </c>
      <c r="K109" s="1" t="s">
        <v>4202</v>
      </c>
    </row>
    <row r="110" customFormat="false" ht="12.8" hidden="false" customHeight="false" outlineLevel="0" collapsed="false">
      <c r="B110" s="48"/>
      <c r="C110" s="48"/>
      <c r="D110" s="1" t="s">
        <v>4203</v>
      </c>
      <c r="E110" s="1" t="s">
        <v>4204</v>
      </c>
      <c r="F110" s="1" t="s">
        <v>3787</v>
      </c>
      <c r="G110" s="1" t="s">
        <v>4205</v>
      </c>
      <c r="H110" s="50" t="s">
        <v>4206</v>
      </c>
      <c r="I110" s="34" t="s">
        <v>40</v>
      </c>
      <c r="J110" s="50" t="s">
        <v>4207</v>
      </c>
      <c r="K110" s="50" t="s">
        <v>4208</v>
      </c>
    </row>
    <row r="111" customFormat="false" ht="12.8" hidden="false" customHeight="false" outlineLevel="0" collapsed="false">
      <c r="B111" s="48"/>
      <c r="C111" s="48"/>
      <c r="D111" s="50"/>
      <c r="E111" s="50"/>
      <c r="F111" s="50" t="s">
        <v>3792</v>
      </c>
      <c r="G111" s="50" t="s">
        <v>4209</v>
      </c>
      <c r="H111" s="1" t="s">
        <v>3792</v>
      </c>
      <c r="I111" s="34"/>
      <c r="J111" s="1" t="s">
        <v>3792</v>
      </c>
      <c r="K111" s="1" t="s">
        <v>4210</v>
      </c>
    </row>
    <row r="112" customFormat="false" ht="12.8" hidden="false" customHeight="false" outlineLevel="0" collapsed="false">
      <c r="B112" s="48"/>
      <c r="C112" s="48"/>
      <c r="D112" s="1" t="s">
        <v>4211</v>
      </c>
      <c r="E112" s="1" t="s">
        <v>4212</v>
      </c>
      <c r="F112" s="1" t="s">
        <v>3806</v>
      </c>
      <c r="G112" s="1" t="s">
        <v>4213</v>
      </c>
      <c r="H112" s="54" t="s">
        <v>4214</v>
      </c>
      <c r="I112" s="39" t="s">
        <v>67</v>
      </c>
      <c r="J112" s="54" t="s">
        <v>4215</v>
      </c>
      <c r="K112" s="54" t="s">
        <v>4216</v>
      </c>
    </row>
    <row r="113" customFormat="false" ht="12.8" hidden="false" customHeight="false" outlineLevel="0" collapsed="false">
      <c r="B113" s="48"/>
      <c r="C113" s="48"/>
      <c r="D113" s="54"/>
      <c r="E113" s="54"/>
      <c r="F113" s="54" t="s">
        <v>3792</v>
      </c>
      <c r="G113" s="54" t="s">
        <v>4217</v>
      </c>
      <c r="H113" s="1" t="s">
        <v>3792</v>
      </c>
      <c r="I113" s="39"/>
      <c r="J113" s="1" t="s">
        <v>3792</v>
      </c>
      <c r="K113" s="1" t="s">
        <v>4218</v>
      </c>
    </row>
    <row r="114" customFormat="false" ht="12.8" hidden="false" customHeight="true" outlineLevel="0" collapsed="false">
      <c r="B114" s="1" t="s">
        <v>4219</v>
      </c>
      <c r="C114" s="49" t="s">
        <v>4220</v>
      </c>
      <c r="D114" s="1" t="s">
        <v>4221</v>
      </c>
      <c r="E114" s="1" t="s">
        <v>4222</v>
      </c>
      <c r="F114" s="1" t="s">
        <v>3797</v>
      </c>
      <c r="G114" s="1" t="s">
        <v>4223</v>
      </c>
      <c r="H114" s="50" t="s">
        <v>4224</v>
      </c>
      <c r="I114" s="34" t="s">
        <v>40</v>
      </c>
      <c r="J114" s="50" t="s">
        <v>4225</v>
      </c>
      <c r="K114" s="50" t="s">
        <v>4226</v>
      </c>
    </row>
    <row r="115" customFormat="false" ht="12.8" hidden="false" customHeight="false" outlineLevel="0" collapsed="false">
      <c r="C115" s="49"/>
      <c r="D115" s="50"/>
      <c r="E115" s="50"/>
      <c r="F115" s="50" t="s">
        <v>3792</v>
      </c>
      <c r="G115" s="50" t="s">
        <v>4227</v>
      </c>
      <c r="H115" s="1" t="s">
        <v>3792</v>
      </c>
      <c r="I115" s="34"/>
      <c r="J115" s="1" t="s">
        <v>3792</v>
      </c>
      <c r="K115" s="1" t="s">
        <v>4228</v>
      </c>
    </row>
    <row r="116" customFormat="false" ht="12.8" hidden="false" customHeight="false" outlineLevel="0" collapsed="false">
      <c r="C116" s="49"/>
      <c r="D116" s="1" t="s">
        <v>4229</v>
      </c>
      <c r="E116" s="1" t="s">
        <v>4230</v>
      </c>
      <c r="F116" s="1" t="s">
        <v>3787</v>
      </c>
      <c r="G116" s="1" t="s">
        <v>4231</v>
      </c>
      <c r="H116" s="50" t="s">
        <v>4232</v>
      </c>
      <c r="I116" s="37" t="s">
        <v>50</v>
      </c>
      <c r="J116" s="50" t="s">
        <v>4233</v>
      </c>
      <c r="K116" s="50" t="s">
        <v>4234</v>
      </c>
    </row>
    <row r="117" customFormat="false" ht="12.8" hidden="false" customHeight="false" outlineLevel="0" collapsed="false">
      <c r="C117" s="49"/>
      <c r="D117" s="50"/>
      <c r="E117" s="50"/>
      <c r="F117" s="50" t="s">
        <v>3792</v>
      </c>
      <c r="G117" s="50" t="s">
        <v>4235</v>
      </c>
      <c r="H117" s="1" t="s">
        <v>3792</v>
      </c>
      <c r="I117" s="37"/>
      <c r="J117" s="1" t="s">
        <v>3792</v>
      </c>
      <c r="K117" s="1" t="s">
        <v>4236</v>
      </c>
    </row>
    <row r="118" customFormat="false" ht="12.8" hidden="false" customHeight="false" outlineLevel="0" collapsed="false">
      <c r="C118" s="49"/>
      <c r="D118" s="1" t="s">
        <v>4237</v>
      </c>
      <c r="E118" s="1" t="s">
        <v>4238</v>
      </c>
      <c r="F118" s="1" t="s">
        <v>3797</v>
      </c>
      <c r="G118" s="1" t="s">
        <v>4239</v>
      </c>
      <c r="H118" s="50" t="s">
        <v>4240</v>
      </c>
      <c r="I118" s="34" t="s">
        <v>40</v>
      </c>
      <c r="J118" s="50" t="s">
        <v>4241</v>
      </c>
      <c r="K118" s="50" t="s">
        <v>4242</v>
      </c>
    </row>
    <row r="119" customFormat="false" ht="12.8" hidden="false" customHeight="false" outlineLevel="0" collapsed="false">
      <c r="C119" s="49"/>
      <c r="D119" s="50"/>
      <c r="E119" s="50"/>
      <c r="F119" s="50" t="s">
        <v>3792</v>
      </c>
      <c r="G119" s="50" t="s">
        <v>4243</v>
      </c>
      <c r="H119" s="1" t="s">
        <v>3792</v>
      </c>
      <c r="I119" s="34"/>
      <c r="J119" s="1" t="s">
        <v>3792</v>
      </c>
      <c r="K119" s="1" t="s">
        <v>4244</v>
      </c>
    </row>
    <row r="120" customFormat="false" ht="12.8" hidden="false" customHeight="false" outlineLevel="0" collapsed="false">
      <c r="C120" s="49"/>
      <c r="D120" s="1" t="s">
        <v>4245</v>
      </c>
      <c r="E120" s="1" t="s">
        <v>4246</v>
      </c>
      <c r="F120" s="1" t="s">
        <v>3806</v>
      </c>
      <c r="G120" s="1" t="s">
        <v>4247</v>
      </c>
      <c r="H120" s="50" t="s">
        <v>4248</v>
      </c>
      <c r="I120" s="39" t="s">
        <v>67</v>
      </c>
      <c r="J120" s="50" t="s">
        <v>4249</v>
      </c>
      <c r="K120" s="50" t="s">
        <v>4250</v>
      </c>
    </row>
    <row r="121" customFormat="false" ht="12.8" hidden="false" customHeight="false" outlineLevel="0" collapsed="false">
      <c r="C121" s="49"/>
      <c r="D121" s="50"/>
      <c r="E121" s="50"/>
      <c r="F121" s="50" t="s">
        <v>3792</v>
      </c>
      <c r="G121" s="50" t="s">
        <v>4251</v>
      </c>
      <c r="H121" s="1" t="s">
        <v>3792</v>
      </c>
      <c r="I121" s="39"/>
      <c r="J121" s="1" t="s">
        <v>3792</v>
      </c>
      <c r="K121" s="1" t="s">
        <v>4252</v>
      </c>
    </row>
    <row r="122" customFormat="false" ht="12.8" hidden="false" customHeight="false" outlineLevel="0" collapsed="false">
      <c r="C122" s="49"/>
      <c r="D122" s="1" t="s">
        <v>4253</v>
      </c>
      <c r="E122" s="1" t="s">
        <v>4254</v>
      </c>
      <c r="F122" s="1" t="s">
        <v>3806</v>
      </c>
      <c r="G122" s="1" t="s">
        <v>4255</v>
      </c>
      <c r="H122" s="51" t="s">
        <v>4256</v>
      </c>
      <c r="I122" s="34" t="s">
        <v>40</v>
      </c>
      <c r="J122" s="51" t="s">
        <v>4257</v>
      </c>
      <c r="K122" s="51" t="s">
        <v>4258</v>
      </c>
    </row>
    <row r="123" customFormat="false" ht="12.8" hidden="false" customHeight="false" outlineLevel="0" collapsed="false">
      <c r="C123" s="49"/>
      <c r="D123" s="51"/>
      <c r="E123" s="51"/>
      <c r="F123" s="51" t="s">
        <v>3792</v>
      </c>
      <c r="G123" s="51" t="s">
        <v>4259</v>
      </c>
      <c r="H123" s="1" t="s">
        <v>3792</v>
      </c>
      <c r="I123" s="34"/>
      <c r="J123" s="1" t="s">
        <v>3792</v>
      </c>
      <c r="K123" s="1" t="s">
        <v>4260</v>
      </c>
    </row>
    <row r="124" customFormat="false" ht="12.8" hidden="false" customHeight="true" outlineLevel="0" collapsed="false">
      <c r="C124" s="49" t="s">
        <v>4261</v>
      </c>
      <c r="D124" s="1" t="s">
        <v>4262</v>
      </c>
      <c r="E124" s="1" t="s">
        <v>4263</v>
      </c>
      <c r="F124" s="1" t="s">
        <v>3787</v>
      </c>
      <c r="G124" s="1" t="s">
        <v>4264</v>
      </c>
      <c r="H124" s="50" t="s">
        <v>4265</v>
      </c>
      <c r="I124" s="37" t="s">
        <v>50</v>
      </c>
      <c r="J124" s="50" t="s">
        <v>4266</v>
      </c>
      <c r="K124" s="50" t="s">
        <v>4267</v>
      </c>
    </row>
    <row r="125" customFormat="false" ht="12.8" hidden="false" customHeight="false" outlineLevel="0" collapsed="false">
      <c r="C125" s="49"/>
      <c r="D125" s="50"/>
      <c r="E125" s="50"/>
      <c r="F125" s="50" t="s">
        <v>3792</v>
      </c>
      <c r="G125" s="50" t="s">
        <v>4268</v>
      </c>
      <c r="H125" s="1" t="s">
        <v>3792</v>
      </c>
      <c r="I125" s="37"/>
      <c r="J125" s="1" t="s">
        <v>3792</v>
      </c>
      <c r="K125" s="1" t="s">
        <v>4269</v>
      </c>
    </row>
    <row r="126" customFormat="false" ht="12.8" hidden="false" customHeight="false" outlineLevel="0" collapsed="false">
      <c r="C126" s="49"/>
      <c r="D126" s="1" t="s">
        <v>4270</v>
      </c>
      <c r="E126" s="1" t="s">
        <v>4271</v>
      </c>
      <c r="F126" s="1" t="s">
        <v>3787</v>
      </c>
      <c r="G126" s="1" t="s">
        <v>4272</v>
      </c>
      <c r="H126" s="50" t="s">
        <v>4273</v>
      </c>
      <c r="I126" s="34" t="s">
        <v>40</v>
      </c>
      <c r="J126" s="50" t="s">
        <v>4274</v>
      </c>
      <c r="K126" s="50" t="s">
        <v>4275</v>
      </c>
    </row>
    <row r="127" customFormat="false" ht="12.8" hidden="false" customHeight="false" outlineLevel="0" collapsed="false">
      <c r="C127" s="49"/>
      <c r="D127" s="50"/>
      <c r="E127" s="50"/>
      <c r="F127" s="50" t="s">
        <v>3792</v>
      </c>
      <c r="G127" s="50" t="s">
        <v>4276</v>
      </c>
      <c r="H127" s="1" t="s">
        <v>3792</v>
      </c>
      <c r="I127" s="34"/>
      <c r="J127" s="1" t="s">
        <v>3792</v>
      </c>
      <c r="K127" s="1" t="s">
        <v>4277</v>
      </c>
    </row>
    <row r="128" customFormat="false" ht="12.8" hidden="false" customHeight="false" outlineLevel="0" collapsed="false">
      <c r="C128" s="49"/>
      <c r="D128" s="1" t="s">
        <v>4278</v>
      </c>
      <c r="E128" s="1" t="s">
        <v>4279</v>
      </c>
      <c r="F128" s="1" t="s">
        <v>3797</v>
      </c>
      <c r="G128" s="1" t="s">
        <v>4280</v>
      </c>
      <c r="H128" s="50" t="s">
        <v>4281</v>
      </c>
      <c r="I128" s="39" t="s">
        <v>67</v>
      </c>
      <c r="J128" s="50" t="s">
        <v>4282</v>
      </c>
      <c r="K128" s="50" t="s">
        <v>4283</v>
      </c>
    </row>
    <row r="129" customFormat="false" ht="12.8" hidden="false" customHeight="false" outlineLevel="0" collapsed="false">
      <c r="C129" s="49"/>
      <c r="D129" s="50"/>
      <c r="E129" s="50"/>
      <c r="F129" s="50" t="s">
        <v>3792</v>
      </c>
      <c r="G129" s="50" t="s">
        <v>4284</v>
      </c>
      <c r="H129" s="1" t="s">
        <v>3792</v>
      </c>
      <c r="I129" s="39"/>
      <c r="J129" s="1" t="s">
        <v>3792</v>
      </c>
      <c r="K129" s="1" t="s">
        <v>4285</v>
      </c>
    </row>
    <row r="130" customFormat="false" ht="12.8" hidden="false" customHeight="false" outlineLevel="0" collapsed="false">
      <c r="C130" s="49"/>
      <c r="D130" s="1" t="s">
        <v>4286</v>
      </c>
      <c r="E130" s="1" t="s">
        <v>4287</v>
      </c>
      <c r="F130" s="1" t="s">
        <v>3806</v>
      </c>
      <c r="G130" s="1" t="s">
        <v>4288</v>
      </c>
      <c r="H130" s="50" t="s">
        <v>4289</v>
      </c>
      <c r="I130" s="34" t="s">
        <v>40</v>
      </c>
      <c r="J130" s="50" t="s">
        <v>4290</v>
      </c>
      <c r="K130" s="50" t="s">
        <v>4291</v>
      </c>
    </row>
    <row r="131" customFormat="false" ht="12.8" hidden="false" customHeight="false" outlineLevel="0" collapsed="false">
      <c r="C131" s="49"/>
      <c r="D131" s="50"/>
      <c r="E131" s="50"/>
      <c r="F131" s="50" t="s">
        <v>3792</v>
      </c>
      <c r="G131" s="50" t="s">
        <v>4292</v>
      </c>
      <c r="H131" s="1" t="s">
        <v>3792</v>
      </c>
      <c r="I131" s="34"/>
      <c r="J131" s="1" t="s">
        <v>3792</v>
      </c>
      <c r="K131" s="1" t="s">
        <v>4293</v>
      </c>
    </row>
    <row r="132" customFormat="false" ht="12.8" hidden="false" customHeight="false" outlineLevel="0" collapsed="false">
      <c r="C132" s="49"/>
      <c r="D132" s="1" t="s">
        <v>4294</v>
      </c>
      <c r="E132" s="1" t="s">
        <v>4295</v>
      </c>
      <c r="F132" s="1" t="s">
        <v>3797</v>
      </c>
      <c r="G132" s="1" t="s">
        <v>4296</v>
      </c>
      <c r="H132" s="51" t="s">
        <v>4297</v>
      </c>
      <c r="I132" s="37" t="s">
        <v>50</v>
      </c>
      <c r="J132" s="51" t="s">
        <v>4298</v>
      </c>
      <c r="K132" s="51" t="s">
        <v>4299</v>
      </c>
    </row>
    <row r="133" customFormat="false" ht="12.8" hidden="false" customHeight="false" outlineLevel="0" collapsed="false">
      <c r="C133" s="49"/>
      <c r="D133" s="51"/>
      <c r="E133" s="51"/>
      <c r="F133" s="51" t="s">
        <v>3792</v>
      </c>
      <c r="G133" s="51" t="s">
        <v>4300</v>
      </c>
      <c r="H133" s="1" t="s">
        <v>3792</v>
      </c>
      <c r="I133" s="37"/>
      <c r="J133" s="1" t="s">
        <v>3792</v>
      </c>
      <c r="K133" s="1" t="s">
        <v>4301</v>
      </c>
    </row>
    <row r="134" customFormat="false" ht="12.8" hidden="false" customHeight="true" outlineLevel="0" collapsed="false">
      <c r="C134" s="49" t="s">
        <v>4302</v>
      </c>
      <c r="D134" s="1" t="s">
        <v>4303</v>
      </c>
      <c r="E134" s="1" t="s">
        <v>4304</v>
      </c>
      <c r="F134" s="1" t="s">
        <v>3787</v>
      </c>
      <c r="G134" s="1" t="s">
        <v>4305</v>
      </c>
      <c r="H134" s="50" t="s">
        <v>4306</v>
      </c>
      <c r="I134" s="34" t="s">
        <v>40</v>
      </c>
      <c r="J134" s="50" t="s">
        <v>4307</v>
      </c>
      <c r="K134" s="50" t="s">
        <v>4308</v>
      </c>
    </row>
    <row r="135" customFormat="false" ht="12.8" hidden="false" customHeight="false" outlineLevel="0" collapsed="false">
      <c r="C135" s="49"/>
      <c r="D135" s="50"/>
      <c r="E135" s="50"/>
      <c r="F135" s="50" t="s">
        <v>3792</v>
      </c>
      <c r="G135" s="50" t="s">
        <v>4309</v>
      </c>
      <c r="H135" s="1" t="s">
        <v>3792</v>
      </c>
      <c r="I135" s="34"/>
      <c r="J135" s="1" t="s">
        <v>3792</v>
      </c>
      <c r="K135" s="1" t="s">
        <v>4310</v>
      </c>
    </row>
    <row r="136" customFormat="false" ht="12.8" hidden="false" customHeight="false" outlineLevel="0" collapsed="false">
      <c r="C136" s="49"/>
      <c r="D136" s="1" t="s">
        <v>4311</v>
      </c>
      <c r="E136" s="1" t="s">
        <v>4312</v>
      </c>
      <c r="F136" s="1" t="s">
        <v>3787</v>
      </c>
      <c r="G136" s="1" t="s">
        <v>4313</v>
      </c>
      <c r="H136" s="50" t="s">
        <v>4314</v>
      </c>
      <c r="I136" s="39" t="s">
        <v>67</v>
      </c>
      <c r="J136" s="50" t="s">
        <v>4315</v>
      </c>
      <c r="K136" s="50" t="s">
        <v>4316</v>
      </c>
    </row>
    <row r="137" customFormat="false" ht="12.8" hidden="false" customHeight="false" outlineLevel="0" collapsed="false">
      <c r="C137" s="49"/>
      <c r="D137" s="50"/>
      <c r="E137" s="50"/>
      <c r="F137" s="50" t="s">
        <v>3792</v>
      </c>
      <c r="G137" s="50" t="s">
        <v>4317</v>
      </c>
      <c r="H137" s="1" t="s">
        <v>3792</v>
      </c>
      <c r="I137" s="39"/>
      <c r="J137" s="1" t="s">
        <v>3792</v>
      </c>
      <c r="K137" s="1" t="s">
        <v>4318</v>
      </c>
    </row>
    <row r="138" customFormat="false" ht="12.8" hidden="false" customHeight="false" outlineLevel="0" collapsed="false">
      <c r="C138" s="49"/>
      <c r="D138" s="1" t="s">
        <v>4319</v>
      </c>
      <c r="E138" s="1" t="s">
        <v>4320</v>
      </c>
      <c r="F138" s="1" t="s">
        <v>3806</v>
      </c>
      <c r="G138" s="1" t="s">
        <v>4321</v>
      </c>
      <c r="H138" s="50" t="s">
        <v>4322</v>
      </c>
      <c r="I138" s="34" t="s">
        <v>40</v>
      </c>
      <c r="J138" s="50" t="s">
        <v>4323</v>
      </c>
      <c r="K138" s="50" t="s">
        <v>4324</v>
      </c>
    </row>
    <row r="139" customFormat="false" ht="12.8" hidden="false" customHeight="false" outlineLevel="0" collapsed="false">
      <c r="C139" s="49"/>
      <c r="D139" s="50"/>
      <c r="E139" s="50"/>
      <c r="F139" s="50" t="s">
        <v>3792</v>
      </c>
      <c r="G139" s="50" t="s">
        <v>4325</v>
      </c>
      <c r="H139" s="1" t="s">
        <v>3792</v>
      </c>
      <c r="I139" s="34"/>
      <c r="J139" s="1" t="s">
        <v>3792</v>
      </c>
      <c r="K139" s="1" t="s">
        <v>4326</v>
      </c>
    </row>
    <row r="140" customFormat="false" ht="12.8" hidden="false" customHeight="false" outlineLevel="0" collapsed="false">
      <c r="C140" s="49"/>
      <c r="D140" s="1" t="s">
        <v>4327</v>
      </c>
      <c r="E140" s="1" t="s">
        <v>4328</v>
      </c>
      <c r="F140" s="1" t="s">
        <v>3797</v>
      </c>
      <c r="G140" s="1" t="s">
        <v>4329</v>
      </c>
      <c r="H140" s="50" t="s">
        <v>4330</v>
      </c>
      <c r="I140" s="37" t="s">
        <v>50</v>
      </c>
      <c r="J140" s="50" t="s">
        <v>4331</v>
      </c>
      <c r="K140" s="50" t="s">
        <v>4332</v>
      </c>
    </row>
    <row r="141" customFormat="false" ht="12.8" hidden="false" customHeight="false" outlineLevel="0" collapsed="false">
      <c r="C141" s="49"/>
      <c r="D141" s="50"/>
      <c r="E141" s="50"/>
      <c r="F141" s="50" t="s">
        <v>3792</v>
      </c>
      <c r="G141" s="50" t="s">
        <v>4333</v>
      </c>
      <c r="H141" s="1" t="s">
        <v>3792</v>
      </c>
      <c r="I141" s="37"/>
      <c r="J141" s="1" t="s">
        <v>3792</v>
      </c>
      <c r="K141" s="1" t="s">
        <v>4334</v>
      </c>
    </row>
    <row r="142" customFormat="false" ht="12.8" hidden="false" customHeight="false" outlineLevel="0" collapsed="false">
      <c r="C142" s="49"/>
      <c r="D142" s="1" t="s">
        <v>4335</v>
      </c>
      <c r="E142" s="1" t="s">
        <v>4336</v>
      </c>
      <c r="F142" s="1" t="s">
        <v>3797</v>
      </c>
      <c r="G142" s="1" t="s">
        <v>4337</v>
      </c>
      <c r="H142" s="51" t="s">
        <v>4338</v>
      </c>
      <c r="I142" s="34" t="s">
        <v>40</v>
      </c>
      <c r="J142" s="51" t="s">
        <v>4339</v>
      </c>
      <c r="K142" s="51" t="s">
        <v>4340</v>
      </c>
    </row>
    <row r="143" customFormat="false" ht="12.8" hidden="false" customHeight="false" outlineLevel="0" collapsed="false">
      <c r="C143" s="49"/>
      <c r="D143" s="51"/>
      <c r="E143" s="51"/>
      <c r="F143" s="51" t="s">
        <v>3792</v>
      </c>
      <c r="G143" s="51" t="s">
        <v>4341</v>
      </c>
      <c r="H143" s="1" t="s">
        <v>3792</v>
      </c>
      <c r="I143" s="34"/>
      <c r="J143" s="1" t="s">
        <v>3792</v>
      </c>
      <c r="K143" s="1" t="s">
        <v>4342</v>
      </c>
    </row>
    <row r="144" customFormat="false" ht="12.8" hidden="false" customHeight="true" outlineLevel="0" collapsed="false">
      <c r="C144" s="49" t="s">
        <v>4343</v>
      </c>
      <c r="D144" s="1" t="s">
        <v>4344</v>
      </c>
      <c r="E144" s="1" t="s">
        <v>4345</v>
      </c>
      <c r="F144" s="1" t="s">
        <v>3787</v>
      </c>
      <c r="G144" s="1" t="s">
        <v>4346</v>
      </c>
      <c r="H144" s="50" t="s">
        <v>4347</v>
      </c>
      <c r="I144" s="39" t="s">
        <v>67</v>
      </c>
      <c r="J144" s="50" t="s">
        <v>4348</v>
      </c>
      <c r="K144" s="50" t="s">
        <v>4349</v>
      </c>
    </row>
    <row r="145" customFormat="false" ht="12.8" hidden="false" customHeight="false" outlineLevel="0" collapsed="false">
      <c r="C145" s="49"/>
      <c r="D145" s="50"/>
      <c r="E145" s="50"/>
      <c r="F145" s="50" t="s">
        <v>3792</v>
      </c>
      <c r="G145" s="50" t="s">
        <v>4350</v>
      </c>
      <c r="H145" s="1" t="s">
        <v>3792</v>
      </c>
      <c r="I145" s="39"/>
      <c r="J145" s="1" t="s">
        <v>3792</v>
      </c>
      <c r="K145" s="1" t="s">
        <v>4351</v>
      </c>
    </row>
    <row r="146" customFormat="false" ht="12.8" hidden="false" customHeight="false" outlineLevel="0" collapsed="false">
      <c r="C146" s="49"/>
      <c r="D146" s="1" t="s">
        <v>4352</v>
      </c>
      <c r="E146" s="1" t="s">
        <v>4353</v>
      </c>
      <c r="F146" s="1" t="s">
        <v>3806</v>
      </c>
      <c r="G146" s="1" t="s">
        <v>4354</v>
      </c>
      <c r="H146" s="50" t="s">
        <v>4355</v>
      </c>
      <c r="I146" s="34" t="s">
        <v>40</v>
      </c>
      <c r="J146" s="50" t="s">
        <v>4356</v>
      </c>
      <c r="K146" s="50" t="s">
        <v>4357</v>
      </c>
    </row>
    <row r="147" customFormat="false" ht="12.8" hidden="false" customHeight="false" outlineLevel="0" collapsed="false">
      <c r="C147" s="49"/>
      <c r="D147" s="50"/>
      <c r="E147" s="50"/>
      <c r="F147" s="50" t="s">
        <v>3792</v>
      </c>
      <c r="G147" s="50" t="s">
        <v>4358</v>
      </c>
      <c r="H147" s="1" t="s">
        <v>3792</v>
      </c>
      <c r="I147" s="34"/>
      <c r="J147" s="1" t="s">
        <v>3792</v>
      </c>
      <c r="K147" s="1" t="s">
        <v>4359</v>
      </c>
    </row>
    <row r="148" customFormat="false" ht="12.8" hidden="false" customHeight="false" outlineLevel="0" collapsed="false">
      <c r="C148" s="49"/>
      <c r="D148" s="1" t="s">
        <v>4360</v>
      </c>
      <c r="E148" s="1" t="s">
        <v>4361</v>
      </c>
      <c r="F148" s="1" t="s">
        <v>3797</v>
      </c>
      <c r="G148" s="1" t="s">
        <v>4362</v>
      </c>
      <c r="H148" s="50" t="s">
        <v>4363</v>
      </c>
      <c r="I148" s="37" t="s">
        <v>50</v>
      </c>
      <c r="J148" s="50" t="s">
        <v>4364</v>
      </c>
      <c r="K148" s="50" t="s">
        <v>4365</v>
      </c>
    </row>
    <row r="149" customFormat="false" ht="12.8" hidden="false" customHeight="false" outlineLevel="0" collapsed="false">
      <c r="C149" s="49"/>
      <c r="D149" s="50"/>
      <c r="E149" s="50"/>
      <c r="F149" s="50" t="s">
        <v>3792</v>
      </c>
      <c r="G149" s="50" t="s">
        <v>4366</v>
      </c>
      <c r="H149" s="1" t="s">
        <v>3792</v>
      </c>
      <c r="I149" s="37"/>
      <c r="J149" s="1" t="s">
        <v>3792</v>
      </c>
      <c r="K149" s="1" t="s">
        <v>4367</v>
      </c>
    </row>
    <row r="150" customFormat="false" ht="12.8" hidden="false" customHeight="false" outlineLevel="0" collapsed="false">
      <c r="C150" s="49"/>
      <c r="D150" s="1" t="s">
        <v>4368</v>
      </c>
      <c r="E150" s="1" t="s">
        <v>4369</v>
      </c>
      <c r="F150" s="1" t="s">
        <v>3787</v>
      </c>
      <c r="G150" s="1" t="s">
        <v>4370</v>
      </c>
      <c r="H150" s="50" t="s">
        <v>4371</v>
      </c>
      <c r="I150" s="34" t="s">
        <v>40</v>
      </c>
      <c r="J150" s="50" t="s">
        <v>4372</v>
      </c>
      <c r="K150" s="50" t="s">
        <v>4373</v>
      </c>
    </row>
    <row r="151" customFormat="false" ht="12.8" hidden="false" customHeight="false" outlineLevel="0" collapsed="false">
      <c r="C151" s="49"/>
      <c r="D151" s="50"/>
      <c r="E151" s="50"/>
      <c r="F151" s="50" t="s">
        <v>3792</v>
      </c>
      <c r="G151" s="50" t="s">
        <v>4374</v>
      </c>
      <c r="H151" s="1" t="s">
        <v>3792</v>
      </c>
      <c r="I151" s="34"/>
      <c r="J151" s="1" t="s">
        <v>3792</v>
      </c>
      <c r="K151" s="1" t="s">
        <v>4375</v>
      </c>
    </row>
    <row r="152" customFormat="false" ht="12.8" hidden="false" customHeight="false" outlineLevel="0" collapsed="false">
      <c r="C152" s="49"/>
      <c r="D152" s="1" t="s">
        <v>4376</v>
      </c>
      <c r="E152" s="1" t="s">
        <v>4377</v>
      </c>
      <c r="F152" s="1" t="s">
        <v>3787</v>
      </c>
      <c r="G152" s="1" t="s">
        <v>4378</v>
      </c>
      <c r="H152" s="51" t="s">
        <v>4379</v>
      </c>
      <c r="I152" s="39" t="s">
        <v>67</v>
      </c>
      <c r="J152" s="51" t="s">
        <v>4380</v>
      </c>
      <c r="K152" s="51" t="s">
        <v>4381</v>
      </c>
    </row>
    <row r="153" customFormat="false" ht="12.8" hidden="false" customHeight="false" outlineLevel="0" collapsed="false">
      <c r="C153" s="49"/>
      <c r="D153" s="51"/>
      <c r="E153" s="51"/>
      <c r="F153" s="51" t="s">
        <v>3792</v>
      </c>
      <c r="G153" s="51" t="s">
        <v>4382</v>
      </c>
      <c r="H153" s="1" t="s">
        <v>3792</v>
      </c>
      <c r="I153" s="39"/>
      <c r="J153" s="1" t="s">
        <v>3792</v>
      </c>
      <c r="K153" s="1" t="s">
        <v>4383</v>
      </c>
    </row>
    <row r="154" customFormat="false" ht="12.8" hidden="false" customHeight="true" outlineLevel="0" collapsed="false">
      <c r="C154" s="55" t="s">
        <v>4384</v>
      </c>
      <c r="D154" s="1" t="s">
        <v>4385</v>
      </c>
      <c r="E154" s="1" t="s">
        <v>4386</v>
      </c>
      <c r="F154" s="1" t="s">
        <v>3797</v>
      </c>
      <c r="G154" s="1" t="s">
        <v>4387</v>
      </c>
      <c r="H154" s="50" t="s">
        <v>4388</v>
      </c>
      <c r="I154" s="34" t="s">
        <v>40</v>
      </c>
      <c r="J154" s="50" t="s">
        <v>4389</v>
      </c>
      <c r="K154" s="50" t="s">
        <v>4390</v>
      </c>
    </row>
    <row r="155" customFormat="false" ht="12.8" hidden="false" customHeight="false" outlineLevel="0" collapsed="false">
      <c r="C155" s="55"/>
      <c r="D155" s="50"/>
      <c r="E155" s="50"/>
      <c r="F155" s="50" t="s">
        <v>3792</v>
      </c>
      <c r="G155" s="50" t="s">
        <v>4391</v>
      </c>
      <c r="H155" s="1" t="s">
        <v>3792</v>
      </c>
      <c r="I155" s="34"/>
      <c r="J155" s="1" t="s">
        <v>3792</v>
      </c>
      <c r="K155" s="1" t="s">
        <v>4392</v>
      </c>
    </row>
    <row r="156" customFormat="false" ht="12.8" hidden="false" customHeight="false" outlineLevel="0" collapsed="false">
      <c r="C156" s="55"/>
      <c r="D156" s="1" t="s">
        <v>4393</v>
      </c>
      <c r="E156" s="1" t="s">
        <v>4394</v>
      </c>
      <c r="F156" s="1" t="s">
        <v>3797</v>
      </c>
      <c r="G156" s="1" t="s">
        <v>4395</v>
      </c>
      <c r="H156" s="50" t="s">
        <v>4396</v>
      </c>
      <c r="I156" s="34" t="s">
        <v>40</v>
      </c>
      <c r="J156" s="50" t="s">
        <v>4397</v>
      </c>
      <c r="K156" s="50" t="s">
        <v>4398</v>
      </c>
    </row>
    <row r="157" customFormat="false" ht="12.8" hidden="false" customHeight="false" outlineLevel="0" collapsed="false">
      <c r="C157" s="55"/>
      <c r="D157" s="50"/>
      <c r="E157" s="50"/>
      <c r="F157" s="50" t="s">
        <v>3792</v>
      </c>
      <c r="G157" s="50" t="s">
        <v>4399</v>
      </c>
      <c r="H157" s="1" t="s">
        <v>3792</v>
      </c>
      <c r="I157" s="34"/>
      <c r="J157" s="1" t="s">
        <v>3792</v>
      </c>
      <c r="K157" s="1" t="s">
        <v>4400</v>
      </c>
    </row>
    <row r="158" customFormat="false" ht="12.8" hidden="false" customHeight="false" outlineLevel="0" collapsed="false">
      <c r="C158" s="55"/>
      <c r="D158" s="1" t="s">
        <v>4401</v>
      </c>
      <c r="E158" s="1" t="s">
        <v>4402</v>
      </c>
      <c r="F158" s="1" t="s">
        <v>3806</v>
      </c>
      <c r="G158" s="1" t="s">
        <v>4403</v>
      </c>
      <c r="H158" s="50" t="s">
        <v>4404</v>
      </c>
      <c r="I158" s="39" t="s">
        <v>67</v>
      </c>
      <c r="J158" s="50" t="s">
        <v>4405</v>
      </c>
      <c r="K158" s="50" t="s">
        <v>4406</v>
      </c>
    </row>
    <row r="159" customFormat="false" ht="12.8" hidden="false" customHeight="false" outlineLevel="0" collapsed="false">
      <c r="C159" s="55"/>
      <c r="D159" s="50"/>
      <c r="E159" s="50"/>
      <c r="F159" s="50" t="s">
        <v>3792</v>
      </c>
      <c r="G159" s="50" t="s">
        <v>4407</v>
      </c>
      <c r="H159" s="1" t="s">
        <v>3792</v>
      </c>
      <c r="I159" s="39"/>
      <c r="J159" s="1" t="s">
        <v>3792</v>
      </c>
      <c r="K159" s="1" t="s">
        <v>4408</v>
      </c>
    </row>
    <row r="160" customFormat="false" ht="12.8" hidden="false" customHeight="false" outlineLevel="0" collapsed="false">
      <c r="C160" s="55"/>
      <c r="D160" s="1" t="s">
        <v>4409</v>
      </c>
      <c r="E160" s="1" t="s">
        <v>4410</v>
      </c>
      <c r="F160" s="1" t="s">
        <v>3787</v>
      </c>
      <c r="G160" s="1" t="s">
        <v>4411</v>
      </c>
      <c r="H160" s="50" t="s">
        <v>4412</v>
      </c>
      <c r="I160" s="37" t="s">
        <v>50</v>
      </c>
      <c r="J160" s="50" t="s">
        <v>4413</v>
      </c>
      <c r="K160" s="50" t="s">
        <v>4414</v>
      </c>
    </row>
    <row r="161" customFormat="false" ht="12.8" hidden="false" customHeight="false" outlineLevel="0" collapsed="false">
      <c r="C161" s="55"/>
      <c r="D161" s="50"/>
      <c r="E161" s="50"/>
      <c r="F161" s="50" t="s">
        <v>3792</v>
      </c>
      <c r="G161" s="50" t="s">
        <v>4415</v>
      </c>
      <c r="H161" s="1" t="s">
        <v>3792</v>
      </c>
      <c r="I161" s="37"/>
      <c r="J161" s="1" t="s">
        <v>3792</v>
      </c>
      <c r="K161" s="1" t="s">
        <v>4416</v>
      </c>
    </row>
    <row r="162" customFormat="false" ht="12.8" hidden="false" customHeight="false" outlineLevel="0" collapsed="false">
      <c r="C162" s="55"/>
      <c r="D162" s="1" t="s">
        <v>4417</v>
      </c>
      <c r="E162" s="1" t="s">
        <v>4418</v>
      </c>
      <c r="F162" s="1" t="s">
        <v>3787</v>
      </c>
      <c r="G162" s="1" t="s">
        <v>4419</v>
      </c>
      <c r="H162" s="54" t="s">
        <v>4420</v>
      </c>
      <c r="I162" s="37" t="s">
        <v>50</v>
      </c>
      <c r="J162" s="54" t="s">
        <v>4421</v>
      </c>
      <c r="K162" s="54" t="s">
        <v>4422</v>
      </c>
    </row>
    <row r="163" customFormat="false" ht="12.8" hidden="false" customHeight="false" outlineLevel="0" collapsed="false">
      <c r="B163" s="54"/>
      <c r="C163" s="55"/>
      <c r="D163" s="54"/>
      <c r="E163" s="54"/>
      <c r="F163" s="54" t="s">
        <v>3792</v>
      </c>
      <c r="G163" s="54" t="s">
        <v>4423</v>
      </c>
      <c r="H163" s="1" t="s">
        <v>3792</v>
      </c>
      <c r="I163" s="37"/>
      <c r="J163" s="1" t="s">
        <v>3792</v>
      </c>
      <c r="K163" s="1" t="s">
        <v>4424</v>
      </c>
    </row>
    <row r="164" customFormat="false" ht="12.8" hidden="false" customHeight="true" outlineLevel="0" collapsed="false">
      <c r="B164" s="1" t="s">
        <v>4425</v>
      </c>
      <c r="C164" s="49" t="s">
        <v>4426</v>
      </c>
      <c r="D164" s="1" t="s">
        <v>4427</v>
      </c>
      <c r="E164" s="1" t="s">
        <v>4428</v>
      </c>
      <c r="F164" s="1" t="s">
        <v>3806</v>
      </c>
      <c r="G164" s="1" t="s">
        <v>4429</v>
      </c>
      <c r="H164" s="50" t="s">
        <v>4430</v>
      </c>
      <c r="I164" s="39" t="s">
        <v>67</v>
      </c>
      <c r="J164" s="50" t="s">
        <v>4431</v>
      </c>
      <c r="K164" s="50" t="s">
        <v>4432</v>
      </c>
    </row>
    <row r="165" customFormat="false" ht="12.8" hidden="false" customHeight="false" outlineLevel="0" collapsed="false">
      <c r="C165" s="49"/>
      <c r="D165" s="50"/>
      <c r="E165" s="50"/>
      <c r="F165" s="50" t="s">
        <v>3792</v>
      </c>
      <c r="G165" s="50" t="s">
        <v>4433</v>
      </c>
      <c r="H165" s="1" t="s">
        <v>3792</v>
      </c>
      <c r="I165" s="39"/>
      <c r="J165" s="1" t="s">
        <v>3792</v>
      </c>
      <c r="K165" s="1" t="s">
        <v>4434</v>
      </c>
    </row>
    <row r="166" customFormat="false" ht="12.8" hidden="false" customHeight="false" outlineLevel="0" collapsed="false">
      <c r="C166" s="49"/>
      <c r="D166" s="1" t="s">
        <v>4435</v>
      </c>
      <c r="E166" s="1" t="s">
        <v>4436</v>
      </c>
      <c r="F166" s="1" t="s">
        <v>3797</v>
      </c>
      <c r="G166" s="1" t="s">
        <v>4437</v>
      </c>
      <c r="H166" s="50" t="s">
        <v>4438</v>
      </c>
      <c r="I166" s="34" t="s">
        <v>40</v>
      </c>
      <c r="J166" s="50" t="s">
        <v>4439</v>
      </c>
      <c r="K166" s="50" t="s">
        <v>4440</v>
      </c>
    </row>
    <row r="167" customFormat="false" ht="12.8" hidden="false" customHeight="false" outlineLevel="0" collapsed="false">
      <c r="C167" s="49"/>
      <c r="D167" s="50"/>
      <c r="E167" s="50"/>
      <c r="F167" s="50" t="s">
        <v>3792</v>
      </c>
      <c r="G167" s="50" t="s">
        <v>4441</v>
      </c>
      <c r="H167" s="1" t="s">
        <v>3792</v>
      </c>
      <c r="I167" s="34"/>
      <c r="J167" s="1" t="s">
        <v>3792</v>
      </c>
      <c r="K167" s="1" t="s">
        <v>4442</v>
      </c>
    </row>
    <row r="168" customFormat="false" ht="12.8" hidden="false" customHeight="false" outlineLevel="0" collapsed="false">
      <c r="C168" s="49"/>
      <c r="D168" s="1" t="s">
        <v>4443</v>
      </c>
      <c r="E168" s="1" t="s">
        <v>4444</v>
      </c>
      <c r="F168" s="1" t="s">
        <v>3806</v>
      </c>
      <c r="G168" s="1" t="s">
        <v>4231</v>
      </c>
      <c r="H168" s="50" t="s">
        <v>4445</v>
      </c>
      <c r="I168" s="39" t="s">
        <v>67</v>
      </c>
      <c r="J168" s="50" t="s">
        <v>4446</v>
      </c>
      <c r="K168" s="50" t="s">
        <v>4447</v>
      </c>
    </row>
    <row r="169" customFormat="false" ht="12.8" hidden="false" customHeight="false" outlineLevel="0" collapsed="false">
      <c r="C169" s="49"/>
      <c r="D169" s="50"/>
      <c r="E169" s="50"/>
      <c r="F169" s="50" t="s">
        <v>3792</v>
      </c>
      <c r="G169" s="50" t="s">
        <v>4448</v>
      </c>
      <c r="H169" s="1" t="s">
        <v>3792</v>
      </c>
      <c r="I169" s="39"/>
      <c r="J169" s="1" t="s">
        <v>3792</v>
      </c>
      <c r="K169" s="1" t="s">
        <v>4449</v>
      </c>
    </row>
    <row r="170" customFormat="false" ht="12.8" hidden="false" customHeight="false" outlineLevel="0" collapsed="false">
      <c r="C170" s="49"/>
      <c r="D170" s="1" t="s">
        <v>4450</v>
      </c>
      <c r="E170" s="1" t="s">
        <v>4451</v>
      </c>
      <c r="F170" s="1" t="s">
        <v>3797</v>
      </c>
      <c r="G170" s="1" t="s">
        <v>4452</v>
      </c>
      <c r="H170" s="50" t="s">
        <v>4453</v>
      </c>
      <c r="I170" s="37" t="s">
        <v>50</v>
      </c>
      <c r="J170" s="50" t="s">
        <v>4233</v>
      </c>
      <c r="K170" s="50" t="s">
        <v>4454</v>
      </c>
    </row>
    <row r="171" customFormat="false" ht="12.8" hidden="false" customHeight="false" outlineLevel="0" collapsed="false">
      <c r="C171" s="49"/>
      <c r="D171" s="50"/>
      <c r="E171" s="50"/>
      <c r="F171" s="50" t="s">
        <v>3792</v>
      </c>
      <c r="G171" s="50" t="s">
        <v>4455</v>
      </c>
      <c r="H171" s="1" t="s">
        <v>3792</v>
      </c>
      <c r="I171" s="37"/>
      <c r="J171" s="1" t="s">
        <v>3792</v>
      </c>
      <c r="K171" s="1" t="s">
        <v>4456</v>
      </c>
    </row>
    <row r="172" customFormat="false" ht="12.8" hidden="false" customHeight="false" outlineLevel="0" collapsed="false">
      <c r="C172" s="49"/>
      <c r="D172" s="1" t="s">
        <v>4457</v>
      </c>
      <c r="E172" s="1" t="s">
        <v>4458</v>
      </c>
      <c r="F172" s="1" t="s">
        <v>3787</v>
      </c>
      <c r="G172" s="1" t="s">
        <v>4459</v>
      </c>
      <c r="H172" s="51" t="s">
        <v>4460</v>
      </c>
      <c r="I172" s="37" t="s">
        <v>50</v>
      </c>
      <c r="J172" s="51" t="s">
        <v>4461</v>
      </c>
      <c r="K172" s="51" t="s">
        <v>4462</v>
      </c>
    </row>
    <row r="173" customFormat="false" ht="12.8" hidden="false" customHeight="false" outlineLevel="0" collapsed="false">
      <c r="C173" s="49"/>
      <c r="D173" s="51"/>
      <c r="E173" s="51"/>
      <c r="F173" s="51" t="s">
        <v>3792</v>
      </c>
      <c r="G173" s="51" t="s">
        <v>4463</v>
      </c>
      <c r="H173" s="1" t="s">
        <v>3792</v>
      </c>
      <c r="I173" s="37"/>
      <c r="J173" s="1" t="s">
        <v>3792</v>
      </c>
      <c r="K173" s="1" t="s">
        <v>4464</v>
      </c>
    </row>
    <row r="174" customFormat="false" ht="12.8" hidden="false" customHeight="true" outlineLevel="0" collapsed="false">
      <c r="C174" s="49" t="s">
        <v>4465</v>
      </c>
      <c r="D174" s="1" t="s">
        <v>4466</v>
      </c>
      <c r="E174" s="1" t="s">
        <v>4467</v>
      </c>
      <c r="F174" s="1" t="s">
        <v>3787</v>
      </c>
      <c r="G174" s="1" t="s">
        <v>4468</v>
      </c>
      <c r="H174" s="50" t="s">
        <v>4469</v>
      </c>
      <c r="I174" s="39" t="s">
        <v>67</v>
      </c>
      <c r="J174" s="50" t="s">
        <v>4470</v>
      </c>
      <c r="K174" s="50" t="s">
        <v>4471</v>
      </c>
    </row>
    <row r="175" customFormat="false" ht="12.8" hidden="false" customHeight="false" outlineLevel="0" collapsed="false">
      <c r="C175" s="49"/>
      <c r="D175" s="50"/>
      <c r="E175" s="50"/>
      <c r="F175" s="50" t="s">
        <v>3792</v>
      </c>
      <c r="G175" s="50" t="s">
        <v>4472</v>
      </c>
      <c r="H175" s="1" t="s">
        <v>3792</v>
      </c>
      <c r="I175" s="39"/>
      <c r="J175" s="1" t="s">
        <v>3792</v>
      </c>
      <c r="K175" s="1" t="s">
        <v>4473</v>
      </c>
    </row>
    <row r="176" customFormat="false" ht="12.8" hidden="false" customHeight="false" outlineLevel="0" collapsed="false">
      <c r="C176" s="49"/>
      <c r="D176" s="1" t="s">
        <v>4474</v>
      </c>
      <c r="E176" s="1" t="s">
        <v>4475</v>
      </c>
      <c r="F176" s="1" t="s">
        <v>3797</v>
      </c>
      <c r="G176" s="1" t="s">
        <v>4476</v>
      </c>
      <c r="H176" s="50" t="s">
        <v>4477</v>
      </c>
      <c r="I176" s="34" t="s">
        <v>40</v>
      </c>
      <c r="J176" s="50" t="s">
        <v>4478</v>
      </c>
      <c r="K176" s="50" t="s">
        <v>4479</v>
      </c>
    </row>
    <row r="177" customFormat="false" ht="12.8" hidden="false" customHeight="false" outlineLevel="0" collapsed="false">
      <c r="C177" s="49"/>
      <c r="D177" s="50"/>
      <c r="E177" s="50"/>
      <c r="F177" s="50" t="s">
        <v>3792</v>
      </c>
      <c r="G177" s="50" t="s">
        <v>4480</v>
      </c>
      <c r="H177" s="1" t="s">
        <v>3792</v>
      </c>
      <c r="I177" s="34"/>
      <c r="J177" s="1" t="s">
        <v>3792</v>
      </c>
      <c r="K177" s="1" t="s">
        <v>4481</v>
      </c>
    </row>
    <row r="178" customFormat="false" ht="12.8" hidden="false" customHeight="false" outlineLevel="0" collapsed="false">
      <c r="C178" s="49"/>
      <c r="D178" s="1" t="s">
        <v>4482</v>
      </c>
      <c r="E178" s="1" t="s">
        <v>4483</v>
      </c>
      <c r="F178" s="1" t="s">
        <v>3797</v>
      </c>
      <c r="G178" s="1" t="s">
        <v>4484</v>
      </c>
      <c r="H178" s="50" t="s">
        <v>4485</v>
      </c>
      <c r="I178" s="39" t="s">
        <v>67</v>
      </c>
      <c r="J178" s="50" t="s">
        <v>4486</v>
      </c>
      <c r="K178" s="50" t="s">
        <v>4487</v>
      </c>
    </row>
    <row r="179" customFormat="false" ht="12.8" hidden="false" customHeight="false" outlineLevel="0" collapsed="false">
      <c r="C179" s="49"/>
      <c r="D179" s="50"/>
      <c r="E179" s="50"/>
      <c r="F179" s="50" t="s">
        <v>3792</v>
      </c>
      <c r="G179" s="50" t="s">
        <v>4488</v>
      </c>
      <c r="H179" s="1" t="s">
        <v>3792</v>
      </c>
      <c r="I179" s="39"/>
      <c r="J179" s="1" t="s">
        <v>3792</v>
      </c>
      <c r="K179" s="1" t="s">
        <v>4489</v>
      </c>
    </row>
    <row r="180" customFormat="false" ht="12.8" hidden="false" customHeight="false" outlineLevel="0" collapsed="false">
      <c r="C180" s="49"/>
      <c r="D180" s="1" t="s">
        <v>4490</v>
      </c>
      <c r="E180" s="1" t="s">
        <v>4491</v>
      </c>
      <c r="F180" s="1" t="s">
        <v>3806</v>
      </c>
      <c r="G180" s="1" t="s">
        <v>4492</v>
      </c>
      <c r="H180" s="50" t="s">
        <v>4493</v>
      </c>
      <c r="I180" s="37" t="s">
        <v>50</v>
      </c>
      <c r="J180" s="50" t="s">
        <v>4494</v>
      </c>
      <c r="K180" s="50" t="s">
        <v>4495</v>
      </c>
    </row>
    <row r="181" customFormat="false" ht="12.8" hidden="false" customHeight="false" outlineLevel="0" collapsed="false">
      <c r="C181" s="49"/>
      <c r="D181" s="50"/>
      <c r="E181" s="50"/>
      <c r="F181" s="50" t="s">
        <v>3792</v>
      </c>
      <c r="G181" s="50" t="s">
        <v>4496</v>
      </c>
      <c r="H181" s="1" t="s">
        <v>3792</v>
      </c>
      <c r="I181" s="37"/>
      <c r="J181" s="1" t="s">
        <v>3792</v>
      </c>
      <c r="K181" s="1" t="s">
        <v>4497</v>
      </c>
    </row>
    <row r="182" customFormat="false" ht="12.8" hidden="false" customHeight="false" outlineLevel="0" collapsed="false">
      <c r="C182" s="49"/>
      <c r="D182" s="1" t="s">
        <v>4498</v>
      </c>
      <c r="E182" s="1" t="s">
        <v>4499</v>
      </c>
      <c r="F182" s="1" t="s">
        <v>3787</v>
      </c>
      <c r="G182" s="1" t="s">
        <v>4500</v>
      </c>
      <c r="H182" s="51" t="s">
        <v>4501</v>
      </c>
      <c r="I182" s="37" t="s">
        <v>50</v>
      </c>
      <c r="J182" s="51" t="s">
        <v>4502</v>
      </c>
      <c r="K182" s="51" t="s">
        <v>4503</v>
      </c>
    </row>
    <row r="183" customFormat="false" ht="12.8" hidden="false" customHeight="false" outlineLevel="0" collapsed="false">
      <c r="C183" s="49"/>
      <c r="D183" s="51"/>
      <c r="E183" s="51"/>
      <c r="F183" s="51" t="s">
        <v>3792</v>
      </c>
      <c r="G183" s="51" t="s">
        <v>4504</v>
      </c>
      <c r="H183" s="1" t="s">
        <v>3792</v>
      </c>
      <c r="I183" s="37"/>
      <c r="J183" s="1" t="s">
        <v>3792</v>
      </c>
      <c r="K183" s="1" t="s">
        <v>4505</v>
      </c>
    </row>
    <row r="184" customFormat="false" ht="12.8" hidden="false" customHeight="true" outlineLevel="0" collapsed="false">
      <c r="C184" s="49" t="s">
        <v>4506</v>
      </c>
      <c r="D184" s="1" t="s">
        <v>4507</v>
      </c>
      <c r="E184" s="1" t="s">
        <v>4508</v>
      </c>
      <c r="F184" s="1" t="s">
        <v>3787</v>
      </c>
      <c r="G184" s="1" t="s">
        <v>4509</v>
      </c>
      <c r="H184" s="50" t="s">
        <v>4510</v>
      </c>
      <c r="I184" s="39" t="s">
        <v>67</v>
      </c>
      <c r="J184" s="50" t="s">
        <v>4511</v>
      </c>
      <c r="K184" s="50" t="s">
        <v>4512</v>
      </c>
    </row>
    <row r="185" customFormat="false" ht="12.8" hidden="false" customHeight="false" outlineLevel="0" collapsed="false">
      <c r="C185" s="49"/>
      <c r="D185" s="50"/>
      <c r="E185" s="50"/>
      <c r="F185" s="50" t="s">
        <v>3792</v>
      </c>
      <c r="G185" s="50" t="s">
        <v>4513</v>
      </c>
      <c r="H185" s="1" t="s">
        <v>3792</v>
      </c>
      <c r="I185" s="39"/>
      <c r="J185" s="1" t="s">
        <v>3792</v>
      </c>
      <c r="K185" s="1" t="s">
        <v>4514</v>
      </c>
    </row>
    <row r="186" customFormat="false" ht="12.8" hidden="false" customHeight="false" outlineLevel="0" collapsed="false">
      <c r="C186" s="49"/>
      <c r="D186" s="1" t="s">
        <v>4515</v>
      </c>
      <c r="E186" s="1" t="s">
        <v>4516</v>
      </c>
      <c r="F186" s="1" t="s">
        <v>3797</v>
      </c>
      <c r="G186" s="1" t="s">
        <v>4517</v>
      </c>
      <c r="H186" s="50" t="s">
        <v>4518</v>
      </c>
      <c r="I186" s="34" t="s">
        <v>40</v>
      </c>
      <c r="J186" s="50" t="s">
        <v>4519</v>
      </c>
      <c r="K186" s="50" t="s">
        <v>4520</v>
      </c>
    </row>
    <row r="187" customFormat="false" ht="12.8" hidden="false" customHeight="false" outlineLevel="0" collapsed="false">
      <c r="C187" s="49"/>
      <c r="D187" s="50"/>
      <c r="E187" s="50"/>
      <c r="F187" s="50" t="s">
        <v>3792</v>
      </c>
      <c r="G187" s="50" t="s">
        <v>4521</v>
      </c>
      <c r="H187" s="1" t="s">
        <v>3792</v>
      </c>
      <c r="I187" s="34"/>
      <c r="J187" s="1" t="s">
        <v>3792</v>
      </c>
      <c r="K187" s="1" t="s">
        <v>4522</v>
      </c>
    </row>
    <row r="188" customFormat="false" ht="12.8" hidden="false" customHeight="false" outlineLevel="0" collapsed="false">
      <c r="C188" s="49"/>
      <c r="D188" s="1" t="s">
        <v>4523</v>
      </c>
      <c r="E188" s="1" t="s">
        <v>4524</v>
      </c>
      <c r="F188" s="1" t="s">
        <v>3806</v>
      </c>
      <c r="G188" s="1" t="s">
        <v>4525</v>
      </c>
      <c r="H188" s="50" t="s">
        <v>4526</v>
      </c>
      <c r="I188" s="39" t="s">
        <v>67</v>
      </c>
      <c r="J188" s="50" t="s">
        <v>4527</v>
      </c>
      <c r="K188" s="50" t="s">
        <v>4528</v>
      </c>
    </row>
    <row r="189" customFormat="false" ht="12.8" hidden="false" customHeight="false" outlineLevel="0" collapsed="false">
      <c r="C189" s="49"/>
      <c r="D189" s="50"/>
      <c r="E189" s="50"/>
      <c r="F189" s="50" t="s">
        <v>3792</v>
      </c>
      <c r="G189" s="50" t="s">
        <v>4529</v>
      </c>
      <c r="H189" s="1" t="s">
        <v>3792</v>
      </c>
      <c r="I189" s="39"/>
      <c r="J189" s="1" t="s">
        <v>3792</v>
      </c>
      <c r="K189" s="1" t="s">
        <v>4530</v>
      </c>
    </row>
    <row r="190" customFormat="false" ht="12.8" hidden="false" customHeight="false" outlineLevel="0" collapsed="false">
      <c r="C190" s="49"/>
      <c r="D190" s="1" t="s">
        <v>4531</v>
      </c>
      <c r="E190" s="1" t="s">
        <v>4532</v>
      </c>
      <c r="F190" s="1" t="s">
        <v>3787</v>
      </c>
      <c r="G190" s="1" t="s">
        <v>4533</v>
      </c>
      <c r="H190" s="50" t="s">
        <v>4534</v>
      </c>
      <c r="I190" s="37" t="s">
        <v>50</v>
      </c>
      <c r="J190" s="50" t="s">
        <v>4535</v>
      </c>
      <c r="K190" s="50" t="s">
        <v>4536</v>
      </c>
    </row>
    <row r="191" customFormat="false" ht="12.8" hidden="false" customHeight="false" outlineLevel="0" collapsed="false">
      <c r="C191" s="49"/>
      <c r="D191" s="50"/>
      <c r="E191" s="50"/>
      <c r="F191" s="50" t="s">
        <v>3792</v>
      </c>
      <c r="G191" s="50" t="s">
        <v>4537</v>
      </c>
      <c r="H191" s="1" t="s">
        <v>3792</v>
      </c>
      <c r="I191" s="37"/>
      <c r="J191" s="1" t="s">
        <v>3792</v>
      </c>
      <c r="K191" s="1" t="s">
        <v>4538</v>
      </c>
    </row>
    <row r="192" customFormat="false" ht="12.8" hidden="false" customHeight="false" outlineLevel="0" collapsed="false">
      <c r="C192" s="49"/>
      <c r="D192" s="1" t="s">
        <v>4539</v>
      </c>
      <c r="E192" s="1" t="s">
        <v>4540</v>
      </c>
      <c r="F192" s="1" t="s">
        <v>3797</v>
      </c>
      <c r="G192" s="1" t="s">
        <v>4541</v>
      </c>
      <c r="H192" s="51" t="s">
        <v>4542</v>
      </c>
      <c r="I192" s="37" t="s">
        <v>50</v>
      </c>
      <c r="J192" s="51" t="s">
        <v>4543</v>
      </c>
      <c r="K192" s="51" t="s">
        <v>4544</v>
      </c>
    </row>
    <row r="193" customFormat="false" ht="12.8" hidden="false" customHeight="false" outlineLevel="0" collapsed="false">
      <c r="C193" s="49"/>
      <c r="D193" s="51"/>
      <c r="E193" s="51"/>
      <c r="F193" s="51" t="s">
        <v>3792</v>
      </c>
      <c r="G193" s="51" t="s">
        <v>4545</v>
      </c>
      <c r="H193" s="1" t="s">
        <v>3792</v>
      </c>
      <c r="I193" s="37"/>
      <c r="J193" s="1" t="s">
        <v>3792</v>
      </c>
      <c r="K193" s="1" t="s">
        <v>4546</v>
      </c>
    </row>
    <row r="194" customFormat="false" ht="12.8" hidden="false" customHeight="true" outlineLevel="0" collapsed="false">
      <c r="C194" s="49" t="s">
        <v>4547</v>
      </c>
      <c r="D194" s="1" t="s">
        <v>4466</v>
      </c>
      <c r="E194" s="1" t="s">
        <v>4467</v>
      </c>
      <c r="F194" s="1" t="s">
        <v>3806</v>
      </c>
      <c r="G194" s="1" t="s">
        <v>4548</v>
      </c>
      <c r="H194" s="50" t="s">
        <v>4549</v>
      </c>
      <c r="I194" s="39" t="s">
        <v>67</v>
      </c>
      <c r="J194" s="50" t="s">
        <v>4550</v>
      </c>
      <c r="K194" s="50" t="s">
        <v>4551</v>
      </c>
    </row>
    <row r="195" customFormat="false" ht="12.8" hidden="false" customHeight="false" outlineLevel="0" collapsed="false">
      <c r="C195" s="49"/>
      <c r="D195" s="50"/>
      <c r="E195" s="50"/>
      <c r="F195" s="50" t="s">
        <v>3792</v>
      </c>
      <c r="G195" s="50" t="s">
        <v>4552</v>
      </c>
      <c r="H195" s="1" t="s">
        <v>3792</v>
      </c>
      <c r="I195" s="39"/>
      <c r="J195" s="1" t="s">
        <v>3792</v>
      </c>
      <c r="K195" s="1" t="s">
        <v>4553</v>
      </c>
    </row>
    <row r="196" customFormat="false" ht="12.8" hidden="false" customHeight="false" outlineLevel="0" collapsed="false">
      <c r="C196" s="49"/>
      <c r="D196" s="1" t="s">
        <v>4554</v>
      </c>
      <c r="E196" s="1" t="s">
        <v>4475</v>
      </c>
      <c r="F196" s="1" t="s">
        <v>3787</v>
      </c>
      <c r="G196" s="1" t="s">
        <v>4555</v>
      </c>
      <c r="H196" s="50" t="s">
        <v>4556</v>
      </c>
      <c r="I196" s="34" t="s">
        <v>40</v>
      </c>
      <c r="J196" s="50" t="s">
        <v>4557</v>
      </c>
      <c r="K196" s="50" t="s">
        <v>4558</v>
      </c>
    </row>
    <row r="197" customFormat="false" ht="12.8" hidden="false" customHeight="false" outlineLevel="0" collapsed="false">
      <c r="C197" s="49"/>
      <c r="D197" s="50"/>
      <c r="E197" s="50"/>
      <c r="F197" s="50" t="s">
        <v>3792</v>
      </c>
      <c r="G197" s="50" t="s">
        <v>4559</v>
      </c>
      <c r="H197" s="1" t="s">
        <v>3792</v>
      </c>
      <c r="I197" s="34"/>
      <c r="J197" s="1" t="s">
        <v>3792</v>
      </c>
      <c r="K197" s="1" t="s">
        <v>4560</v>
      </c>
    </row>
    <row r="198" customFormat="false" ht="12.8" hidden="false" customHeight="false" outlineLevel="0" collapsed="false">
      <c r="C198" s="49"/>
      <c r="D198" s="1" t="s">
        <v>4482</v>
      </c>
      <c r="E198" s="1" t="s">
        <v>4483</v>
      </c>
      <c r="F198" s="1" t="s">
        <v>3797</v>
      </c>
      <c r="G198" s="1" t="s">
        <v>4561</v>
      </c>
      <c r="H198" s="50" t="s">
        <v>4562</v>
      </c>
      <c r="I198" s="39" t="s">
        <v>67</v>
      </c>
      <c r="J198" s="50" t="s">
        <v>4563</v>
      </c>
      <c r="K198" s="50" t="s">
        <v>4564</v>
      </c>
    </row>
    <row r="199" customFormat="false" ht="12.8" hidden="false" customHeight="false" outlineLevel="0" collapsed="false">
      <c r="C199" s="49"/>
      <c r="D199" s="50"/>
      <c r="E199" s="50"/>
      <c r="F199" s="50" t="s">
        <v>3792</v>
      </c>
      <c r="G199" s="50" t="s">
        <v>4565</v>
      </c>
      <c r="H199" s="1" t="s">
        <v>3792</v>
      </c>
      <c r="I199" s="39"/>
      <c r="K199" s="1" t="s">
        <v>4566</v>
      </c>
    </row>
    <row r="200" customFormat="false" ht="12.8" hidden="false" customHeight="false" outlineLevel="0" collapsed="false">
      <c r="C200" s="49"/>
      <c r="D200" s="1" t="s">
        <v>4490</v>
      </c>
      <c r="E200" s="1" t="s">
        <v>4491</v>
      </c>
      <c r="F200" s="1" t="s">
        <v>3797</v>
      </c>
      <c r="G200" s="1" t="s">
        <v>4567</v>
      </c>
      <c r="H200" s="50"/>
      <c r="I200" s="37" t="s">
        <v>50</v>
      </c>
      <c r="J200" s="50"/>
      <c r="K200" s="50" t="s">
        <v>4568</v>
      </c>
    </row>
    <row r="201" customFormat="false" ht="12.8" hidden="false" customHeight="false" outlineLevel="0" collapsed="false">
      <c r="C201" s="49"/>
      <c r="D201" s="50"/>
      <c r="E201" s="50"/>
      <c r="F201" s="50" t="s">
        <v>3792</v>
      </c>
      <c r="G201" s="50" t="s">
        <v>4569</v>
      </c>
      <c r="I201" s="37"/>
      <c r="K201" s="1" t="s">
        <v>4570</v>
      </c>
    </row>
    <row r="202" customFormat="false" ht="12.8" hidden="false" customHeight="false" outlineLevel="0" collapsed="false">
      <c r="C202" s="49"/>
      <c r="D202" s="1" t="s">
        <v>4498</v>
      </c>
      <c r="E202" s="1" t="s">
        <v>4499</v>
      </c>
      <c r="F202" s="1" t="s">
        <v>3806</v>
      </c>
      <c r="G202" s="1" t="s">
        <v>4571</v>
      </c>
      <c r="H202" s="51" t="s">
        <v>4572</v>
      </c>
      <c r="I202" s="34" t="s">
        <v>40</v>
      </c>
      <c r="J202" s="51" t="s">
        <v>4573</v>
      </c>
      <c r="K202" s="51" t="s">
        <v>4574</v>
      </c>
    </row>
    <row r="203" customFormat="false" ht="12.8" hidden="false" customHeight="false" outlineLevel="0" collapsed="false">
      <c r="C203" s="49"/>
      <c r="D203" s="51"/>
      <c r="E203" s="51"/>
      <c r="F203" s="51" t="s">
        <v>3792</v>
      </c>
      <c r="G203" s="51" t="s">
        <v>4575</v>
      </c>
      <c r="H203" s="1" t="s">
        <v>3792</v>
      </c>
      <c r="I203" s="34"/>
      <c r="J203" s="1" t="s">
        <v>3792</v>
      </c>
      <c r="K203" s="1" t="s">
        <v>4576</v>
      </c>
    </row>
    <row r="204" customFormat="false" ht="12.8" hidden="false" customHeight="true" outlineLevel="0" collapsed="false">
      <c r="C204" s="55" t="s">
        <v>4577</v>
      </c>
      <c r="D204" s="1" t="s">
        <v>4578</v>
      </c>
      <c r="E204" s="1" t="s">
        <v>4579</v>
      </c>
      <c r="F204" s="1" t="s">
        <v>3787</v>
      </c>
      <c r="G204" s="1" t="s">
        <v>4580</v>
      </c>
      <c r="H204" s="50" t="s">
        <v>4581</v>
      </c>
      <c r="I204" s="37" t="s">
        <v>50</v>
      </c>
      <c r="J204" s="50" t="s">
        <v>4582</v>
      </c>
      <c r="K204" s="50" t="s">
        <v>4583</v>
      </c>
    </row>
    <row r="205" customFormat="false" ht="12.8" hidden="false" customHeight="false" outlineLevel="0" collapsed="false">
      <c r="C205" s="55"/>
      <c r="D205" s="50"/>
      <c r="E205" s="50"/>
      <c r="F205" s="50" t="s">
        <v>3792</v>
      </c>
      <c r="G205" s="50" t="s">
        <v>4584</v>
      </c>
      <c r="H205" s="1" t="s">
        <v>3792</v>
      </c>
      <c r="I205" s="37"/>
      <c r="J205" s="1" t="s">
        <v>3792</v>
      </c>
      <c r="K205" s="1" t="s">
        <v>4585</v>
      </c>
    </row>
    <row r="206" customFormat="false" ht="12.8" hidden="false" customHeight="false" outlineLevel="0" collapsed="false">
      <c r="C206" s="55"/>
      <c r="D206" s="1" t="s">
        <v>4586</v>
      </c>
      <c r="E206" s="1" t="s">
        <v>4587</v>
      </c>
      <c r="F206" s="1" t="s">
        <v>3806</v>
      </c>
      <c r="G206" s="1" t="s">
        <v>4588</v>
      </c>
      <c r="H206" s="50" t="s">
        <v>4589</v>
      </c>
      <c r="I206" s="34" t="s">
        <v>40</v>
      </c>
      <c r="J206" s="50" t="s">
        <v>4590</v>
      </c>
      <c r="K206" s="50" t="s">
        <v>4591</v>
      </c>
    </row>
    <row r="207" customFormat="false" ht="12.8" hidden="false" customHeight="false" outlineLevel="0" collapsed="false">
      <c r="C207" s="55"/>
      <c r="D207" s="50"/>
      <c r="E207" s="50"/>
      <c r="F207" s="50" t="s">
        <v>3792</v>
      </c>
      <c r="G207" s="50" t="s">
        <v>4592</v>
      </c>
      <c r="H207" s="1" t="s">
        <v>3792</v>
      </c>
      <c r="I207" s="34"/>
      <c r="J207" s="1" t="s">
        <v>3792</v>
      </c>
      <c r="K207" s="1" t="s">
        <v>4593</v>
      </c>
    </row>
    <row r="208" customFormat="false" ht="12.8" hidden="false" customHeight="false" outlineLevel="0" collapsed="false">
      <c r="C208" s="55"/>
      <c r="D208" s="1" t="s">
        <v>4594</v>
      </c>
      <c r="E208" s="1" t="s">
        <v>4595</v>
      </c>
      <c r="F208" s="1" t="s">
        <v>3797</v>
      </c>
      <c r="G208" s="1" t="s">
        <v>4596</v>
      </c>
      <c r="H208" s="50" t="s">
        <v>4597</v>
      </c>
      <c r="I208" s="39" t="s">
        <v>67</v>
      </c>
      <c r="J208" s="50" t="s">
        <v>4598</v>
      </c>
      <c r="K208" s="50" t="s">
        <v>4599</v>
      </c>
    </row>
    <row r="209" customFormat="false" ht="12.8" hidden="false" customHeight="false" outlineLevel="0" collapsed="false">
      <c r="C209" s="55"/>
      <c r="D209" s="50"/>
      <c r="E209" s="50"/>
      <c r="F209" s="50" t="s">
        <v>3792</v>
      </c>
      <c r="G209" s="50" t="s">
        <v>4600</v>
      </c>
      <c r="H209" s="1" t="s">
        <v>3792</v>
      </c>
      <c r="I209" s="39"/>
      <c r="J209" s="1" t="s">
        <v>3792</v>
      </c>
      <c r="K209" s="1" t="s">
        <v>4601</v>
      </c>
    </row>
    <row r="210" customFormat="false" ht="12.8" hidden="false" customHeight="false" outlineLevel="0" collapsed="false">
      <c r="C210" s="55"/>
      <c r="D210" s="1" t="s">
        <v>4602</v>
      </c>
      <c r="E210" s="1" t="s">
        <v>4603</v>
      </c>
      <c r="F210" s="1" t="s">
        <v>3787</v>
      </c>
      <c r="G210" s="1" t="s">
        <v>4604</v>
      </c>
      <c r="H210" s="50" t="s">
        <v>4605</v>
      </c>
      <c r="I210" s="34" t="s">
        <v>40</v>
      </c>
      <c r="J210" s="50" t="s">
        <v>4606</v>
      </c>
      <c r="K210" s="50" t="s">
        <v>4607</v>
      </c>
    </row>
    <row r="211" customFormat="false" ht="12.8" hidden="false" customHeight="false" outlineLevel="0" collapsed="false">
      <c r="C211" s="55"/>
      <c r="D211" s="50"/>
      <c r="E211" s="50"/>
      <c r="F211" s="50" t="s">
        <v>3792</v>
      </c>
      <c r="G211" s="50" t="s">
        <v>4608</v>
      </c>
      <c r="H211" s="1" t="s">
        <v>3792</v>
      </c>
      <c r="I211" s="34"/>
      <c r="J211" s="1" t="s">
        <v>3792</v>
      </c>
      <c r="K211" s="1" t="s">
        <v>4609</v>
      </c>
    </row>
    <row r="212" customFormat="false" ht="12.8" hidden="false" customHeight="false" outlineLevel="0" collapsed="false">
      <c r="C212" s="55"/>
      <c r="D212" s="1" t="s">
        <v>4610</v>
      </c>
      <c r="E212" s="1" t="s">
        <v>4611</v>
      </c>
      <c r="F212" s="1" t="s">
        <v>3787</v>
      </c>
      <c r="G212" s="1" t="s">
        <v>4612</v>
      </c>
      <c r="H212" s="54" t="s">
        <v>4613</v>
      </c>
      <c r="I212" s="37" t="s">
        <v>50</v>
      </c>
      <c r="J212" s="54" t="s">
        <v>4614</v>
      </c>
      <c r="K212" s="54" t="s">
        <v>4615</v>
      </c>
    </row>
    <row r="213" customFormat="false" ht="12.8" hidden="false" customHeight="false" outlineLevel="0" collapsed="false">
      <c r="B213" s="54"/>
      <c r="C213" s="55"/>
      <c r="D213" s="54"/>
      <c r="E213" s="54"/>
      <c r="F213" s="54" t="s">
        <v>3792</v>
      </c>
      <c r="G213" s="54" t="s">
        <v>4616</v>
      </c>
      <c r="H213" s="1" t="s">
        <v>3792</v>
      </c>
      <c r="I213" s="37"/>
      <c r="J213" s="1" t="s">
        <v>3792</v>
      </c>
      <c r="K213" s="1" t="s">
        <v>4617</v>
      </c>
    </row>
    <row r="214" customFormat="false" ht="12.8" hidden="false" customHeight="true" outlineLevel="0" collapsed="false">
      <c r="B214" s="1" t="s">
        <v>4618</v>
      </c>
      <c r="C214" s="49" t="s">
        <v>4619</v>
      </c>
      <c r="D214" s="1" t="s">
        <v>4620</v>
      </c>
      <c r="E214" s="1" t="s">
        <v>4621</v>
      </c>
      <c r="F214" s="1" t="s">
        <v>3806</v>
      </c>
      <c r="G214" s="1" t="s">
        <v>4622</v>
      </c>
      <c r="H214" s="50" t="s">
        <v>4623</v>
      </c>
      <c r="I214" s="34" t="s">
        <v>40</v>
      </c>
      <c r="J214" s="50" t="s">
        <v>4624</v>
      </c>
      <c r="K214" s="50" t="s">
        <v>4625</v>
      </c>
    </row>
    <row r="215" customFormat="false" ht="12.8" hidden="false" customHeight="false" outlineLevel="0" collapsed="false">
      <c r="C215" s="49"/>
      <c r="D215" s="50"/>
      <c r="E215" s="50"/>
      <c r="F215" s="50" t="s">
        <v>3792</v>
      </c>
      <c r="G215" s="50" t="s">
        <v>4626</v>
      </c>
      <c r="H215" s="1" t="s">
        <v>3792</v>
      </c>
      <c r="I215" s="34"/>
      <c r="J215" s="1" t="s">
        <v>3792</v>
      </c>
      <c r="K215" s="1" t="s">
        <v>4627</v>
      </c>
    </row>
    <row r="216" customFormat="false" ht="12.8" hidden="false" customHeight="false" outlineLevel="0" collapsed="false">
      <c r="C216" s="49"/>
      <c r="D216" s="1" t="s">
        <v>4628</v>
      </c>
      <c r="E216" s="1" t="s">
        <v>507</v>
      </c>
      <c r="F216" s="1" t="s">
        <v>3806</v>
      </c>
      <c r="G216" s="1" t="s">
        <v>4629</v>
      </c>
      <c r="H216" s="50" t="s">
        <v>4630</v>
      </c>
      <c r="I216" s="39" t="s">
        <v>67</v>
      </c>
      <c r="J216" s="50" t="s">
        <v>4631</v>
      </c>
      <c r="K216" s="50" t="s">
        <v>4632</v>
      </c>
    </row>
    <row r="217" customFormat="false" ht="12.8" hidden="false" customHeight="false" outlineLevel="0" collapsed="false">
      <c r="C217" s="49"/>
      <c r="D217" s="50"/>
      <c r="E217" s="50"/>
      <c r="F217" s="50" t="s">
        <v>3792</v>
      </c>
      <c r="G217" s="50" t="s">
        <v>4633</v>
      </c>
      <c r="H217" s="1" t="s">
        <v>3792</v>
      </c>
      <c r="I217" s="39"/>
      <c r="J217" s="1" t="s">
        <v>3792</v>
      </c>
      <c r="K217" s="1" t="s">
        <v>4634</v>
      </c>
    </row>
    <row r="218" customFormat="false" ht="12.8" hidden="false" customHeight="false" outlineLevel="0" collapsed="false">
      <c r="C218" s="49"/>
      <c r="D218" s="1" t="s">
        <v>4635</v>
      </c>
      <c r="E218" s="1" t="s">
        <v>4636</v>
      </c>
      <c r="F218" s="1" t="s">
        <v>3797</v>
      </c>
      <c r="G218" s="1" t="s">
        <v>4637</v>
      </c>
      <c r="H218" s="50" t="s">
        <v>4638</v>
      </c>
      <c r="I218" s="34" t="s">
        <v>40</v>
      </c>
      <c r="J218" s="50" t="s">
        <v>4639</v>
      </c>
      <c r="K218" s="50" t="s">
        <v>4640</v>
      </c>
    </row>
    <row r="219" customFormat="false" ht="12.8" hidden="false" customHeight="false" outlineLevel="0" collapsed="false">
      <c r="C219" s="49"/>
      <c r="D219" s="50"/>
      <c r="E219" s="50"/>
      <c r="F219" s="50" t="s">
        <v>3792</v>
      </c>
      <c r="G219" s="50" t="s">
        <v>4641</v>
      </c>
      <c r="H219" s="1" t="s">
        <v>3792</v>
      </c>
      <c r="I219" s="34"/>
      <c r="J219" s="1" t="s">
        <v>3792</v>
      </c>
      <c r="K219" s="1" t="s">
        <v>4642</v>
      </c>
    </row>
    <row r="220" customFormat="false" ht="12.8" hidden="false" customHeight="false" outlineLevel="0" collapsed="false">
      <c r="C220" s="49"/>
      <c r="D220" s="1" t="s">
        <v>4081</v>
      </c>
      <c r="E220" s="1" t="s">
        <v>4643</v>
      </c>
      <c r="F220" s="1" t="s">
        <v>3787</v>
      </c>
      <c r="G220" s="1" t="s">
        <v>4644</v>
      </c>
      <c r="H220" s="50" t="s">
        <v>4645</v>
      </c>
      <c r="I220" s="37" t="s">
        <v>50</v>
      </c>
      <c r="J220" s="50" t="s">
        <v>4646</v>
      </c>
      <c r="K220" s="50" t="s">
        <v>4647</v>
      </c>
    </row>
    <row r="221" customFormat="false" ht="12.8" hidden="false" customHeight="false" outlineLevel="0" collapsed="false">
      <c r="C221" s="49"/>
      <c r="D221" s="50"/>
      <c r="E221" s="50"/>
      <c r="F221" s="50" t="s">
        <v>3792</v>
      </c>
      <c r="G221" s="50" t="s">
        <v>4648</v>
      </c>
      <c r="H221" s="1" t="s">
        <v>3792</v>
      </c>
      <c r="I221" s="37"/>
      <c r="J221" s="1" t="s">
        <v>3792</v>
      </c>
      <c r="K221" s="1" t="s">
        <v>4649</v>
      </c>
    </row>
    <row r="222" customFormat="false" ht="12.8" hidden="false" customHeight="false" outlineLevel="0" collapsed="false">
      <c r="C222" s="49"/>
      <c r="D222" s="1" t="s">
        <v>4650</v>
      </c>
      <c r="E222" s="1" t="s">
        <v>4651</v>
      </c>
      <c r="F222" s="1" t="s">
        <v>3806</v>
      </c>
      <c r="G222" s="1" t="s">
        <v>4652</v>
      </c>
      <c r="H222" s="51" t="s">
        <v>4653</v>
      </c>
      <c r="I222" s="34" t="s">
        <v>40</v>
      </c>
      <c r="J222" s="51" t="s">
        <v>4654</v>
      </c>
      <c r="K222" s="51" t="s">
        <v>4655</v>
      </c>
    </row>
    <row r="223" customFormat="false" ht="12.8" hidden="false" customHeight="false" outlineLevel="0" collapsed="false">
      <c r="C223" s="49"/>
      <c r="D223" s="51"/>
      <c r="E223" s="51"/>
      <c r="F223" s="51" t="s">
        <v>3792</v>
      </c>
      <c r="G223" s="51" t="s">
        <v>4656</v>
      </c>
      <c r="H223" s="1" t="s">
        <v>3792</v>
      </c>
      <c r="I223" s="34"/>
      <c r="J223" s="1" t="s">
        <v>3792</v>
      </c>
      <c r="K223" s="1" t="s">
        <v>4657</v>
      </c>
    </row>
    <row r="224" customFormat="false" ht="12.8" hidden="false" customHeight="true" outlineLevel="0" collapsed="false">
      <c r="C224" s="49" t="s">
        <v>4658</v>
      </c>
      <c r="D224" s="1" t="s">
        <v>4659</v>
      </c>
      <c r="E224" s="1" t="s">
        <v>4660</v>
      </c>
      <c r="F224" s="1" t="s">
        <v>3787</v>
      </c>
      <c r="G224" s="1" t="s">
        <v>4661</v>
      </c>
      <c r="H224" s="50" t="s">
        <v>4662</v>
      </c>
      <c r="I224" s="39" t="s">
        <v>67</v>
      </c>
      <c r="J224" s="50" t="s">
        <v>4663</v>
      </c>
      <c r="K224" s="50" t="s">
        <v>4664</v>
      </c>
    </row>
    <row r="225" customFormat="false" ht="12.8" hidden="false" customHeight="false" outlineLevel="0" collapsed="false">
      <c r="C225" s="49"/>
      <c r="D225" s="50"/>
      <c r="E225" s="50"/>
      <c r="F225" s="50" t="s">
        <v>3792</v>
      </c>
      <c r="G225" s="50" t="s">
        <v>4665</v>
      </c>
      <c r="H225" s="1" t="s">
        <v>3792</v>
      </c>
      <c r="I225" s="39"/>
      <c r="J225" s="1" t="s">
        <v>3792</v>
      </c>
      <c r="K225" s="1" t="s">
        <v>4666</v>
      </c>
    </row>
    <row r="226" customFormat="false" ht="12.8" hidden="false" customHeight="false" outlineLevel="0" collapsed="false">
      <c r="C226" s="49"/>
      <c r="D226" s="1" t="s">
        <v>4667</v>
      </c>
      <c r="E226" s="1" t="s">
        <v>4668</v>
      </c>
      <c r="F226" s="1" t="s">
        <v>3797</v>
      </c>
      <c r="G226" s="1" t="s">
        <v>4669</v>
      </c>
      <c r="H226" s="50" t="s">
        <v>4670</v>
      </c>
      <c r="I226" s="34" t="s">
        <v>40</v>
      </c>
      <c r="J226" s="50" t="s">
        <v>4671</v>
      </c>
      <c r="K226" s="50" t="s">
        <v>4672</v>
      </c>
    </row>
    <row r="227" customFormat="false" ht="12.8" hidden="false" customHeight="false" outlineLevel="0" collapsed="false">
      <c r="C227" s="49"/>
      <c r="D227" s="50"/>
      <c r="E227" s="50"/>
      <c r="F227" s="50" t="s">
        <v>3792</v>
      </c>
      <c r="G227" s="50" t="s">
        <v>4673</v>
      </c>
      <c r="H227" s="1" t="s">
        <v>3792</v>
      </c>
      <c r="I227" s="34"/>
      <c r="J227" s="1" t="s">
        <v>3792</v>
      </c>
      <c r="K227" s="1" t="s">
        <v>4674</v>
      </c>
    </row>
    <row r="228" customFormat="false" ht="12.8" hidden="false" customHeight="false" outlineLevel="0" collapsed="false">
      <c r="C228" s="49"/>
      <c r="D228" s="1" t="s">
        <v>4675</v>
      </c>
      <c r="E228" s="1" t="s">
        <v>4676</v>
      </c>
      <c r="F228" s="1" t="s">
        <v>3797</v>
      </c>
      <c r="G228" s="1" t="s">
        <v>4677</v>
      </c>
      <c r="H228" s="50" t="s">
        <v>4678</v>
      </c>
      <c r="I228" s="37" t="s">
        <v>50</v>
      </c>
      <c r="J228" s="50" t="s">
        <v>4679</v>
      </c>
      <c r="K228" s="50" t="s">
        <v>4680</v>
      </c>
    </row>
    <row r="229" customFormat="false" ht="12.8" hidden="false" customHeight="false" outlineLevel="0" collapsed="false">
      <c r="C229" s="49"/>
      <c r="D229" s="50"/>
      <c r="E229" s="50"/>
      <c r="F229" s="50" t="s">
        <v>3792</v>
      </c>
      <c r="G229" s="50" t="s">
        <v>4681</v>
      </c>
      <c r="H229" s="1" t="s">
        <v>3792</v>
      </c>
      <c r="I229" s="37"/>
      <c r="J229" s="1" t="s">
        <v>3792</v>
      </c>
      <c r="K229" s="1" t="s">
        <v>4682</v>
      </c>
    </row>
    <row r="230" customFormat="false" ht="12.8" hidden="false" customHeight="false" outlineLevel="0" collapsed="false">
      <c r="C230" s="49"/>
      <c r="D230" s="1" t="s">
        <v>4683</v>
      </c>
      <c r="E230" s="1" t="s">
        <v>4684</v>
      </c>
      <c r="F230" s="1" t="s">
        <v>3787</v>
      </c>
      <c r="G230" s="1" t="s">
        <v>4685</v>
      </c>
      <c r="H230" s="50" t="s">
        <v>4686</v>
      </c>
      <c r="I230" s="34" t="s">
        <v>40</v>
      </c>
      <c r="J230" s="50" t="s">
        <v>4687</v>
      </c>
      <c r="K230" s="50" t="s">
        <v>4688</v>
      </c>
    </row>
    <row r="231" customFormat="false" ht="12.8" hidden="false" customHeight="false" outlineLevel="0" collapsed="false">
      <c r="C231" s="49"/>
      <c r="D231" s="50"/>
      <c r="E231" s="50"/>
      <c r="F231" s="50" t="s">
        <v>3792</v>
      </c>
      <c r="G231" s="50" t="s">
        <v>4689</v>
      </c>
      <c r="H231" s="1" t="s">
        <v>3792</v>
      </c>
      <c r="I231" s="34"/>
      <c r="J231" s="1" t="s">
        <v>3792</v>
      </c>
      <c r="K231" s="1" t="s">
        <v>4690</v>
      </c>
    </row>
    <row r="232" customFormat="false" ht="12.8" hidden="false" customHeight="false" outlineLevel="0" collapsed="false">
      <c r="C232" s="49"/>
      <c r="D232" s="1" t="s">
        <v>4691</v>
      </c>
      <c r="E232" s="1" t="s">
        <v>4692</v>
      </c>
      <c r="F232" s="1" t="s">
        <v>3806</v>
      </c>
      <c r="G232" s="1" t="s">
        <v>4693</v>
      </c>
      <c r="H232" s="51" t="s">
        <v>4694</v>
      </c>
      <c r="I232" s="39" t="s">
        <v>67</v>
      </c>
      <c r="J232" s="51" t="s">
        <v>4695</v>
      </c>
      <c r="K232" s="51" t="s">
        <v>4696</v>
      </c>
    </row>
    <row r="233" customFormat="false" ht="12.8" hidden="false" customHeight="false" outlineLevel="0" collapsed="false">
      <c r="C233" s="49"/>
      <c r="D233" s="51"/>
      <c r="E233" s="51"/>
      <c r="F233" s="51" t="s">
        <v>3792</v>
      </c>
      <c r="G233" s="51" t="s">
        <v>4697</v>
      </c>
      <c r="H233" s="1" t="s">
        <v>3792</v>
      </c>
      <c r="I233" s="39"/>
      <c r="J233" s="1" t="s">
        <v>3792</v>
      </c>
      <c r="K233" s="1" t="s">
        <v>4698</v>
      </c>
    </row>
    <row r="234" customFormat="false" ht="12.8" hidden="false" customHeight="true" outlineLevel="0" collapsed="false">
      <c r="C234" s="49" t="s">
        <v>4699</v>
      </c>
      <c r="D234" s="1" t="s">
        <v>4700</v>
      </c>
      <c r="E234" s="1" t="s">
        <v>4701</v>
      </c>
      <c r="F234" s="1" t="s">
        <v>3797</v>
      </c>
      <c r="G234" s="1" t="s">
        <v>4702</v>
      </c>
      <c r="H234" s="50" t="s">
        <v>4703</v>
      </c>
      <c r="I234" s="34" t="s">
        <v>40</v>
      </c>
      <c r="J234" s="50" t="s">
        <v>4704</v>
      </c>
      <c r="K234" s="50" t="s">
        <v>4705</v>
      </c>
    </row>
    <row r="235" customFormat="false" ht="12.8" hidden="false" customHeight="false" outlineLevel="0" collapsed="false">
      <c r="C235" s="49"/>
      <c r="D235" s="50"/>
      <c r="E235" s="50"/>
      <c r="F235" s="50" t="s">
        <v>3792</v>
      </c>
      <c r="G235" s="50" t="s">
        <v>4706</v>
      </c>
      <c r="H235" s="1" t="s">
        <v>3792</v>
      </c>
      <c r="I235" s="34"/>
      <c r="J235" s="1" t="s">
        <v>3792</v>
      </c>
      <c r="K235" s="1" t="s">
        <v>4707</v>
      </c>
    </row>
    <row r="236" customFormat="false" ht="12.8" hidden="false" customHeight="false" outlineLevel="0" collapsed="false">
      <c r="C236" s="49"/>
      <c r="D236" s="1" t="s">
        <v>4708</v>
      </c>
      <c r="E236" s="1" t="s">
        <v>4709</v>
      </c>
      <c r="F236" s="1" t="s">
        <v>3787</v>
      </c>
      <c r="G236" s="1" t="s">
        <v>4710</v>
      </c>
      <c r="H236" s="50" t="s">
        <v>4711</v>
      </c>
      <c r="I236" s="37" t="s">
        <v>50</v>
      </c>
      <c r="J236" s="50" t="s">
        <v>4712</v>
      </c>
      <c r="K236" s="50" t="s">
        <v>4713</v>
      </c>
    </row>
    <row r="237" customFormat="false" ht="12.8" hidden="false" customHeight="false" outlineLevel="0" collapsed="false">
      <c r="C237" s="49"/>
      <c r="D237" s="50"/>
      <c r="E237" s="50"/>
      <c r="F237" s="50" t="s">
        <v>3792</v>
      </c>
      <c r="G237" s="50" t="s">
        <v>4714</v>
      </c>
      <c r="H237" s="1" t="s">
        <v>3792</v>
      </c>
      <c r="I237" s="37"/>
      <c r="J237" s="1" t="s">
        <v>3792</v>
      </c>
      <c r="K237" s="1" t="s">
        <v>4715</v>
      </c>
    </row>
    <row r="238" customFormat="false" ht="12.8" hidden="false" customHeight="false" outlineLevel="0" collapsed="false">
      <c r="C238" s="49"/>
      <c r="D238" s="1" t="s">
        <v>4716</v>
      </c>
      <c r="E238" s="1" t="s">
        <v>4717</v>
      </c>
      <c r="F238" s="1" t="s">
        <v>3806</v>
      </c>
      <c r="G238" s="1" t="s">
        <v>4718</v>
      </c>
      <c r="H238" s="50" t="s">
        <v>4719</v>
      </c>
      <c r="I238" s="34" t="s">
        <v>40</v>
      </c>
      <c r="J238" s="50" t="s">
        <v>4720</v>
      </c>
      <c r="K238" s="50" t="s">
        <v>4721</v>
      </c>
    </row>
    <row r="239" customFormat="false" ht="12.8" hidden="false" customHeight="false" outlineLevel="0" collapsed="false">
      <c r="C239" s="49"/>
      <c r="D239" s="50"/>
      <c r="E239" s="50"/>
      <c r="F239" s="50" t="s">
        <v>3792</v>
      </c>
      <c r="G239" s="50" t="s">
        <v>4722</v>
      </c>
      <c r="H239" s="1" t="s">
        <v>3792</v>
      </c>
      <c r="I239" s="34"/>
      <c r="J239" s="1" t="s">
        <v>3792</v>
      </c>
      <c r="K239" s="1" t="s">
        <v>4723</v>
      </c>
    </row>
    <row r="240" customFormat="false" ht="12.8" hidden="false" customHeight="false" outlineLevel="0" collapsed="false">
      <c r="C240" s="49"/>
      <c r="D240" s="1" t="s">
        <v>4675</v>
      </c>
      <c r="E240" s="1" t="s">
        <v>4724</v>
      </c>
      <c r="F240" s="1" t="s">
        <v>3797</v>
      </c>
      <c r="G240" s="1" t="s">
        <v>4725</v>
      </c>
      <c r="H240" s="50" t="s">
        <v>4726</v>
      </c>
      <c r="I240" s="39" t="s">
        <v>67</v>
      </c>
      <c r="J240" s="50" t="s">
        <v>4727</v>
      </c>
      <c r="K240" s="50" t="s">
        <v>4728</v>
      </c>
    </row>
    <row r="241" customFormat="false" ht="12.8" hidden="false" customHeight="false" outlineLevel="0" collapsed="false">
      <c r="C241" s="49"/>
      <c r="D241" s="50"/>
      <c r="E241" s="50"/>
      <c r="F241" s="50" t="s">
        <v>3792</v>
      </c>
      <c r="G241" s="50" t="s">
        <v>4729</v>
      </c>
      <c r="H241" s="1" t="s">
        <v>3792</v>
      </c>
      <c r="I241" s="39"/>
      <c r="J241" s="1" t="s">
        <v>3792</v>
      </c>
      <c r="K241" s="1" t="s">
        <v>4730</v>
      </c>
    </row>
    <row r="242" customFormat="false" ht="12.8" hidden="false" customHeight="false" outlineLevel="0" collapsed="false">
      <c r="C242" s="49"/>
      <c r="D242" s="1" t="s">
        <v>4731</v>
      </c>
      <c r="E242" s="1" t="s">
        <v>4732</v>
      </c>
      <c r="F242" s="1" t="s">
        <v>3787</v>
      </c>
      <c r="G242" s="1" t="s">
        <v>4725</v>
      </c>
      <c r="H242" s="51" t="s">
        <v>4733</v>
      </c>
      <c r="I242" s="34" t="s">
        <v>40</v>
      </c>
      <c r="J242" s="51" t="s">
        <v>4734</v>
      </c>
      <c r="K242" s="51" t="s">
        <v>4735</v>
      </c>
    </row>
    <row r="243" customFormat="false" ht="12.8" hidden="false" customHeight="false" outlineLevel="0" collapsed="false">
      <c r="C243" s="49"/>
      <c r="D243" s="51"/>
      <c r="E243" s="51"/>
      <c r="F243" s="51" t="s">
        <v>3792</v>
      </c>
      <c r="G243" s="51" t="s">
        <v>4729</v>
      </c>
      <c r="H243" s="1" t="s">
        <v>3792</v>
      </c>
      <c r="I243" s="34"/>
      <c r="J243" s="1" t="s">
        <v>3792</v>
      </c>
      <c r="K243" s="1" t="s">
        <v>4736</v>
      </c>
    </row>
    <row r="244" customFormat="false" ht="12.8" hidden="false" customHeight="true" outlineLevel="0" collapsed="false">
      <c r="C244" s="49" t="s">
        <v>4737</v>
      </c>
      <c r="D244" s="1" t="s">
        <v>4738</v>
      </c>
      <c r="E244" s="1" t="s">
        <v>4739</v>
      </c>
      <c r="F244" s="1" t="s">
        <v>3797</v>
      </c>
      <c r="G244" s="1" t="s">
        <v>4740</v>
      </c>
      <c r="H244" s="50" t="s">
        <v>4741</v>
      </c>
      <c r="I244" s="37" t="s">
        <v>50</v>
      </c>
      <c r="J244" s="50" t="s">
        <v>4742</v>
      </c>
      <c r="K244" s="50" t="s">
        <v>4743</v>
      </c>
    </row>
    <row r="245" customFormat="false" ht="12.8" hidden="false" customHeight="false" outlineLevel="0" collapsed="false">
      <c r="C245" s="49"/>
      <c r="D245" s="50"/>
      <c r="E245" s="50"/>
      <c r="F245" s="50" t="s">
        <v>3792</v>
      </c>
      <c r="G245" s="50" t="s">
        <v>4744</v>
      </c>
      <c r="H245" s="1" t="s">
        <v>3792</v>
      </c>
      <c r="I245" s="37"/>
      <c r="J245" s="1" t="s">
        <v>3792</v>
      </c>
      <c r="K245" s="1" t="s">
        <v>4745</v>
      </c>
    </row>
    <row r="246" customFormat="false" ht="12.8" hidden="false" customHeight="false" outlineLevel="0" collapsed="false">
      <c r="C246" s="49"/>
      <c r="D246" s="1" t="s">
        <v>4746</v>
      </c>
      <c r="E246" s="1" t="s">
        <v>4747</v>
      </c>
      <c r="F246" s="1" t="s">
        <v>3797</v>
      </c>
      <c r="G246" s="1" t="s">
        <v>4748</v>
      </c>
      <c r="H246" s="50" t="s">
        <v>4749</v>
      </c>
      <c r="I246" s="34" t="s">
        <v>40</v>
      </c>
      <c r="J246" s="50" t="s">
        <v>4750</v>
      </c>
      <c r="K246" s="50" t="s">
        <v>4751</v>
      </c>
    </row>
    <row r="247" customFormat="false" ht="12.8" hidden="false" customHeight="false" outlineLevel="0" collapsed="false">
      <c r="C247" s="49"/>
      <c r="D247" s="50"/>
      <c r="E247" s="50"/>
      <c r="F247" s="50" t="s">
        <v>3792</v>
      </c>
      <c r="G247" s="50" t="s">
        <v>4752</v>
      </c>
      <c r="H247" s="1" t="s">
        <v>3792</v>
      </c>
      <c r="I247" s="34"/>
      <c r="J247" s="1" t="s">
        <v>3792</v>
      </c>
      <c r="K247" s="1" t="s">
        <v>4753</v>
      </c>
    </row>
    <row r="248" customFormat="false" ht="12.8" hidden="false" customHeight="false" outlineLevel="0" collapsed="false">
      <c r="C248" s="49"/>
      <c r="D248" s="1" t="s">
        <v>4015</v>
      </c>
      <c r="E248" s="1" t="s">
        <v>4754</v>
      </c>
      <c r="F248" s="1" t="s">
        <v>3806</v>
      </c>
      <c r="G248" s="1" t="s">
        <v>4755</v>
      </c>
      <c r="H248" s="50" t="s">
        <v>4018</v>
      </c>
      <c r="I248" s="39" t="s">
        <v>67</v>
      </c>
      <c r="J248" s="50" t="s">
        <v>4756</v>
      </c>
      <c r="K248" s="50" t="s">
        <v>4757</v>
      </c>
    </row>
    <row r="249" customFormat="false" ht="12.8" hidden="false" customHeight="false" outlineLevel="0" collapsed="false">
      <c r="C249" s="49"/>
      <c r="D249" s="50"/>
      <c r="E249" s="50"/>
      <c r="F249" s="50" t="s">
        <v>3792</v>
      </c>
      <c r="G249" s="50" t="s">
        <v>4758</v>
      </c>
      <c r="H249" s="1" t="s">
        <v>3792</v>
      </c>
      <c r="I249" s="39"/>
      <c r="J249" s="1" t="s">
        <v>3792</v>
      </c>
      <c r="K249" s="1" t="s">
        <v>4759</v>
      </c>
    </row>
    <row r="250" customFormat="false" ht="12.8" hidden="false" customHeight="false" outlineLevel="0" collapsed="false">
      <c r="C250" s="49"/>
      <c r="D250" s="1" t="s">
        <v>4760</v>
      </c>
      <c r="E250" s="1" t="s">
        <v>4761</v>
      </c>
      <c r="F250" s="1" t="s">
        <v>3787</v>
      </c>
      <c r="G250" s="1" t="s">
        <v>4762</v>
      </c>
      <c r="H250" s="50" t="s">
        <v>4763</v>
      </c>
      <c r="I250" s="34" t="s">
        <v>40</v>
      </c>
      <c r="J250" s="50" t="s">
        <v>4764</v>
      </c>
      <c r="K250" s="50" t="s">
        <v>4765</v>
      </c>
    </row>
    <row r="251" customFormat="false" ht="12.8" hidden="false" customHeight="false" outlineLevel="0" collapsed="false">
      <c r="C251" s="49"/>
      <c r="D251" s="50"/>
      <c r="E251" s="50"/>
      <c r="F251" s="50" t="s">
        <v>3792</v>
      </c>
      <c r="G251" s="50" t="s">
        <v>4766</v>
      </c>
      <c r="H251" s="1" t="s">
        <v>3792</v>
      </c>
      <c r="I251" s="34"/>
      <c r="J251" s="1" t="s">
        <v>3792</v>
      </c>
      <c r="K251" s="1" t="s">
        <v>4767</v>
      </c>
    </row>
    <row r="252" customFormat="false" ht="12.8" hidden="false" customHeight="false" outlineLevel="0" collapsed="false">
      <c r="C252" s="49"/>
      <c r="D252" s="1" t="s">
        <v>4768</v>
      </c>
      <c r="E252" s="1" t="s">
        <v>4769</v>
      </c>
      <c r="F252" s="1" t="s">
        <v>3787</v>
      </c>
      <c r="G252" s="1" t="s">
        <v>4770</v>
      </c>
      <c r="H252" s="51" t="s">
        <v>4771</v>
      </c>
      <c r="I252" s="37" t="s">
        <v>50</v>
      </c>
      <c r="J252" s="51" t="s">
        <v>4772</v>
      </c>
      <c r="K252" s="51" t="s">
        <v>4773</v>
      </c>
    </row>
    <row r="253" customFormat="false" ht="12.8" hidden="false" customHeight="false" outlineLevel="0" collapsed="false">
      <c r="C253" s="49"/>
      <c r="D253" s="51"/>
      <c r="E253" s="51"/>
      <c r="F253" s="51" t="s">
        <v>3792</v>
      </c>
      <c r="G253" s="51" t="s">
        <v>4774</v>
      </c>
      <c r="H253" s="1" t="s">
        <v>3792</v>
      </c>
      <c r="I253" s="37"/>
      <c r="J253" s="1" t="s">
        <v>3792</v>
      </c>
      <c r="K253" s="1" t="s">
        <v>3791</v>
      </c>
    </row>
    <row r="254" customFormat="false" ht="12.8" hidden="false" customHeight="true" outlineLevel="0" collapsed="false">
      <c r="C254" s="49" t="s">
        <v>4775</v>
      </c>
      <c r="D254" s="1" t="s">
        <v>4776</v>
      </c>
      <c r="E254" s="1" t="s">
        <v>4777</v>
      </c>
      <c r="F254" s="1" t="s">
        <v>3806</v>
      </c>
      <c r="G254" s="1" t="s">
        <v>4778</v>
      </c>
      <c r="H254" s="50" t="s">
        <v>4779</v>
      </c>
      <c r="I254" s="34" t="s">
        <v>40</v>
      </c>
      <c r="J254" s="50" t="s">
        <v>4780</v>
      </c>
      <c r="K254" s="50" t="s">
        <v>3794</v>
      </c>
    </row>
    <row r="255" customFormat="false" ht="12.8" hidden="false" customHeight="false" outlineLevel="0" collapsed="false">
      <c r="C255" s="49"/>
      <c r="D255" s="50"/>
      <c r="E255" s="50"/>
      <c r="F255" s="50" t="s">
        <v>3792</v>
      </c>
      <c r="G255" s="50" t="s">
        <v>4781</v>
      </c>
      <c r="H255" s="1" t="s">
        <v>3792</v>
      </c>
      <c r="I255" s="34"/>
      <c r="J255" s="1" t="s">
        <v>3792</v>
      </c>
      <c r="K255" s="1" t="s">
        <v>3801</v>
      </c>
    </row>
    <row r="256" customFormat="false" ht="12.8" hidden="false" customHeight="false" outlineLevel="0" collapsed="false">
      <c r="C256" s="49"/>
      <c r="D256" s="1" t="s">
        <v>4782</v>
      </c>
      <c r="E256" s="1" t="s">
        <v>4783</v>
      </c>
      <c r="F256" s="1" t="s">
        <v>3797</v>
      </c>
      <c r="G256" s="1" t="s">
        <v>4784</v>
      </c>
      <c r="H256" s="50" t="s">
        <v>4785</v>
      </c>
      <c r="I256" s="39" t="s">
        <v>67</v>
      </c>
      <c r="J256" s="50" t="s">
        <v>4786</v>
      </c>
      <c r="K256" s="50" t="s">
        <v>3803</v>
      </c>
    </row>
    <row r="257" customFormat="false" ht="12.8" hidden="false" customHeight="false" outlineLevel="0" collapsed="false">
      <c r="C257" s="49"/>
      <c r="D257" s="50"/>
      <c r="E257" s="50"/>
      <c r="F257" s="50" t="s">
        <v>3792</v>
      </c>
      <c r="G257" s="50" t="s">
        <v>4787</v>
      </c>
      <c r="H257" s="1" t="s">
        <v>3792</v>
      </c>
      <c r="I257" s="39"/>
      <c r="J257" s="1" t="s">
        <v>3792</v>
      </c>
      <c r="K257" s="1" t="s">
        <v>3809</v>
      </c>
    </row>
    <row r="258" customFormat="false" ht="12.8" hidden="false" customHeight="false" outlineLevel="0" collapsed="false">
      <c r="C258" s="49"/>
      <c r="D258" s="1" t="s">
        <v>4788</v>
      </c>
      <c r="E258" s="1" t="s">
        <v>4789</v>
      </c>
      <c r="F258" s="1" t="s">
        <v>3797</v>
      </c>
      <c r="G258" s="1" t="s">
        <v>4790</v>
      </c>
      <c r="H258" s="50" t="s">
        <v>4791</v>
      </c>
      <c r="I258" s="34" t="s">
        <v>40</v>
      </c>
      <c r="J258" s="50" t="s">
        <v>4792</v>
      </c>
      <c r="K258" s="50" t="s">
        <v>3811</v>
      </c>
    </row>
    <row r="259" customFormat="false" ht="12.8" hidden="false" customHeight="false" outlineLevel="0" collapsed="false">
      <c r="C259" s="49"/>
      <c r="D259" s="50"/>
      <c r="E259" s="50"/>
      <c r="F259" s="50" t="s">
        <v>3792</v>
      </c>
      <c r="G259" s="50" t="s">
        <v>4793</v>
      </c>
      <c r="H259" s="1" t="s">
        <v>3792</v>
      </c>
      <c r="I259" s="34"/>
      <c r="J259" s="1" t="s">
        <v>3792</v>
      </c>
      <c r="K259" s="1" t="s">
        <v>3816</v>
      </c>
    </row>
    <row r="260" customFormat="false" ht="12.8" hidden="false" customHeight="false" outlineLevel="0" collapsed="false">
      <c r="C260" s="49"/>
      <c r="D260" s="1" t="s">
        <v>4794</v>
      </c>
      <c r="E260" s="1" t="s">
        <v>4795</v>
      </c>
      <c r="F260" s="1" t="s">
        <v>3787</v>
      </c>
      <c r="G260" s="1" t="s">
        <v>4796</v>
      </c>
      <c r="H260" s="50" t="s">
        <v>4797</v>
      </c>
      <c r="I260" s="37" t="s">
        <v>50</v>
      </c>
      <c r="J260" s="50" t="s">
        <v>4798</v>
      </c>
      <c r="K260" s="50" t="s">
        <v>3818</v>
      </c>
    </row>
    <row r="261" customFormat="false" ht="12.8" hidden="false" customHeight="false" outlineLevel="0" collapsed="false">
      <c r="C261" s="49"/>
      <c r="D261" s="50"/>
      <c r="E261" s="50"/>
      <c r="F261" s="50" t="s">
        <v>3792</v>
      </c>
      <c r="G261" s="50" t="s">
        <v>4799</v>
      </c>
      <c r="H261" s="1" t="s">
        <v>3792</v>
      </c>
      <c r="I261" s="37"/>
      <c r="J261" s="1" t="s">
        <v>3792</v>
      </c>
      <c r="K261" s="1" t="s">
        <v>3824</v>
      </c>
    </row>
    <row r="262" customFormat="false" ht="12.8" hidden="false" customHeight="false" outlineLevel="0" collapsed="false">
      <c r="C262" s="49"/>
      <c r="D262" s="1" t="s">
        <v>4800</v>
      </c>
      <c r="E262" s="1" t="s">
        <v>4801</v>
      </c>
      <c r="F262" s="1" t="s">
        <v>3806</v>
      </c>
      <c r="G262" s="1" t="s">
        <v>4802</v>
      </c>
      <c r="H262" s="51" t="s">
        <v>4803</v>
      </c>
      <c r="I262" s="34" t="s">
        <v>40</v>
      </c>
      <c r="J262" s="51" t="s">
        <v>4804</v>
      </c>
      <c r="K262" s="51" t="s">
        <v>3826</v>
      </c>
    </row>
    <row r="263" customFormat="false" ht="12.8" hidden="false" customHeight="false" outlineLevel="0" collapsed="false">
      <c r="C263" s="49"/>
      <c r="D263" s="51"/>
      <c r="E263" s="51"/>
      <c r="F263" s="51" t="s">
        <v>3792</v>
      </c>
      <c r="G263" s="51" t="s">
        <v>4805</v>
      </c>
      <c r="H263" s="1" t="s">
        <v>3792</v>
      </c>
      <c r="I263" s="34"/>
      <c r="J263" s="1" t="s">
        <v>3792</v>
      </c>
      <c r="K263" s="1" t="s">
        <v>3831</v>
      </c>
    </row>
    <row r="264" customFormat="false" ht="12.8" hidden="false" customHeight="true" outlineLevel="0" collapsed="false">
      <c r="C264" s="49" t="s">
        <v>4806</v>
      </c>
      <c r="D264" s="1" t="s">
        <v>4807</v>
      </c>
      <c r="E264" s="1" t="s">
        <v>4808</v>
      </c>
      <c r="F264" s="1" t="s">
        <v>3787</v>
      </c>
      <c r="G264" s="1" t="s">
        <v>4809</v>
      </c>
      <c r="H264" s="50" t="s">
        <v>4810</v>
      </c>
      <c r="I264" s="39" t="s">
        <v>67</v>
      </c>
      <c r="J264" s="50" t="s">
        <v>4811</v>
      </c>
      <c r="K264" s="50" t="s">
        <v>3833</v>
      </c>
    </row>
    <row r="265" customFormat="false" ht="12.8" hidden="false" customHeight="false" outlineLevel="0" collapsed="false">
      <c r="C265" s="49"/>
      <c r="D265" s="50"/>
      <c r="E265" s="50"/>
      <c r="F265" s="50" t="s">
        <v>3792</v>
      </c>
      <c r="G265" s="50" t="s">
        <v>4812</v>
      </c>
      <c r="H265" s="1" t="s">
        <v>3792</v>
      </c>
      <c r="I265" s="39"/>
      <c r="J265" s="1" t="s">
        <v>3792</v>
      </c>
      <c r="K265" s="1" t="s">
        <v>3837</v>
      </c>
    </row>
    <row r="266" customFormat="false" ht="12.8" hidden="false" customHeight="false" outlineLevel="0" collapsed="false">
      <c r="C266" s="49"/>
      <c r="D266" s="1" t="s">
        <v>4813</v>
      </c>
      <c r="E266" s="1" t="s">
        <v>4814</v>
      </c>
      <c r="F266" s="1" t="s">
        <v>3797</v>
      </c>
      <c r="G266" s="1" t="s">
        <v>4809</v>
      </c>
      <c r="H266" s="50" t="s">
        <v>4815</v>
      </c>
      <c r="I266" s="34" t="s">
        <v>40</v>
      </c>
      <c r="J266" s="50" t="s">
        <v>4816</v>
      </c>
      <c r="K266" s="50" t="s">
        <v>3839</v>
      </c>
    </row>
    <row r="267" customFormat="false" ht="12.8" hidden="false" customHeight="false" outlineLevel="0" collapsed="false">
      <c r="C267" s="49"/>
      <c r="D267" s="50"/>
      <c r="E267" s="50"/>
      <c r="F267" s="50" t="s">
        <v>3792</v>
      </c>
      <c r="G267" s="50" t="s">
        <v>4812</v>
      </c>
      <c r="H267" s="1" t="s">
        <v>3792</v>
      </c>
      <c r="I267" s="34"/>
      <c r="J267" s="1" t="s">
        <v>3792</v>
      </c>
      <c r="K267" s="1" t="s">
        <v>3843</v>
      </c>
    </row>
    <row r="268" customFormat="false" ht="12.8" hidden="false" customHeight="false" outlineLevel="0" collapsed="false">
      <c r="C268" s="49"/>
      <c r="D268" s="1" t="s">
        <v>4817</v>
      </c>
      <c r="E268" s="1" t="s">
        <v>4818</v>
      </c>
      <c r="F268" s="1" t="s">
        <v>3797</v>
      </c>
      <c r="G268" s="1" t="s">
        <v>4819</v>
      </c>
      <c r="H268" s="50" t="s">
        <v>4820</v>
      </c>
      <c r="I268" s="37" t="s">
        <v>50</v>
      </c>
      <c r="J268" s="50" t="s">
        <v>4821</v>
      </c>
      <c r="K268" s="50" t="s">
        <v>3845</v>
      </c>
    </row>
    <row r="269" customFormat="false" ht="12.8" hidden="false" customHeight="false" outlineLevel="0" collapsed="false">
      <c r="C269" s="49"/>
      <c r="D269" s="50"/>
      <c r="E269" s="50"/>
      <c r="F269" s="50" t="s">
        <v>3792</v>
      </c>
      <c r="G269" s="50" t="s">
        <v>4822</v>
      </c>
      <c r="H269" s="1" t="s">
        <v>3792</v>
      </c>
      <c r="I269" s="37"/>
      <c r="J269" s="1" t="s">
        <v>3792</v>
      </c>
      <c r="K269" s="1" t="s">
        <v>3849</v>
      </c>
    </row>
    <row r="270" customFormat="false" ht="12.8" hidden="false" customHeight="false" outlineLevel="0" collapsed="false">
      <c r="C270" s="49"/>
      <c r="D270" s="1" t="s">
        <v>4823</v>
      </c>
      <c r="E270" s="1" t="s">
        <v>4824</v>
      </c>
      <c r="F270" s="1" t="s">
        <v>3787</v>
      </c>
      <c r="G270" s="1" t="s">
        <v>4825</v>
      </c>
      <c r="H270" s="50" t="s">
        <v>4826</v>
      </c>
      <c r="I270" s="34" t="s">
        <v>40</v>
      </c>
      <c r="J270" s="50" t="s">
        <v>4827</v>
      </c>
      <c r="K270" s="50" t="s">
        <v>3851</v>
      </c>
    </row>
    <row r="271" customFormat="false" ht="12.8" hidden="false" customHeight="false" outlineLevel="0" collapsed="false">
      <c r="C271" s="49"/>
      <c r="D271" s="50"/>
      <c r="E271" s="50"/>
      <c r="F271" s="50" t="s">
        <v>3792</v>
      </c>
      <c r="G271" s="50" t="s">
        <v>4828</v>
      </c>
      <c r="H271" s="1" t="s">
        <v>3792</v>
      </c>
      <c r="I271" s="34"/>
      <c r="J271" s="1" t="s">
        <v>3792</v>
      </c>
      <c r="K271" s="1" t="s">
        <v>3855</v>
      </c>
    </row>
    <row r="272" customFormat="false" ht="12.8" hidden="false" customHeight="false" outlineLevel="0" collapsed="false">
      <c r="C272" s="49"/>
      <c r="D272" s="1" t="s">
        <v>4829</v>
      </c>
      <c r="E272" s="1" t="s">
        <v>4830</v>
      </c>
      <c r="F272" s="1" t="s">
        <v>3806</v>
      </c>
      <c r="G272" s="1" t="s">
        <v>4831</v>
      </c>
      <c r="H272" s="51" t="s">
        <v>4832</v>
      </c>
      <c r="I272" s="39" t="s">
        <v>67</v>
      </c>
      <c r="J272" s="51" t="s">
        <v>4833</v>
      </c>
      <c r="K272" s="51" t="s">
        <v>3857</v>
      </c>
    </row>
    <row r="273" customFormat="false" ht="12.8" hidden="false" customHeight="false" outlineLevel="0" collapsed="false">
      <c r="C273" s="49"/>
      <c r="D273" s="51"/>
      <c r="E273" s="51"/>
      <c r="F273" s="51" t="s">
        <v>3792</v>
      </c>
      <c r="G273" s="51" t="s">
        <v>4834</v>
      </c>
      <c r="H273" s="1" t="s">
        <v>3792</v>
      </c>
      <c r="I273" s="39"/>
      <c r="J273" s="1" t="s">
        <v>3792</v>
      </c>
      <c r="K273" s="1" t="s">
        <v>3864</v>
      </c>
    </row>
    <row r="274" customFormat="false" ht="12.8" hidden="false" customHeight="true" outlineLevel="0" collapsed="false">
      <c r="C274" s="49" t="s">
        <v>4835</v>
      </c>
      <c r="D274" s="1" t="s">
        <v>4836</v>
      </c>
      <c r="E274" s="1" t="s">
        <v>4837</v>
      </c>
      <c r="F274" s="1" t="s">
        <v>3806</v>
      </c>
      <c r="G274" s="1" t="s">
        <v>4838</v>
      </c>
      <c r="H274" s="50" t="s">
        <v>4839</v>
      </c>
      <c r="I274" s="34" t="s">
        <v>40</v>
      </c>
      <c r="J274" s="50" t="s">
        <v>4840</v>
      </c>
      <c r="K274" s="50" t="s">
        <v>3866</v>
      </c>
    </row>
    <row r="275" customFormat="false" ht="12.8" hidden="false" customHeight="false" outlineLevel="0" collapsed="false">
      <c r="C275" s="49"/>
      <c r="D275" s="50"/>
      <c r="E275" s="50"/>
      <c r="F275" s="50" t="s">
        <v>3792</v>
      </c>
      <c r="G275" s="50" t="s">
        <v>1910</v>
      </c>
      <c r="H275" s="1" t="s">
        <v>3792</v>
      </c>
      <c r="I275" s="34"/>
      <c r="J275" s="1" t="s">
        <v>3792</v>
      </c>
      <c r="K275" s="1" t="s">
        <v>3872</v>
      </c>
    </row>
    <row r="276" customFormat="false" ht="12.8" hidden="false" customHeight="false" outlineLevel="0" collapsed="false">
      <c r="C276" s="49"/>
      <c r="D276" s="1" t="s">
        <v>4841</v>
      </c>
      <c r="E276" s="1" t="s">
        <v>4842</v>
      </c>
      <c r="F276" s="1" t="s">
        <v>3787</v>
      </c>
      <c r="G276" s="1" t="s">
        <v>4843</v>
      </c>
      <c r="H276" s="50" t="s">
        <v>4844</v>
      </c>
      <c r="I276" s="37" t="s">
        <v>50</v>
      </c>
      <c r="J276" s="50" t="s">
        <v>4845</v>
      </c>
      <c r="K276" s="50" t="s">
        <v>3874</v>
      </c>
    </row>
    <row r="277" customFormat="false" ht="12.8" hidden="false" customHeight="false" outlineLevel="0" collapsed="false">
      <c r="C277" s="49"/>
      <c r="D277" s="50"/>
      <c r="E277" s="50"/>
      <c r="F277" s="50" t="s">
        <v>3792</v>
      </c>
      <c r="G277" s="50" t="s">
        <v>4846</v>
      </c>
      <c r="H277" s="1" t="s">
        <v>3792</v>
      </c>
      <c r="I277" s="37"/>
      <c r="J277" s="1" t="s">
        <v>3792</v>
      </c>
      <c r="K277" s="1" t="s">
        <v>3880</v>
      </c>
    </row>
    <row r="278" customFormat="false" ht="12.8" hidden="false" customHeight="false" outlineLevel="0" collapsed="false">
      <c r="C278" s="49"/>
      <c r="D278" s="1" t="s">
        <v>4847</v>
      </c>
      <c r="E278" s="1" t="s">
        <v>4848</v>
      </c>
      <c r="F278" s="1" t="s">
        <v>3797</v>
      </c>
      <c r="G278" s="1" t="s">
        <v>4849</v>
      </c>
      <c r="H278" s="50" t="s">
        <v>4850</v>
      </c>
      <c r="I278" s="34" t="s">
        <v>40</v>
      </c>
      <c r="J278" s="50" t="s">
        <v>4851</v>
      </c>
      <c r="K278" s="50" t="s">
        <v>3882</v>
      </c>
    </row>
    <row r="279" customFormat="false" ht="12.8" hidden="false" customHeight="false" outlineLevel="0" collapsed="false">
      <c r="C279" s="49"/>
      <c r="D279" s="50"/>
      <c r="E279" s="50"/>
      <c r="F279" s="50" t="s">
        <v>3792</v>
      </c>
      <c r="G279" s="50" t="s">
        <v>4852</v>
      </c>
      <c r="H279" s="1" t="s">
        <v>3792</v>
      </c>
      <c r="I279" s="34"/>
      <c r="J279" s="1" t="s">
        <v>3792</v>
      </c>
      <c r="K279" s="1" t="s">
        <v>3888</v>
      </c>
    </row>
    <row r="280" customFormat="false" ht="12.8" hidden="false" customHeight="false" outlineLevel="0" collapsed="false">
      <c r="C280" s="49"/>
      <c r="D280" s="1" t="s">
        <v>4853</v>
      </c>
      <c r="E280" s="1" t="s">
        <v>4854</v>
      </c>
      <c r="F280" s="1" t="s">
        <v>3797</v>
      </c>
      <c r="G280" s="1" t="s">
        <v>4855</v>
      </c>
      <c r="H280" s="50" t="s">
        <v>4856</v>
      </c>
      <c r="I280" s="39" t="s">
        <v>67</v>
      </c>
      <c r="J280" s="50" t="s">
        <v>4857</v>
      </c>
      <c r="K280" s="50" t="s">
        <v>3890</v>
      </c>
    </row>
    <row r="281" customFormat="false" ht="12.8" hidden="false" customHeight="false" outlineLevel="0" collapsed="false">
      <c r="C281" s="49"/>
      <c r="D281" s="50"/>
      <c r="E281" s="50"/>
      <c r="F281" s="50" t="s">
        <v>3792</v>
      </c>
      <c r="G281" s="50" t="s">
        <v>4858</v>
      </c>
      <c r="H281" s="1" t="s">
        <v>3792</v>
      </c>
      <c r="I281" s="39"/>
      <c r="J281" s="1" t="s">
        <v>3792</v>
      </c>
      <c r="K281" s="1" t="s">
        <v>3896</v>
      </c>
    </row>
    <row r="282" customFormat="false" ht="12.8" hidden="false" customHeight="false" outlineLevel="0" collapsed="false">
      <c r="C282" s="49"/>
      <c r="D282" s="1" t="s">
        <v>4859</v>
      </c>
      <c r="E282" s="1" t="s">
        <v>4860</v>
      </c>
      <c r="F282" s="1" t="s">
        <v>3806</v>
      </c>
      <c r="G282" s="1" t="s">
        <v>4861</v>
      </c>
      <c r="H282" s="51" t="s">
        <v>4862</v>
      </c>
      <c r="I282" s="34" t="s">
        <v>40</v>
      </c>
      <c r="J282" s="51" t="s">
        <v>4863</v>
      </c>
      <c r="K282" s="51" t="s">
        <v>3898</v>
      </c>
    </row>
    <row r="283" customFormat="false" ht="12.8" hidden="false" customHeight="false" outlineLevel="0" collapsed="false">
      <c r="C283" s="49"/>
      <c r="D283" s="51"/>
      <c r="E283" s="51"/>
      <c r="F283" s="51" t="s">
        <v>3792</v>
      </c>
      <c r="G283" s="51" t="s">
        <v>4864</v>
      </c>
      <c r="H283" s="1" t="s">
        <v>3792</v>
      </c>
      <c r="I283" s="34"/>
      <c r="J283" s="1" t="s">
        <v>3792</v>
      </c>
      <c r="K283" s="1" t="s">
        <v>3905</v>
      </c>
    </row>
    <row r="284" customFormat="false" ht="12.8" hidden="false" customHeight="true" outlineLevel="0" collapsed="false">
      <c r="C284" s="49" t="s">
        <v>4865</v>
      </c>
      <c r="D284" s="1" t="s">
        <v>4866</v>
      </c>
      <c r="E284" s="1" t="s">
        <v>4866</v>
      </c>
      <c r="F284" s="1" t="s">
        <v>3787</v>
      </c>
      <c r="G284" s="1" t="s">
        <v>4867</v>
      </c>
      <c r="H284" s="50" t="s">
        <v>4868</v>
      </c>
      <c r="I284" s="37" t="s">
        <v>50</v>
      </c>
      <c r="J284" s="50" t="s">
        <v>4869</v>
      </c>
      <c r="K284" s="50" t="s">
        <v>3907</v>
      </c>
    </row>
    <row r="285" customFormat="false" ht="12.8" hidden="false" customHeight="false" outlineLevel="0" collapsed="false">
      <c r="C285" s="49"/>
      <c r="D285" s="50"/>
      <c r="E285" s="50"/>
      <c r="F285" s="50" t="s">
        <v>3792</v>
      </c>
      <c r="G285" s="50" t="s">
        <v>4870</v>
      </c>
      <c r="H285" s="1" t="s">
        <v>3792</v>
      </c>
      <c r="I285" s="37"/>
      <c r="J285" s="1" t="s">
        <v>3792</v>
      </c>
      <c r="K285" s="1" t="s">
        <v>3913</v>
      </c>
    </row>
    <row r="286" customFormat="false" ht="12.8" hidden="false" customHeight="false" outlineLevel="0" collapsed="false">
      <c r="C286" s="49"/>
      <c r="D286" s="1" t="s">
        <v>4871</v>
      </c>
      <c r="E286" s="1" t="s">
        <v>4871</v>
      </c>
      <c r="F286" s="1" t="s">
        <v>3787</v>
      </c>
      <c r="G286" s="1" t="s">
        <v>4872</v>
      </c>
      <c r="H286" s="50" t="s">
        <v>4873</v>
      </c>
      <c r="I286" s="34" t="s">
        <v>40</v>
      </c>
      <c r="J286" s="50" t="s">
        <v>4874</v>
      </c>
      <c r="K286" s="50" t="s">
        <v>3915</v>
      </c>
    </row>
    <row r="287" customFormat="false" ht="12.8" hidden="false" customHeight="false" outlineLevel="0" collapsed="false">
      <c r="C287" s="49"/>
      <c r="D287" s="50"/>
      <c r="E287" s="50"/>
      <c r="F287" s="50" t="s">
        <v>3792</v>
      </c>
      <c r="G287" s="50" t="s">
        <v>4875</v>
      </c>
      <c r="H287" s="1" t="s">
        <v>3792</v>
      </c>
      <c r="I287" s="34"/>
      <c r="J287" s="1" t="s">
        <v>3792</v>
      </c>
      <c r="K287" s="1" t="s">
        <v>3921</v>
      </c>
    </row>
    <row r="288" customFormat="false" ht="12.8" hidden="false" customHeight="false" outlineLevel="0" collapsed="false">
      <c r="C288" s="49"/>
      <c r="D288" s="1" t="s">
        <v>4876</v>
      </c>
      <c r="E288" s="1" t="s">
        <v>4876</v>
      </c>
      <c r="F288" s="1" t="s">
        <v>3797</v>
      </c>
      <c r="G288" s="1" t="s">
        <v>4877</v>
      </c>
      <c r="H288" s="50" t="s">
        <v>4878</v>
      </c>
      <c r="I288" s="39" t="s">
        <v>67</v>
      </c>
      <c r="J288" s="50" t="s">
        <v>4879</v>
      </c>
      <c r="K288" s="50" t="s">
        <v>3923</v>
      </c>
    </row>
    <row r="289" customFormat="false" ht="12.8" hidden="false" customHeight="false" outlineLevel="0" collapsed="false">
      <c r="C289" s="49"/>
      <c r="D289" s="50"/>
      <c r="E289" s="50"/>
      <c r="F289" s="50" t="s">
        <v>3792</v>
      </c>
      <c r="G289" s="50" t="s">
        <v>4880</v>
      </c>
      <c r="H289" s="1" t="s">
        <v>3792</v>
      </c>
      <c r="I289" s="39"/>
      <c r="J289" s="1" t="s">
        <v>3792</v>
      </c>
      <c r="K289" s="1" t="s">
        <v>3929</v>
      </c>
    </row>
    <row r="290" customFormat="false" ht="12.8" hidden="false" customHeight="false" outlineLevel="0" collapsed="false">
      <c r="C290" s="49"/>
      <c r="D290" s="1" t="s">
        <v>4881</v>
      </c>
      <c r="E290" s="1" t="s">
        <v>4881</v>
      </c>
      <c r="F290" s="1" t="s">
        <v>3806</v>
      </c>
      <c r="G290" s="1" t="s">
        <v>4882</v>
      </c>
      <c r="H290" s="50" t="s">
        <v>4883</v>
      </c>
      <c r="I290" s="34" t="s">
        <v>40</v>
      </c>
      <c r="J290" s="50" t="s">
        <v>4884</v>
      </c>
      <c r="K290" s="50" t="s">
        <v>3931</v>
      </c>
    </row>
    <row r="291" customFormat="false" ht="12.8" hidden="false" customHeight="false" outlineLevel="0" collapsed="false">
      <c r="C291" s="49"/>
      <c r="D291" s="50"/>
      <c r="E291" s="50"/>
      <c r="F291" s="50" t="s">
        <v>3792</v>
      </c>
      <c r="G291" s="50" t="s">
        <v>4885</v>
      </c>
      <c r="H291" s="1" t="s">
        <v>3792</v>
      </c>
      <c r="I291" s="34"/>
      <c r="J291" s="1" t="s">
        <v>3792</v>
      </c>
      <c r="K291" s="1" t="s">
        <v>3937</v>
      </c>
    </row>
    <row r="292" customFormat="false" ht="12.8" hidden="false" customHeight="false" outlineLevel="0" collapsed="false">
      <c r="C292" s="49"/>
      <c r="D292" s="1" t="s">
        <v>4886</v>
      </c>
      <c r="E292" s="1" t="s">
        <v>4886</v>
      </c>
      <c r="F292" s="1" t="s">
        <v>3797</v>
      </c>
      <c r="G292" s="1" t="s">
        <v>4887</v>
      </c>
      <c r="H292" s="51" t="s">
        <v>4888</v>
      </c>
      <c r="I292" s="37" t="s">
        <v>50</v>
      </c>
      <c r="J292" s="51" t="s">
        <v>4889</v>
      </c>
      <c r="K292" s="51" t="s">
        <v>3939</v>
      </c>
    </row>
    <row r="293" customFormat="false" ht="12.8" hidden="false" customHeight="false" outlineLevel="0" collapsed="false">
      <c r="C293" s="49"/>
      <c r="D293" s="51"/>
      <c r="E293" s="51"/>
      <c r="F293" s="51" t="s">
        <v>3792</v>
      </c>
      <c r="G293" s="51" t="s">
        <v>4890</v>
      </c>
      <c r="H293" s="1" t="s">
        <v>3792</v>
      </c>
      <c r="I293" s="37"/>
      <c r="J293" s="1" t="s">
        <v>3792</v>
      </c>
      <c r="K293" s="1" t="s">
        <v>3946</v>
      </c>
    </row>
    <row r="294" customFormat="false" ht="12.8" hidden="false" customHeight="true" outlineLevel="0" collapsed="false">
      <c r="C294" s="49" t="s">
        <v>4891</v>
      </c>
      <c r="D294" s="1" t="s">
        <v>4836</v>
      </c>
      <c r="E294" s="1" t="s">
        <v>4837</v>
      </c>
      <c r="F294" s="1" t="s">
        <v>3787</v>
      </c>
      <c r="G294" s="1" t="s">
        <v>4892</v>
      </c>
      <c r="H294" s="50" t="s">
        <v>4893</v>
      </c>
      <c r="I294" s="34" t="s">
        <v>40</v>
      </c>
      <c r="J294" s="50" t="s">
        <v>4894</v>
      </c>
      <c r="K294" s="50" t="s">
        <v>3948</v>
      </c>
    </row>
    <row r="295" customFormat="false" ht="12.8" hidden="false" customHeight="false" outlineLevel="0" collapsed="false">
      <c r="C295" s="49"/>
      <c r="D295" s="50"/>
      <c r="E295" s="50"/>
      <c r="F295" s="50" t="s">
        <v>3792</v>
      </c>
      <c r="G295" s="50" t="s">
        <v>4895</v>
      </c>
      <c r="H295" s="1" t="s">
        <v>3792</v>
      </c>
      <c r="I295" s="34"/>
      <c r="J295" s="1" t="s">
        <v>3792</v>
      </c>
      <c r="K295" s="1" t="s">
        <v>3954</v>
      </c>
    </row>
    <row r="296" customFormat="false" ht="12.8" hidden="false" customHeight="false" outlineLevel="0" collapsed="false">
      <c r="C296" s="49"/>
      <c r="D296" s="1" t="s">
        <v>4841</v>
      </c>
      <c r="E296" s="1" t="s">
        <v>4842</v>
      </c>
      <c r="F296" s="1" t="s">
        <v>3787</v>
      </c>
      <c r="G296" s="1" t="s">
        <v>4896</v>
      </c>
      <c r="H296" s="50" t="s">
        <v>4897</v>
      </c>
      <c r="I296" s="39" t="s">
        <v>67</v>
      </c>
      <c r="J296" s="50" t="s">
        <v>4898</v>
      </c>
      <c r="K296" s="50" t="s">
        <v>3956</v>
      </c>
    </row>
    <row r="297" customFormat="false" ht="12.8" hidden="false" customHeight="false" outlineLevel="0" collapsed="false">
      <c r="C297" s="49"/>
      <c r="D297" s="50"/>
      <c r="E297" s="50"/>
      <c r="F297" s="50" t="s">
        <v>3792</v>
      </c>
      <c r="G297" s="50" t="s">
        <v>4899</v>
      </c>
      <c r="H297" s="1" t="s">
        <v>3792</v>
      </c>
      <c r="I297" s="39"/>
      <c r="J297" s="1" t="s">
        <v>3792</v>
      </c>
      <c r="K297" s="1" t="s">
        <v>3962</v>
      </c>
    </row>
    <row r="298" customFormat="false" ht="12.8" hidden="false" customHeight="false" outlineLevel="0" collapsed="false">
      <c r="C298" s="49"/>
      <c r="D298" s="1" t="s">
        <v>4847</v>
      </c>
      <c r="E298" s="1" t="s">
        <v>4848</v>
      </c>
      <c r="F298" s="1" t="s">
        <v>3806</v>
      </c>
      <c r="G298" s="1" t="s">
        <v>4896</v>
      </c>
      <c r="H298" s="50" t="s">
        <v>4900</v>
      </c>
      <c r="I298" s="34" t="s">
        <v>40</v>
      </c>
      <c r="J298" s="50" t="s">
        <v>4901</v>
      </c>
      <c r="K298" s="50" t="s">
        <v>3964</v>
      </c>
    </row>
    <row r="299" customFormat="false" ht="12.8" hidden="false" customHeight="false" outlineLevel="0" collapsed="false">
      <c r="C299" s="49"/>
      <c r="D299" s="50"/>
      <c r="E299" s="50"/>
      <c r="F299" s="50" t="s">
        <v>3792</v>
      </c>
      <c r="G299" s="50" t="s">
        <v>4899</v>
      </c>
      <c r="H299" s="1" t="s">
        <v>3792</v>
      </c>
      <c r="I299" s="34"/>
      <c r="J299" s="1" t="s">
        <v>3792</v>
      </c>
      <c r="K299" s="1" t="s">
        <v>3970</v>
      </c>
    </row>
    <row r="300" customFormat="false" ht="12.8" hidden="false" customHeight="false" outlineLevel="0" collapsed="false">
      <c r="C300" s="49"/>
      <c r="D300" s="1" t="s">
        <v>4853</v>
      </c>
      <c r="E300" s="1" t="s">
        <v>4854</v>
      </c>
      <c r="F300" s="1" t="s">
        <v>3797</v>
      </c>
      <c r="G300" s="1" t="s">
        <v>4902</v>
      </c>
      <c r="H300" s="50" t="s">
        <v>4903</v>
      </c>
      <c r="I300" s="37" t="s">
        <v>50</v>
      </c>
      <c r="J300" s="50" t="s">
        <v>4904</v>
      </c>
      <c r="K300" s="50" t="s">
        <v>3972</v>
      </c>
    </row>
    <row r="301" customFormat="false" ht="12.8" hidden="false" customHeight="false" outlineLevel="0" collapsed="false">
      <c r="C301" s="49"/>
      <c r="D301" s="50"/>
      <c r="E301" s="50"/>
      <c r="F301" s="50" t="s">
        <v>3792</v>
      </c>
      <c r="G301" s="50" t="s">
        <v>4905</v>
      </c>
      <c r="I301" s="37"/>
      <c r="J301" s="1" t="s">
        <v>3792</v>
      </c>
      <c r="K301" s="1" t="s">
        <v>3978</v>
      </c>
    </row>
    <row r="302" customFormat="false" ht="12.8" hidden="false" customHeight="false" outlineLevel="0" collapsed="false">
      <c r="C302" s="49"/>
      <c r="D302" s="1" t="s">
        <v>4859</v>
      </c>
      <c r="E302" s="1" t="s">
        <v>4860</v>
      </c>
      <c r="F302" s="1" t="s">
        <v>3787</v>
      </c>
      <c r="G302" s="1" t="s">
        <v>4906</v>
      </c>
      <c r="H302" s="51" t="s">
        <v>4907</v>
      </c>
      <c r="I302" s="34" t="s">
        <v>40</v>
      </c>
      <c r="J302" s="51" t="s">
        <v>4908</v>
      </c>
      <c r="K302" s="51" t="s">
        <v>3980</v>
      </c>
    </row>
    <row r="303" customFormat="false" ht="12.8" hidden="false" customHeight="false" outlineLevel="0" collapsed="false">
      <c r="C303" s="49"/>
      <c r="D303" s="51"/>
      <c r="E303" s="51"/>
      <c r="F303" s="51" t="s">
        <v>3792</v>
      </c>
      <c r="G303" s="51" t="s">
        <v>4909</v>
      </c>
      <c r="H303" s="1" t="s">
        <v>3792</v>
      </c>
      <c r="I303" s="34"/>
      <c r="J303" s="1" t="s">
        <v>4910</v>
      </c>
      <c r="K303" s="1" t="s">
        <v>3981</v>
      </c>
    </row>
    <row r="304" customFormat="false" ht="12.8" hidden="false" customHeight="true" outlineLevel="0" collapsed="false">
      <c r="C304" s="49" t="s">
        <v>4911</v>
      </c>
      <c r="D304" s="1" t="s">
        <v>4912</v>
      </c>
      <c r="E304" s="1" t="s">
        <v>4913</v>
      </c>
      <c r="F304" s="1" t="s">
        <v>3797</v>
      </c>
      <c r="G304" s="1" t="s">
        <v>4914</v>
      </c>
      <c r="H304" s="50" t="s">
        <v>4915</v>
      </c>
      <c r="I304" s="39" t="s">
        <v>67</v>
      </c>
      <c r="J304" s="50" t="s">
        <v>3792</v>
      </c>
      <c r="K304" s="50" t="s">
        <v>3982</v>
      </c>
    </row>
    <row r="305" customFormat="false" ht="12.8" hidden="false" customHeight="false" outlineLevel="0" collapsed="false">
      <c r="C305" s="49"/>
      <c r="D305" s="50"/>
      <c r="E305" s="50"/>
      <c r="F305" s="50" t="s">
        <v>3792</v>
      </c>
      <c r="G305" s="50" t="s">
        <v>4916</v>
      </c>
      <c r="H305" s="1" t="s">
        <v>3792</v>
      </c>
      <c r="I305" s="39"/>
      <c r="J305" s="1" t="s">
        <v>4917</v>
      </c>
      <c r="K305" s="1" t="s">
        <v>3990</v>
      </c>
    </row>
    <row r="306" customFormat="false" ht="12.8" hidden="false" customHeight="false" outlineLevel="0" collapsed="false">
      <c r="C306" s="49"/>
      <c r="D306" s="1" t="s">
        <v>4918</v>
      </c>
      <c r="E306" s="1" t="s">
        <v>4919</v>
      </c>
      <c r="F306" s="1" t="s">
        <v>3787</v>
      </c>
      <c r="G306" s="1" t="s">
        <v>4920</v>
      </c>
      <c r="H306" s="50" t="s">
        <v>4921</v>
      </c>
      <c r="I306" s="34" t="s">
        <v>40</v>
      </c>
      <c r="J306" s="50" t="s">
        <v>3792</v>
      </c>
      <c r="K306" s="50" t="s">
        <v>3992</v>
      </c>
    </row>
    <row r="307" customFormat="false" ht="12.8" hidden="false" customHeight="false" outlineLevel="0" collapsed="false">
      <c r="C307" s="49"/>
      <c r="D307" s="50"/>
      <c r="E307" s="50"/>
      <c r="F307" s="50" t="s">
        <v>3792</v>
      </c>
      <c r="G307" s="50" t="s">
        <v>4922</v>
      </c>
      <c r="H307" s="1" t="s">
        <v>3792</v>
      </c>
      <c r="I307" s="34"/>
      <c r="J307" s="1" t="s">
        <v>4923</v>
      </c>
      <c r="K307" s="1" t="s">
        <v>3998</v>
      </c>
    </row>
    <row r="308" customFormat="false" ht="12.8" hidden="false" customHeight="false" outlineLevel="0" collapsed="false">
      <c r="C308" s="49"/>
      <c r="D308" s="1" t="s">
        <v>4924</v>
      </c>
      <c r="E308" s="1" t="s">
        <v>4789</v>
      </c>
      <c r="F308" s="1" t="s">
        <v>3806</v>
      </c>
      <c r="G308" s="1" t="s">
        <v>4925</v>
      </c>
      <c r="H308" s="50" t="s">
        <v>4926</v>
      </c>
      <c r="I308" s="37" t="s">
        <v>50</v>
      </c>
      <c r="J308" s="50" t="s">
        <v>3792</v>
      </c>
      <c r="K308" s="50" t="s">
        <v>4000</v>
      </c>
    </row>
    <row r="309" customFormat="false" ht="12.8" hidden="false" customHeight="false" outlineLevel="0" collapsed="false">
      <c r="C309" s="49"/>
      <c r="D309" s="50"/>
      <c r="E309" s="50"/>
      <c r="F309" s="50" t="s">
        <v>3792</v>
      </c>
      <c r="G309" s="50" t="s">
        <v>4927</v>
      </c>
      <c r="H309" s="1" t="s">
        <v>3792</v>
      </c>
      <c r="I309" s="37"/>
      <c r="J309" s="1" t="s">
        <v>4928</v>
      </c>
      <c r="K309" s="1" t="s">
        <v>4005</v>
      </c>
    </row>
    <row r="310" customFormat="false" ht="12.8" hidden="false" customHeight="false" outlineLevel="0" collapsed="false">
      <c r="C310" s="49"/>
      <c r="D310" s="1" t="s">
        <v>4929</v>
      </c>
      <c r="E310" s="1" t="s">
        <v>4930</v>
      </c>
      <c r="F310" s="1" t="s">
        <v>3797</v>
      </c>
      <c r="G310" s="1" t="s">
        <v>4931</v>
      </c>
      <c r="H310" s="50" t="s">
        <v>4932</v>
      </c>
      <c r="I310" s="34" t="s">
        <v>40</v>
      </c>
      <c r="J310" s="50" t="s">
        <v>3792</v>
      </c>
      <c r="K310" s="50" t="s">
        <v>4006</v>
      </c>
    </row>
    <row r="311" customFormat="false" ht="12.8" hidden="false" customHeight="false" outlineLevel="0" collapsed="false">
      <c r="C311" s="49"/>
      <c r="D311" s="50"/>
      <c r="E311" s="50"/>
      <c r="F311" s="50" t="s">
        <v>3792</v>
      </c>
      <c r="G311" s="50" t="s">
        <v>4933</v>
      </c>
      <c r="H311" s="1" t="s">
        <v>3792</v>
      </c>
      <c r="I311" s="34"/>
      <c r="J311" s="1" t="s">
        <v>4934</v>
      </c>
      <c r="K311" s="1" t="s">
        <v>4012</v>
      </c>
    </row>
    <row r="312" customFormat="false" ht="12.8" hidden="false" customHeight="false" outlineLevel="0" collapsed="false">
      <c r="C312" s="49"/>
      <c r="D312" s="1" t="s">
        <v>4935</v>
      </c>
      <c r="E312" s="1" t="s">
        <v>4936</v>
      </c>
      <c r="F312" s="1" t="s">
        <v>3787</v>
      </c>
      <c r="G312" s="1" t="s">
        <v>4937</v>
      </c>
      <c r="H312" s="51" t="s">
        <v>4938</v>
      </c>
      <c r="I312" s="39" t="s">
        <v>67</v>
      </c>
      <c r="J312" s="51" t="s">
        <v>3792</v>
      </c>
      <c r="K312" s="51" t="s">
        <v>4014</v>
      </c>
    </row>
    <row r="313" customFormat="false" ht="12.8" hidden="false" customHeight="false" outlineLevel="0" collapsed="false">
      <c r="C313" s="49"/>
      <c r="D313" s="51"/>
      <c r="E313" s="51"/>
      <c r="F313" s="51" t="s">
        <v>3792</v>
      </c>
      <c r="G313" s="51" t="s">
        <v>4939</v>
      </c>
      <c r="H313" s="1" t="s">
        <v>3792</v>
      </c>
      <c r="I313" s="39"/>
      <c r="J313" s="1" t="s">
        <v>4940</v>
      </c>
      <c r="K313" s="1" t="s">
        <v>4020</v>
      </c>
    </row>
    <row r="314" customFormat="false" ht="12.8" hidden="false" customHeight="true" outlineLevel="0" collapsed="false">
      <c r="C314" s="49" t="s">
        <v>4941</v>
      </c>
      <c r="D314" s="1" t="s">
        <v>4942</v>
      </c>
      <c r="E314" s="1" t="s">
        <v>4943</v>
      </c>
      <c r="F314" s="1" t="s">
        <v>3806</v>
      </c>
      <c r="G314" s="1" t="s">
        <v>4944</v>
      </c>
      <c r="H314" s="50" t="s">
        <v>4945</v>
      </c>
      <c r="I314" s="34" t="s">
        <v>40</v>
      </c>
      <c r="J314" s="50" t="s">
        <v>3792</v>
      </c>
      <c r="K314" s="50" t="s">
        <v>4022</v>
      </c>
    </row>
    <row r="315" customFormat="false" ht="12.8" hidden="false" customHeight="false" outlineLevel="0" collapsed="false">
      <c r="C315" s="49"/>
      <c r="D315" s="50"/>
      <c r="E315" s="50"/>
      <c r="F315" s="50" t="s">
        <v>3792</v>
      </c>
      <c r="G315" s="50" t="s">
        <v>4946</v>
      </c>
      <c r="H315" s="1" t="s">
        <v>3792</v>
      </c>
      <c r="I315" s="34"/>
      <c r="J315" s="1" t="s">
        <v>4947</v>
      </c>
      <c r="K315" s="1" t="s">
        <v>4029</v>
      </c>
    </row>
    <row r="316" customFormat="false" ht="12.8" hidden="false" customHeight="false" outlineLevel="0" collapsed="false">
      <c r="C316" s="49"/>
      <c r="D316" s="1" t="s">
        <v>4948</v>
      </c>
      <c r="E316" s="1" t="s">
        <v>4949</v>
      </c>
      <c r="F316" s="1" t="s">
        <v>3787</v>
      </c>
      <c r="G316" s="1" t="s">
        <v>4950</v>
      </c>
      <c r="H316" s="50" t="s">
        <v>4951</v>
      </c>
      <c r="I316" s="37" t="s">
        <v>50</v>
      </c>
      <c r="J316" s="50" t="s">
        <v>3792</v>
      </c>
      <c r="K316" s="50" t="s">
        <v>4031</v>
      </c>
    </row>
    <row r="317" customFormat="false" ht="12.8" hidden="false" customHeight="false" outlineLevel="0" collapsed="false">
      <c r="C317" s="49"/>
      <c r="D317" s="50"/>
      <c r="E317" s="50"/>
      <c r="F317" s="50" t="s">
        <v>3792</v>
      </c>
      <c r="G317" s="50" t="s">
        <v>4952</v>
      </c>
      <c r="H317" s="1" t="s">
        <v>3792</v>
      </c>
      <c r="I317" s="37"/>
      <c r="J317" s="1" t="s">
        <v>4953</v>
      </c>
      <c r="K317" s="1" t="s">
        <v>4037</v>
      </c>
    </row>
    <row r="318" customFormat="false" ht="12.8" hidden="false" customHeight="false" outlineLevel="0" collapsed="false">
      <c r="C318" s="49"/>
      <c r="D318" s="1" t="s">
        <v>4954</v>
      </c>
      <c r="E318" s="1" t="s">
        <v>4955</v>
      </c>
      <c r="F318" s="1" t="s">
        <v>3797</v>
      </c>
      <c r="G318" s="1" t="s">
        <v>4956</v>
      </c>
      <c r="H318" s="50" t="s">
        <v>4957</v>
      </c>
      <c r="I318" s="34" t="s">
        <v>40</v>
      </c>
      <c r="J318" s="50" t="s">
        <v>3792</v>
      </c>
      <c r="K318" s="50" t="s">
        <v>4039</v>
      </c>
    </row>
    <row r="319" customFormat="false" ht="12.8" hidden="false" customHeight="false" outlineLevel="0" collapsed="false">
      <c r="C319" s="49"/>
      <c r="D319" s="50"/>
      <c r="E319" s="50"/>
      <c r="F319" s="50" t="s">
        <v>3792</v>
      </c>
      <c r="G319" s="50" t="s">
        <v>4958</v>
      </c>
      <c r="H319" s="1" t="s">
        <v>3792</v>
      </c>
      <c r="I319" s="34"/>
      <c r="J319" s="1" t="s">
        <v>4959</v>
      </c>
      <c r="K319" s="1" t="s">
        <v>4045</v>
      </c>
    </row>
    <row r="320" customFormat="false" ht="12.8" hidden="false" customHeight="false" outlineLevel="0" collapsed="false">
      <c r="C320" s="49"/>
      <c r="D320" s="1" t="s">
        <v>4960</v>
      </c>
      <c r="E320" s="1" t="s">
        <v>4961</v>
      </c>
      <c r="F320" s="1" t="s">
        <v>3797</v>
      </c>
      <c r="G320" s="1" t="s">
        <v>4962</v>
      </c>
      <c r="H320" s="50" t="s">
        <v>4963</v>
      </c>
      <c r="I320" s="39" t="s">
        <v>67</v>
      </c>
      <c r="J320" s="50" t="s">
        <v>3792</v>
      </c>
      <c r="K320" s="50" t="s">
        <v>4047</v>
      </c>
    </row>
    <row r="321" customFormat="false" ht="12.8" hidden="false" customHeight="false" outlineLevel="0" collapsed="false">
      <c r="C321" s="49"/>
      <c r="D321" s="50"/>
      <c r="E321" s="50"/>
      <c r="F321" s="50" t="s">
        <v>3792</v>
      </c>
      <c r="G321" s="50" t="s">
        <v>4964</v>
      </c>
      <c r="H321" s="1" t="s">
        <v>3792</v>
      </c>
      <c r="I321" s="39"/>
      <c r="J321" s="1" t="s">
        <v>4965</v>
      </c>
      <c r="K321" s="1" t="s">
        <v>4053</v>
      </c>
    </row>
    <row r="322" customFormat="false" ht="12.8" hidden="false" customHeight="false" outlineLevel="0" collapsed="false">
      <c r="C322" s="49"/>
      <c r="D322" s="1" t="s">
        <v>4966</v>
      </c>
      <c r="E322" s="1" t="s">
        <v>4967</v>
      </c>
      <c r="F322" s="1" t="s">
        <v>3787</v>
      </c>
      <c r="G322" s="1" t="s">
        <v>4968</v>
      </c>
      <c r="H322" s="51" t="s">
        <v>4969</v>
      </c>
      <c r="I322" s="34" t="s">
        <v>40</v>
      </c>
      <c r="J322" s="51" t="s">
        <v>3792</v>
      </c>
      <c r="K322" s="51" t="s">
        <v>4055</v>
      </c>
    </row>
    <row r="323" customFormat="false" ht="12.8" hidden="false" customHeight="false" outlineLevel="0" collapsed="false">
      <c r="C323" s="49"/>
      <c r="D323" s="51"/>
      <c r="E323" s="51"/>
      <c r="F323" s="51" t="s">
        <v>3792</v>
      </c>
      <c r="G323" s="51" t="s">
        <v>4970</v>
      </c>
      <c r="H323" s="1" t="s">
        <v>3792</v>
      </c>
      <c r="I323" s="34"/>
      <c r="J323" s="1" t="s">
        <v>4971</v>
      </c>
      <c r="K323" s="1" t="s">
        <v>4061</v>
      </c>
    </row>
    <row r="324" customFormat="false" ht="12.8" hidden="false" customHeight="true" outlineLevel="0" collapsed="false">
      <c r="C324" s="49" t="s">
        <v>4972</v>
      </c>
      <c r="D324" s="1" t="s">
        <v>4973</v>
      </c>
      <c r="E324" s="1" t="s">
        <v>4974</v>
      </c>
      <c r="F324" s="1" t="s">
        <v>3806</v>
      </c>
      <c r="G324" s="1" t="s">
        <v>4975</v>
      </c>
      <c r="H324" s="50" t="s">
        <v>4976</v>
      </c>
      <c r="I324" s="37" t="s">
        <v>50</v>
      </c>
      <c r="J324" s="50" t="s">
        <v>3792</v>
      </c>
      <c r="K324" s="50" t="s">
        <v>4063</v>
      </c>
    </row>
    <row r="325" customFormat="false" ht="12.8" hidden="false" customHeight="false" outlineLevel="0" collapsed="false">
      <c r="C325" s="49"/>
      <c r="D325" s="50"/>
      <c r="E325" s="50"/>
      <c r="F325" s="50" t="s">
        <v>3792</v>
      </c>
      <c r="G325" s="50" t="s">
        <v>4977</v>
      </c>
      <c r="H325" s="1" t="s">
        <v>3792</v>
      </c>
      <c r="I325" s="37"/>
      <c r="J325" s="1" t="s">
        <v>4978</v>
      </c>
      <c r="K325" s="1" t="s">
        <v>4070</v>
      </c>
    </row>
    <row r="326" customFormat="false" ht="12.8" hidden="false" customHeight="false" outlineLevel="0" collapsed="false">
      <c r="C326" s="49"/>
      <c r="D326" s="1" t="s">
        <v>4979</v>
      </c>
      <c r="E326" s="1" t="s">
        <v>4980</v>
      </c>
      <c r="F326" s="1" t="s">
        <v>3806</v>
      </c>
      <c r="G326" s="1" t="s">
        <v>4981</v>
      </c>
      <c r="H326" s="50" t="s">
        <v>4982</v>
      </c>
      <c r="I326" s="34" t="s">
        <v>40</v>
      </c>
      <c r="J326" s="50" t="s">
        <v>3792</v>
      </c>
      <c r="K326" s="50" t="s">
        <v>4072</v>
      </c>
    </row>
    <row r="327" customFormat="false" ht="12.8" hidden="false" customHeight="false" outlineLevel="0" collapsed="false">
      <c r="C327" s="49"/>
      <c r="D327" s="50"/>
      <c r="E327" s="50"/>
      <c r="F327" s="50" t="s">
        <v>3792</v>
      </c>
      <c r="G327" s="50" t="s">
        <v>4983</v>
      </c>
      <c r="H327" s="1" t="s">
        <v>3792</v>
      </c>
      <c r="I327" s="34"/>
      <c r="J327" s="1" t="s">
        <v>4984</v>
      </c>
      <c r="K327" s="1" t="s">
        <v>4078</v>
      </c>
    </row>
    <row r="328" customFormat="false" ht="12.8" hidden="false" customHeight="false" outlineLevel="0" collapsed="false">
      <c r="C328" s="49"/>
      <c r="D328" s="1" t="s">
        <v>4985</v>
      </c>
      <c r="E328" s="1" t="s">
        <v>4986</v>
      </c>
      <c r="F328" s="1" t="s">
        <v>3787</v>
      </c>
      <c r="G328" s="1" t="s">
        <v>4987</v>
      </c>
      <c r="H328" s="50" t="s">
        <v>4988</v>
      </c>
      <c r="I328" s="39" t="s">
        <v>67</v>
      </c>
      <c r="J328" s="50" t="s">
        <v>3792</v>
      </c>
      <c r="K328" s="50" t="s">
        <v>4080</v>
      </c>
    </row>
    <row r="329" customFormat="false" ht="12.8" hidden="false" customHeight="false" outlineLevel="0" collapsed="false">
      <c r="C329" s="49"/>
      <c r="D329" s="50"/>
      <c r="E329" s="50"/>
      <c r="F329" s="50" t="s">
        <v>3792</v>
      </c>
      <c r="G329" s="50" t="s">
        <v>4989</v>
      </c>
      <c r="H329" s="1" t="s">
        <v>3792</v>
      </c>
      <c r="I329" s="39"/>
      <c r="J329" s="1" t="s">
        <v>4990</v>
      </c>
      <c r="K329" s="1" t="s">
        <v>4086</v>
      </c>
    </row>
    <row r="330" customFormat="false" ht="12.8" hidden="false" customHeight="false" outlineLevel="0" collapsed="false">
      <c r="C330" s="49"/>
      <c r="D330" s="1" t="s">
        <v>4991</v>
      </c>
      <c r="E330" s="1" t="s">
        <v>4992</v>
      </c>
      <c r="F330" s="1" t="s">
        <v>3797</v>
      </c>
      <c r="G330" s="1" t="s">
        <v>4993</v>
      </c>
      <c r="H330" s="50" t="s">
        <v>4994</v>
      </c>
      <c r="I330" s="34" t="s">
        <v>40</v>
      </c>
      <c r="J330" s="50" t="s">
        <v>3792</v>
      </c>
      <c r="K330" s="50" t="s">
        <v>4088</v>
      </c>
    </row>
    <row r="331" customFormat="false" ht="12.8" hidden="false" customHeight="false" outlineLevel="0" collapsed="false">
      <c r="C331" s="49"/>
      <c r="D331" s="50" t="s">
        <v>4995</v>
      </c>
      <c r="E331" s="50"/>
      <c r="F331" s="50" t="s">
        <v>3792</v>
      </c>
      <c r="G331" s="50" t="s">
        <v>4996</v>
      </c>
      <c r="H331" s="1" t="s">
        <v>3792</v>
      </c>
      <c r="I331" s="34"/>
      <c r="J331" s="1" t="s">
        <v>4997</v>
      </c>
      <c r="K331" s="1" t="s">
        <v>4094</v>
      </c>
    </row>
    <row r="332" customFormat="false" ht="12.8" hidden="false" customHeight="false" outlineLevel="0" collapsed="false">
      <c r="C332" s="49"/>
      <c r="D332" s="1" t="s">
        <v>4998</v>
      </c>
      <c r="E332" s="1" t="s">
        <v>4999</v>
      </c>
      <c r="F332" s="1" t="s">
        <v>3787</v>
      </c>
      <c r="G332" s="1" t="s">
        <v>5000</v>
      </c>
      <c r="H332" s="51" t="s">
        <v>5001</v>
      </c>
      <c r="I332" s="37" t="s">
        <v>50</v>
      </c>
      <c r="J332" s="51" t="s">
        <v>3792</v>
      </c>
      <c r="K332" s="51" t="s">
        <v>4096</v>
      </c>
    </row>
    <row r="333" customFormat="false" ht="12.8" hidden="false" customHeight="false" outlineLevel="0" collapsed="false">
      <c r="C333" s="49"/>
      <c r="D333" s="51"/>
      <c r="E333" s="51"/>
      <c r="F333" s="51" t="s">
        <v>3792</v>
      </c>
      <c r="G333" s="51" t="s">
        <v>5002</v>
      </c>
      <c r="H333" s="1" t="s">
        <v>3792</v>
      </c>
      <c r="I333" s="37"/>
      <c r="J333" s="1" t="s">
        <v>5003</v>
      </c>
      <c r="K333" s="1" t="s">
        <v>4102</v>
      </c>
    </row>
    <row r="334" customFormat="false" ht="12.8" hidden="false" customHeight="true" outlineLevel="0" collapsed="false">
      <c r="C334" s="49" t="s">
        <v>5004</v>
      </c>
      <c r="D334" s="1" t="s">
        <v>5005</v>
      </c>
      <c r="E334" s="1" t="s">
        <v>5006</v>
      </c>
      <c r="F334" s="1" t="s">
        <v>3806</v>
      </c>
      <c r="G334" s="1" t="s">
        <v>5007</v>
      </c>
      <c r="H334" s="50" t="s">
        <v>5008</v>
      </c>
      <c r="I334" s="34" t="s">
        <v>40</v>
      </c>
      <c r="J334" s="50" t="s">
        <v>3792</v>
      </c>
      <c r="K334" s="50" t="s">
        <v>4104</v>
      </c>
    </row>
    <row r="335" customFormat="false" ht="12.8" hidden="false" customHeight="false" outlineLevel="0" collapsed="false">
      <c r="C335" s="49"/>
      <c r="D335" s="50"/>
      <c r="E335" s="50"/>
      <c r="F335" s="50" t="s">
        <v>3792</v>
      </c>
      <c r="G335" s="50" t="s">
        <v>5009</v>
      </c>
      <c r="H335" s="1" t="s">
        <v>3792</v>
      </c>
      <c r="I335" s="34"/>
      <c r="J335" s="1" t="s">
        <v>5010</v>
      </c>
      <c r="K335" s="1" t="s">
        <v>4109</v>
      </c>
    </row>
    <row r="336" customFormat="false" ht="12.8" hidden="false" customHeight="false" outlineLevel="0" collapsed="false">
      <c r="C336" s="49"/>
      <c r="D336" s="1" t="s">
        <v>5011</v>
      </c>
      <c r="E336" s="1" t="s">
        <v>5012</v>
      </c>
      <c r="F336" s="1" t="s">
        <v>3797</v>
      </c>
      <c r="G336" s="1" t="s">
        <v>5013</v>
      </c>
      <c r="H336" s="50" t="s">
        <v>5014</v>
      </c>
      <c r="I336" s="39" t="s">
        <v>67</v>
      </c>
      <c r="J336" s="50" t="s">
        <v>3792</v>
      </c>
      <c r="K336" s="50" t="s">
        <v>4111</v>
      </c>
    </row>
    <row r="337" customFormat="false" ht="12.8" hidden="false" customHeight="false" outlineLevel="0" collapsed="false">
      <c r="C337" s="49"/>
      <c r="D337" s="50"/>
      <c r="E337" s="50"/>
      <c r="F337" s="50" t="s">
        <v>3792</v>
      </c>
      <c r="G337" s="50" t="s">
        <v>5015</v>
      </c>
      <c r="H337" s="1" t="s">
        <v>3792</v>
      </c>
      <c r="I337" s="39"/>
      <c r="J337" s="1" t="s">
        <v>5016</v>
      </c>
      <c r="K337" s="1" t="s">
        <v>4117</v>
      </c>
    </row>
    <row r="338" customFormat="false" ht="12.8" hidden="false" customHeight="false" outlineLevel="0" collapsed="false">
      <c r="C338" s="49"/>
      <c r="D338" s="1" t="s">
        <v>5017</v>
      </c>
      <c r="E338" s="1" t="s">
        <v>5018</v>
      </c>
      <c r="F338" s="1" t="s">
        <v>3787</v>
      </c>
      <c r="G338" s="1" t="s">
        <v>5019</v>
      </c>
      <c r="H338" s="50" t="s">
        <v>5020</v>
      </c>
      <c r="I338" s="34" t="s">
        <v>40</v>
      </c>
      <c r="J338" s="50" t="s">
        <v>3792</v>
      </c>
      <c r="K338" s="50" t="s">
        <v>4119</v>
      </c>
    </row>
    <row r="339" customFormat="false" ht="12.8" hidden="false" customHeight="false" outlineLevel="0" collapsed="false">
      <c r="C339" s="49"/>
      <c r="D339" s="50"/>
      <c r="E339" s="50"/>
      <c r="F339" s="50" t="s">
        <v>3792</v>
      </c>
      <c r="G339" s="50" t="s">
        <v>5021</v>
      </c>
      <c r="H339" s="1" t="s">
        <v>3792</v>
      </c>
      <c r="I339" s="34"/>
      <c r="J339" s="1" t="s">
        <v>5022</v>
      </c>
      <c r="K339" s="1" t="s">
        <v>4125</v>
      </c>
    </row>
    <row r="340" customFormat="false" ht="12.8" hidden="false" customHeight="false" outlineLevel="0" collapsed="false">
      <c r="C340" s="49"/>
      <c r="D340" s="1" t="s">
        <v>5023</v>
      </c>
      <c r="E340" s="1" t="s">
        <v>5024</v>
      </c>
      <c r="F340" s="1" t="s">
        <v>3797</v>
      </c>
      <c r="G340" s="1" t="s">
        <v>5025</v>
      </c>
      <c r="H340" s="50" t="s">
        <v>5026</v>
      </c>
      <c r="I340" s="37" t="s">
        <v>50</v>
      </c>
      <c r="J340" s="50" t="s">
        <v>3792</v>
      </c>
      <c r="K340" s="50" t="s">
        <v>4127</v>
      </c>
    </row>
    <row r="341" customFormat="false" ht="12.8" hidden="false" customHeight="false" outlineLevel="0" collapsed="false">
      <c r="C341" s="49"/>
      <c r="D341" s="50"/>
      <c r="E341" s="50"/>
      <c r="F341" s="50" t="s">
        <v>3792</v>
      </c>
      <c r="G341" s="50" t="s">
        <v>5027</v>
      </c>
      <c r="H341" s="1" t="s">
        <v>3792</v>
      </c>
      <c r="I341" s="37"/>
      <c r="J341" s="1" t="s">
        <v>5028</v>
      </c>
      <c r="K341" s="1" t="s">
        <v>4130</v>
      </c>
    </row>
    <row r="342" customFormat="false" ht="12.8" hidden="false" customHeight="false" outlineLevel="0" collapsed="false">
      <c r="C342" s="49"/>
      <c r="D342" s="1" t="s">
        <v>5029</v>
      </c>
      <c r="E342" s="1" t="s">
        <v>5030</v>
      </c>
      <c r="F342" s="1" t="s">
        <v>3806</v>
      </c>
      <c r="G342" s="1" t="s">
        <v>5031</v>
      </c>
      <c r="H342" s="51" t="s">
        <v>5032</v>
      </c>
      <c r="I342" s="34" t="s">
        <v>40</v>
      </c>
      <c r="J342" s="51" t="s">
        <v>3792</v>
      </c>
      <c r="K342" s="51" t="s">
        <v>4132</v>
      </c>
    </row>
    <row r="343" customFormat="false" ht="12.8" hidden="false" customHeight="false" outlineLevel="0" collapsed="false">
      <c r="C343" s="49"/>
      <c r="D343" s="51"/>
      <c r="E343" s="51"/>
      <c r="F343" s="51" t="s">
        <v>3792</v>
      </c>
      <c r="G343" s="51" t="s">
        <v>5033</v>
      </c>
      <c r="H343" s="1" t="s">
        <v>3792</v>
      </c>
      <c r="I343" s="34"/>
      <c r="J343" s="1" t="s">
        <v>5034</v>
      </c>
      <c r="K343" s="1" t="s">
        <v>4136</v>
      </c>
    </row>
    <row r="344" customFormat="false" ht="12.8" hidden="false" customHeight="true" outlineLevel="0" collapsed="false">
      <c r="C344" s="49" t="s">
        <v>5035</v>
      </c>
      <c r="D344" s="1" t="s">
        <v>5036</v>
      </c>
      <c r="E344" s="1" t="s">
        <v>5037</v>
      </c>
      <c r="F344" s="1" t="s">
        <v>3787</v>
      </c>
      <c r="G344" s="1" t="s">
        <v>5038</v>
      </c>
      <c r="H344" s="50" t="s">
        <v>5039</v>
      </c>
      <c r="I344" s="39" t="s">
        <v>67</v>
      </c>
      <c r="J344" s="50" t="s">
        <v>3792</v>
      </c>
      <c r="K344" s="50" t="s">
        <v>4138</v>
      </c>
    </row>
    <row r="345" customFormat="false" ht="12.8" hidden="false" customHeight="false" outlineLevel="0" collapsed="false">
      <c r="C345" s="49"/>
      <c r="D345" s="50"/>
      <c r="E345" s="50"/>
      <c r="F345" s="50" t="s">
        <v>3792</v>
      </c>
      <c r="G345" s="50" t="s">
        <v>5040</v>
      </c>
      <c r="H345" s="1" t="s">
        <v>3792</v>
      </c>
      <c r="I345" s="39"/>
      <c r="J345" s="1" t="s">
        <v>5041</v>
      </c>
      <c r="K345" s="1" t="s">
        <v>4145</v>
      </c>
    </row>
    <row r="346" customFormat="false" ht="12.8" hidden="false" customHeight="false" outlineLevel="0" collapsed="false">
      <c r="C346" s="49"/>
      <c r="D346" s="1" t="s">
        <v>5042</v>
      </c>
      <c r="E346" s="1" t="s">
        <v>5043</v>
      </c>
      <c r="F346" s="1" t="s">
        <v>3797</v>
      </c>
      <c r="G346" s="1" t="s">
        <v>5044</v>
      </c>
      <c r="H346" s="50" t="s">
        <v>5045</v>
      </c>
      <c r="I346" s="34" t="s">
        <v>40</v>
      </c>
      <c r="J346" s="50" t="s">
        <v>3792</v>
      </c>
      <c r="K346" s="50" t="s">
        <v>4147</v>
      </c>
    </row>
    <row r="347" customFormat="false" ht="12.8" hidden="false" customHeight="false" outlineLevel="0" collapsed="false">
      <c r="C347" s="49"/>
      <c r="D347" s="50"/>
      <c r="E347" s="50"/>
      <c r="F347" s="50" t="s">
        <v>3792</v>
      </c>
      <c r="G347" s="50" t="s">
        <v>5046</v>
      </c>
      <c r="H347" s="1" t="s">
        <v>3792</v>
      </c>
      <c r="I347" s="34"/>
      <c r="J347" s="1" t="s">
        <v>5047</v>
      </c>
      <c r="K347" s="1" t="s">
        <v>4153</v>
      </c>
    </row>
    <row r="348" customFormat="false" ht="12.8" hidden="false" customHeight="false" outlineLevel="0" collapsed="false">
      <c r="C348" s="49"/>
      <c r="D348" s="1" t="s">
        <v>5048</v>
      </c>
      <c r="E348" s="1" t="s">
        <v>5049</v>
      </c>
      <c r="F348" s="1" t="s">
        <v>3797</v>
      </c>
      <c r="G348" s="1" t="s">
        <v>5050</v>
      </c>
      <c r="H348" s="50" t="s">
        <v>5051</v>
      </c>
      <c r="I348" s="37" t="s">
        <v>50</v>
      </c>
      <c r="J348" s="50" t="s">
        <v>3792</v>
      </c>
      <c r="K348" s="50" t="s">
        <v>4155</v>
      </c>
    </row>
    <row r="349" customFormat="false" ht="12.8" hidden="false" customHeight="false" outlineLevel="0" collapsed="false">
      <c r="C349" s="49"/>
      <c r="D349" s="50"/>
      <c r="E349" s="50"/>
      <c r="F349" s="50" t="s">
        <v>3792</v>
      </c>
      <c r="G349" s="50" t="s">
        <v>5052</v>
      </c>
      <c r="H349" s="1" t="s">
        <v>3792</v>
      </c>
      <c r="I349" s="37"/>
      <c r="J349" s="1" t="s">
        <v>5053</v>
      </c>
      <c r="K349" s="1" t="s">
        <v>4161</v>
      </c>
    </row>
    <row r="350" customFormat="false" ht="12.8" hidden="false" customHeight="false" outlineLevel="0" collapsed="false">
      <c r="C350" s="49"/>
      <c r="D350" s="1" t="s">
        <v>5054</v>
      </c>
      <c r="E350" s="1" t="s">
        <v>5055</v>
      </c>
      <c r="F350" s="1" t="s">
        <v>3787</v>
      </c>
      <c r="G350" s="1" t="s">
        <v>5056</v>
      </c>
      <c r="H350" s="50" t="s">
        <v>5057</v>
      </c>
      <c r="I350" s="34" t="s">
        <v>40</v>
      </c>
      <c r="J350" s="50" t="s">
        <v>3792</v>
      </c>
      <c r="K350" s="50"/>
    </row>
    <row r="351" customFormat="false" ht="12.8" hidden="false" customHeight="false" outlineLevel="0" collapsed="false">
      <c r="C351" s="49"/>
      <c r="D351" s="50"/>
      <c r="E351" s="50"/>
      <c r="F351" s="50" t="s">
        <v>3792</v>
      </c>
      <c r="G351" s="50" t="s">
        <v>5058</v>
      </c>
      <c r="H351" s="1" t="s">
        <v>3792</v>
      </c>
      <c r="I351" s="34"/>
      <c r="J351" s="1" t="s">
        <v>5059</v>
      </c>
      <c r="K351" s="1" t="s">
        <v>3791</v>
      </c>
    </row>
    <row r="352" customFormat="false" ht="12.8" hidden="false" customHeight="false" outlineLevel="0" collapsed="false">
      <c r="C352" s="49"/>
      <c r="D352" s="1" t="s">
        <v>5060</v>
      </c>
      <c r="E352" s="1" t="s">
        <v>5061</v>
      </c>
      <c r="F352" s="1" t="s">
        <v>3787</v>
      </c>
      <c r="G352" s="1" t="s">
        <v>5062</v>
      </c>
      <c r="H352" s="51" t="s">
        <v>5063</v>
      </c>
      <c r="I352" s="39" t="s">
        <v>67</v>
      </c>
      <c r="J352" s="51" t="s">
        <v>3792</v>
      </c>
      <c r="K352" s="51" t="s">
        <v>4169</v>
      </c>
    </row>
    <row r="353" customFormat="false" ht="12.8" hidden="false" customHeight="false" outlineLevel="0" collapsed="false">
      <c r="C353" s="49"/>
      <c r="D353" s="51"/>
      <c r="E353" s="51"/>
      <c r="F353" s="51" t="s">
        <v>3792</v>
      </c>
      <c r="G353" s="51" t="s">
        <v>5064</v>
      </c>
      <c r="H353" s="1" t="s">
        <v>3792</v>
      </c>
      <c r="I353" s="39"/>
      <c r="J353" s="1" t="s">
        <v>5065</v>
      </c>
      <c r="K353" s="1" t="s">
        <v>4175</v>
      </c>
    </row>
    <row r="354" customFormat="false" ht="12.8" hidden="false" customHeight="true" outlineLevel="0" collapsed="false">
      <c r="C354" s="49" t="s">
        <v>5066</v>
      </c>
      <c r="D354" s="1" t="s">
        <v>5067</v>
      </c>
      <c r="E354" s="1" t="s">
        <v>5068</v>
      </c>
      <c r="F354" s="1" t="s">
        <v>3797</v>
      </c>
      <c r="G354" s="1" t="s">
        <v>5069</v>
      </c>
      <c r="H354" s="50" t="s">
        <v>5070</v>
      </c>
      <c r="I354" s="34" t="s">
        <v>40</v>
      </c>
      <c r="J354" s="50" t="s">
        <v>3792</v>
      </c>
      <c r="K354" s="50" t="s">
        <v>4177</v>
      </c>
    </row>
    <row r="355" customFormat="false" ht="12.8" hidden="false" customHeight="false" outlineLevel="0" collapsed="false">
      <c r="C355" s="49"/>
      <c r="D355" s="50"/>
      <c r="E355" s="50"/>
      <c r="F355" s="50" t="s">
        <v>3792</v>
      </c>
      <c r="G355" s="50" t="s">
        <v>5071</v>
      </c>
      <c r="H355" s="1" t="s">
        <v>3792</v>
      </c>
      <c r="I355" s="34"/>
      <c r="J355" s="1" t="s">
        <v>5072</v>
      </c>
      <c r="K355" s="1" t="s">
        <v>4184</v>
      </c>
    </row>
    <row r="356" customFormat="false" ht="12.8" hidden="false" customHeight="false" outlineLevel="0" collapsed="false">
      <c r="C356" s="49"/>
      <c r="D356" s="1" t="s">
        <v>5073</v>
      </c>
      <c r="E356" s="1" t="s">
        <v>5074</v>
      </c>
      <c r="F356" s="1" t="s">
        <v>3806</v>
      </c>
      <c r="G356" s="1" t="s">
        <v>5075</v>
      </c>
      <c r="H356" s="50" t="s">
        <v>5076</v>
      </c>
      <c r="I356" s="34" t="s">
        <v>40</v>
      </c>
      <c r="J356" s="50" t="s">
        <v>3792</v>
      </c>
      <c r="K356" s="50" t="s">
        <v>4186</v>
      </c>
    </row>
    <row r="357" customFormat="false" ht="12.8" hidden="false" customHeight="false" outlineLevel="0" collapsed="false">
      <c r="C357" s="49"/>
      <c r="D357" s="50"/>
      <c r="E357" s="50"/>
      <c r="F357" s="50" t="s">
        <v>3792</v>
      </c>
      <c r="G357" s="50" t="s">
        <v>5077</v>
      </c>
      <c r="H357" s="1" t="s">
        <v>3792</v>
      </c>
      <c r="I357" s="34"/>
      <c r="J357" s="1" t="s">
        <v>5078</v>
      </c>
      <c r="K357" s="1" t="s">
        <v>4192</v>
      </c>
    </row>
    <row r="358" customFormat="false" ht="12.8" hidden="false" customHeight="false" outlineLevel="0" collapsed="false">
      <c r="C358" s="49"/>
      <c r="D358" s="1" t="s">
        <v>5079</v>
      </c>
      <c r="E358" s="1" t="s">
        <v>5080</v>
      </c>
      <c r="F358" s="1" t="s">
        <v>3787</v>
      </c>
      <c r="G358" s="1" t="s">
        <v>5081</v>
      </c>
      <c r="H358" s="50" t="s">
        <v>5082</v>
      </c>
      <c r="I358" s="39" t="s">
        <v>67</v>
      </c>
      <c r="J358" s="50" t="s">
        <v>3792</v>
      </c>
      <c r="K358" s="50" t="s">
        <v>4194</v>
      </c>
    </row>
    <row r="359" customFormat="false" ht="12.8" hidden="false" customHeight="false" outlineLevel="0" collapsed="false">
      <c r="C359" s="49"/>
      <c r="D359" s="50"/>
      <c r="E359" s="50"/>
      <c r="F359" s="50" t="s">
        <v>3792</v>
      </c>
      <c r="G359" s="50" t="s">
        <v>5083</v>
      </c>
      <c r="H359" s="1" t="s">
        <v>3792</v>
      </c>
      <c r="I359" s="39"/>
      <c r="J359" s="1" t="s">
        <v>5084</v>
      </c>
      <c r="K359" s="1" t="s">
        <v>4200</v>
      </c>
    </row>
    <row r="360" customFormat="false" ht="12.8" hidden="false" customHeight="false" outlineLevel="0" collapsed="false">
      <c r="C360" s="49"/>
      <c r="D360" s="1" t="s">
        <v>5085</v>
      </c>
      <c r="E360" s="1" t="s">
        <v>5086</v>
      </c>
      <c r="F360" s="1" t="s">
        <v>3806</v>
      </c>
      <c r="G360" s="1" t="s">
        <v>5087</v>
      </c>
      <c r="H360" s="50" t="s">
        <v>5088</v>
      </c>
      <c r="I360" s="37" t="s">
        <v>50</v>
      </c>
      <c r="J360" s="50" t="s">
        <v>3792</v>
      </c>
      <c r="K360" s="50" t="s">
        <v>4202</v>
      </c>
    </row>
    <row r="361" customFormat="false" ht="12.8" hidden="false" customHeight="false" outlineLevel="0" collapsed="false">
      <c r="C361" s="49"/>
      <c r="D361" s="50"/>
      <c r="E361" s="50"/>
      <c r="F361" s="50" t="s">
        <v>3792</v>
      </c>
      <c r="G361" s="50" t="s">
        <v>5089</v>
      </c>
      <c r="H361" s="1" t="s">
        <v>3792</v>
      </c>
      <c r="I361" s="37"/>
      <c r="J361" s="1" t="s">
        <v>5090</v>
      </c>
      <c r="K361" s="1" t="s">
        <v>4208</v>
      </c>
    </row>
    <row r="362" customFormat="false" ht="12.8" hidden="false" customHeight="false" outlineLevel="0" collapsed="false">
      <c r="C362" s="49"/>
      <c r="D362" s="1" t="s">
        <v>5091</v>
      </c>
      <c r="E362" s="1" t="s">
        <v>5092</v>
      </c>
      <c r="F362" s="1" t="s">
        <v>3797</v>
      </c>
      <c r="G362" s="1" t="s">
        <v>5087</v>
      </c>
      <c r="H362" s="51" t="s">
        <v>5093</v>
      </c>
      <c r="I362" s="37" t="s">
        <v>50</v>
      </c>
      <c r="J362" s="51" t="s">
        <v>3792</v>
      </c>
      <c r="K362" s="51" t="s">
        <v>4210</v>
      </c>
    </row>
    <row r="363" customFormat="false" ht="12.8" hidden="false" customHeight="false" outlineLevel="0" collapsed="false">
      <c r="C363" s="49"/>
      <c r="D363" s="51"/>
      <c r="E363" s="51"/>
      <c r="F363" s="51" t="s">
        <v>3792</v>
      </c>
      <c r="G363" s="51" t="s">
        <v>5089</v>
      </c>
      <c r="H363" s="1" t="s">
        <v>3792</v>
      </c>
      <c r="I363" s="37"/>
      <c r="J363" s="1" t="s">
        <v>5094</v>
      </c>
      <c r="K363" s="1" t="s">
        <v>4216</v>
      </c>
    </row>
    <row r="364" customFormat="false" ht="12.8" hidden="false" customHeight="true" outlineLevel="0" collapsed="false">
      <c r="C364" s="49" t="s">
        <v>5095</v>
      </c>
      <c r="D364" s="1" t="s">
        <v>5096</v>
      </c>
      <c r="E364" s="1" t="s">
        <v>5097</v>
      </c>
      <c r="F364" s="1" t="s">
        <v>3787</v>
      </c>
      <c r="G364" s="1" t="s">
        <v>5098</v>
      </c>
      <c r="H364" s="50" t="s">
        <v>5099</v>
      </c>
      <c r="I364" s="39" t="s">
        <v>67</v>
      </c>
      <c r="J364" s="50" t="s">
        <v>3792</v>
      </c>
      <c r="K364" s="50" t="s">
        <v>4218</v>
      </c>
    </row>
    <row r="365" customFormat="false" ht="12.8" hidden="false" customHeight="false" outlineLevel="0" collapsed="false">
      <c r="C365" s="49"/>
      <c r="D365" s="50"/>
      <c r="E365" s="50"/>
      <c r="F365" s="50" t="s">
        <v>3792</v>
      </c>
      <c r="G365" s="50" t="s">
        <v>5100</v>
      </c>
      <c r="H365" s="1" t="s">
        <v>3792</v>
      </c>
      <c r="I365" s="39"/>
      <c r="J365" s="1" t="s">
        <v>5101</v>
      </c>
      <c r="K365" s="1" t="s">
        <v>4226</v>
      </c>
    </row>
    <row r="366" customFormat="false" ht="12.8" hidden="false" customHeight="false" outlineLevel="0" collapsed="false">
      <c r="C366" s="49"/>
      <c r="D366" s="1" t="s">
        <v>5102</v>
      </c>
      <c r="E366" s="1" t="s">
        <v>5103</v>
      </c>
      <c r="F366" s="1" t="s">
        <v>3787</v>
      </c>
      <c r="G366" s="1" t="s">
        <v>5104</v>
      </c>
      <c r="H366" s="50" t="s">
        <v>5105</v>
      </c>
      <c r="I366" s="34" t="s">
        <v>40</v>
      </c>
      <c r="J366" s="50" t="s">
        <v>3792</v>
      </c>
      <c r="K366" s="50" t="s">
        <v>4228</v>
      </c>
    </row>
    <row r="367" customFormat="false" ht="12.8" hidden="false" customHeight="false" outlineLevel="0" collapsed="false">
      <c r="C367" s="49"/>
      <c r="D367" s="50"/>
      <c r="E367" s="50"/>
      <c r="F367" s="50" t="s">
        <v>3792</v>
      </c>
      <c r="G367" s="50" t="s">
        <v>5106</v>
      </c>
      <c r="H367" s="1" t="s">
        <v>3792</v>
      </c>
      <c r="I367" s="34"/>
      <c r="J367" s="1" t="s">
        <v>5107</v>
      </c>
      <c r="K367" s="1" t="s">
        <v>4234</v>
      </c>
    </row>
    <row r="368" customFormat="false" ht="12.8" hidden="false" customHeight="false" outlineLevel="0" collapsed="false">
      <c r="C368" s="49"/>
      <c r="D368" s="1" t="s">
        <v>5108</v>
      </c>
      <c r="E368" s="1" t="s">
        <v>5109</v>
      </c>
      <c r="F368" s="1" t="s">
        <v>3806</v>
      </c>
      <c r="G368" s="1" t="s">
        <v>5110</v>
      </c>
      <c r="H368" s="50" t="s">
        <v>5111</v>
      </c>
      <c r="I368" s="39" t="s">
        <v>67</v>
      </c>
      <c r="J368" s="50" t="s">
        <v>3792</v>
      </c>
      <c r="K368" s="50" t="s">
        <v>4236</v>
      </c>
    </row>
    <row r="369" customFormat="false" ht="12.8" hidden="false" customHeight="false" outlineLevel="0" collapsed="false">
      <c r="C369" s="49"/>
      <c r="D369" s="50"/>
      <c r="E369" s="50"/>
      <c r="F369" s="50" t="s">
        <v>3792</v>
      </c>
      <c r="G369" s="50" t="s">
        <v>5112</v>
      </c>
      <c r="H369" s="1" t="s">
        <v>3792</v>
      </c>
      <c r="I369" s="39"/>
      <c r="J369" s="1" t="s">
        <v>5113</v>
      </c>
      <c r="K369" s="1" t="s">
        <v>4242</v>
      </c>
    </row>
    <row r="370" customFormat="false" ht="12.8" hidden="false" customHeight="false" outlineLevel="0" collapsed="false">
      <c r="C370" s="49"/>
      <c r="D370" s="1" t="s">
        <v>5114</v>
      </c>
      <c r="E370" s="1" t="s">
        <v>5115</v>
      </c>
      <c r="F370" s="1" t="s">
        <v>3806</v>
      </c>
      <c r="G370" s="1" t="s">
        <v>5116</v>
      </c>
      <c r="H370" s="50" t="s">
        <v>5117</v>
      </c>
      <c r="I370" s="37" t="s">
        <v>50</v>
      </c>
      <c r="J370" s="50" t="s">
        <v>3792</v>
      </c>
      <c r="K370" s="50" t="s">
        <v>4244</v>
      </c>
    </row>
    <row r="371" customFormat="false" ht="12.8" hidden="false" customHeight="false" outlineLevel="0" collapsed="false">
      <c r="C371" s="49"/>
      <c r="D371" s="50"/>
      <c r="E371" s="50"/>
      <c r="F371" s="50" t="s">
        <v>3792</v>
      </c>
      <c r="G371" s="50" t="s">
        <v>5118</v>
      </c>
      <c r="H371" s="1" t="s">
        <v>3792</v>
      </c>
      <c r="I371" s="37"/>
      <c r="J371" s="1" t="s">
        <v>5119</v>
      </c>
      <c r="K371" s="1" t="s">
        <v>4250</v>
      </c>
    </row>
    <row r="372" customFormat="false" ht="12.8" hidden="false" customHeight="false" outlineLevel="0" collapsed="false">
      <c r="C372" s="49"/>
      <c r="D372" s="1" t="s">
        <v>5120</v>
      </c>
      <c r="E372" s="1" t="s">
        <v>5121</v>
      </c>
      <c r="F372" s="1" t="s">
        <v>3797</v>
      </c>
      <c r="G372" s="1" t="s">
        <v>5122</v>
      </c>
      <c r="H372" s="51" t="s">
        <v>5123</v>
      </c>
      <c r="I372" s="37" t="s">
        <v>50</v>
      </c>
      <c r="J372" s="51" t="s">
        <v>3792</v>
      </c>
      <c r="K372" s="51" t="s">
        <v>4252</v>
      </c>
    </row>
    <row r="373" customFormat="false" ht="12.8" hidden="false" customHeight="false" outlineLevel="0" collapsed="false">
      <c r="C373" s="49"/>
      <c r="D373" s="51"/>
      <c r="E373" s="51"/>
      <c r="F373" s="51" t="s">
        <v>3792</v>
      </c>
      <c r="G373" s="51" t="s">
        <v>5124</v>
      </c>
      <c r="H373" s="1" t="s">
        <v>3792</v>
      </c>
      <c r="I373" s="37"/>
      <c r="J373" s="1" t="s">
        <v>5125</v>
      </c>
      <c r="K373" s="1" t="s">
        <v>4258</v>
      </c>
    </row>
    <row r="374" customFormat="false" ht="12.8" hidden="false" customHeight="true" outlineLevel="0" collapsed="false">
      <c r="C374" s="49" t="s">
        <v>5126</v>
      </c>
      <c r="D374" s="1" t="s">
        <v>5127</v>
      </c>
      <c r="E374" s="1" t="s">
        <v>5128</v>
      </c>
      <c r="F374" s="1" t="s">
        <v>3787</v>
      </c>
      <c r="G374" s="1" t="s">
        <v>5129</v>
      </c>
      <c r="H374" s="50" t="s">
        <v>5130</v>
      </c>
      <c r="I374" s="39" t="s">
        <v>67</v>
      </c>
      <c r="J374" s="50" t="s">
        <v>3792</v>
      </c>
      <c r="K374" s="50" t="s">
        <v>4260</v>
      </c>
    </row>
    <row r="375" customFormat="false" ht="12.8" hidden="false" customHeight="false" outlineLevel="0" collapsed="false">
      <c r="C375" s="49"/>
      <c r="D375" s="50"/>
      <c r="E375" s="50"/>
      <c r="F375" s="50" t="s">
        <v>3792</v>
      </c>
      <c r="G375" s="50" t="s">
        <v>5131</v>
      </c>
      <c r="H375" s="1" t="s">
        <v>3792</v>
      </c>
      <c r="I375" s="39"/>
      <c r="J375" s="1" t="s">
        <v>5132</v>
      </c>
      <c r="K375" s="1" t="s">
        <v>4267</v>
      </c>
    </row>
    <row r="376" customFormat="false" ht="12.8" hidden="false" customHeight="false" outlineLevel="0" collapsed="false">
      <c r="C376" s="49"/>
      <c r="D376" s="1" t="s">
        <v>5133</v>
      </c>
      <c r="E376" s="1" t="s">
        <v>5134</v>
      </c>
      <c r="F376" s="1" t="s">
        <v>3797</v>
      </c>
      <c r="G376" s="1" t="s">
        <v>5135</v>
      </c>
      <c r="H376" s="50" t="s">
        <v>5136</v>
      </c>
      <c r="I376" s="34" t="s">
        <v>40</v>
      </c>
      <c r="J376" s="50" t="s">
        <v>3792</v>
      </c>
      <c r="K376" s="50" t="s">
        <v>4269</v>
      </c>
    </row>
    <row r="377" customFormat="false" ht="12.8" hidden="false" customHeight="false" outlineLevel="0" collapsed="false">
      <c r="C377" s="49"/>
      <c r="D377" s="50"/>
      <c r="E377" s="50"/>
      <c r="F377" s="50" t="s">
        <v>3792</v>
      </c>
      <c r="G377" s="50" t="s">
        <v>5137</v>
      </c>
      <c r="H377" s="1" t="s">
        <v>3792</v>
      </c>
      <c r="I377" s="34"/>
      <c r="J377" s="1" t="s">
        <v>5138</v>
      </c>
      <c r="K377" s="1" t="s">
        <v>4275</v>
      </c>
    </row>
    <row r="378" customFormat="false" ht="12.8" hidden="false" customHeight="false" outlineLevel="0" collapsed="false">
      <c r="C378" s="49"/>
      <c r="D378" s="1" t="s">
        <v>5139</v>
      </c>
      <c r="E378" s="1" t="s">
        <v>5140</v>
      </c>
      <c r="F378" s="1" t="s">
        <v>3787</v>
      </c>
      <c r="G378" s="1" t="s">
        <v>5141</v>
      </c>
      <c r="H378" s="50" t="s">
        <v>5142</v>
      </c>
      <c r="I378" s="39" t="s">
        <v>67</v>
      </c>
      <c r="J378" s="50" t="s">
        <v>3792</v>
      </c>
      <c r="K378" s="50" t="s">
        <v>4277</v>
      </c>
    </row>
    <row r="379" customFormat="false" ht="12.8" hidden="false" customHeight="false" outlineLevel="0" collapsed="false">
      <c r="C379" s="49"/>
      <c r="D379" s="50"/>
      <c r="E379" s="50"/>
      <c r="F379" s="50" t="s">
        <v>3792</v>
      </c>
      <c r="G379" s="50" t="s">
        <v>5143</v>
      </c>
      <c r="H379" s="1" t="s">
        <v>3792</v>
      </c>
      <c r="I379" s="39"/>
      <c r="J379" s="1" t="s">
        <v>5144</v>
      </c>
      <c r="K379" s="1" t="s">
        <v>4283</v>
      </c>
    </row>
    <row r="380" customFormat="false" ht="12.8" hidden="false" customHeight="false" outlineLevel="0" collapsed="false">
      <c r="C380" s="49"/>
      <c r="D380" s="1" t="s">
        <v>5145</v>
      </c>
      <c r="E380" s="1" t="s">
        <v>5146</v>
      </c>
      <c r="F380" s="1" t="s">
        <v>3806</v>
      </c>
      <c r="G380" s="1" t="s">
        <v>5147</v>
      </c>
      <c r="H380" s="50" t="s">
        <v>5148</v>
      </c>
      <c r="I380" s="37" t="s">
        <v>50</v>
      </c>
      <c r="J380" s="50" t="s">
        <v>3792</v>
      </c>
      <c r="K380" s="50" t="s">
        <v>4285</v>
      </c>
    </row>
    <row r="381" customFormat="false" ht="12.8" hidden="false" customHeight="false" outlineLevel="0" collapsed="false">
      <c r="C381" s="49"/>
      <c r="D381" s="50"/>
      <c r="E381" s="50"/>
      <c r="F381" s="50" t="s">
        <v>3792</v>
      </c>
      <c r="G381" s="50" t="s">
        <v>5149</v>
      </c>
      <c r="H381" s="1" t="s">
        <v>3792</v>
      </c>
      <c r="I381" s="37"/>
      <c r="J381" s="1" t="s">
        <v>5150</v>
      </c>
      <c r="K381" s="1" t="s">
        <v>4291</v>
      </c>
    </row>
    <row r="382" customFormat="false" ht="12.8" hidden="false" customHeight="false" outlineLevel="0" collapsed="false">
      <c r="C382" s="49"/>
      <c r="D382" s="1" t="s">
        <v>5151</v>
      </c>
      <c r="E382" s="1" t="s">
        <v>5152</v>
      </c>
      <c r="F382" s="1" t="s">
        <v>3787</v>
      </c>
      <c r="G382" s="1" t="s">
        <v>5153</v>
      </c>
      <c r="H382" s="51" t="s">
        <v>5154</v>
      </c>
      <c r="I382" s="37" t="s">
        <v>50</v>
      </c>
      <c r="J382" s="51" t="s">
        <v>3792</v>
      </c>
      <c r="K382" s="51" t="s">
        <v>4293</v>
      </c>
    </row>
    <row r="383" customFormat="false" ht="12.8" hidden="false" customHeight="false" outlineLevel="0" collapsed="false">
      <c r="C383" s="49"/>
      <c r="D383" s="51"/>
      <c r="E383" s="51"/>
      <c r="F383" s="51" t="s">
        <v>3792</v>
      </c>
      <c r="G383" s="51" t="s">
        <v>5155</v>
      </c>
      <c r="H383" s="1" t="s">
        <v>3792</v>
      </c>
      <c r="I383" s="37"/>
      <c r="J383" s="1" t="s">
        <v>5156</v>
      </c>
      <c r="K383" s="1" t="s">
        <v>4299</v>
      </c>
    </row>
    <row r="384" customFormat="false" ht="12.8" hidden="false" customHeight="true" outlineLevel="0" collapsed="false">
      <c r="C384" s="55" t="s">
        <v>5157</v>
      </c>
      <c r="D384" s="1" t="s">
        <v>4229</v>
      </c>
      <c r="E384" s="1" t="s">
        <v>5158</v>
      </c>
      <c r="F384" s="1" t="s">
        <v>3806</v>
      </c>
      <c r="G384" s="1" t="s">
        <v>5159</v>
      </c>
      <c r="H384" s="50" t="s">
        <v>5160</v>
      </c>
      <c r="I384" s="39" t="s">
        <v>67</v>
      </c>
      <c r="J384" s="50" t="s">
        <v>3792</v>
      </c>
      <c r="K384" s="50" t="s">
        <v>4301</v>
      </c>
    </row>
    <row r="385" customFormat="false" ht="12.8" hidden="false" customHeight="false" outlineLevel="0" collapsed="false">
      <c r="C385" s="55"/>
      <c r="D385" s="50"/>
      <c r="E385" s="50"/>
      <c r="F385" s="50" t="s">
        <v>3792</v>
      </c>
      <c r="G385" s="50" t="s">
        <v>5161</v>
      </c>
      <c r="H385" s="1" t="s">
        <v>3792</v>
      </c>
      <c r="I385" s="39"/>
      <c r="J385" s="1" t="s">
        <v>5162</v>
      </c>
      <c r="K385" s="1" t="s">
        <v>4308</v>
      </c>
    </row>
    <row r="386" customFormat="false" ht="12.8" hidden="false" customHeight="false" outlineLevel="0" collapsed="false">
      <c r="C386" s="55"/>
      <c r="D386" s="1" t="s">
        <v>5163</v>
      </c>
      <c r="E386" s="1" t="s">
        <v>5164</v>
      </c>
      <c r="F386" s="1" t="s">
        <v>3797</v>
      </c>
      <c r="G386" s="1" t="s">
        <v>5165</v>
      </c>
      <c r="H386" s="50" t="s">
        <v>5166</v>
      </c>
      <c r="I386" s="34" t="s">
        <v>40</v>
      </c>
      <c r="J386" s="50" t="s">
        <v>3792</v>
      </c>
      <c r="K386" s="50" t="s">
        <v>4310</v>
      </c>
    </row>
    <row r="387" customFormat="false" ht="12.8" hidden="false" customHeight="false" outlineLevel="0" collapsed="false">
      <c r="C387" s="55"/>
      <c r="D387" s="50"/>
      <c r="E387" s="50"/>
      <c r="F387" s="50" t="s">
        <v>3792</v>
      </c>
      <c r="G387" s="50" t="s">
        <v>5167</v>
      </c>
      <c r="H387" s="1" t="s">
        <v>3792</v>
      </c>
      <c r="I387" s="34"/>
      <c r="J387" s="1" t="s">
        <v>5168</v>
      </c>
      <c r="K387" s="1" t="s">
        <v>4316</v>
      </c>
    </row>
    <row r="388" customFormat="false" ht="12.8" hidden="false" customHeight="false" outlineLevel="0" collapsed="false">
      <c r="C388" s="55"/>
      <c r="D388" s="1" t="s">
        <v>5169</v>
      </c>
      <c r="E388" s="1" t="s">
        <v>5170</v>
      </c>
      <c r="F388" s="1" t="s">
        <v>3787</v>
      </c>
      <c r="G388" s="1" t="s">
        <v>5171</v>
      </c>
      <c r="H388" s="50" t="s">
        <v>5172</v>
      </c>
      <c r="I388" s="39" t="s">
        <v>67</v>
      </c>
      <c r="J388" s="50" t="s">
        <v>3792</v>
      </c>
      <c r="K388" s="50" t="s">
        <v>4318</v>
      </c>
    </row>
    <row r="389" customFormat="false" ht="12.8" hidden="false" customHeight="false" outlineLevel="0" collapsed="false">
      <c r="C389" s="55"/>
      <c r="D389" s="50"/>
      <c r="E389" s="50"/>
      <c r="F389" s="50" t="s">
        <v>3792</v>
      </c>
      <c r="G389" s="50" t="s">
        <v>5173</v>
      </c>
      <c r="H389" s="1" t="s">
        <v>3792</v>
      </c>
      <c r="I389" s="39"/>
      <c r="J389" s="1" t="s">
        <v>5174</v>
      </c>
      <c r="K389" s="1" t="s">
        <v>4324</v>
      </c>
    </row>
    <row r="390" customFormat="false" ht="12.8" hidden="false" customHeight="false" outlineLevel="0" collapsed="false">
      <c r="C390" s="55"/>
      <c r="D390" s="1" t="s">
        <v>5175</v>
      </c>
      <c r="E390" s="1" t="s">
        <v>5176</v>
      </c>
      <c r="F390" s="1" t="s">
        <v>3797</v>
      </c>
      <c r="G390" s="1" t="s">
        <v>5177</v>
      </c>
      <c r="H390" s="50" t="s">
        <v>5178</v>
      </c>
      <c r="I390" s="37" t="s">
        <v>50</v>
      </c>
      <c r="J390" s="50" t="s">
        <v>3792</v>
      </c>
      <c r="K390" s="50" t="s">
        <v>4326</v>
      </c>
    </row>
    <row r="391" customFormat="false" ht="12.8" hidden="false" customHeight="false" outlineLevel="0" collapsed="false">
      <c r="C391" s="55"/>
      <c r="D391" s="50"/>
      <c r="E391" s="50"/>
      <c r="F391" s="50" t="s">
        <v>3792</v>
      </c>
      <c r="G391" s="50" t="s">
        <v>5179</v>
      </c>
      <c r="H391" s="1" t="s">
        <v>3792</v>
      </c>
      <c r="I391" s="37"/>
      <c r="J391" s="1" t="s">
        <v>5180</v>
      </c>
      <c r="K391" s="1" t="s">
        <v>4332</v>
      </c>
    </row>
    <row r="392" customFormat="false" ht="12.8" hidden="false" customHeight="false" outlineLevel="0" collapsed="false">
      <c r="C392" s="55"/>
      <c r="D392" s="1" t="s">
        <v>5181</v>
      </c>
      <c r="E392" s="1" t="s">
        <v>5182</v>
      </c>
      <c r="F392" s="1" t="s">
        <v>3806</v>
      </c>
      <c r="G392" s="1" t="s">
        <v>5183</v>
      </c>
      <c r="H392" s="54" t="s">
        <v>5184</v>
      </c>
      <c r="I392" s="37" t="s">
        <v>50</v>
      </c>
      <c r="J392" s="54" t="s">
        <v>3792</v>
      </c>
      <c r="K392" s="54" t="s">
        <v>4334</v>
      </c>
    </row>
    <row r="393" customFormat="false" ht="12.8" hidden="false" customHeight="false" outlineLevel="0" collapsed="false">
      <c r="B393" s="54"/>
      <c r="C393" s="55"/>
      <c r="D393" s="54"/>
      <c r="E393" s="54"/>
      <c r="F393" s="54" t="s">
        <v>3792</v>
      </c>
      <c r="G393" s="54" t="s">
        <v>5185</v>
      </c>
      <c r="H393" s="56" t="s">
        <v>3792</v>
      </c>
      <c r="I393" s="37"/>
      <c r="J393" s="56" t="s">
        <v>5186</v>
      </c>
      <c r="K393" s="56" t="s">
        <v>4340</v>
      </c>
    </row>
    <row r="394" customFormat="false" ht="12.8" hidden="false" customHeight="true" outlineLevel="0" collapsed="false">
      <c r="B394" s="1" t="s">
        <v>4995</v>
      </c>
      <c r="C394" s="49" t="s">
        <v>5187</v>
      </c>
      <c r="D394" s="56" t="s">
        <v>5188</v>
      </c>
      <c r="E394" s="56" t="s">
        <v>5189</v>
      </c>
      <c r="F394" s="56" t="s">
        <v>3797</v>
      </c>
      <c r="G394" s="56" t="s">
        <v>5190</v>
      </c>
      <c r="H394" s="50" t="s">
        <v>5191</v>
      </c>
      <c r="I394" s="39" t="s">
        <v>67</v>
      </c>
      <c r="J394" s="50" t="s">
        <v>3792</v>
      </c>
      <c r="K394" s="50" t="s">
        <v>4342</v>
      </c>
    </row>
    <row r="395" customFormat="false" ht="12.8" hidden="false" customHeight="false" outlineLevel="0" collapsed="false">
      <c r="C395" s="49"/>
      <c r="D395" s="50"/>
      <c r="E395" s="50"/>
      <c r="F395" s="50" t="s">
        <v>3792</v>
      </c>
      <c r="G395" s="50" t="s">
        <v>5192</v>
      </c>
      <c r="H395" s="56" t="s">
        <v>3792</v>
      </c>
      <c r="I395" s="39"/>
      <c r="J395" s="56" t="s">
        <v>5193</v>
      </c>
      <c r="K395" s="56" t="s">
        <v>4349</v>
      </c>
    </row>
    <row r="396" customFormat="false" ht="12.8" hidden="false" customHeight="false" outlineLevel="0" collapsed="false">
      <c r="C396" s="49"/>
      <c r="D396" s="56" t="s">
        <v>5194</v>
      </c>
      <c r="E396" s="56" t="s">
        <v>5195</v>
      </c>
      <c r="F396" s="56" t="s">
        <v>3787</v>
      </c>
      <c r="G396" s="56" t="s">
        <v>5196</v>
      </c>
      <c r="H396" s="50" t="s">
        <v>5197</v>
      </c>
      <c r="I396" s="34" t="s">
        <v>40</v>
      </c>
      <c r="J396" s="50" t="s">
        <v>3792</v>
      </c>
      <c r="K396" s="50" t="s">
        <v>4351</v>
      </c>
    </row>
    <row r="397" customFormat="false" ht="12.8" hidden="false" customHeight="false" outlineLevel="0" collapsed="false">
      <c r="C397" s="49"/>
      <c r="D397" s="50"/>
      <c r="E397" s="50"/>
      <c r="F397" s="50" t="s">
        <v>3792</v>
      </c>
      <c r="G397" s="50" t="s">
        <v>5198</v>
      </c>
      <c r="H397" s="56" t="s">
        <v>3792</v>
      </c>
      <c r="I397" s="34"/>
      <c r="J397" s="56" t="s">
        <v>5199</v>
      </c>
      <c r="K397" s="56" t="s">
        <v>4357</v>
      </c>
    </row>
    <row r="398" customFormat="false" ht="12.8" hidden="false" customHeight="false" outlineLevel="0" collapsed="false">
      <c r="C398" s="49"/>
      <c r="D398" s="56" t="s">
        <v>5200</v>
      </c>
      <c r="E398" s="56" t="s">
        <v>5201</v>
      </c>
      <c r="F398" s="56" t="s">
        <v>3806</v>
      </c>
      <c r="G398" s="56" t="s">
        <v>5202</v>
      </c>
      <c r="H398" s="50" t="s">
        <v>5203</v>
      </c>
      <c r="I398" s="39" t="s">
        <v>67</v>
      </c>
      <c r="J398" s="50" t="s">
        <v>3792</v>
      </c>
      <c r="K398" s="50" t="s">
        <v>4359</v>
      </c>
    </row>
    <row r="399" customFormat="false" ht="12.8" hidden="false" customHeight="false" outlineLevel="0" collapsed="false">
      <c r="C399" s="49"/>
      <c r="D399" s="50"/>
      <c r="E399" s="50"/>
      <c r="F399" s="50" t="s">
        <v>3792</v>
      </c>
      <c r="G399" s="50" t="s">
        <v>5204</v>
      </c>
      <c r="H399" s="56" t="s">
        <v>3792</v>
      </c>
      <c r="I399" s="39"/>
      <c r="J399" s="56" t="s">
        <v>5205</v>
      </c>
      <c r="K399" s="56" t="s">
        <v>4365</v>
      </c>
    </row>
    <row r="400" customFormat="false" ht="12.8" hidden="false" customHeight="false" outlineLevel="0" collapsed="false">
      <c r="C400" s="49"/>
      <c r="D400" s="56" t="s">
        <v>5206</v>
      </c>
      <c r="E400" s="56" t="s">
        <v>5207</v>
      </c>
      <c r="F400" s="56" t="s">
        <v>3787</v>
      </c>
      <c r="G400" s="56" t="s">
        <v>5208</v>
      </c>
      <c r="H400" s="50" t="s">
        <v>5209</v>
      </c>
      <c r="I400" s="37" t="s">
        <v>50</v>
      </c>
      <c r="J400" s="50" t="s">
        <v>3792</v>
      </c>
      <c r="K400" s="50" t="s">
        <v>4367</v>
      </c>
    </row>
    <row r="401" customFormat="false" ht="12.8" hidden="false" customHeight="false" outlineLevel="0" collapsed="false">
      <c r="C401" s="49"/>
      <c r="D401" s="50"/>
      <c r="E401" s="50"/>
      <c r="F401" s="50" t="s">
        <v>3792</v>
      </c>
      <c r="G401" s="50" t="s">
        <v>5210</v>
      </c>
      <c r="H401" s="56" t="s">
        <v>3792</v>
      </c>
      <c r="I401" s="37"/>
      <c r="J401" s="56" t="s">
        <v>5211</v>
      </c>
      <c r="K401" s="56" t="s">
        <v>4373</v>
      </c>
    </row>
    <row r="402" customFormat="false" ht="12.8" hidden="false" customHeight="false" outlineLevel="0" collapsed="false">
      <c r="C402" s="49"/>
      <c r="D402" s="56" t="s">
        <v>5212</v>
      </c>
      <c r="E402" s="56" t="s">
        <v>5213</v>
      </c>
      <c r="F402" s="56" t="s">
        <v>3797</v>
      </c>
      <c r="G402" s="56" t="s">
        <v>5214</v>
      </c>
      <c r="H402" s="51" t="s">
        <v>5215</v>
      </c>
      <c r="I402" s="34" t="s">
        <v>40</v>
      </c>
      <c r="J402" s="51" t="s">
        <v>5216</v>
      </c>
      <c r="K402" s="51" t="s">
        <v>4375</v>
      </c>
    </row>
    <row r="403" customFormat="false" ht="12.8" hidden="false" customHeight="false" outlineLevel="0" collapsed="false">
      <c r="C403" s="49"/>
      <c r="D403" s="51"/>
      <c r="E403" s="51"/>
      <c r="F403" s="51" t="s">
        <v>3792</v>
      </c>
      <c r="G403" s="51" t="s">
        <v>5217</v>
      </c>
      <c r="H403" s="0"/>
      <c r="I403" s="34"/>
      <c r="J403" s="0" t="s">
        <v>3792</v>
      </c>
      <c r="K403" s="0" t="s">
        <v>4381</v>
      </c>
    </row>
    <row r="404" customFormat="false" ht="12.8" hidden="false" customHeight="true" outlineLevel="0" collapsed="false">
      <c r="C404" s="49" t="s">
        <v>5218</v>
      </c>
      <c r="D404" s="56" t="s">
        <v>5219</v>
      </c>
      <c r="E404" s="0"/>
      <c r="F404" s="0" t="s">
        <v>3787</v>
      </c>
      <c r="G404" s="0" t="s">
        <v>5220</v>
      </c>
      <c r="H404" s="0" t="s">
        <v>5221</v>
      </c>
      <c r="I404" s="37" t="s">
        <v>50</v>
      </c>
      <c r="J404" s="0" t="s">
        <v>5222</v>
      </c>
      <c r="K404" s="0" t="s">
        <v>4383</v>
      </c>
    </row>
    <row r="405" customFormat="false" ht="12.8" hidden="false" customHeight="false" outlineLevel="0" collapsed="false">
      <c r="C405" s="49"/>
      <c r="D405" s="50"/>
      <c r="E405" s="0"/>
      <c r="F405" s="0" t="s">
        <v>3792</v>
      </c>
      <c r="G405" s="0" t="s">
        <v>5223</v>
      </c>
      <c r="H405" s="0" t="s">
        <v>3792</v>
      </c>
      <c r="I405" s="37"/>
      <c r="J405" s="0" t="s">
        <v>3792</v>
      </c>
      <c r="K405" s="0" t="s">
        <v>4390</v>
      </c>
    </row>
    <row r="406" customFormat="false" ht="12.8" hidden="false" customHeight="false" outlineLevel="0" collapsed="false">
      <c r="C406" s="49"/>
      <c r="D406" s="56" t="s">
        <v>5224</v>
      </c>
      <c r="E406" s="0"/>
      <c r="F406" s="0" t="s">
        <v>3806</v>
      </c>
      <c r="G406" s="0" t="s">
        <v>5225</v>
      </c>
      <c r="H406" s="0" t="s">
        <v>5226</v>
      </c>
      <c r="I406" s="34" t="s">
        <v>40</v>
      </c>
      <c r="J406" s="0" t="s">
        <v>5227</v>
      </c>
      <c r="K406" s="0" t="s">
        <v>4392</v>
      </c>
    </row>
    <row r="407" customFormat="false" ht="12.8" hidden="false" customHeight="false" outlineLevel="0" collapsed="false">
      <c r="C407" s="49"/>
      <c r="D407" s="50"/>
      <c r="E407" s="0"/>
      <c r="F407" s="0" t="s">
        <v>3792</v>
      </c>
      <c r="G407" s="0" t="s">
        <v>5228</v>
      </c>
      <c r="H407" s="0" t="s">
        <v>3792</v>
      </c>
      <c r="I407" s="34"/>
      <c r="J407" s="0" t="s">
        <v>3792</v>
      </c>
      <c r="K407" s="0" t="s">
        <v>4398</v>
      </c>
    </row>
    <row r="408" customFormat="false" ht="12.8" hidden="false" customHeight="false" outlineLevel="0" collapsed="false">
      <c r="C408" s="49"/>
      <c r="D408" s="56" t="s">
        <v>5229</v>
      </c>
      <c r="E408" s="0"/>
      <c r="F408" s="0" t="s">
        <v>3797</v>
      </c>
      <c r="G408" s="0" t="s">
        <v>5230</v>
      </c>
      <c r="H408" s="0" t="s">
        <v>5231</v>
      </c>
      <c r="I408" s="39" t="s">
        <v>67</v>
      </c>
      <c r="J408" s="0" t="s">
        <v>5232</v>
      </c>
      <c r="K408" s="0" t="s">
        <v>4400</v>
      </c>
    </row>
    <row r="409" customFormat="false" ht="12.8" hidden="false" customHeight="false" outlineLevel="0" collapsed="false">
      <c r="C409" s="49"/>
      <c r="D409" s="50"/>
      <c r="E409" s="0"/>
      <c r="F409" s="0" t="s">
        <v>3792</v>
      </c>
      <c r="G409" s="0" t="s">
        <v>5233</v>
      </c>
      <c r="H409" s="0" t="s">
        <v>3792</v>
      </c>
      <c r="I409" s="39"/>
      <c r="J409" s="0" t="s">
        <v>3792</v>
      </c>
      <c r="K409" s="0" t="s">
        <v>4406</v>
      </c>
    </row>
    <row r="410" customFormat="false" ht="12.8" hidden="false" customHeight="false" outlineLevel="0" collapsed="false">
      <c r="C410" s="49"/>
      <c r="D410" s="56" t="s">
        <v>5234</v>
      </c>
      <c r="E410" s="0"/>
      <c r="F410" s="0" t="s">
        <v>3787</v>
      </c>
      <c r="G410" s="0" t="s">
        <v>5235</v>
      </c>
      <c r="H410" s="0" t="s">
        <v>5236</v>
      </c>
      <c r="I410" s="34" t="s">
        <v>40</v>
      </c>
      <c r="J410" s="0" t="s">
        <v>5237</v>
      </c>
      <c r="K410" s="0" t="s">
        <v>4408</v>
      </c>
    </row>
    <row r="411" customFormat="false" ht="12.8" hidden="false" customHeight="false" outlineLevel="0" collapsed="false">
      <c r="C411" s="49"/>
      <c r="D411" s="50"/>
      <c r="E411" s="0"/>
      <c r="F411" s="0" t="s">
        <v>3792</v>
      </c>
      <c r="G411" s="0" t="s">
        <v>5238</v>
      </c>
      <c r="H411" s="0" t="s">
        <v>3792</v>
      </c>
      <c r="I411" s="34"/>
      <c r="J411" s="0" t="s">
        <v>3792</v>
      </c>
      <c r="K411" s="0" t="s">
        <v>4414</v>
      </c>
    </row>
    <row r="412" customFormat="false" ht="12.8" hidden="false" customHeight="false" outlineLevel="0" collapsed="false">
      <c r="C412" s="49"/>
      <c r="D412" s="56" t="s">
        <v>5239</v>
      </c>
      <c r="E412" s="0"/>
      <c r="F412" s="0" t="s">
        <v>3797</v>
      </c>
      <c r="G412" s="0" t="s">
        <v>5240</v>
      </c>
      <c r="H412" s="51" t="s">
        <v>5241</v>
      </c>
      <c r="I412" s="37" t="s">
        <v>50</v>
      </c>
      <c r="J412" s="51" t="s">
        <v>5242</v>
      </c>
      <c r="K412" s="51" t="s">
        <v>4416</v>
      </c>
    </row>
    <row r="413" customFormat="false" ht="12.8" hidden="false" customHeight="false" outlineLevel="0" collapsed="false">
      <c r="C413" s="49"/>
      <c r="D413" s="51"/>
      <c r="E413" s="51"/>
      <c r="F413" s="51" t="s">
        <v>3792</v>
      </c>
      <c r="G413" s="51" t="s">
        <v>5243</v>
      </c>
      <c r="H413" s="56" t="s">
        <v>3792</v>
      </c>
      <c r="I413" s="37"/>
      <c r="J413" s="56" t="s">
        <v>3792</v>
      </c>
      <c r="K413" s="56" t="s">
        <v>4422</v>
      </c>
    </row>
    <row r="414" customFormat="false" ht="12.8" hidden="false" customHeight="true" outlineLevel="0" collapsed="false">
      <c r="C414" s="49" t="s">
        <v>5244</v>
      </c>
      <c r="D414" s="56" t="s">
        <v>5245</v>
      </c>
      <c r="E414" s="56" t="s">
        <v>5246</v>
      </c>
      <c r="F414" s="56" t="s">
        <v>3806</v>
      </c>
      <c r="G414" s="56" t="s">
        <v>5247</v>
      </c>
      <c r="H414" s="50" t="s">
        <v>5248</v>
      </c>
      <c r="I414" s="34" t="s">
        <v>40</v>
      </c>
      <c r="J414" s="50" t="s">
        <v>5249</v>
      </c>
      <c r="K414" s="50" t="s">
        <v>4424</v>
      </c>
    </row>
    <row r="415" customFormat="false" ht="12.8" hidden="false" customHeight="false" outlineLevel="0" collapsed="false">
      <c r="C415" s="49"/>
      <c r="D415" s="50"/>
      <c r="E415" s="50"/>
      <c r="F415" s="50" t="s">
        <v>3792</v>
      </c>
      <c r="G415" s="50" t="s">
        <v>5250</v>
      </c>
      <c r="H415" s="56" t="s">
        <v>3792</v>
      </c>
      <c r="I415" s="34"/>
      <c r="J415" s="56" t="s">
        <v>3792</v>
      </c>
      <c r="K415" s="56" t="s">
        <v>4432</v>
      </c>
    </row>
    <row r="416" customFormat="false" ht="12.8" hidden="false" customHeight="false" outlineLevel="0" collapsed="false">
      <c r="C416" s="49"/>
      <c r="D416" s="56" t="s">
        <v>5251</v>
      </c>
      <c r="E416" s="56" t="s">
        <v>5252</v>
      </c>
      <c r="F416" s="56" t="s">
        <v>3787</v>
      </c>
      <c r="G416" s="56" t="s">
        <v>5253</v>
      </c>
      <c r="H416" s="50" t="s">
        <v>5254</v>
      </c>
      <c r="I416" s="39" t="s">
        <v>67</v>
      </c>
      <c r="J416" s="50" t="s">
        <v>5255</v>
      </c>
      <c r="K416" s="50" t="s">
        <v>4434</v>
      </c>
    </row>
    <row r="417" customFormat="false" ht="12.8" hidden="false" customHeight="false" outlineLevel="0" collapsed="false">
      <c r="C417" s="49"/>
      <c r="D417" s="50"/>
      <c r="E417" s="50"/>
      <c r="F417" s="50" t="s">
        <v>3792</v>
      </c>
      <c r="G417" s="50" t="s">
        <v>5256</v>
      </c>
      <c r="H417" s="56" t="s">
        <v>3792</v>
      </c>
      <c r="I417" s="39"/>
      <c r="J417" s="56" t="s">
        <v>3792</v>
      </c>
      <c r="K417" s="56" t="s">
        <v>4440</v>
      </c>
    </row>
    <row r="418" customFormat="false" ht="12.8" hidden="false" customHeight="false" outlineLevel="0" collapsed="false">
      <c r="C418" s="49"/>
      <c r="D418" s="56" t="s">
        <v>5257</v>
      </c>
      <c r="E418" s="56" t="s">
        <v>5258</v>
      </c>
      <c r="F418" s="56" t="s">
        <v>3787</v>
      </c>
      <c r="G418" s="56" t="s">
        <v>5259</v>
      </c>
      <c r="H418" s="50" t="s">
        <v>5260</v>
      </c>
      <c r="I418" s="34" t="s">
        <v>40</v>
      </c>
      <c r="J418" s="50" t="s">
        <v>5261</v>
      </c>
      <c r="K418" s="50" t="s">
        <v>4442</v>
      </c>
    </row>
    <row r="419" customFormat="false" ht="12.8" hidden="false" customHeight="false" outlineLevel="0" collapsed="false">
      <c r="C419" s="49"/>
      <c r="D419" s="50"/>
      <c r="E419" s="50"/>
      <c r="F419" s="50" t="s">
        <v>3792</v>
      </c>
      <c r="G419" s="50" t="s">
        <v>5262</v>
      </c>
      <c r="H419" s="56" t="s">
        <v>3792</v>
      </c>
      <c r="I419" s="34"/>
      <c r="J419" s="56" t="s">
        <v>3792</v>
      </c>
      <c r="K419" s="56" t="s">
        <v>4447</v>
      </c>
    </row>
    <row r="420" customFormat="false" ht="12.8" hidden="false" customHeight="false" outlineLevel="0" collapsed="false">
      <c r="C420" s="49"/>
      <c r="D420" s="56" t="s">
        <v>5263</v>
      </c>
      <c r="E420" s="56" t="s">
        <v>5264</v>
      </c>
      <c r="F420" s="56" t="s">
        <v>3806</v>
      </c>
      <c r="G420" s="56" t="s">
        <v>5265</v>
      </c>
      <c r="H420" s="50" t="s">
        <v>5266</v>
      </c>
      <c r="I420" s="37" t="s">
        <v>50</v>
      </c>
      <c r="J420" s="50" t="s">
        <v>5267</v>
      </c>
      <c r="K420" s="50" t="s">
        <v>4449</v>
      </c>
    </row>
    <row r="421" customFormat="false" ht="12.8" hidden="false" customHeight="false" outlineLevel="0" collapsed="false">
      <c r="C421" s="49"/>
      <c r="D421" s="50"/>
      <c r="E421" s="50"/>
      <c r="F421" s="50" t="s">
        <v>3792</v>
      </c>
      <c r="G421" s="50" t="s">
        <v>5268</v>
      </c>
      <c r="H421" s="56" t="s">
        <v>3792</v>
      </c>
      <c r="I421" s="37"/>
      <c r="J421" s="56" t="s">
        <v>3792</v>
      </c>
      <c r="K421" s="56" t="s">
        <v>4454</v>
      </c>
    </row>
    <row r="422" customFormat="false" ht="12.8" hidden="false" customHeight="false" outlineLevel="0" collapsed="false">
      <c r="C422" s="49"/>
      <c r="D422" s="56" t="s">
        <v>5269</v>
      </c>
      <c r="E422" s="56" t="s">
        <v>5270</v>
      </c>
      <c r="F422" s="56" t="s">
        <v>3797</v>
      </c>
      <c r="G422" s="56" t="s">
        <v>5271</v>
      </c>
      <c r="H422" s="51" t="s">
        <v>5272</v>
      </c>
      <c r="I422" s="34" t="s">
        <v>40</v>
      </c>
      <c r="J422" s="51" t="s">
        <v>5273</v>
      </c>
      <c r="K422" s="51" t="s">
        <v>4456</v>
      </c>
    </row>
    <row r="423" customFormat="false" ht="12.8" hidden="false" customHeight="false" outlineLevel="0" collapsed="false">
      <c r="C423" s="49"/>
      <c r="D423" s="51"/>
      <c r="E423" s="51"/>
      <c r="F423" s="51" t="s">
        <v>3792</v>
      </c>
      <c r="G423" s="51" t="s">
        <v>5274</v>
      </c>
      <c r="H423" s="56" t="s">
        <v>3792</v>
      </c>
      <c r="I423" s="34"/>
      <c r="J423" s="56" t="s">
        <v>3792</v>
      </c>
      <c r="K423" s="56" t="s">
        <v>4462</v>
      </c>
    </row>
    <row r="424" customFormat="false" ht="12.8" hidden="false" customHeight="true" outlineLevel="0" collapsed="false">
      <c r="C424" s="49" t="s">
        <v>5275</v>
      </c>
      <c r="D424" s="56" t="s">
        <v>5276</v>
      </c>
      <c r="E424" s="56" t="s">
        <v>5277</v>
      </c>
      <c r="F424" s="56" t="s">
        <v>3787</v>
      </c>
      <c r="G424" s="56" t="s">
        <v>5278</v>
      </c>
      <c r="H424" s="50" t="s">
        <v>5279</v>
      </c>
      <c r="I424" s="39" t="s">
        <v>67</v>
      </c>
      <c r="J424" s="50" t="s">
        <v>5280</v>
      </c>
      <c r="K424" s="50" t="s">
        <v>4464</v>
      </c>
    </row>
    <row r="425" customFormat="false" ht="12.8" hidden="false" customHeight="false" outlineLevel="0" collapsed="false">
      <c r="C425" s="49"/>
      <c r="D425" s="50"/>
      <c r="E425" s="50"/>
      <c r="F425" s="50" t="s">
        <v>3792</v>
      </c>
      <c r="G425" s="50" t="s">
        <v>5281</v>
      </c>
      <c r="H425" s="56" t="s">
        <v>3792</v>
      </c>
      <c r="I425" s="39"/>
      <c r="J425" s="56" t="s">
        <v>3792</v>
      </c>
      <c r="K425" s="56" t="s">
        <v>4471</v>
      </c>
    </row>
    <row r="426" customFormat="false" ht="12.8" hidden="false" customHeight="false" outlineLevel="0" collapsed="false">
      <c r="C426" s="49"/>
      <c r="D426" s="56" t="s">
        <v>5282</v>
      </c>
      <c r="E426" s="56" t="s">
        <v>5283</v>
      </c>
      <c r="F426" s="56" t="s">
        <v>3797</v>
      </c>
      <c r="G426" s="56" t="s">
        <v>5284</v>
      </c>
      <c r="H426" s="50" t="s">
        <v>5285</v>
      </c>
      <c r="I426" s="34" t="s">
        <v>40</v>
      </c>
      <c r="J426" s="50" t="s">
        <v>5286</v>
      </c>
      <c r="K426" s="50" t="s">
        <v>4473</v>
      </c>
    </row>
    <row r="427" customFormat="false" ht="12.8" hidden="false" customHeight="false" outlineLevel="0" collapsed="false">
      <c r="C427" s="49"/>
      <c r="D427" s="50"/>
      <c r="E427" s="50"/>
      <c r="F427" s="50" t="s">
        <v>3792</v>
      </c>
      <c r="G427" s="50" t="s">
        <v>5287</v>
      </c>
      <c r="H427" s="56" t="s">
        <v>3792</v>
      </c>
      <c r="I427" s="34"/>
      <c r="J427" s="56" t="s">
        <v>3792</v>
      </c>
      <c r="K427" s="56" t="s">
        <v>4479</v>
      </c>
    </row>
    <row r="428" customFormat="false" ht="12.8" hidden="false" customHeight="false" outlineLevel="0" collapsed="false">
      <c r="C428" s="49"/>
      <c r="D428" s="56" t="s">
        <v>5288</v>
      </c>
      <c r="E428" s="56" t="s">
        <v>5289</v>
      </c>
      <c r="F428" s="56" t="s">
        <v>3787</v>
      </c>
      <c r="G428" s="56" t="s">
        <v>5290</v>
      </c>
      <c r="H428" s="50" t="s">
        <v>5291</v>
      </c>
      <c r="I428" s="37" t="s">
        <v>50</v>
      </c>
      <c r="J428" s="50" t="s">
        <v>5292</v>
      </c>
      <c r="K428" s="50" t="s">
        <v>4481</v>
      </c>
    </row>
    <row r="429" customFormat="false" ht="12.8" hidden="false" customHeight="false" outlineLevel="0" collapsed="false">
      <c r="C429" s="49"/>
      <c r="D429" s="50"/>
      <c r="E429" s="50"/>
      <c r="F429" s="50" t="s">
        <v>3792</v>
      </c>
      <c r="G429" s="50" t="s">
        <v>5293</v>
      </c>
      <c r="H429" s="56" t="s">
        <v>3792</v>
      </c>
      <c r="I429" s="37"/>
      <c r="J429" s="56" t="s">
        <v>3792</v>
      </c>
      <c r="K429" s="56" t="s">
        <v>4487</v>
      </c>
    </row>
    <row r="430" customFormat="false" ht="12.8" hidden="false" customHeight="false" outlineLevel="0" collapsed="false">
      <c r="C430" s="49"/>
      <c r="D430" s="56" t="s">
        <v>5294</v>
      </c>
      <c r="E430" s="56" t="s">
        <v>5295</v>
      </c>
      <c r="F430" s="56" t="s">
        <v>3797</v>
      </c>
      <c r="G430" s="56" t="s">
        <v>5296</v>
      </c>
      <c r="H430" s="50" t="s">
        <v>5297</v>
      </c>
      <c r="I430" s="34" t="s">
        <v>40</v>
      </c>
      <c r="J430" s="50" t="s">
        <v>5298</v>
      </c>
      <c r="K430" s="50" t="s">
        <v>4489</v>
      </c>
    </row>
    <row r="431" customFormat="false" ht="12.8" hidden="false" customHeight="false" outlineLevel="0" collapsed="false">
      <c r="C431" s="49"/>
      <c r="D431" s="50"/>
      <c r="E431" s="50"/>
      <c r="F431" s="50" t="s">
        <v>3792</v>
      </c>
      <c r="G431" s="50" t="s">
        <v>5299</v>
      </c>
      <c r="H431" s="56" t="s">
        <v>3792</v>
      </c>
      <c r="I431" s="34"/>
      <c r="J431" s="56" t="s">
        <v>3792</v>
      </c>
      <c r="K431" s="56" t="s">
        <v>4495</v>
      </c>
    </row>
    <row r="432" customFormat="false" ht="12.8" hidden="false" customHeight="false" outlineLevel="0" collapsed="false">
      <c r="C432" s="49"/>
      <c r="D432" s="56" t="s">
        <v>5300</v>
      </c>
      <c r="E432" s="56" t="s">
        <v>5301</v>
      </c>
      <c r="F432" s="56" t="s">
        <v>3787</v>
      </c>
      <c r="G432" s="56" t="s">
        <v>5302</v>
      </c>
      <c r="H432" s="51" t="s">
        <v>5303</v>
      </c>
      <c r="I432" s="39" t="s">
        <v>67</v>
      </c>
      <c r="J432" s="51" t="s">
        <v>5304</v>
      </c>
      <c r="K432" s="51" t="s">
        <v>4497</v>
      </c>
    </row>
    <row r="433" customFormat="false" ht="12.8" hidden="false" customHeight="false" outlineLevel="0" collapsed="false">
      <c r="C433" s="49"/>
      <c r="D433" s="51"/>
      <c r="E433" s="51"/>
      <c r="F433" s="51" t="s">
        <v>3792</v>
      </c>
      <c r="G433" s="51" t="s">
        <v>5305</v>
      </c>
      <c r="H433" s="56" t="s">
        <v>3792</v>
      </c>
      <c r="I433" s="39"/>
      <c r="J433" s="56" t="s">
        <v>3792</v>
      </c>
      <c r="K433" s="56" t="s">
        <v>4503</v>
      </c>
    </row>
    <row r="434" customFormat="false" ht="12.8" hidden="false" customHeight="true" outlineLevel="0" collapsed="false">
      <c r="C434" s="55" t="s">
        <v>5306</v>
      </c>
      <c r="D434" s="56" t="s">
        <v>5307</v>
      </c>
      <c r="E434" s="56" t="s">
        <v>5308</v>
      </c>
      <c r="F434" s="56" t="s">
        <v>3797</v>
      </c>
      <c r="G434" s="56" t="s">
        <v>5281</v>
      </c>
      <c r="H434" s="50" t="s">
        <v>5309</v>
      </c>
      <c r="I434" s="34" t="s">
        <v>40</v>
      </c>
      <c r="J434" s="50" t="s">
        <v>5310</v>
      </c>
      <c r="K434" s="50" t="s">
        <v>4505</v>
      </c>
    </row>
    <row r="435" customFormat="false" ht="12.8" hidden="false" customHeight="false" outlineLevel="0" collapsed="false">
      <c r="C435" s="55"/>
      <c r="D435" s="50"/>
      <c r="E435" s="50"/>
      <c r="F435" s="50" t="s">
        <v>3792</v>
      </c>
      <c r="G435" s="50" t="s">
        <v>5284</v>
      </c>
      <c r="H435" s="56" t="s">
        <v>3792</v>
      </c>
      <c r="I435" s="34"/>
      <c r="J435" s="56" t="s">
        <v>3792</v>
      </c>
      <c r="K435" s="56" t="s">
        <v>4512</v>
      </c>
    </row>
    <row r="436" customFormat="false" ht="12.8" hidden="false" customHeight="false" outlineLevel="0" collapsed="false">
      <c r="C436" s="55"/>
      <c r="D436" s="56" t="s">
        <v>5311</v>
      </c>
      <c r="E436" s="56" t="s">
        <v>5312</v>
      </c>
      <c r="F436" s="56" t="s">
        <v>3806</v>
      </c>
      <c r="G436" s="56" t="s">
        <v>5287</v>
      </c>
      <c r="H436" s="50" t="s">
        <v>5313</v>
      </c>
      <c r="I436" s="37" t="s">
        <v>50</v>
      </c>
      <c r="J436" s="50" t="s">
        <v>5314</v>
      </c>
      <c r="K436" s="50" t="s">
        <v>4514</v>
      </c>
    </row>
    <row r="437" customFormat="false" ht="12.8" hidden="false" customHeight="false" outlineLevel="0" collapsed="false">
      <c r="C437" s="55"/>
      <c r="D437" s="50"/>
      <c r="E437" s="50"/>
      <c r="F437" s="50" t="s">
        <v>3792</v>
      </c>
      <c r="G437" s="50" t="s">
        <v>5290</v>
      </c>
      <c r="H437" s="56" t="s">
        <v>3792</v>
      </c>
      <c r="I437" s="37"/>
      <c r="J437" s="56" t="s">
        <v>3792</v>
      </c>
      <c r="K437" s="56" t="s">
        <v>4520</v>
      </c>
    </row>
    <row r="438" customFormat="false" ht="12.8" hidden="false" customHeight="false" outlineLevel="0" collapsed="false">
      <c r="C438" s="55"/>
      <c r="D438" s="56" t="s">
        <v>5315</v>
      </c>
      <c r="E438" s="56" t="s">
        <v>5316</v>
      </c>
      <c r="F438" s="56" t="s">
        <v>3787</v>
      </c>
      <c r="G438" s="56" t="s">
        <v>5293</v>
      </c>
      <c r="H438" s="50" t="s">
        <v>5317</v>
      </c>
      <c r="I438" s="34" t="s">
        <v>40</v>
      </c>
      <c r="J438" s="50" t="s">
        <v>5318</v>
      </c>
      <c r="K438" s="50" t="s">
        <v>4522</v>
      </c>
    </row>
    <row r="439" customFormat="false" ht="12.8" hidden="false" customHeight="false" outlineLevel="0" collapsed="false">
      <c r="C439" s="55"/>
      <c r="D439" s="50"/>
      <c r="E439" s="50"/>
      <c r="F439" s="50" t="s">
        <v>3792</v>
      </c>
      <c r="G439" s="50" t="s">
        <v>5296</v>
      </c>
      <c r="H439" s="56" t="s">
        <v>3792</v>
      </c>
      <c r="I439" s="34"/>
      <c r="J439" s="56" t="s">
        <v>3792</v>
      </c>
      <c r="K439" s="56" t="s">
        <v>4528</v>
      </c>
    </row>
    <row r="440" customFormat="false" ht="12.8" hidden="false" customHeight="false" outlineLevel="0" collapsed="false">
      <c r="C440" s="55"/>
      <c r="D440" s="56" t="s">
        <v>5319</v>
      </c>
      <c r="E440" s="56" t="s">
        <v>5320</v>
      </c>
      <c r="F440" s="56" t="s">
        <v>3797</v>
      </c>
      <c r="G440" s="56" t="s">
        <v>5299</v>
      </c>
      <c r="H440" s="50" t="s">
        <v>5321</v>
      </c>
      <c r="I440" s="34" t="s">
        <v>40</v>
      </c>
      <c r="J440" s="50" t="s">
        <v>5322</v>
      </c>
      <c r="K440" s="50" t="s">
        <v>4530</v>
      </c>
    </row>
    <row r="441" customFormat="false" ht="12.8" hidden="false" customHeight="false" outlineLevel="0" collapsed="false">
      <c r="C441" s="55"/>
      <c r="D441" s="50"/>
      <c r="E441" s="50"/>
      <c r="F441" s="50" t="s">
        <v>3792</v>
      </c>
      <c r="G441" s="50" t="s">
        <v>5302</v>
      </c>
      <c r="H441" s="56" t="s">
        <v>3792</v>
      </c>
      <c r="I441" s="34"/>
      <c r="J441" s="56" t="s">
        <v>3792</v>
      </c>
      <c r="K441" s="56" t="s">
        <v>4536</v>
      </c>
    </row>
    <row r="442" customFormat="false" ht="12.8" hidden="false" customHeight="false" outlineLevel="0" collapsed="false">
      <c r="C442" s="55"/>
      <c r="D442" s="56" t="s">
        <v>5323</v>
      </c>
      <c r="E442" s="56" t="s">
        <v>5324</v>
      </c>
      <c r="F442" s="56" t="s">
        <v>3806</v>
      </c>
      <c r="G442" s="56" t="s">
        <v>5305</v>
      </c>
      <c r="H442" s="1" t="s">
        <v>5325</v>
      </c>
      <c r="I442" s="37" t="s">
        <v>50</v>
      </c>
      <c r="J442" s="1" t="s">
        <v>5326</v>
      </c>
      <c r="K442" s="1" t="s">
        <v>4538</v>
      </c>
    </row>
    <row r="443" customFormat="false" ht="12.8" hidden="false" customHeight="false" outlineLevel="0" collapsed="false">
      <c r="C443" s="55"/>
      <c r="D443" s="54"/>
      <c r="E443" s="54"/>
      <c r="F443" s="54" t="s">
        <v>3792</v>
      </c>
      <c r="G443" s="54" t="s">
        <v>5327</v>
      </c>
      <c r="I443" s="37"/>
      <c r="J443" s="50"/>
      <c r="K443" s="50" t="s">
        <v>4544</v>
      </c>
    </row>
    <row r="444" customFormat="false" ht="12.8" hidden="false" customHeight="false" outlineLevel="0" collapsed="false">
      <c r="F444" s="57"/>
      <c r="K444" s="57"/>
    </row>
    <row r="445" customFormat="false" ht="12.8" hidden="false" customHeight="false" outlineLevel="0" collapsed="false">
      <c r="F445" s="57"/>
      <c r="K445" s="57"/>
    </row>
    <row r="446" customFormat="false" ht="12.8" hidden="false" customHeight="false" outlineLevel="0" collapsed="false">
      <c r="F446" s="57"/>
      <c r="K446" s="57"/>
    </row>
    <row r="447" customFormat="false" ht="12.8" hidden="false" customHeight="false" outlineLevel="0" collapsed="false">
      <c r="F447" s="57"/>
      <c r="K447" s="57"/>
    </row>
    <row r="448" customFormat="false" ht="12.8" hidden="false" customHeight="false" outlineLevel="0" collapsed="false">
      <c r="F448" s="57"/>
      <c r="K448" s="57"/>
    </row>
    <row r="449" customFormat="false" ht="12.8" hidden="false" customHeight="false" outlineLevel="0" collapsed="false">
      <c r="F449" s="57"/>
      <c r="K449" s="57"/>
    </row>
    <row r="450" customFormat="false" ht="12.8" hidden="false" customHeight="false" outlineLevel="0" collapsed="false">
      <c r="F450" s="57"/>
      <c r="K450" s="57"/>
    </row>
    <row r="451" customFormat="false" ht="12.8" hidden="false" customHeight="false" outlineLevel="0" collapsed="false">
      <c r="F451" s="57"/>
      <c r="K451" s="57"/>
    </row>
    <row r="452" customFormat="false" ht="12.8" hidden="false" customHeight="false" outlineLevel="0" collapsed="false">
      <c r="F452" s="57"/>
      <c r="K452" s="57"/>
    </row>
    <row r="453" customFormat="false" ht="12.8" hidden="false" customHeight="false" outlineLevel="0" collapsed="false">
      <c r="F453" s="57"/>
      <c r="K453" s="57"/>
    </row>
    <row r="454" customFormat="false" ht="12.8" hidden="false" customHeight="false" outlineLevel="0" collapsed="false">
      <c r="F454" s="57"/>
      <c r="K454" s="57"/>
    </row>
    <row r="455" customFormat="false" ht="12.8" hidden="false" customHeight="false" outlineLevel="0" collapsed="false">
      <c r="F455" s="57"/>
      <c r="K455" s="57"/>
    </row>
    <row r="456" customFormat="false" ht="12.8" hidden="false" customHeight="false" outlineLevel="0" collapsed="false">
      <c r="F456" s="57"/>
      <c r="K456" s="57"/>
    </row>
    <row r="457" customFormat="false" ht="12.8" hidden="false" customHeight="false" outlineLevel="0" collapsed="false">
      <c r="F457" s="57"/>
      <c r="K457" s="57"/>
    </row>
    <row r="458" customFormat="false" ht="12.8" hidden="false" customHeight="false" outlineLevel="0" collapsed="false">
      <c r="F458" s="57"/>
      <c r="K458" s="57"/>
    </row>
    <row r="459" customFormat="false" ht="12.8" hidden="false" customHeight="false" outlineLevel="0" collapsed="false">
      <c r="F459" s="57"/>
      <c r="K459" s="57"/>
    </row>
    <row r="460" customFormat="false" ht="12.8" hidden="false" customHeight="false" outlineLevel="0" collapsed="false">
      <c r="F460" s="57"/>
      <c r="K460" s="57"/>
    </row>
    <row r="461" customFormat="false" ht="12.8" hidden="false" customHeight="false" outlineLevel="0" collapsed="false">
      <c r="F461" s="57"/>
      <c r="K461" s="57"/>
    </row>
    <row r="462" customFormat="false" ht="12.8" hidden="false" customHeight="false" outlineLevel="0" collapsed="false">
      <c r="F462" s="57"/>
      <c r="K462" s="57"/>
    </row>
    <row r="463" customFormat="false" ht="12.8" hidden="false" customHeight="false" outlineLevel="0" collapsed="false">
      <c r="F463" s="57"/>
      <c r="K463" s="57"/>
    </row>
    <row r="464" customFormat="false" ht="12.8" hidden="false" customHeight="false" outlineLevel="0" collapsed="false">
      <c r="F464" s="57"/>
      <c r="K464" s="57"/>
    </row>
    <row r="465" customFormat="false" ht="12.8" hidden="false" customHeight="false" outlineLevel="0" collapsed="false">
      <c r="F465" s="57"/>
      <c r="K465" s="57"/>
    </row>
    <row r="466" customFormat="false" ht="12.8" hidden="false" customHeight="false" outlineLevel="0" collapsed="false">
      <c r="F466" s="57"/>
      <c r="K466" s="57"/>
    </row>
    <row r="467" customFormat="false" ht="12.8" hidden="false" customHeight="false" outlineLevel="0" collapsed="false">
      <c r="F467" s="57"/>
      <c r="K467" s="57"/>
    </row>
    <row r="468" customFormat="false" ht="12.8" hidden="false" customHeight="false" outlineLevel="0" collapsed="false">
      <c r="F468" s="57"/>
      <c r="K468" s="57"/>
    </row>
    <row r="469" customFormat="false" ht="12.8" hidden="false" customHeight="false" outlineLevel="0" collapsed="false">
      <c r="F469" s="57"/>
      <c r="K469" s="57"/>
    </row>
    <row r="470" customFormat="false" ht="12.8" hidden="false" customHeight="false" outlineLevel="0" collapsed="false">
      <c r="F470" s="57"/>
      <c r="K470" s="57"/>
    </row>
    <row r="471" customFormat="false" ht="12.8" hidden="false" customHeight="false" outlineLevel="0" collapsed="false">
      <c r="F471" s="57"/>
      <c r="K471" s="57"/>
    </row>
    <row r="472" customFormat="false" ht="12.8" hidden="false" customHeight="false" outlineLevel="0" collapsed="false">
      <c r="F472" s="57"/>
      <c r="K472" s="57"/>
    </row>
    <row r="473" customFormat="false" ht="12.8" hidden="false" customHeight="false" outlineLevel="0" collapsed="false">
      <c r="F473" s="57"/>
      <c r="K473" s="57"/>
    </row>
    <row r="474" customFormat="false" ht="12.8" hidden="false" customHeight="false" outlineLevel="0" collapsed="false">
      <c r="F474" s="57"/>
      <c r="K474" s="57"/>
    </row>
    <row r="475" customFormat="false" ht="12.8" hidden="false" customHeight="false" outlineLevel="0" collapsed="false">
      <c r="F475" s="57"/>
      <c r="K475" s="57"/>
    </row>
    <row r="476" customFormat="false" ht="12.8" hidden="false" customHeight="false" outlineLevel="0" collapsed="false">
      <c r="F476" s="57"/>
      <c r="K476" s="57"/>
    </row>
    <row r="477" customFormat="false" ht="12.8" hidden="false" customHeight="false" outlineLevel="0" collapsed="false">
      <c r="F477" s="57"/>
      <c r="K477" s="57"/>
    </row>
    <row r="478" customFormat="false" ht="12.8" hidden="false" customHeight="false" outlineLevel="0" collapsed="false">
      <c r="F478" s="57"/>
      <c r="K478" s="57"/>
    </row>
    <row r="479" customFormat="false" ht="12.8" hidden="false" customHeight="false" outlineLevel="0" collapsed="false">
      <c r="F479" s="57"/>
      <c r="K479" s="57"/>
    </row>
    <row r="480" customFormat="false" ht="12.8" hidden="false" customHeight="false" outlineLevel="0" collapsed="false">
      <c r="F480" s="57"/>
      <c r="K480" s="57"/>
    </row>
    <row r="481" customFormat="false" ht="12.8" hidden="false" customHeight="false" outlineLevel="0" collapsed="false">
      <c r="F481" s="57"/>
      <c r="K481" s="57"/>
    </row>
    <row r="482" customFormat="false" ht="12.8" hidden="false" customHeight="false" outlineLevel="0" collapsed="false">
      <c r="F482" s="57"/>
      <c r="K482" s="57"/>
    </row>
    <row r="483" customFormat="false" ht="12.8" hidden="false" customHeight="false" outlineLevel="0" collapsed="false">
      <c r="F483" s="57"/>
      <c r="K483" s="57"/>
    </row>
    <row r="484" customFormat="false" ht="12.8" hidden="false" customHeight="false" outlineLevel="0" collapsed="false">
      <c r="F484" s="57"/>
      <c r="K484" s="57"/>
    </row>
    <row r="485" customFormat="false" ht="12.8" hidden="false" customHeight="false" outlineLevel="0" collapsed="false">
      <c r="F485" s="57"/>
      <c r="K485" s="57"/>
    </row>
    <row r="486" customFormat="false" ht="12.8" hidden="false" customHeight="false" outlineLevel="0" collapsed="false">
      <c r="F486" s="57"/>
      <c r="K486" s="57"/>
    </row>
    <row r="487" customFormat="false" ht="12.8" hidden="false" customHeight="false" outlineLevel="0" collapsed="false">
      <c r="F487" s="57"/>
      <c r="K487" s="57"/>
    </row>
    <row r="488" customFormat="false" ht="12.8" hidden="false" customHeight="false" outlineLevel="0" collapsed="false">
      <c r="F488" s="57"/>
      <c r="K488" s="57"/>
    </row>
    <row r="489" customFormat="false" ht="12.8" hidden="false" customHeight="false" outlineLevel="0" collapsed="false">
      <c r="F489" s="57"/>
      <c r="K489" s="57"/>
    </row>
    <row r="490" customFormat="false" ht="12.8" hidden="false" customHeight="false" outlineLevel="0" collapsed="false">
      <c r="F490" s="57"/>
      <c r="K490" s="57"/>
    </row>
    <row r="491" customFormat="false" ht="12.8" hidden="false" customHeight="false" outlineLevel="0" collapsed="false">
      <c r="F491" s="57"/>
      <c r="K491" s="57"/>
    </row>
    <row r="492" customFormat="false" ht="12.8" hidden="false" customHeight="false" outlineLevel="0" collapsed="false">
      <c r="F492" s="57"/>
      <c r="K492" s="57"/>
    </row>
    <row r="493" customFormat="false" ht="12.8" hidden="false" customHeight="false" outlineLevel="0" collapsed="false">
      <c r="F493" s="57"/>
      <c r="K493" s="57"/>
    </row>
    <row r="494" customFormat="false" ht="12.8" hidden="false" customHeight="false" outlineLevel="0" collapsed="false">
      <c r="F494" s="57"/>
      <c r="K494" s="57"/>
    </row>
    <row r="495" customFormat="false" ht="12.8" hidden="false" customHeight="false" outlineLevel="0" collapsed="false">
      <c r="F495" s="57"/>
      <c r="K495" s="57"/>
    </row>
    <row r="496" customFormat="false" ht="12.8" hidden="false" customHeight="false" outlineLevel="0" collapsed="false">
      <c r="F496" s="57"/>
      <c r="K496" s="57"/>
    </row>
    <row r="497" customFormat="false" ht="12.8" hidden="false" customHeight="false" outlineLevel="0" collapsed="false">
      <c r="F497" s="57"/>
      <c r="K497" s="57"/>
    </row>
    <row r="498" customFormat="false" ht="12.8" hidden="false" customHeight="false" outlineLevel="0" collapsed="false">
      <c r="F498" s="57"/>
      <c r="K498" s="57"/>
    </row>
    <row r="499" customFormat="false" ht="12.8" hidden="false" customHeight="false" outlineLevel="0" collapsed="false">
      <c r="F499" s="57"/>
      <c r="K499" s="57"/>
    </row>
    <row r="500" customFormat="false" ht="12.8" hidden="false" customHeight="false" outlineLevel="0" collapsed="false">
      <c r="F500" s="57"/>
      <c r="K500" s="57"/>
    </row>
    <row r="501" customFormat="false" ht="12.8" hidden="false" customHeight="false" outlineLevel="0" collapsed="false">
      <c r="F501" s="57"/>
      <c r="K501" s="57"/>
    </row>
    <row r="502" customFormat="false" ht="12.8" hidden="false" customHeight="false" outlineLevel="0" collapsed="false">
      <c r="F502" s="57"/>
      <c r="K502" s="57"/>
    </row>
    <row r="503" customFormat="false" ht="12.8" hidden="false" customHeight="false" outlineLevel="0" collapsed="false">
      <c r="F503" s="57"/>
      <c r="K503" s="57"/>
    </row>
    <row r="504" customFormat="false" ht="12.8" hidden="false" customHeight="false" outlineLevel="0" collapsed="false">
      <c r="F504" s="57"/>
    </row>
    <row r="505" customFormat="false" ht="12.8" hidden="false" customHeight="false" outlineLevel="0" collapsed="false">
      <c r="F505" s="57"/>
    </row>
    <row r="506" customFormat="false" ht="12.8" hidden="false" customHeight="false" outlineLevel="0" collapsed="false">
      <c r="F506" s="57"/>
    </row>
    <row r="507" customFormat="false" ht="12.8" hidden="false" customHeight="false" outlineLevel="0" collapsed="false">
      <c r="F507" s="57"/>
    </row>
    <row r="508" customFormat="false" ht="12.8" hidden="false" customHeight="false" outlineLevel="0" collapsed="false">
      <c r="F508" s="57"/>
    </row>
    <row r="509" customFormat="false" ht="12.8" hidden="false" customHeight="false" outlineLevel="0" collapsed="false">
      <c r="F509" s="57"/>
    </row>
    <row r="510" customFormat="false" ht="12.8" hidden="false" customHeight="false" outlineLevel="0" collapsed="false">
      <c r="F510" s="57"/>
    </row>
    <row r="511" customFormat="false" ht="12.8" hidden="false" customHeight="false" outlineLevel="0" collapsed="false">
      <c r="F511" s="57"/>
    </row>
    <row r="512" customFormat="false" ht="12.8" hidden="false" customHeight="false" outlineLevel="0" collapsed="false">
      <c r="F512" s="57"/>
    </row>
    <row r="513" customFormat="false" ht="12.8" hidden="false" customHeight="false" outlineLevel="0" collapsed="false">
      <c r="F513" s="57"/>
    </row>
    <row r="514" customFormat="false" ht="12.8" hidden="false" customHeight="false" outlineLevel="0" collapsed="false">
      <c r="F514" s="57"/>
    </row>
    <row r="515" customFormat="false" ht="12.8" hidden="false" customHeight="false" outlineLevel="0" collapsed="false">
      <c r="F515" s="57"/>
    </row>
    <row r="516" customFormat="false" ht="12.8" hidden="false" customHeight="false" outlineLevel="0" collapsed="false">
      <c r="F516" s="57"/>
    </row>
    <row r="517" customFormat="false" ht="12.8" hidden="false" customHeight="false" outlineLevel="0" collapsed="false">
      <c r="F517" s="57"/>
    </row>
    <row r="518" customFormat="false" ht="12.8" hidden="false" customHeight="false" outlineLevel="0" collapsed="false">
      <c r="F518" s="57"/>
    </row>
    <row r="519" customFormat="false" ht="12.8" hidden="false" customHeight="false" outlineLevel="0" collapsed="false">
      <c r="F519" s="57"/>
    </row>
    <row r="520" customFormat="false" ht="12.8" hidden="false" customHeight="false" outlineLevel="0" collapsed="false">
      <c r="F520" s="57"/>
    </row>
    <row r="521" customFormat="false" ht="12.8" hidden="false" customHeight="false" outlineLevel="0" collapsed="false">
      <c r="F521" s="57"/>
    </row>
    <row r="522" customFormat="false" ht="12.8" hidden="false" customHeight="false" outlineLevel="0" collapsed="false">
      <c r="F522" s="57"/>
    </row>
    <row r="523" customFormat="false" ht="12.8" hidden="false" customHeight="false" outlineLevel="0" collapsed="false">
      <c r="F523" s="57"/>
    </row>
    <row r="524" customFormat="false" ht="12.8" hidden="false" customHeight="false" outlineLevel="0" collapsed="false">
      <c r="F524" s="57"/>
    </row>
    <row r="525" customFormat="false" ht="12.8" hidden="false" customHeight="false" outlineLevel="0" collapsed="false">
      <c r="F525" s="57"/>
    </row>
    <row r="526" customFormat="false" ht="12.8" hidden="false" customHeight="false" outlineLevel="0" collapsed="false">
      <c r="F526" s="57"/>
    </row>
    <row r="527" customFormat="false" ht="12.8" hidden="false" customHeight="false" outlineLevel="0" collapsed="false">
      <c r="F527" s="57"/>
    </row>
    <row r="528" customFormat="false" ht="12.8" hidden="false" customHeight="false" outlineLevel="0" collapsed="false">
      <c r="F528" s="57"/>
    </row>
    <row r="529" customFormat="false" ht="12.8" hidden="false" customHeight="false" outlineLevel="0" collapsed="false">
      <c r="F529" s="57"/>
    </row>
    <row r="530" customFormat="false" ht="12.8" hidden="false" customHeight="false" outlineLevel="0" collapsed="false">
      <c r="F530" s="57"/>
    </row>
    <row r="531" customFormat="false" ht="12.8" hidden="false" customHeight="false" outlineLevel="0" collapsed="false">
      <c r="F531" s="57"/>
    </row>
    <row r="532" customFormat="false" ht="12.8" hidden="false" customHeight="false" outlineLevel="0" collapsed="false">
      <c r="F532" s="57"/>
    </row>
    <row r="533" customFormat="false" ht="12.8" hidden="false" customHeight="false" outlineLevel="0" collapsed="false">
      <c r="F533" s="57"/>
    </row>
    <row r="534" customFormat="false" ht="12.8" hidden="false" customHeight="false" outlineLevel="0" collapsed="false">
      <c r="F534" s="57"/>
    </row>
    <row r="535" customFormat="false" ht="12.8" hidden="false" customHeight="false" outlineLevel="0" collapsed="false">
      <c r="F535" s="57"/>
    </row>
    <row r="536" customFormat="false" ht="12.8" hidden="false" customHeight="false" outlineLevel="0" collapsed="false">
      <c r="F536" s="57"/>
    </row>
    <row r="537" customFormat="false" ht="12.8" hidden="false" customHeight="false" outlineLevel="0" collapsed="false">
      <c r="F537" s="57"/>
    </row>
    <row r="538" customFormat="false" ht="12.8" hidden="false" customHeight="false" outlineLevel="0" collapsed="false">
      <c r="F538" s="57"/>
    </row>
    <row r="539" customFormat="false" ht="12.8" hidden="false" customHeight="false" outlineLevel="0" collapsed="false">
      <c r="F539" s="57"/>
    </row>
    <row r="540" customFormat="false" ht="12.8" hidden="false" customHeight="false" outlineLevel="0" collapsed="false">
      <c r="F540" s="57"/>
    </row>
    <row r="541" customFormat="false" ht="12.8" hidden="false" customHeight="false" outlineLevel="0" collapsed="false">
      <c r="F541" s="57"/>
    </row>
    <row r="542" customFormat="false" ht="12.8" hidden="false" customHeight="false" outlineLevel="0" collapsed="false">
      <c r="F542" s="57"/>
    </row>
    <row r="543" customFormat="false" ht="12.8" hidden="false" customHeight="false" outlineLevel="0" collapsed="false">
      <c r="F543" s="57"/>
    </row>
    <row r="544" customFormat="false" ht="12.8" hidden="false" customHeight="false" outlineLevel="0" collapsed="false">
      <c r="F544" s="57"/>
    </row>
    <row r="545" customFormat="false" ht="12.8" hidden="false" customHeight="false" outlineLevel="0" collapsed="false">
      <c r="F545" s="57"/>
    </row>
    <row r="546" customFormat="false" ht="12.8" hidden="false" customHeight="false" outlineLevel="0" collapsed="false">
      <c r="F546" s="57"/>
    </row>
    <row r="547" customFormat="false" ht="12.8" hidden="false" customHeight="false" outlineLevel="0" collapsed="false">
      <c r="F547" s="57"/>
    </row>
    <row r="548" customFormat="false" ht="12.8" hidden="false" customHeight="false" outlineLevel="0" collapsed="false">
      <c r="F548" s="57"/>
    </row>
    <row r="549" customFormat="false" ht="12.8" hidden="false" customHeight="false" outlineLevel="0" collapsed="false">
      <c r="F549" s="57"/>
    </row>
    <row r="550" customFormat="false" ht="12.8" hidden="false" customHeight="false" outlineLevel="0" collapsed="false">
      <c r="F550" s="57"/>
    </row>
    <row r="551" customFormat="false" ht="12.8" hidden="false" customHeight="false" outlineLevel="0" collapsed="false">
      <c r="F551" s="57"/>
    </row>
    <row r="552" customFormat="false" ht="12.8" hidden="false" customHeight="false" outlineLevel="0" collapsed="false">
      <c r="F552" s="57"/>
    </row>
    <row r="553" customFormat="false" ht="12.8" hidden="false" customHeight="false" outlineLevel="0" collapsed="false">
      <c r="F553" s="57"/>
    </row>
    <row r="554" customFormat="false" ht="12.8" hidden="false" customHeight="false" outlineLevel="0" collapsed="false">
      <c r="F554" s="57"/>
    </row>
    <row r="555" customFormat="false" ht="12.8" hidden="false" customHeight="false" outlineLevel="0" collapsed="false">
      <c r="F555" s="57"/>
    </row>
    <row r="556" customFormat="false" ht="12.8" hidden="false" customHeight="false" outlineLevel="0" collapsed="false">
      <c r="F556" s="57"/>
    </row>
    <row r="557" customFormat="false" ht="12.8" hidden="false" customHeight="false" outlineLevel="0" collapsed="false">
      <c r="F557" s="57"/>
    </row>
    <row r="558" customFormat="false" ht="12.8" hidden="false" customHeight="false" outlineLevel="0" collapsed="false">
      <c r="F558" s="57"/>
    </row>
    <row r="559" customFormat="false" ht="12.8" hidden="false" customHeight="false" outlineLevel="0" collapsed="false">
      <c r="F559" s="57"/>
    </row>
    <row r="560" customFormat="false" ht="12.8" hidden="false" customHeight="false" outlineLevel="0" collapsed="false">
      <c r="F560" s="57"/>
    </row>
    <row r="561" customFormat="false" ht="12.8" hidden="false" customHeight="false" outlineLevel="0" collapsed="false">
      <c r="F561" s="57"/>
    </row>
    <row r="562" customFormat="false" ht="12.8" hidden="false" customHeight="false" outlineLevel="0" collapsed="false">
      <c r="F562" s="57"/>
    </row>
    <row r="563" customFormat="false" ht="12.8" hidden="false" customHeight="false" outlineLevel="0" collapsed="false">
      <c r="F563" s="57"/>
    </row>
    <row r="564" customFormat="false" ht="12.8" hidden="false" customHeight="false" outlineLevel="0" collapsed="false">
      <c r="F564" s="57"/>
    </row>
    <row r="565" customFormat="false" ht="12.8" hidden="false" customHeight="false" outlineLevel="0" collapsed="false">
      <c r="F565" s="57"/>
    </row>
    <row r="566" customFormat="false" ht="12.8" hidden="false" customHeight="false" outlineLevel="0" collapsed="false">
      <c r="F566" s="57"/>
    </row>
    <row r="567" customFormat="false" ht="12.8" hidden="false" customHeight="false" outlineLevel="0" collapsed="false">
      <c r="F567" s="57"/>
    </row>
    <row r="568" customFormat="false" ht="12.8" hidden="false" customHeight="false" outlineLevel="0" collapsed="false">
      <c r="F568" s="57"/>
    </row>
    <row r="569" customFormat="false" ht="12.8" hidden="false" customHeight="false" outlineLevel="0" collapsed="false">
      <c r="F569" s="57"/>
    </row>
    <row r="570" customFormat="false" ht="12.8" hidden="false" customHeight="false" outlineLevel="0" collapsed="false">
      <c r="F570" s="57"/>
    </row>
    <row r="571" customFormat="false" ht="12.8" hidden="false" customHeight="false" outlineLevel="0" collapsed="false">
      <c r="F571" s="57"/>
    </row>
    <row r="572" customFormat="false" ht="12.8" hidden="false" customHeight="false" outlineLevel="0" collapsed="false">
      <c r="F572" s="57"/>
    </row>
    <row r="573" customFormat="false" ht="12.8" hidden="false" customHeight="false" outlineLevel="0" collapsed="false">
      <c r="F573" s="57"/>
    </row>
    <row r="574" customFormat="false" ht="12.8" hidden="false" customHeight="false" outlineLevel="0" collapsed="false">
      <c r="F574" s="57"/>
    </row>
    <row r="575" customFormat="false" ht="12.8" hidden="false" customHeight="false" outlineLevel="0" collapsed="false">
      <c r="F575" s="57"/>
    </row>
    <row r="576" customFormat="false" ht="12.8" hidden="false" customHeight="false" outlineLevel="0" collapsed="false">
      <c r="F576" s="57"/>
    </row>
  </sheetData>
  <mergeCells count="267">
    <mergeCell ref="B2:B53"/>
    <mergeCell ref="C2:C11"/>
    <mergeCell ref="I2:I3"/>
    <mergeCell ref="I4:I5"/>
    <mergeCell ref="I6:I7"/>
    <mergeCell ref="I8:I9"/>
    <mergeCell ref="I10:I11"/>
    <mergeCell ref="C12:C21"/>
    <mergeCell ref="I12:I13"/>
    <mergeCell ref="I14:I15"/>
    <mergeCell ref="I16:I17"/>
    <mergeCell ref="I18:I19"/>
    <mergeCell ref="I20:I21"/>
    <mergeCell ref="C22:C31"/>
    <mergeCell ref="I22:I23"/>
    <mergeCell ref="I24:I25"/>
    <mergeCell ref="I26:I27"/>
    <mergeCell ref="I28:I29"/>
    <mergeCell ref="I30:I31"/>
    <mergeCell ref="C32:C41"/>
    <mergeCell ref="I32:I33"/>
    <mergeCell ref="I34:I35"/>
    <mergeCell ref="I36:I37"/>
    <mergeCell ref="I38:I39"/>
    <mergeCell ref="I40:I41"/>
    <mergeCell ref="C42:C53"/>
    <mergeCell ref="I42:I43"/>
    <mergeCell ref="I44:I45"/>
    <mergeCell ref="I46:I47"/>
    <mergeCell ref="I48:I49"/>
    <mergeCell ref="I50:I51"/>
    <mergeCell ref="I52:I53"/>
    <mergeCell ref="B54:B113"/>
    <mergeCell ref="C54:C63"/>
    <mergeCell ref="I54:I55"/>
    <mergeCell ref="I56:I57"/>
    <mergeCell ref="I58:I59"/>
    <mergeCell ref="I60:I61"/>
    <mergeCell ref="I62:I63"/>
    <mergeCell ref="C64:C73"/>
    <mergeCell ref="I64:I65"/>
    <mergeCell ref="I66:I67"/>
    <mergeCell ref="I68:I69"/>
    <mergeCell ref="I70:I71"/>
    <mergeCell ref="I72:I73"/>
    <mergeCell ref="C74:C83"/>
    <mergeCell ref="I74:I75"/>
    <mergeCell ref="I76:I77"/>
    <mergeCell ref="I78:I79"/>
    <mergeCell ref="I80:I81"/>
    <mergeCell ref="I82:I83"/>
    <mergeCell ref="C84:C93"/>
    <mergeCell ref="I84:I85"/>
    <mergeCell ref="I86:I87"/>
    <mergeCell ref="I88:I89"/>
    <mergeCell ref="I90:I91"/>
    <mergeCell ref="I92:I93"/>
    <mergeCell ref="C94:C103"/>
    <mergeCell ref="I94:I95"/>
    <mergeCell ref="I96:I97"/>
    <mergeCell ref="I98:I99"/>
    <mergeCell ref="I100:I101"/>
    <mergeCell ref="I102:I103"/>
    <mergeCell ref="C104:C113"/>
    <mergeCell ref="I104:I105"/>
    <mergeCell ref="I106:I107"/>
    <mergeCell ref="I108:I109"/>
    <mergeCell ref="I110:I111"/>
    <mergeCell ref="I112:I113"/>
    <mergeCell ref="C114:C123"/>
    <mergeCell ref="I114:I115"/>
    <mergeCell ref="I116:I117"/>
    <mergeCell ref="I118:I119"/>
    <mergeCell ref="I120:I121"/>
    <mergeCell ref="I122:I123"/>
    <mergeCell ref="C124:C133"/>
    <mergeCell ref="I124:I125"/>
    <mergeCell ref="I126:I127"/>
    <mergeCell ref="I128:I129"/>
    <mergeCell ref="I130:I131"/>
    <mergeCell ref="I132:I133"/>
    <mergeCell ref="C134:C143"/>
    <mergeCell ref="I134:I135"/>
    <mergeCell ref="I136:I137"/>
    <mergeCell ref="I138:I139"/>
    <mergeCell ref="I140:I141"/>
    <mergeCell ref="I142:I143"/>
    <mergeCell ref="C144:C153"/>
    <mergeCell ref="I144:I145"/>
    <mergeCell ref="I146:I147"/>
    <mergeCell ref="I148:I149"/>
    <mergeCell ref="I150:I151"/>
    <mergeCell ref="I152:I153"/>
    <mergeCell ref="C154:C163"/>
    <mergeCell ref="I154:I155"/>
    <mergeCell ref="I156:I157"/>
    <mergeCell ref="I158:I159"/>
    <mergeCell ref="I160:I161"/>
    <mergeCell ref="I162:I163"/>
    <mergeCell ref="C164:C173"/>
    <mergeCell ref="I164:I165"/>
    <mergeCell ref="I166:I167"/>
    <mergeCell ref="I168:I169"/>
    <mergeCell ref="I170:I171"/>
    <mergeCell ref="I172:I173"/>
    <mergeCell ref="C174:C183"/>
    <mergeCell ref="I174:I175"/>
    <mergeCell ref="I176:I177"/>
    <mergeCell ref="I178:I179"/>
    <mergeCell ref="I180:I181"/>
    <mergeCell ref="I182:I183"/>
    <mergeCell ref="C184:C193"/>
    <mergeCell ref="I184:I185"/>
    <mergeCell ref="I186:I187"/>
    <mergeCell ref="I188:I189"/>
    <mergeCell ref="I190:I191"/>
    <mergeCell ref="I192:I193"/>
    <mergeCell ref="C194:C203"/>
    <mergeCell ref="I194:I195"/>
    <mergeCell ref="I196:I197"/>
    <mergeCell ref="I198:I199"/>
    <mergeCell ref="I200:I201"/>
    <mergeCell ref="I202:I203"/>
    <mergeCell ref="C204:C213"/>
    <mergeCell ref="I204:I205"/>
    <mergeCell ref="I206:I207"/>
    <mergeCell ref="I208:I209"/>
    <mergeCell ref="I210:I211"/>
    <mergeCell ref="I212:I213"/>
    <mergeCell ref="C214:C223"/>
    <mergeCell ref="I214:I215"/>
    <mergeCell ref="I216:I217"/>
    <mergeCell ref="I218:I219"/>
    <mergeCell ref="I220:I221"/>
    <mergeCell ref="I222:I223"/>
    <mergeCell ref="C224:C233"/>
    <mergeCell ref="I224:I225"/>
    <mergeCell ref="I226:I227"/>
    <mergeCell ref="I228:I229"/>
    <mergeCell ref="I230:I231"/>
    <mergeCell ref="I232:I233"/>
    <mergeCell ref="C234:C243"/>
    <mergeCell ref="I234:I235"/>
    <mergeCell ref="I236:I237"/>
    <mergeCell ref="I238:I239"/>
    <mergeCell ref="I240:I241"/>
    <mergeCell ref="I242:I243"/>
    <mergeCell ref="C244:C253"/>
    <mergeCell ref="I244:I245"/>
    <mergeCell ref="I246:I247"/>
    <mergeCell ref="I248:I249"/>
    <mergeCell ref="I250:I251"/>
    <mergeCell ref="I252:I253"/>
    <mergeCell ref="C254:C263"/>
    <mergeCell ref="I254:I255"/>
    <mergeCell ref="I256:I257"/>
    <mergeCell ref="I258:I259"/>
    <mergeCell ref="I260:I261"/>
    <mergeCell ref="I262:I263"/>
    <mergeCell ref="C264:C273"/>
    <mergeCell ref="I264:I265"/>
    <mergeCell ref="I266:I267"/>
    <mergeCell ref="I268:I269"/>
    <mergeCell ref="I270:I271"/>
    <mergeCell ref="I272:I273"/>
    <mergeCell ref="C274:C283"/>
    <mergeCell ref="I274:I275"/>
    <mergeCell ref="I276:I277"/>
    <mergeCell ref="I278:I279"/>
    <mergeCell ref="I280:I281"/>
    <mergeCell ref="I282:I283"/>
    <mergeCell ref="C284:C293"/>
    <mergeCell ref="I284:I285"/>
    <mergeCell ref="I286:I287"/>
    <mergeCell ref="I288:I289"/>
    <mergeCell ref="I290:I291"/>
    <mergeCell ref="I292:I293"/>
    <mergeCell ref="C294:C303"/>
    <mergeCell ref="I294:I295"/>
    <mergeCell ref="I296:I297"/>
    <mergeCell ref="I298:I299"/>
    <mergeCell ref="I300:I301"/>
    <mergeCell ref="I302:I303"/>
    <mergeCell ref="C304:C313"/>
    <mergeCell ref="I304:I305"/>
    <mergeCell ref="I306:I307"/>
    <mergeCell ref="I308:I309"/>
    <mergeCell ref="I310:I311"/>
    <mergeCell ref="I312:I313"/>
    <mergeCell ref="C314:C323"/>
    <mergeCell ref="I314:I315"/>
    <mergeCell ref="I316:I317"/>
    <mergeCell ref="I318:I319"/>
    <mergeCell ref="I320:I321"/>
    <mergeCell ref="I322:I323"/>
    <mergeCell ref="C324:C333"/>
    <mergeCell ref="I324:I325"/>
    <mergeCell ref="I326:I327"/>
    <mergeCell ref="I328:I329"/>
    <mergeCell ref="I330:I331"/>
    <mergeCell ref="I332:I333"/>
    <mergeCell ref="C334:C343"/>
    <mergeCell ref="I334:I335"/>
    <mergeCell ref="I336:I337"/>
    <mergeCell ref="I338:I339"/>
    <mergeCell ref="I340:I341"/>
    <mergeCell ref="I342:I343"/>
    <mergeCell ref="C344:C353"/>
    <mergeCell ref="I344:I345"/>
    <mergeCell ref="I346:I347"/>
    <mergeCell ref="I348:I349"/>
    <mergeCell ref="I350:I351"/>
    <mergeCell ref="I352:I353"/>
    <mergeCell ref="C354:C363"/>
    <mergeCell ref="I354:I355"/>
    <mergeCell ref="I356:I357"/>
    <mergeCell ref="I358:I359"/>
    <mergeCell ref="I360:I361"/>
    <mergeCell ref="I362:I363"/>
    <mergeCell ref="C364:C373"/>
    <mergeCell ref="I364:I365"/>
    <mergeCell ref="I366:I367"/>
    <mergeCell ref="I368:I369"/>
    <mergeCell ref="I370:I371"/>
    <mergeCell ref="I372:I373"/>
    <mergeCell ref="C374:C383"/>
    <mergeCell ref="I374:I375"/>
    <mergeCell ref="I376:I377"/>
    <mergeCell ref="I378:I379"/>
    <mergeCell ref="I380:I381"/>
    <mergeCell ref="I382:I383"/>
    <mergeCell ref="C384:C393"/>
    <mergeCell ref="I384:I385"/>
    <mergeCell ref="I386:I387"/>
    <mergeCell ref="I388:I389"/>
    <mergeCell ref="I390:I391"/>
    <mergeCell ref="I392:I393"/>
    <mergeCell ref="C394:C403"/>
    <mergeCell ref="I394:I395"/>
    <mergeCell ref="I396:I397"/>
    <mergeCell ref="I398:I399"/>
    <mergeCell ref="I400:I401"/>
    <mergeCell ref="I402:I403"/>
    <mergeCell ref="C404:C413"/>
    <mergeCell ref="I404:I405"/>
    <mergeCell ref="I406:I407"/>
    <mergeCell ref="I408:I409"/>
    <mergeCell ref="I410:I411"/>
    <mergeCell ref="I412:I413"/>
    <mergeCell ref="C414:C423"/>
    <mergeCell ref="I414:I415"/>
    <mergeCell ref="I416:I417"/>
    <mergeCell ref="I418:I419"/>
    <mergeCell ref="I420:I421"/>
    <mergeCell ref="I422:I423"/>
    <mergeCell ref="C424:C433"/>
    <mergeCell ref="I424:I425"/>
    <mergeCell ref="I426:I427"/>
    <mergeCell ref="I428:I429"/>
    <mergeCell ref="I430:I431"/>
    <mergeCell ref="I432:I433"/>
    <mergeCell ref="C434:C443"/>
    <mergeCell ref="I434:I435"/>
    <mergeCell ref="I436:I437"/>
    <mergeCell ref="I438:I439"/>
    <mergeCell ref="I440:I441"/>
    <mergeCell ref="I442:I443"/>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29"/>
  <sheetViews>
    <sheetView showFormulas="false" showGridLines="true" showRowColHeaders="true" showZeros="true" rightToLeft="false" tabSelected="false" showOutlineSymbols="true" defaultGridColor="true" view="normal" topLeftCell="E1232" colorId="64" zoomScale="124" zoomScaleNormal="124"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2" min="1" style="1" width="27.42"/>
    <col collapsed="false" customWidth="true" hidden="false" outlineLevel="0" max="3" min="3" style="1" width="56.74"/>
    <col collapsed="false" customWidth="true" hidden="false" outlineLevel="0" max="4" min="4" style="1" width="66.03"/>
    <col collapsed="false" customWidth="true" hidden="false" outlineLevel="0" max="5" min="5" style="1" width="44.26"/>
    <col collapsed="false" customWidth="true" hidden="false" outlineLevel="0" max="6" min="6" style="1" width="7.47"/>
    <col collapsed="false" customWidth="true" hidden="false" outlineLevel="0" max="7" min="7" style="1" width="27.26"/>
    <col collapsed="false" customWidth="true" hidden="false" outlineLevel="0" max="8" min="8" style="1" width="19.61"/>
    <col collapsed="false" customWidth="true" hidden="false" outlineLevel="0" max="10" min="10" style="1" width="20.45"/>
    <col collapsed="false" customWidth="true" hidden="false" outlineLevel="0" max="11" min="11" style="1" width="23.5"/>
  </cols>
  <sheetData>
    <row r="1" customFormat="false" ht="15" hidden="false" customHeight="false" outlineLevel="0" collapsed="false">
      <c r="A1" s="45" t="s">
        <v>5328</v>
      </c>
      <c r="B1" s="45" t="s">
        <v>3775</v>
      </c>
      <c r="C1" s="46" t="s">
        <v>3776</v>
      </c>
      <c r="D1" s="46" t="s">
        <v>3777</v>
      </c>
      <c r="E1" s="46" t="s">
        <v>3778</v>
      </c>
      <c r="F1" s="46" t="s">
        <v>27</v>
      </c>
      <c r="G1" s="46" t="s">
        <v>3779</v>
      </c>
      <c r="H1" s="46" t="s">
        <v>28</v>
      </c>
      <c r="I1" s="45" t="s">
        <v>29</v>
      </c>
      <c r="J1" s="46" t="s">
        <v>3780</v>
      </c>
      <c r="K1" s="58" t="s">
        <v>3781</v>
      </c>
    </row>
    <row r="2" customFormat="false" ht="68.65" hidden="false" customHeight="false" outlineLevel="0" collapsed="false">
      <c r="A2" s="1" t="s">
        <v>5329</v>
      </c>
      <c r="B2" s="1" t="s">
        <v>5330</v>
      </c>
      <c r="C2" s="59" t="s">
        <v>5331</v>
      </c>
      <c r="D2" s="1" t="s">
        <v>5332</v>
      </c>
      <c r="E2" s="1" t="s">
        <v>5333</v>
      </c>
      <c r="F2" s="57" t="s">
        <v>5334</v>
      </c>
      <c r="G2" s="57" t="s">
        <v>5335</v>
      </c>
      <c r="H2" s="57" t="s">
        <v>5336</v>
      </c>
      <c r="I2" s="34" t="s">
        <v>40</v>
      </c>
      <c r="J2" s="57" t="s">
        <v>5337</v>
      </c>
      <c r="K2" s="57" t="s">
        <v>5338</v>
      </c>
    </row>
    <row r="3" customFormat="false" ht="12.8" hidden="false" customHeight="false" outlineLevel="0" collapsed="false">
      <c r="D3" s="60"/>
      <c r="E3" s="60"/>
      <c r="F3" s="61"/>
      <c r="G3" s="57" t="s">
        <v>5339</v>
      </c>
      <c r="H3" s="57" t="s">
        <v>3792</v>
      </c>
      <c r="I3" s="34"/>
      <c r="J3" s="57" t="s">
        <v>3792</v>
      </c>
      <c r="K3" s="57" t="s">
        <v>3792</v>
      </c>
    </row>
    <row r="4" customFormat="false" ht="79.85" hidden="false" customHeight="false" outlineLevel="0" collapsed="false">
      <c r="D4" s="1" t="s">
        <v>5340</v>
      </c>
      <c r="E4" s="1" t="s">
        <v>5341</v>
      </c>
      <c r="F4" s="57" t="s">
        <v>5342</v>
      </c>
      <c r="G4" s="57" t="s">
        <v>5343</v>
      </c>
      <c r="H4" s="57" t="s">
        <v>5344</v>
      </c>
      <c r="I4" s="37" t="s">
        <v>50</v>
      </c>
      <c r="J4" s="57" t="s">
        <v>5345</v>
      </c>
      <c r="K4" s="57" t="s">
        <v>5346</v>
      </c>
    </row>
    <row r="5" customFormat="false" ht="35.05" hidden="false" customHeight="false" outlineLevel="0" collapsed="false">
      <c r="D5" s="60"/>
      <c r="E5" s="60"/>
      <c r="F5" s="61"/>
      <c r="G5" s="57" t="s">
        <v>5347</v>
      </c>
      <c r="H5" s="57" t="s">
        <v>3792</v>
      </c>
      <c r="I5" s="37"/>
      <c r="J5" s="57" t="s">
        <v>3792</v>
      </c>
      <c r="K5" s="57" t="s">
        <v>3792</v>
      </c>
    </row>
    <row r="6" customFormat="false" ht="79.85" hidden="false" customHeight="false" outlineLevel="0" collapsed="false">
      <c r="D6" s="1" t="s">
        <v>5348</v>
      </c>
      <c r="E6" s="1" t="s">
        <v>5349</v>
      </c>
      <c r="F6" s="0" t="s">
        <v>5334</v>
      </c>
      <c r="G6" s="57" t="s">
        <v>5350</v>
      </c>
      <c r="H6" s="57" t="s">
        <v>5351</v>
      </c>
      <c r="I6" s="34" t="s">
        <v>40</v>
      </c>
      <c r="J6" s="57" t="s">
        <v>5352</v>
      </c>
      <c r="K6" s="57" t="s">
        <v>5353</v>
      </c>
    </row>
    <row r="7" customFormat="false" ht="23.85" hidden="false" customHeight="false" outlineLevel="0" collapsed="false">
      <c r="D7" s="60"/>
      <c r="E7" s="60"/>
      <c r="F7" s="62"/>
      <c r="G7" s="57" t="s">
        <v>5354</v>
      </c>
      <c r="H7" s="57" t="s">
        <v>3792</v>
      </c>
      <c r="I7" s="34"/>
      <c r="J7" s="57" t="s">
        <v>3792</v>
      </c>
      <c r="K7" s="57" t="s">
        <v>3792</v>
      </c>
    </row>
    <row r="8" customFormat="false" ht="57.45" hidden="false" customHeight="false" outlineLevel="0" collapsed="false">
      <c r="D8" s="1" t="s">
        <v>5355</v>
      </c>
      <c r="E8" s="1" t="s">
        <v>5356</v>
      </c>
      <c r="F8" s="0" t="s">
        <v>5334</v>
      </c>
      <c r="G8" s="57" t="s">
        <v>5357</v>
      </c>
      <c r="H8" s="57" t="s">
        <v>5358</v>
      </c>
      <c r="I8" s="39" t="s">
        <v>67</v>
      </c>
      <c r="J8" s="57" t="s">
        <v>5359</v>
      </c>
      <c r="K8" s="57" t="s">
        <v>5360</v>
      </c>
    </row>
    <row r="9" customFormat="false" ht="23.85" hidden="false" customHeight="false" outlineLevel="0" collapsed="false">
      <c r="D9" s="60"/>
      <c r="E9" s="60"/>
      <c r="F9" s="62"/>
      <c r="G9" s="57" t="s">
        <v>5361</v>
      </c>
      <c r="H9" s="57" t="s">
        <v>3792</v>
      </c>
      <c r="I9" s="39"/>
      <c r="J9" s="57" t="s">
        <v>3792</v>
      </c>
      <c r="K9" s="57" t="s">
        <v>3792</v>
      </c>
    </row>
    <row r="10" customFormat="false" ht="57.45" hidden="false" customHeight="false" outlineLevel="0" collapsed="false">
      <c r="C10" s="63"/>
      <c r="D10" s="63" t="s">
        <v>5362</v>
      </c>
      <c r="E10" s="63" t="s">
        <v>5363</v>
      </c>
      <c r="F10" s="0" t="s">
        <v>5342</v>
      </c>
      <c r="G10" s="57" t="s">
        <v>5364</v>
      </c>
      <c r="H10" s="57" t="s">
        <v>5365</v>
      </c>
      <c r="I10" s="34" t="s">
        <v>40</v>
      </c>
      <c r="J10" s="57" t="s">
        <v>5366</v>
      </c>
      <c r="K10" s="57" t="s">
        <v>5367</v>
      </c>
    </row>
    <row r="11" customFormat="false" ht="23.85" hidden="false" customHeight="false" outlineLevel="0" collapsed="false">
      <c r="C11" s="64"/>
      <c r="D11" s="64"/>
      <c r="E11" s="64"/>
      <c r="F11" s="65"/>
      <c r="G11" s="57" t="s">
        <v>5368</v>
      </c>
      <c r="H11" s="57" t="s">
        <v>3792</v>
      </c>
      <c r="I11" s="34"/>
      <c r="J11" s="57" t="s">
        <v>3792</v>
      </c>
      <c r="K11" s="57" t="s">
        <v>3792</v>
      </c>
    </row>
    <row r="12" customFormat="false" ht="57.45" hidden="false" customHeight="false" outlineLevel="0" collapsed="false">
      <c r="C12" s="59" t="s">
        <v>5369</v>
      </c>
      <c r="D12" s="1" t="s">
        <v>5370</v>
      </c>
      <c r="E12" s="1" t="s">
        <v>5371</v>
      </c>
      <c r="F12" s="0" t="s">
        <v>5334</v>
      </c>
      <c r="G12" s="57" t="s">
        <v>5372</v>
      </c>
      <c r="H12" s="57" t="s">
        <v>5373</v>
      </c>
      <c r="I12" s="37" t="s">
        <v>50</v>
      </c>
      <c r="J12" s="57" t="s">
        <v>5374</v>
      </c>
      <c r="K12" s="57" t="s">
        <v>5375</v>
      </c>
    </row>
    <row r="13" customFormat="false" ht="23.85" hidden="false" customHeight="false" outlineLevel="0" collapsed="false">
      <c r="D13" s="60"/>
      <c r="E13" s="60"/>
      <c r="F13" s="62"/>
      <c r="G13" s="57" t="s">
        <v>5376</v>
      </c>
      <c r="H13" s="57" t="s">
        <v>3792</v>
      </c>
      <c r="I13" s="37"/>
      <c r="J13" s="57" t="s">
        <v>3792</v>
      </c>
      <c r="K13" s="57" t="s">
        <v>3792</v>
      </c>
    </row>
    <row r="14" customFormat="false" ht="57.45" hidden="false" customHeight="false" outlineLevel="0" collapsed="false">
      <c r="F14" s="0" t="s">
        <v>5342</v>
      </c>
      <c r="G14" s="57" t="s">
        <v>5377</v>
      </c>
      <c r="H14" s="57" t="s">
        <v>5378</v>
      </c>
      <c r="I14" s="34" t="s">
        <v>40</v>
      </c>
      <c r="J14" s="57" t="s">
        <v>5379</v>
      </c>
      <c r="K14" s="57" t="s">
        <v>5380</v>
      </c>
    </row>
    <row r="15" customFormat="false" ht="23.85" hidden="false" customHeight="false" outlineLevel="0" collapsed="false">
      <c r="D15" s="60" t="s">
        <v>5381</v>
      </c>
      <c r="E15" s="60" t="s">
        <v>5382</v>
      </c>
      <c r="F15" s="62"/>
      <c r="G15" s="57" t="s">
        <v>5383</v>
      </c>
      <c r="H15" s="57" t="s">
        <v>3792</v>
      </c>
      <c r="I15" s="34"/>
      <c r="J15" s="57" t="s">
        <v>3792</v>
      </c>
      <c r="K15" s="57" t="s">
        <v>3792</v>
      </c>
    </row>
    <row r="16" customFormat="false" ht="68.65" hidden="false" customHeight="false" outlineLevel="0" collapsed="false">
      <c r="F16" s="0" t="s">
        <v>5342</v>
      </c>
      <c r="G16" s="57" t="s">
        <v>5384</v>
      </c>
      <c r="H16" s="57" t="s">
        <v>5385</v>
      </c>
      <c r="I16" s="39" t="s">
        <v>67</v>
      </c>
      <c r="J16" s="57" t="s">
        <v>5386</v>
      </c>
      <c r="K16" s="57" t="s">
        <v>5387</v>
      </c>
    </row>
    <row r="17" customFormat="false" ht="23.85" hidden="false" customHeight="false" outlineLevel="0" collapsed="false">
      <c r="D17" s="60" t="s">
        <v>5388</v>
      </c>
      <c r="E17" s="60" t="s">
        <v>5389</v>
      </c>
      <c r="F17" s="62"/>
      <c r="G17" s="57" t="s">
        <v>5390</v>
      </c>
      <c r="H17" s="57" t="s">
        <v>3792</v>
      </c>
      <c r="I17" s="39"/>
      <c r="J17" s="57" t="s">
        <v>3792</v>
      </c>
      <c r="K17" s="57" t="s">
        <v>3792</v>
      </c>
    </row>
    <row r="18" customFormat="false" ht="57.45" hidden="false" customHeight="false" outlineLevel="0" collapsed="false">
      <c r="F18" s="0" t="s">
        <v>5334</v>
      </c>
      <c r="G18" s="57" t="s">
        <v>5391</v>
      </c>
      <c r="H18" s="57" t="s">
        <v>5392</v>
      </c>
      <c r="I18" s="34" t="s">
        <v>40</v>
      </c>
      <c r="J18" s="57" t="s">
        <v>5393</v>
      </c>
      <c r="K18" s="57" t="s">
        <v>5394</v>
      </c>
    </row>
    <row r="19" customFormat="false" ht="12.8" hidden="false" customHeight="false" outlineLevel="0" collapsed="false">
      <c r="D19" s="60" t="s">
        <v>5395</v>
      </c>
      <c r="E19" s="60" t="s">
        <v>5396</v>
      </c>
      <c r="F19" s="62"/>
      <c r="G19" s="57" t="s">
        <v>5397</v>
      </c>
      <c r="H19" s="57" t="s">
        <v>3792</v>
      </c>
      <c r="I19" s="34"/>
      <c r="J19" s="57" t="s">
        <v>3792</v>
      </c>
      <c r="K19" s="57" t="s">
        <v>3792</v>
      </c>
    </row>
    <row r="20" customFormat="false" ht="57.45" hidden="false" customHeight="false" outlineLevel="0" collapsed="false">
      <c r="F20" s="0" t="s">
        <v>5342</v>
      </c>
      <c r="G20" s="57" t="s">
        <v>5398</v>
      </c>
      <c r="H20" s="57" t="s">
        <v>5399</v>
      </c>
      <c r="I20" s="37" t="s">
        <v>50</v>
      </c>
      <c r="J20" s="57" t="s">
        <v>5400</v>
      </c>
      <c r="K20" s="57" t="s">
        <v>5401</v>
      </c>
    </row>
    <row r="21" customFormat="false" ht="23.85" hidden="false" customHeight="false" outlineLevel="0" collapsed="false">
      <c r="C21" s="64"/>
      <c r="D21" s="66" t="s">
        <v>5402</v>
      </c>
      <c r="E21" s="66" t="s">
        <v>5403</v>
      </c>
      <c r="F21" s="65"/>
      <c r="G21" s="57" t="s">
        <v>5404</v>
      </c>
      <c r="H21" s="57" t="s">
        <v>3792</v>
      </c>
      <c r="I21" s="37"/>
      <c r="J21" s="57" t="s">
        <v>3792</v>
      </c>
      <c r="K21" s="57" t="s">
        <v>3792</v>
      </c>
    </row>
    <row r="22" customFormat="false" ht="68.65" hidden="false" customHeight="false" outlineLevel="0" collapsed="false">
      <c r="C22" s="59" t="s">
        <v>5405</v>
      </c>
      <c r="D22" s="1" t="s">
        <v>5406</v>
      </c>
      <c r="E22" s="1" t="s">
        <v>5407</v>
      </c>
      <c r="F22" s="0" t="s">
        <v>5334</v>
      </c>
      <c r="G22" s="57" t="s">
        <v>5408</v>
      </c>
      <c r="H22" s="57" t="s">
        <v>5409</v>
      </c>
      <c r="I22" s="34" t="s">
        <v>40</v>
      </c>
      <c r="J22" s="57" t="s">
        <v>5410</v>
      </c>
      <c r="K22" s="57" t="s">
        <v>5411</v>
      </c>
    </row>
    <row r="23" customFormat="false" ht="23.85" hidden="false" customHeight="false" outlineLevel="0" collapsed="false">
      <c r="D23" s="60"/>
      <c r="E23" s="60"/>
      <c r="F23" s="62"/>
      <c r="G23" s="57" t="s">
        <v>5412</v>
      </c>
      <c r="H23" s="57" t="s">
        <v>3792</v>
      </c>
      <c r="I23" s="34"/>
      <c r="J23" s="57" t="s">
        <v>3792</v>
      </c>
      <c r="K23" s="57" t="s">
        <v>3792</v>
      </c>
    </row>
    <row r="24" customFormat="false" ht="57.45" hidden="false" customHeight="false" outlineLevel="0" collapsed="false">
      <c r="D24" s="1" t="s">
        <v>5413</v>
      </c>
      <c r="E24" s="1" t="s">
        <v>5414</v>
      </c>
      <c r="F24" s="0" t="s">
        <v>5342</v>
      </c>
      <c r="G24" s="57" t="s">
        <v>5415</v>
      </c>
      <c r="H24" s="57" t="s">
        <v>5416</v>
      </c>
      <c r="I24" s="39" t="s">
        <v>67</v>
      </c>
      <c r="J24" s="57" t="s">
        <v>5417</v>
      </c>
      <c r="K24" s="57" t="s">
        <v>5418</v>
      </c>
    </row>
    <row r="25" customFormat="false" ht="23.85" hidden="false" customHeight="false" outlineLevel="0" collapsed="false">
      <c r="D25" s="60"/>
      <c r="E25" s="60"/>
      <c r="F25" s="62"/>
      <c r="G25" s="57" t="s">
        <v>5419</v>
      </c>
      <c r="H25" s="57" t="s">
        <v>3792</v>
      </c>
      <c r="I25" s="39"/>
      <c r="J25" s="57" t="s">
        <v>3792</v>
      </c>
      <c r="K25" s="57" t="s">
        <v>3792</v>
      </c>
    </row>
    <row r="26" customFormat="false" ht="68.65" hidden="false" customHeight="false" outlineLevel="0" collapsed="false">
      <c r="D26" s="1" t="s">
        <v>5420</v>
      </c>
      <c r="E26" s="1" t="s">
        <v>5421</v>
      </c>
      <c r="F26" s="0" t="s">
        <v>5334</v>
      </c>
      <c r="G26" s="57" t="s">
        <v>5422</v>
      </c>
      <c r="H26" s="57" t="s">
        <v>5423</v>
      </c>
      <c r="I26" s="34" t="s">
        <v>40</v>
      </c>
      <c r="J26" s="57" t="s">
        <v>5424</v>
      </c>
      <c r="K26" s="57" t="s">
        <v>5425</v>
      </c>
    </row>
    <row r="27" customFormat="false" ht="12.8" hidden="false" customHeight="false" outlineLevel="0" collapsed="false">
      <c r="D27" s="60"/>
      <c r="E27" s="60"/>
      <c r="F27" s="62"/>
      <c r="G27" s="57" t="s">
        <v>5426</v>
      </c>
      <c r="H27" s="57" t="s">
        <v>3792</v>
      </c>
      <c r="I27" s="34"/>
      <c r="J27" s="57" t="s">
        <v>3792</v>
      </c>
      <c r="K27" s="57" t="s">
        <v>3792</v>
      </c>
    </row>
    <row r="28" customFormat="false" ht="68.65" hidden="false" customHeight="false" outlineLevel="0" collapsed="false">
      <c r="D28" s="1" t="s">
        <v>5427</v>
      </c>
      <c r="E28" s="1" t="s">
        <v>5428</v>
      </c>
      <c r="F28" s="0" t="s">
        <v>5334</v>
      </c>
      <c r="G28" s="57" t="s">
        <v>5429</v>
      </c>
      <c r="H28" s="57" t="s">
        <v>5430</v>
      </c>
      <c r="I28" s="37" t="s">
        <v>50</v>
      </c>
      <c r="J28" s="57" t="s">
        <v>5431</v>
      </c>
      <c r="K28" s="57" t="s">
        <v>5432</v>
      </c>
    </row>
    <row r="29" customFormat="false" ht="35.05" hidden="false" customHeight="false" outlineLevel="0" collapsed="false">
      <c r="D29" s="60"/>
      <c r="E29" s="60"/>
      <c r="F29" s="62"/>
      <c r="G29" s="57" t="s">
        <v>5433</v>
      </c>
      <c r="H29" s="57" t="s">
        <v>3792</v>
      </c>
      <c r="I29" s="37"/>
      <c r="J29" s="57" t="s">
        <v>3792</v>
      </c>
      <c r="K29" s="57" t="s">
        <v>3792</v>
      </c>
    </row>
    <row r="30" customFormat="false" ht="57.45" hidden="false" customHeight="false" outlineLevel="0" collapsed="false">
      <c r="D30" s="1" t="s">
        <v>5434</v>
      </c>
      <c r="E30" s="1" t="s">
        <v>5435</v>
      </c>
      <c r="F30" s="0" t="s">
        <v>5342</v>
      </c>
      <c r="G30" s="57" t="s">
        <v>689</v>
      </c>
      <c r="H30" s="57" t="s">
        <v>5436</v>
      </c>
      <c r="I30" s="34" t="s">
        <v>40</v>
      </c>
      <c r="J30" s="57" t="s">
        <v>5437</v>
      </c>
      <c r="K30" s="57" t="s">
        <v>5438</v>
      </c>
    </row>
    <row r="31" customFormat="false" ht="23.85" hidden="false" customHeight="false" outlineLevel="0" collapsed="false">
      <c r="C31" s="64"/>
      <c r="D31" s="66"/>
      <c r="E31" s="66"/>
      <c r="F31" s="65"/>
      <c r="G31" s="57" t="s">
        <v>5439</v>
      </c>
      <c r="H31" s="57" t="s">
        <v>3792</v>
      </c>
      <c r="I31" s="34"/>
      <c r="J31" s="57" t="s">
        <v>3792</v>
      </c>
      <c r="K31" s="57" t="s">
        <v>3792</v>
      </c>
    </row>
    <row r="32" customFormat="false" ht="57.45" hidden="false" customHeight="false" outlineLevel="0" collapsed="false">
      <c r="C32" s="59" t="s">
        <v>5440</v>
      </c>
      <c r="D32" s="1" t="s">
        <v>5441</v>
      </c>
      <c r="E32" s="1" t="s">
        <v>5442</v>
      </c>
      <c r="F32" s="0" t="s">
        <v>5342</v>
      </c>
      <c r="G32" s="57" t="s">
        <v>5443</v>
      </c>
      <c r="H32" s="57" t="s">
        <v>5444</v>
      </c>
      <c r="I32" s="39" t="s">
        <v>67</v>
      </c>
      <c r="J32" s="57" t="s">
        <v>5445</v>
      </c>
      <c r="K32" s="57" t="s">
        <v>5446</v>
      </c>
    </row>
    <row r="33" customFormat="false" ht="23.85" hidden="false" customHeight="false" outlineLevel="0" collapsed="false">
      <c r="D33" s="60"/>
      <c r="E33" s="60"/>
      <c r="F33" s="62"/>
      <c r="G33" s="57" t="s">
        <v>5447</v>
      </c>
      <c r="H33" s="57" t="s">
        <v>3792</v>
      </c>
      <c r="I33" s="39"/>
      <c r="J33" s="57" t="s">
        <v>3792</v>
      </c>
      <c r="K33" s="57" t="s">
        <v>3792</v>
      </c>
    </row>
    <row r="34" customFormat="false" ht="68.65" hidden="false" customHeight="false" outlineLevel="0" collapsed="false">
      <c r="D34" s="1" t="s">
        <v>5448</v>
      </c>
      <c r="E34" s="1" t="s">
        <v>5449</v>
      </c>
      <c r="F34" s="0" t="s">
        <v>5334</v>
      </c>
      <c r="G34" s="57" t="s">
        <v>5450</v>
      </c>
      <c r="H34" s="57" t="s">
        <v>5451</v>
      </c>
      <c r="I34" s="34" t="s">
        <v>40</v>
      </c>
      <c r="J34" s="57" t="s">
        <v>5452</v>
      </c>
      <c r="K34" s="57" t="s">
        <v>5453</v>
      </c>
    </row>
    <row r="35" customFormat="false" ht="23.85" hidden="false" customHeight="false" outlineLevel="0" collapsed="false">
      <c r="D35" s="60"/>
      <c r="E35" s="60"/>
      <c r="F35" s="62"/>
      <c r="G35" s="57" t="s">
        <v>5454</v>
      </c>
      <c r="H35" s="57" t="s">
        <v>3792</v>
      </c>
      <c r="I35" s="34"/>
      <c r="J35" s="57" t="s">
        <v>3792</v>
      </c>
      <c r="K35" s="57" t="s">
        <v>3792</v>
      </c>
    </row>
    <row r="36" customFormat="false" ht="68.65" hidden="false" customHeight="false" outlineLevel="0" collapsed="false">
      <c r="D36" s="1" t="s">
        <v>5455</v>
      </c>
      <c r="E36" s="1" t="s">
        <v>5456</v>
      </c>
      <c r="F36" s="0" t="s">
        <v>5334</v>
      </c>
      <c r="G36" s="57" t="s">
        <v>5457</v>
      </c>
      <c r="H36" s="57" t="s">
        <v>5458</v>
      </c>
      <c r="I36" s="37" t="s">
        <v>50</v>
      </c>
      <c r="J36" s="57" t="s">
        <v>5459</v>
      </c>
      <c r="K36" s="57" t="s">
        <v>5460</v>
      </c>
    </row>
    <row r="37" customFormat="false" ht="23.85" hidden="false" customHeight="false" outlineLevel="0" collapsed="false">
      <c r="D37" s="60"/>
      <c r="E37" s="60"/>
      <c r="F37" s="62"/>
      <c r="G37" s="57" t="s">
        <v>5461</v>
      </c>
      <c r="H37" s="57" t="s">
        <v>3792</v>
      </c>
      <c r="I37" s="37"/>
      <c r="J37" s="57" t="s">
        <v>3792</v>
      </c>
      <c r="K37" s="57" t="s">
        <v>3792</v>
      </c>
    </row>
    <row r="38" customFormat="false" ht="57.45" hidden="false" customHeight="false" outlineLevel="0" collapsed="false">
      <c r="D38" s="1" t="s">
        <v>5462</v>
      </c>
      <c r="E38" s="1" t="s">
        <v>5463</v>
      </c>
      <c r="F38" s="0" t="s">
        <v>5342</v>
      </c>
      <c r="G38" s="57" t="s">
        <v>5464</v>
      </c>
      <c r="H38" s="57" t="s">
        <v>5465</v>
      </c>
      <c r="I38" s="34" t="s">
        <v>40</v>
      </c>
      <c r="J38" s="57" t="s">
        <v>5466</v>
      </c>
      <c r="K38" s="57" t="s">
        <v>5467</v>
      </c>
    </row>
    <row r="39" customFormat="false" ht="12.8" hidden="false" customHeight="false" outlineLevel="0" collapsed="false">
      <c r="D39" s="60"/>
      <c r="E39" s="60"/>
      <c r="F39" s="62"/>
      <c r="G39" s="57" t="s">
        <v>5468</v>
      </c>
      <c r="H39" s="57" t="s">
        <v>3792</v>
      </c>
      <c r="I39" s="34"/>
      <c r="J39" s="57" t="s">
        <v>3792</v>
      </c>
      <c r="K39" s="57" t="s">
        <v>3792</v>
      </c>
    </row>
    <row r="40" customFormat="false" ht="57.45" hidden="false" customHeight="false" outlineLevel="0" collapsed="false">
      <c r="D40" s="1" t="s">
        <v>5469</v>
      </c>
      <c r="E40" s="1" t="s">
        <v>5470</v>
      </c>
      <c r="F40" s="0" t="s">
        <v>5342</v>
      </c>
      <c r="G40" s="57" t="s">
        <v>5471</v>
      </c>
      <c r="H40" s="57" t="s">
        <v>5472</v>
      </c>
      <c r="I40" s="39" t="s">
        <v>67</v>
      </c>
      <c r="J40" s="57" t="s">
        <v>5473</v>
      </c>
      <c r="K40" s="57" t="s">
        <v>5474</v>
      </c>
    </row>
    <row r="41" customFormat="false" ht="12.8" hidden="false" customHeight="false" outlineLevel="0" collapsed="false">
      <c r="C41" s="64"/>
      <c r="D41" s="66"/>
      <c r="E41" s="66"/>
      <c r="F41" s="65"/>
      <c r="G41" s="57" t="s">
        <v>5475</v>
      </c>
      <c r="H41" s="57" t="s">
        <v>3792</v>
      </c>
      <c r="I41" s="39"/>
      <c r="J41" s="57" t="s">
        <v>3792</v>
      </c>
      <c r="K41" s="57" t="s">
        <v>3792</v>
      </c>
    </row>
    <row r="42" customFormat="false" ht="68.65" hidden="false" customHeight="false" outlineLevel="0" collapsed="false">
      <c r="C42" s="59" t="s">
        <v>5476</v>
      </c>
      <c r="D42" s="1" t="s">
        <v>5477</v>
      </c>
      <c r="E42" s="1" t="s">
        <v>5478</v>
      </c>
      <c r="F42" s="0" t="s">
        <v>5334</v>
      </c>
      <c r="G42" s="57" t="s">
        <v>5479</v>
      </c>
      <c r="H42" s="57" t="s">
        <v>5480</v>
      </c>
      <c r="I42" s="34" t="s">
        <v>40</v>
      </c>
      <c r="J42" s="57" t="s">
        <v>5481</v>
      </c>
      <c r="K42" s="57" t="s">
        <v>5482</v>
      </c>
    </row>
    <row r="43" customFormat="false" ht="12.8" hidden="false" customHeight="false" outlineLevel="0" collapsed="false">
      <c r="D43" s="60"/>
      <c r="E43" s="60"/>
      <c r="F43" s="62"/>
      <c r="G43" s="57" t="s">
        <v>5483</v>
      </c>
      <c r="H43" s="57" t="s">
        <v>3792</v>
      </c>
      <c r="I43" s="34"/>
      <c r="J43" s="57" t="s">
        <v>3792</v>
      </c>
      <c r="K43" s="57" t="s">
        <v>3792</v>
      </c>
    </row>
    <row r="44" customFormat="false" ht="57.45" hidden="false" customHeight="false" outlineLevel="0" collapsed="false">
      <c r="D44" s="1" t="s">
        <v>5484</v>
      </c>
      <c r="E44" s="1" t="s">
        <v>5485</v>
      </c>
      <c r="F44" s="0" t="s">
        <v>5342</v>
      </c>
      <c r="G44" s="57" t="s">
        <v>5486</v>
      </c>
      <c r="H44" s="57" t="s">
        <v>5487</v>
      </c>
      <c r="I44" s="37" t="s">
        <v>50</v>
      </c>
      <c r="J44" s="57" t="s">
        <v>5488</v>
      </c>
      <c r="K44" s="57" t="s">
        <v>5489</v>
      </c>
    </row>
    <row r="45" customFormat="false" ht="23.85" hidden="false" customHeight="false" outlineLevel="0" collapsed="false">
      <c r="D45" s="60"/>
      <c r="E45" s="60"/>
      <c r="F45" s="62"/>
      <c r="G45" s="57" t="s">
        <v>5490</v>
      </c>
      <c r="H45" s="57" t="s">
        <v>3792</v>
      </c>
      <c r="I45" s="37"/>
      <c r="J45" s="57" t="s">
        <v>3792</v>
      </c>
      <c r="K45" s="57" t="s">
        <v>3792</v>
      </c>
    </row>
    <row r="46" customFormat="false" ht="57.45" hidden="false" customHeight="false" outlineLevel="0" collapsed="false">
      <c r="D46" s="1" t="s">
        <v>5491</v>
      </c>
      <c r="E46" s="1" t="s">
        <v>5492</v>
      </c>
      <c r="F46" s="0" t="s">
        <v>5342</v>
      </c>
      <c r="G46" s="57" t="s">
        <v>5493</v>
      </c>
      <c r="H46" s="57" t="s">
        <v>5494</v>
      </c>
      <c r="I46" s="34" t="s">
        <v>40</v>
      </c>
      <c r="J46" s="57" t="s">
        <v>5495</v>
      </c>
      <c r="K46" s="57" t="s">
        <v>5496</v>
      </c>
    </row>
    <row r="47" customFormat="false" ht="23.85" hidden="false" customHeight="false" outlineLevel="0" collapsed="false">
      <c r="D47" s="60"/>
      <c r="E47" s="60"/>
      <c r="F47" s="62"/>
      <c r="G47" s="57" t="s">
        <v>5497</v>
      </c>
      <c r="H47" s="57" t="s">
        <v>3792</v>
      </c>
      <c r="I47" s="34"/>
      <c r="J47" s="57" t="s">
        <v>3792</v>
      </c>
      <c r="K47" s="57" t="s">
        <v>3792</v>
      </c>
    </row>
    <row r="48" customFormat="false" ht="68.65" hidden="false" customHeight="false" outlineLevel="0" collapsed="false">
      <c r="D48" s="1" t="s">
        <v>5498</v>
      </c>
      <c r="E48" s="1" t="s">
        <v>5499</v>
      </c>
      <c r="F48" s="0" t="s">
        <v>5334</v>
      </c>
      <c r="G48" s="57" t="s">
        <v>5500</v>
      </c>
      <c r="H48" s="57" t="s">
        <v>5501</v>
      </c>
      <c r="I48" s="39" t="s">
        <v>67</v>
      </c>
      <c r="J48" s="57" t="s">
        <v>5502</v>
      </c>
      <c r="K48" s="57" t="s">
        <v>5503</v>
      </c>
    </row>
    <row r="49" customFormat="false" ht="23.85" hidden="false" customHeight="false" outlineLevel="0" collapsed="false">
      <c r="D49" s="60"/>
      <c r="E49" s="60"/>
      <c r="F49" s="62"/>
      <c r="G49" s="57" t="s">
        <v>5504</v>
      </c>
      <c r="H49" s="57" t="s">
        <v>3792</v>
      </c>
      <c r="I49" s="39"/>
      <c r="J49" s="57" t="s">
        <v>3792</v>
      </c>
      <c r="K49" s="57" t="s">
        <v>3792</v>
      </c>
    </row>
    <row r="50" customFormat="false" ht="68.65" hidden="false" customHeight="false" outlineLevel="0" collapsed="false">
      <c r="D50" s="1" t="s">
        <v>5505</v>
      </c>
      <c r="E50" s="1" t="s">
        <v>5506</v>
      </c>
      <c r="F50" s="0" t="s">
        <v>5342</v>
      </c>
      <c r="G50" s="57" t="s">
        <v>5507</v>
      </c>
      <c r="H50" s="57" t="s">
        <v>5508</v>
      </c>
      <c r="I50" s="34" t="s">
        <v>40</v>
      </c>
      <c r="J50" s="57" t="s">
        <v>5509</v>
      </c>
      <c r="K50" s="57" t="s">
        <v>5510</v>
      </c>
    </row>
    <row r="51" customFormat="false" ht="12.8" hidden="false" customHeight="false" outlineLevel="0" collapsed="false">
      <c r="C51" s="64"/>
      <c r="D51" s="66"/>
      <c r="E51" s="66"/>
      <c r="F51" s="65"/>
      <c r="G51" s="57" t="s">
        <v>5511</v>
      </c>
      <c r="H51" s="57" t="s">
        <v>3792</v>
      </c>
      <c r="I51" s="34"/>
      <c r="J51" s="57" t="s">
        <v>3792</v>
      </c>
      <c r="K51" s="57" t="s">
        <v>3792</v>
      </c>
    </row>
    <row r="52" customFormat="false" ht="68.65" hidden="false" customHeight="false" outlineLevel="0" collapsed="false">
      <c r="C52" s="1" t="s">
        <v>5512</v>
      </c>
      <c r="D52" s="1" t="s">
        <v>5513</v>
      </c>
      <c r="E52" s="1" t="s">
        <v>5514</v>
      </c>
      <c r="F52" s="0" t="s">
        <v>5334</v>
      </c>
      <c r="G52" s="57" t="s">
        <v>5515</v>
      </c>
      <c r="H52" s="57" t="s">
        <v>5516</v>
      </c>
      <c r="I52" s="37" t="s">
        <v>50</v>
      </c>
      <c r="J52" s="57" t="s">
        <v>5517</v>
      </c>
      <c r="K52" s="57" t="s">
        <v>5518</v>
      </c>
    </row>
    <row r="53" customFormat="false" ht="23.85" hidden="false" customHeight="false" outlineLevel="0" collapsed="false">
      <c r="D53" s="60"/>
      <c r="E53" s="60"/>
      <c r="F53" s="62"/>
      <c r="G53" s="57" t="s">
        <v>5519</v>
      </c>
      <c r="H53" s="57" t="s">
        <v>3792</v>
      </c>
      <c r="I53" s="37"/>
      <c r="J53" s="57" t="s">
        <v>3792</v>
      </c>
      <c r="K53" s="57" t="s">
        <v>3792</v>
      </c>
    </row>
    <row r="54" customFormat="false" ht="57.45" hidden="false" customHeight="false" outlineLevel="0" collapsed="false">
      <c r="D54" s="1" t="s">
        <v>5520</v>
      </c>
      <c r="E54" s="1" t="s">
        <v>5521</v>
      </c>
      <c r="F54" s="0" t="s">
        <v>5334</v>
      </c>
      <c r="G54" s="57" t="s">
        <v>5522</v>
      </c>
      <c r="H54" s="57" t="s">
        <v>5523</v>
      </c>
      <c r="I54" s="34" t="s">
        <v>40</v>
      </c>
      <c r="J54" s="57" t="s">
        <v>5524</v>
      </c>
      <c r="K54" s="57" t="s">
        <v>5525</v>
      </c>
    </row>
    <row r="55" customFormat="false" ht="23.85" hidden="false" customHeight="false" outlineLevel="0" collapsed="false">
      <c r="D55" s="60"/>
      <c r="E55" s="60"/>
      <c r="F55" s="62"/>
      <c r="G55" s="57" t="s">
        <v>5526</v>
      </c>
      <c r="H55" s="57" t="s">
        <v>3792</v>
      </c>
      <c r="I55" s="34"/>
      <c r="J55" s="57" t="s">
        <v>3792</v>
      </c>
      <c r="K55" s="57" t="s">
        <v>3792</v>
      </c>
    </row>
    <row r="56" customFormat="false" ht="46.25" hidden="false" customHeight="false" outlineLevel="0" collapsed="false">
      <c r="D56" s="1" t="s">
        <v>5527</v>
      </c>
      <c r="E56" s="1" t="s">
        <v>5528</v>
      </c>
      <c r="F56" s="0" t="s">
        <v>5342</v>
      </c>
      <c r="G56" s="57" t="s">
        <v>5529</v>
      </c>
      <c r="H56" s="57" t="s">
        <v>5530</v>
      </c>
      <c r="I56" s="39" t="s">
        <v>67</v>
      </c>
      <c r="J56" s="57" t="s">
        <v>5531</v>
      </c>
      <c r="K56" s="57" t="s">
        <v>5532</v>
      </c>
    </row>
    <row r="57" customFormat="false" ht="23.85" hidden="false" customHeight="false" outlineLevel="0" collapsed="false">
      <c r="D57" s="60"/>
      <c r="E57" s="60"/>
      <c r="F57" s="62"/>
      <c r="G57" s="57" t="s">
        <v>5533</v>
      </c>
      <c r="H57" s="57" t="s">
        <v>3792</v>
      </c>
      <c r="I57" s="39"/>
      <c r="J57" s="57" t="s">
        <v>3792</v>
      </c>
      <c r="K57" s="57" t="s">
        <v>3792</v>
      </c>
    </row>
    <row r="58" customFormat="false" ht="68.65" hidden="false" customHeight="false" outlineLevel="0" collapsed="false">
      <c r="D58" s="1" t="s">
        <v>5534</v>
      </c>
      <c r="E58" s="1" t="s">
        <v>5535</v>
      </c>
      <c r="F58" s="0" t="s">
        <v>5334</v>
      </c>
      <c r="G58" s="57" t="s">
        <v>5536</v>
      </c>
      <c r="H58" s="57" t="s">
        <v>5537</v>
      </c>
      <c r="I58" s="34" t="s">
        <v>40</v>
      </c>
      <c r="J58" s="57" t="s">
        <v>5538</v>
      </c>
      <c r="K58" s="57" t="s">
        <v>5539</v>
      </c>
    </row>
    <row r="59" customFormat="false" ht="23.85" hidden="false" customHeight="false" outlineLevel="0" collapsed="false">
      <c r="D59" s="60"/>
      <c r="E59" s="60"/>
      <c r="F59" s="62"/>
      <c r="G59" s="57" t="s">
        <v>5540</v>
      </c>
      <c r="H59" s="57" t="s">
        <v>3792</v>
      </c>
      <c r="I59" s="34"/>
      <c r="J59" s="57" t="s">
        <v>3792</v>
      </c>
      <c r="K59" s="57" t="s">
        <v>3792</v>
      </c>
    </row>
    <row r="60" customFormat="false" ht="68.65" hidden="false" customHeight="false" outlineLevel="0" collapsed="false">
      <c r="D60" s="1" t="s">
        <v>5541</v>
      </c>
      <c r="E60" s="1" t="s">
        <v>5542</v>
      </c>
      <c r="F60" s="0" t="s">
        <v>5334</v>
      </c>
      <c r="G60" s="57" t="s">
        <v>5543</v>
      </c>
      <c r="H60" s="57" t="s">
        <v>5544</v>
      </c>
      <c r="I60" s="37" t="s">
        <v>50</v>
      </c>
      <c r="J60" s="57" t="s">
        <v>5545</v>
      </c>
      <c r="K60" s="57" t="s">
        <v>5546</v>
      </c>
    </row>
    <row r="61" customFormat="false" ht="12.8" hidden="false" customHeight="false" outlineLevel="0" collapsed="false">
      <c r="B61" s="67"/>
      <c r="C61" s="68"/>
      <c r="D61" s="68"/>
      <c r="E61" s="68"/>
      <c r="F61" s="65"/>
      <c r="G61" s="57" t="s">
        <v>5547</v>
      </c>
      <c r="H61" s="57" t="s">
        <v>3792</v>
      </c>
      <c r="I61" s="37"/>
      <c r="J61" s="57" t="s">
        <v>3792</v>
      </c>
      <c r="K61" s="57" t="s">
        <v>3792</v>
      </c>
    </row>
    <row r="62" customFormat="false" ht="57.45" hidden="false" customHeight="false" outlineLevel="0" collapsed="false">
      <c r="B62" s="1" t="s">
        <v>5548</v>
      </c>
      <c r="C62" s="59" t="s">
        <v>5549</v>
      </c>
      <c r="D62" s="1" t="s">
        <v>5550</v>
      </c>
      <c r="E62" s="1" t="s">
        <v>5551</v>
      </c>
      <c r="F62" s="0" t="s">
        <v>5342</v>
      </c>
      <c r="G62" s="57" t="s">
        <v>5552</v>
      </c>
      <c r="H62" s="57" t="s">
        <v>5553</v>
      </c>
      <c r="I62" s="34" t="s">
        <v>40</v>
      </c>
      <c r="J62" s="57" t="s">
        <v>5554</v>
      </c>
      <c r="K62" s="57" t="s">
        <v>5555</v>
      </c>
    </row>
    <row r="63" customFormat="false" ht="23.85" hidden="false" customHeight="false" outlineLevel="0" collapsed="false">
      <c r="D63" s="60"/>
      <c r="E63" s="60"/>
      <c r="F63" s="62"/>
      <c r="G63" s="57" t="s">
        <v>5556</v>
      </c>
      <c r="H63" s="57" t="s">
        <v>3792</v>
      </c>
      <c r="I63" s="34"/>
      <c r="J63" s="57" t="s">
        <v>3792</v>
      </c>
      <c r="K63" s="57" t="s">
        <v>3792</v>
      </c>
    </row>
    <row r="64" customFormat="false" ht="68.65" hidden="false" customHeight="false" outlineLevel="0" collapsed="false">
      <c r="D64" s="1" t="s">
        <v>5557</v>
      </c>
      <c r="E64" s="1" t="s">
        <v>5558</v>
      </c>
      <c r="F64" s="0" t="s">
        <v>5334</v>
      </c>
      <c r="G64" s="57" t="s">
        <v>5559</v>
      </c>
      <c r="H64" s="57" t="s">
        <v>5560</v>
      </c>
      <c r="I64" s="39" t="s">
        <v>67</v>
      </c>
      <c r="J64" s="57" t="s">
        <v>5561</v>
      </c>
      <c r="K64" s="57" t="s">
        <v>5562</v>
      </c>
    </row>
    <row r="65" customFormat="false" ht="23.85" hidden="false" customHeight="false" outlineLevel="0" collapsed="false">
      <c r="D65" s="60"/>
      <c r="E65" s="60"/>
      <c r="F65" s="62"/>
      <c r="G65" s="57" t="s">
        <v>5563</v>
      </c>
      <c r="H65" s="57" t="s">
        <v>3792</v>
      </c>
      <c r="I65" s="39"/>
      <c r="J65" s="57" t="s">
        <v>3792</v>
      </c>
      <c r="K65" s="57" t="s">
        <v>3792</v>
      </c>
    </row>
    <row r="66" customFormat="false" ht="68.65" hidden="false" customHeight="false" outlineLevel="0" collapsed="false">
      <c r="D66" s="1" t="s">
        <v>5564</v>
      </c>
      <c r="E66" s="1" t="s">
        <v>5565</v>
      </c>
      <c r="F66" s="0" t="s">
        <v>5342</v>
      </c>
      <c r="G66" s="57" t="s">
        <v>5335</v>
      </c>
      <c r="H66" s="57" t="s">
        <v>5566</v>
      </c>
      <c r="I66" s="34" t="s">
        <v>40</v>
      </c>
      <c r="J66" s="57" t="s">
        <v>5567</v>
      </c>
      <c r="K66" s="57" t="s">
        <v>5568</v>
      </c>
    </row>
    <row r="67" customFormat="false" ht="12.8" hidden="false" customHeight="false" outlineLevel="0" collapsed="false">
      <c r="D67" s="60"/>
      <c r="E67" s="60"/>
      <c r="F67" s="62"/>
      <c r="G67" s="57" t="s">
        <v>5339</v>
      </c>
      <c r="H67" s="57" t="s">
        <v>3792</v>
      </c>
      <c r="I67" s="34"/>
      <c r="J67" s="57" t="s">
        <v>3792</v>
      </c>
      <c r="K67" s="57" t="s">
        <v>3792</v>
      </c>
    </row>
    <row r="68" customFormat="false" ht="46.25" hidden="false" customHeight="false" outlineLevel="0" collapsed="false">
      <c r="D68" s="1" t="s">
        <v>5569</v>
      </c>
      <c r="E68" s="1" t="s">
        <v>5570</v>
      </c>
      <c r="F68" s="0" t="s">
        <v>5342</v>
      </c>
      <c r="G68" s="57" t="s">
        <v>5343</v>
      </c>
      <c r="H68" s="57" t="s">
        <v>5571</v>
      </c>
      <c r="I68" s="37" t="s">
        <v>50</v>
      </c>
      <c r="J68" s="57" t="s">
        <v>5572</v>
      </c>
      <c r="K68" s="57" t="s">
        <v>5573</v>
      </c>
    </row>
    <row r="69" customFormat="false" ht="35.05" hidden="false" customHeight="false" outlineLevel="0" collapsed="false">
      <c r="D69" s="60"/>
      <c r="E69" s="60"/>
      <c r="F69" s="62"/>
      <c r="G69" s="57" t="s">
        <v>5347</v>
      </c>
      <c r="H69" s="57" t="s">
        <v>3792</v>
      </c>
      <c r="I69" s="37"/>
      <c r="J69" s="57" t="s">
        <v>3792</v>
      </c>
      <c r="K69" s="57" t="s">
        <v>3792</v>
      </c>
    </row>
    <row r="70" customFormat="false" ht="68.65" hidden="false" customHeight="false" outlineLevel="0" collapsed="false">
      <c r="D70" s="1" t="s">
        <v>5574</v>
      </c>
      <c r="E70" s="1" t="s">
        <v>5575</v>
      </c>
      <c r="F70" s="0" t="s">
        <v>5334</v>
      </c>
      <c r="G70" s="57" t="s">
        <v>5350</v>
      </c>
      <c r="H70" s="57" t="s">
        <v>5576</v>
      </c>
      <c r="I70" s="34" t="s">
        <v>40</v>
      </c>
      <c r="J70" s="57" t="s">
        <v>5577</v>
      </c>
      <c r="K70" s="57" t="s">
        <v>5578</v>
      </c>
    </row>
    <row r="71" customFormat="false" ht="23.85" hidden="false" customHeight="false" outlineLevel="0" collapsed="false">
      <c r="C71" s="64"/>
      <c r="D71" s="66"/>
      <c r="E71" s="66"/>
      <c r="F71" s="65"/>
      <c r="G71" s="57" t="s">
        <v>5354</v>
      </c>
      <c r="H71" s="57" t="s">
        <v>3792</v>
      </c>
      <c r="I71" s="34"/>
      <c r="J71" s="57" t="s">
        <v>3792</v>
      </c>
      <c r="K71" s="57" t="s">
        <v>3792</v>
      </c>
    </row>
    <row r="72" customFormat="false" ht="57.45" hidden="false" customHeight="false" outlineLevel="0" collapsed="false">
      <c r="C72" s="59" t="s">
        <v>5579</v>
      </c>
      <c r="D72" s="1" t="s">
        <v>5580</v>
      </c>
      <c r="E72" s="1" t="s">
        <v>5581</v>
      </c>
      <c r="F72" s="0" t="s">
        <v>5334</v>
      </c>
      <c r="G72" s="57" t="s">
        <v>5357</v>
      </c>
      <c r="H72" s="57" t="s">
        <v>5582</v>
      </c>
      <c r="I72" s="39" t="s">
        <v>67</v>
      </c>
      <c r="J72" s="57" t="s">
        <v>5583</v>
      </c>
      <c r="K72" s="57" t="s">
        <v>5584</v>
      </c>
    </row>
    <row r="73" customFormat="false" ht="23.85" hidden="false" customHeight="false" outlineLevel="0" collapsed="false">
      <c r="D73" s="60"/>
      <c r="E73" s="60"/>
      <c r="F73" s="62"/>
      <c r="G73" s="57" t="s">
        <v>5361</v>
      </c>
      <c r="H73" s="57" t="s">
        <v>3792</v>
      </c>
      <c r="I73" s="39"/>
      <c r="J73" s="57" t="s">
        <v>3792</v>
      </c>
      <c r="K73" s="57" t="s">
        <v>3792</v>
      </c>
    </row>
    <row r="74" customFormat="false" ht="68.65" hidden="false" customHeight="false" outlineLevel="0" collapsed="false">
      <c r="D74" s="1" t="s">
        <v>5585</v>
      </c>
      <c r="E74" s="1" t="s">
        <v>5586</v>
      </c>
      <c r="F74" s="0" t="s">
        <v>5342</v>
      </c>
      <c r="G74" s="57" t="s">
        <v>5364</v>
      </c>
      <c r="H74" s="57" t="s">
        <v>5587</v>
      </c>
      <c r="I74" s="34" t="s">
        <v>40</v>
      </c>
      <c r="J74" s="57" t="s">
        <v>5588</v>
      </c>
      <c r="K74" s="57" t="s">
        <v>5589</v>
      </c>
    </row>
    <row r="75" customFormat="false" ht="23.85" hidden="false" customHeight="false" outlineLevel="0" collapsed="false">
      <c r="D75" s="60"/>
      <c r="E75" s="60"/>
      <c r="F75" s="62"/>
      <c r="G75" s="57" t="s">
        <v>5368</v>
      </c>
      <c r="H75" s="57" t="s">
        <v>3792</v>
      </c>
      <c r="I75" s="34"/>
      <c r="J75" s="57" t="s">
        <v>3792</v>
      </c>
      <c r="K75" s="57" t="s">
        <v>3792</v>
      </c>
    </row>
    <row r="76" customFormat="false" ht="46.25" hidden="false" customHeight="false" outlineLevel="0" collapsed="false">
      <c r="D76" s="1" t="s">
        <v>5590</v>
      </c>
      <c r="E76" s="1" t="s">
        <v>5591</v>
      </c>
      <c r="F76" s="0" t="s">
        <v>5334</v>
      </c>
      <c r="G76" s="57" t="s">
        <v>5372</v>
      </c>
      <c r="H76" s="57" t="s">
        <v>5592</v>
      </c>
      <c r="I76" s="37" t="s">
        <v>50</v>
      </c>
      <c r="J76" s="57" t="s">
        <v>5593</v>
      </c>
      <c r="K76" s="57" t="s">
        <v>5594</v>
      </c>
    </row>
    <row r="77" customFormat="false" ht="23.85" hidden="false" customHeight="false" outlineLevel="0" collapsed="false">
      <c r="D77" s="60"/>
      <c r="E77" s="60"/>
      <c r="F77" s="62"/>
      <c r="G77" s="57" t="s">
        <v>5376</v>
      </c>
      <c r="H77" s="57" t="s">
        <v>3792</v>
      </c>
      <c r="I77" s="37"/>
      <c r="J77" s="57" t="s">
        <v>3792</v>
      </c>
      <c r="K77" s="57" t="s">
        <v>3792</v>
      </c>
    </row>
    <row r="78" customFormat="false" ht="57.45" hidden="false" customHeight="false" outlineLevel="0" collapsed="false">
      <c r="D78" s="1" t="s">
        <v>5595</v>
      </c>
      <c r="E78" s="1" t="s">
        <v>5596</v>
      </c>
      <c r="F78" s="0" t="s">
        <v>5334</v>
      </c>
      <c r="G78" s="57" t="s">
        <v>5377</v>
      </c>
      <c r="H78" s="57" t="s">
        <v>5597</v>
      </c>
      <c r="I78" s="34" t="s">
        <v>40</v>
      </c>
      <c r="J78" s="57" t="s">
        <v>5598</v>
      </c>
      <c r="K78" s="57" t="s">
        <v>5599</v>
      </c>
    </row>
    <row r="79" customFormat="false" ht="23.85" hidden="false" customHeight="false" outlineLevel="0" collapsed="false">
      <c r="D79" s="60"/>
      <c r="E79" s="60"/>
      <c r="F79" s="62"/>
      <c r="G79" s="57" t="s">
        <v>5383</v>
      </c>
      <c r="H79" s="57" t="s">
        <v>3792</v>
      </c>
      <c r="I79" s="34"/>
      <c r="J79" s="57" t="s">
        <v>3792</v>
      </c>
      <c r="K79" s="57" t="s">
        <v>3792</v>
      </c>
    </row>
    <row r="80" customFormat="false" ht="46.25" hidden="false" customHeight="false" outlineLevel="0" collapsed="false">
      <c r="D80" s="1" t="s">
        <v>5600</v>
      </c>
      <c r="E80" s="1" t="s">
        <v>5601</v>
      </c>
      <c r="F80" s="0" t="s">
        <v>5334</v>
      </c>
      <c r="G80" s="57" t="s">
        <v>5384</v>
      </c>
      <c r="H80" s="57" t="s">
        <v>5602</v>
      </c>
      <c r="I80" s="39" t="s">
        <v>67</v>
      </c>
      <c r="J80" s="57" t="s">
        <v>5603</v>
      </c>
      <c r="K80" s="57" t="s">
        <v>5604</v>
      </c>
    </row>
    <row r="81" customFormat="false" ht="23.85" hidden="false" customHeight="false" outlineLevel="0" collapsed="false">
      <c r="C81" s="64"/>
      <c r="D81" s="66"/>
      <c r="E81" s="66"/>
      <c r="F81" s="65"/>
      <c r="G81" s="57" t="s">
        <v>5390</v>
      </c>
      <c r="H81" s="57" t="s">
        <v>3792</v>
      </c>
      <c r="I81" s="39"/>
      <c r="J81" s="57" t="s">
        <v>3792</v>
      </c>
      <c r="K81" s="57" t="s">
        <v>3792</v>
      </c>
    </row>
    <row r="82" customFormat="false" ht="57.45" hidden="false" customHeight="false" outlineLevel="0" collapsed="false">
      <c r="C82" s="59" t="s">
        <v>5605</v>
      </c>
      <c r="D82" s="1" t="s">
        <v>5606</v>
      </c>
      <c r="E82" s="1" t="s">
        <v>5607</v>
      </c>
      <c r="F82" s="0" t="s">
        <v>5342</v>
      </c>
      <c r="G82" s="57" t="s">
        <v>5391</v>
      </c>
      <c r="H82" s="57" t="s">
        <v>5608</v>
      </c>
      <c r="I82" s="34" t="s">
        <v>40</v>
      </c>
      <c r="J82" s="57" t="s">
        <v>5609</v>
      </c>
      <c r="K82" s="57" t="s">
        <v>5610</v>
      </c>
    </row>
    <row r="83" customFormat="false" ht="12.8" hidden="false" customHeight="false" outlineLevel="0" collapsed="false">
      <c r="D83" s="60"/>
      <c r="E83" s="60"/>
      <c r="F83" s="62"/>
      <c r="G83" s="57" t="s">
        <v>5397</v>
      </c>
      <c r="H83" s="57" t="s">
        <v>3792</v>
      </c>
      <c r="I83" s="34"/>
      <c r="J83" s="57" t="s">
        <v>3792</v>
      </c>
      <c r="K83" s="57" t="s">
        <v>3792</v>
      </c>
    </row>
    <row r="84" customFormat="false" ht="57.45" hidden="false" customHeight="false" outlineLevel="0" collapsed="false">
      <c r="D84" s="1" t="s">
        <v>5611</v>
      </c>
      <c r="E84" s="1" t="s">
        <v>5612</v>
      </c>
      <c r="F84" s="0" t="s">
        <v>5334</v>
      </c>
      <c r="G84" s="57" t="s">
        <v>5398</v>
      </c>
      <c r="H84" s="57" t="s">
        <v>5613</v>
      </c>
      <c r="I84" s="37" t="s">
        <v>50</v>
      </c>
      <c r="J84" s="57" t="s">
        <v>5614</v>
      </c>
      <c r="K84" s="57" t="s">
        <v>5615</v>
      </c>
    </row>
    <row r="85" customFormat="false" ht="23.85" hidden="false" customHeight="false" outlineLevel="0" collapsed="false">
      <c r="D85" s="60"/>
      <c r="E85" s="60"/>
      <c r="F85" s="62"/>
      <c r="G85" s="57" t="s">
        <v>5404</v>
      </c>
      <c r="H85" s="57" t="s">
        <v>3792</v>
      </c>
      <c r="I85" s="37"/>
      <c r="J85" s="57" t="s">
        <v>3792</v>
      </c>
      <c r="K85" s="57" t="s">
        <v>3792</v>
      </c>
    </row>
    <row r="86" customFormat="false" ht="57.45" hidden="false" customHeight="false" outlineLevel="0" collapsed="false">
      <c r="D86" s="1" t="s">
        <v>5616</v>
      </c>
      <c r="E86" s="1" t="s">
        <v>5617</v>
      </c>
      <c r="F86" s="0" t="s">
        <v>5334</v>
      </c>
      <c r="G86" s="57" t="s">
        <v>5408</v>
      </c>
      <c r="H86" s="57" t="s">
        <v>5618</v>
      </c>
      <c r="I86" s="34" t="s">
        <v>40</v>
      </c>
      <c r="J86" s="57" t="s">
        <v>5619</v>
      </c>
      <c r="K86" s="57" t="s">
        <v>5620</v>
      </c>
    </row>
    <row r="87" customFormat="false" ht="23.85" hidden="false" customHeight="false" outlineLevel="0" collapsed="false">
      <c r="D87" s="60"/>
      <c r="E87" s="60"/>
      <c r="F87" s="62"/>
      <c r="G87" s="57" t="s">
        <v>5412</v>
      </c>
      <c r="H87" s="57" t="s">
        <v>3792</v>
      </c>
      <c r="I87" s="34"/>
      <c r="J87" s="57" t="s">
        <v>3792</v>
      </c>
      <c r="K87" s="57" t="s">
        <v>3792</v>
      </c>
    </row>
    <row r="88" customFormat="false" ht="57.45" hidden="false" customHeight="false" outlineLevel="0" collapsed="false">
      <c r="D88" s="1" t="s">
        <v>5621</v>
      </c>
      <c r="E88" s="1" t="s">
        <v>5622</v>
      </c>
      <c r="F88" s="0" t="s">
        <v>5342</v>
      </c>
      <c r="G88" s="57" t="s">
        <v>5415</v>
      </c>
      <c r="H88" s="57" t="s">
        <v>5623</v>
      </c>
      <c r="I88" s="39" t="s">
        <v>67</v>
      </c>
      <c r="J88" s="57" t="s">
        <v>5624</v>
      </c>
      <c r="K88" s="57" t="s">
        <v>5625</v>
      </c>
    </row>
    <row r="89" customFormat="false" ht="23.85" hidden="false" customHeight="false" outlineLevel="0" collapsed="false">
      <c r="D89" s="60"/>
      <c r="E89" s="60"/>
      <c r="F89" s="62"/>
      <c r="G89" s="57" t="s">
        <v>5419</v>
      </c>
      <c r="H89" s="57" t="s">
        <v>3792</v>
      </c>
      <c r="I89" s="39"/>
      <c r="J89" s="57" t="s">
        <v>3792</v>
      </c>
      <c r="K89" s="57" t="s">
        <v>3792</v>
      </c>
    </row>
    <row r="90" customFormat="false" ht="57.45" hidden="false" customHeight="false" outlineLevel="0" collapsed="false">
      <c r="D90" s="1" t="s">
        <v>5626</v>
      </c>
      <c r="E90" s="1" t="s">
        <v>5627</v>
      </c>
      <c r="F90" s="0" t="s">
        <v>5342</v>
      </c>
      <c r="G90" s="57" t="s">
        <v>5422</v>
      </c>
      <c r="H90" s="57" t="s">
        <v>5628</v>
      </c>
      <c r="I90" s="34" t="s">
        <v>40</v>
      </c>
      <c r="J90" s="57" t="s">
        <v>5629</v>
      </c>
      <c r="K90" s="57" t="s">
        <v>5630</v>
      </c>
    </row>
    <row r="91" customFormat="false" ht="12.8" hidden="false" customHeight="false" outlineLevel="0" collapsed="false">
      <c r="C91" s="64"/>
      <c r="D91" s="66"/>
      <c r="E91" s="66"/>
      <c r="F91" s="65"/>
      <c r="G91" s="57" t="s">
        <v>5426</v>
      </c>
      <c r="H91" s="57" t="s">
        <v>3792</v>
      </c>
      <c r="I91" s="34"/>
      <c r="J91" s="57" t="s">
        <v>3792</v>
      </c>
      <c r="K91" s="57" t="s">
        <v>3792</v>
      </c>
    </row>
    <row r="92" customFormat="false" ht="57.45" hidden="false" customHeight="false" outlineLevel="0" collapsed="false">
      <c r="C92" s="59" t="s">
        <v>5631</v>
      </c>
      <c r="D92" s="1" t="s">
        <v>5632</v>
      </c>
      <c r="E92" s="1" t="s">
        <v>5633</v>
      </c>
      <c r="F92" s="0" t="s">
        <v>5334</v>
      </c>
      <c r="G92" s="57" t="s">
        <v>5429</v>
      </c>
      <c r="H92" s="57" t="s">
        <v>5634</v>
      </c>
      <c r="I92" s="37" t="s">
        <v>50</v>
      </c>
      <c r="J92" s="57" t="s">
        <v>5635</v>
      </c>
      <c r="K92" s="57" t="s">
        <v>5636</v>
      </c>
    </row>
    <row r="93" customFormat="false" ht="35.05" hidden="false" customHeight="false" outlineLevel="0" collapsed="false">
      <c r="D93" s="60"/>
      <c r="E93" s="60"/>
      <c r="F93" s="62"/>
      <c r="G93" s="57" t="s">
        <v>5433</v>
      </c>
      <c r="H93" s="57" t="s">
        <v>3792</v>
      </c>
      <c r="I93" s="37"/>
      <c r="J93" s="57" t="s">
        <v>3792</v>
      </c>
      <c r="K93" s="57" t="s">
        <v>3792</v>
      </c>
    </row>
    <row r="94" customFormat="false" ht="46.25" hidden="false" customHeight="false" outlineLevel="0" collapsed="false">
      <c r="D94" s="1" t="s">
        <v>5637</v>
      </c>
      <c r="E94" s="1" t="s">
        <v>5638</v>
      </c>
      <c r="F94" s="0" t="s">
        <v>5334</v>
      </c>
      <c r="G94" s="57" t="s">
        <v>689</v>
      </c>
      <c r="H94" s="57" t="s">
        <v>5639</v>
      </c>
      <c r="I94" s="34" t="s">
        <v>40</v>
      </c>
      <c r="J94" s="57" t="s">
        <v>5640</v>
      </c>
      <c r="K94" s="57" t="s">
        <v>5641</v>
      </c>
    </row>
    <row r="95" customFormat="false" ht="23.85" hidden="false" customHeight="false" outlineLevel="0" collapsed="false">
      <c r="D95" s="60"/>
      <c r="E95" s="60"/>
      <c r="F95" s="62"/>
      <c r="G95" s="57" t="s">
        <v>5439</v>
      </c>
      <c r="H95" s="57" t="s">
        <v>3792</v>
      </c>
      <c r="I95" s="34"/>
      <c r="J95" s="57" t="s">
        <v>3792</v>
      </c>
      <c r="K95" s="57" t="s">
        <v>3792</v>
      </c>
    </row>
    <row r="96" customFormat="false" ht="57.45" hidden="false" customHeight="false" outlineLevel="0" collapsed="false">
      <c r="D96" s="1" t="s">
        <v>5642</v>
      </c>
      <c r="E96" s="1" t="s">
        <v>5643</v>
      </c>
      <c r="F96" s="0" t="s">
        <v>5342</v>
      </c>
      <c r="G96" s="57" t="s">
        <v>5443</v>
      </c>
      <c r="H96" s="57" t="s">
        <v>5644</v>
      </c>
      <c r="I96" s="39" t="s">
        <v>67</v>
      </c>
      <c r="J96" s="57" t="s">
        <v>5645</v>
      </c>
      <c r="K96" s="57" t="s">
        <v>5646</v>
      </c>
    </row>
    <row r="97" customFormat="false" ht="23.85" hidden="false" customHeight="false" outlineLevel="0" collapsed="false">
      <c r="D97" s="60"/>
      <c r="E97" s="60"/>
      <c r="F97" s="62"/>
      <c r="G97" s="57" t="s">
        <v>5447</v>
      </c>
      <c r="H97" s="57" t="s">
        <v>3792</v>
      </c>
      <c r="I97" s="39"/>
      <c r="J97" s="57" t="s">
        <v>3792</v>
      </c>
      <c r="K97" s="57" t="s">
        <v>3792</v>
      </c>
    </row>
    <row r="98" customFormat="false" ht="57.45" hidden="false" customHeight="false" outlineLevel="0" collapsed="false">
      <c r="D98" s="1" t="s">
        <v>5647</v>
      </c>
      <c r="E98" s="1" t="s">
        <v>5648</v>
      </c>
      <c r="F98" s="0" t="s">
        <v>5342</v>
      </c>
      <c r="G98" s="57" t="s">
        <v>5450</v>
      </c>
      <c r="H98" s="57" t="s">
        <v>5649</v>
      </c>
      <c r="I98" s="34" t="s">
        <v>40</v>
      </c>
      <c r="J98" s="57" t="s">
        <v>5650</v>
      </c>
      <c r="K98" s="57" t="s">
        <v>5651</v>
      </c>
    </row>
    <row r="99" customFormat="false" ht="23.85" hidden="false" customHeight="false" outlineLevel="0" collapsed="false">
      <c r="D99" s="60"/>
      <c r="E99" s="60"/>
      <c r="F99" s="62"/>
      <c r="G99" s="57" t="s">
        <v>5454</v>
      </c>
      <c r="H99" s="57" t="s">
        <v>3792</v>
      </c>
      <c r="I99" s="34"/>
      <c r="J99" s="57" t="s">
        <v>3792</v>
      </c>
      <c r="K99" s="57" t="s">
        <v>3792</v>
      </c>
    </row>
    <row r="100" customFormat="false" ht="46.25" hidden="false" customHeight="false" outlineLevel="0" collapsed="false">
      <c r="D100" s="1" t="s">
        <v>5652</v>
      </c>
      <c r="E100" s="1" t="s">
        <v>5653</v>
      </c>
      <c r="F100" s="0" t="s">
        <v>5342</v>
      </c>
      <c r="G100" s="57" t="s">
        <v>5457</v>
      </c>
      <c r="H100" s="57" t="s">
        <v>5654</v>
      </c>
      <c r="I100" s="37" t="s">
        <v>50</v>
      </c>
      <c r="J100" s="57" t="s">
        <v>5655</v>
      </c>
      <c r="K100" s="57" t="s">
        <v>5656</v>
      </c>
    </row>
    <row r="101" customFormat="false" ht="23.85" hidden="false" customHeight="false" outlineLevel="0" collapsed="false">
      <c r="C101" s="64"/>
      <c r="D101" s="66"/>
      <c r="E101" s="66"/>
      <c r="F101" s="69"/>
      <c r="G101" s="57" t="s">
        <v>5461</v>
      </c>
      <c r="H101" s="57" t="s">
        <v>3792</v>
      </c>
      <c r="I101" s="37"/>
      <c r="J101" s="57" t="s">
        <v>3792</v>
      </c>
      <c r="K101" s="57" t="s">
        <v>3792</v>
      </c>
    </row>
    <row r="102" customFormat="false" ht="46.25" hidden="false" customHeight="false" outlineLevel="0" collapsed="false">
      <c r="C102" s="1" t="s">
        <v>5657</v>
      </c>
      <c r="D102" s="1" t="s">
        <v>5658</v>
      </c>
      <c r="E102" s="1" t="s">
        <v>5659</v>
      </c>
      <c r="F102" s="0" t="s">
        <v>5334</v>
      </c>
      <c r="G102" s="57" t="s">
        <v>5464</v>
      </c>
      <c r="H102" s="57" t="s">
        <v>5660</v>
      </c>
      <c r="I102" s="34" t="s">
        <v>40</v>
      </c>
      <c r="J102" s="57" t="s">
        <v>5661</v>
      </c>
      <c r="K102" s="57" t="s">
        <v>5662</v>
      </c>
    </row>
    <row r="103" customFormat="false" ht="12.8" hidden="false" customHeight="false" outlineLevel="0" collapsed="false">
      <c r="D103" s="60"/>
      <c r="E103" s="60"/>
      <c r="F103" s="62"/>
      <c r="G103" s="57" t="s">
        <v>5468</v>
      </c>
      <c r="H103" s="57" t="s">
        <v>3792</v>
      </c>
      <c r="I103" s="34"/>
      <c r="J103" s="57" t="s">
        <v>3792</v>
      </c>
      <c r="K103" s="57" t="s">
        <v>3792</v>
      </c>
    </row>
    <row r="104" customFormat="false" ht="68.65" hidden="false" customHeight="false" outlineLevel="0" collapsed="false">
      <c r="D104" s="1" t="s">
        <v>5663</v>
      </c>
      <c r="E104" s="1" t="s">
        <v>5664</v>
      </c>
      <c r="F104" s="0" t="s">
        <v>5342</v>
      </c>
      <c r="G104" s="57" t="s">
        <v>5471</v>
      </c>
      <c r="H104" s="57" t="s">
        <v>5665</v>
      </c>
      <c r="I104" s="39" t="s">
        <v>67</v>
      </c>
      <c r="J104" s="57" t="s">
        <v>5666</v>
      </c>
      <c r="K104" s="57" t="s">
        <v>5667</v>
      </c>
    </row>
    <row r="105" customFormat="false" ht="12.8" hidden="false" customHeight="false" outlineLevel="0" collapsed="false">
      <c r="D105" s="60"/>
      <c r="E105" s="60"/>
      <c r="F105" s="62"/>
      <c r="G105" s="57" t="s">
        <v>5475</v>
      </c>
      <c r="H105" s="57" t="s">
        <v>3792</v>
      </c>
      <c r="I105" s="39"/>
      <c r="J105" s="57" t="s">
        <v>3792</v>
      </c>
      <c r="K105" s="57" t="s">
        <v>3792</v>
      </c>
    </row>
    <row r="106" customFormat="false" ht="46.25" hidden="false" customHeight="false" outlineLevel="0" collapsed="false">
      <c r="D106" s="1" t="s">
        <v>5668</v>
      </c>
      <c r="E106" s="1" t="s">
        <v>5669</v>
      </c>
      <c r="F106" s="0" t="s">
        <v>5334</v>
      </c>
      <c r="G106" s="57" t="s">
        <v>5479</v>
      </c>
      <c r="H106" s="57" t="s">
        <v>5670</v>
      </c>
      <c r="I106" s="34" t="s">
        <v>40</v>
      </c>
      <c r="J106" s="57" t="s">
        <v>5671</v>
      </c>
      <c r="K106" s="57" t="s">
        <v>5672</v>
      </c>
    </row>
    <row r="107" customFormat="false" ht="12.8" hidden="false" customHeight="false" outlineLevel="0" collapsed="false">
      <c r="D107" s="60"/>
      <c r="E107" s="60"/>
      <c r="F107" s="62"/>
      <c r="G107" s="57" t="s">
        <v>5483</v>
      </c>
      <c r="H107" s="57" t="s">
        <v>3792</v>
      </c>
      <c r="I107" s="34"/>
      <c r="J107" s="57" t="s">
        <v>3792</v>
      </c>
      <c r="K107" s="57" t="s">
        <v>3792</v>
      </c>
    </row>
    <row r="108" customFormat="false" ht="46.25" hidden="false" customHeight="false" outlineLevel="0" collapsed="false">
      <c r="D108" s="1" t="s">
        <v>5673</v>
      </c>
      <c r="E108" s="1" t="s">
        <v>5674</v>
      </c>
      <c r="F108" s="0" t="s">
        <v>5342</v>
      </c>
      <c r="G108" s="57" t="s">
        <v>5486</v>
      </c>
      <c r="H108" s="57" t="s">
        <v>5675</v>
      </c>
      <c r="I108" s="37" t="s">
        <v>50</v>
      </c>
      <c r="J108" s="57" t="s">
        <v>5676</v>
      </c>
      <c r="K108" s="57" t="s">
        <v>5677</v>
      </c>
    </row>
    <row r="109" customFormat="false" ht="23.85" hidden="false" customHeight="false" outlineLevel="0" collapsed="false">
      <c r="D109" s="60"/>
      <c r="E109" s="60"/>
      <c r="F109" s="62"/>
      <c r="G109" s="57" t="s">
        <v>5490</v>
      </c>
      <c r="H109" s="57" t="s">
        <v>3792</v>
      </c>
      <c r="I109" s="37"/>
      <c r="J109" s="57" t="s">
        <v>3792</v>
      </c>
      <c r="K109" s="57" t="s">
        <v>3792</v>
      </c>
    </row>
    <row r="110" customFormat="false" ht="57.45" hidden="false" customHeight="false" outlineLevel="0" collapsed="false">
      <c r="D110" s="1" t="s">
        <v>5678</v>
      </c>
      <c r="E110" s="1" t="s">
        <v>5679</v>
      </c>
      <c r="F110" s="0" t="s">
        <v>5334</v>
      </c>
      <c r="G110" s="57" t="s">
        <v>5493</v>
      </c>
      <c r="H110" s="57" t="s">
        <v>5680</v>
      </c>
      <c r="I110" s="34" t="s">
        <v>40</v>
      </c>
      <c r="J110" s="57" t="s">
        <v>5681</v>
      </c>
      <c r="K110" s="57" t="s">
        <v>5682</v>
      </c>
    </row>
    <row r="111" customFormat="false" ht="23.85" hidden="false" customHeight="false" outlineLevel="0" collapsed="false">
      <c r="B111" s="67"/>
      <c r="C111" s="68"/>
      <c r="D111" s="68"/>
      <c r="E111" s="68"/>
      <c r="F111" s="65"/>
      <c r="G111" s="57" t="s">
        <v>5497</v>
      </c>
      <c r="H111" s="57" t="s">
        <v>3792</v>
      </c>
      <c r="I111" s="34"/>
      <c r="J111" s="57" t="s">
        <v>3792</v>
      </c>
      <c r="K111" s="57" t="s">
        <v>3792</v>
      </c>
    </row>
    <row r="112" customFormat="false" ht="46.25" hidden="false" customHeight="false" outlineLevel="0" collapsed="false">
      <c r="B112" s="1" t="s">
        <v>5683</v>
      </c>
      <c r="C112" s="59" t="s">
        <v>5684</v>
      </c>
      <c r="D112" s="1" t="s">
        <v>5685</v>
      </c>
      <c r="E112" s="1" t="s">
        <v>5686</v>
      </c>
      <c r="F112" s="0" t="s">
        <v>5342</v>
      </c>
      <c r="G112" s="57" t="s">
        <v>5500</v>
      </c>
      <c r="H112" s="57" t="s">
        <v>5687</v>
      </c>
      <c r="I112" s="39" t="s">
        <v>67</v>
      </c>
      <c r="J112" s="57" t="s">
        <v>5688</v>
      </c>
      <c r="K112" s="57" t="s">
        <v>5689</v>
      </c>
    </row>
    <row r="113" customFormat="false" ht="23.85" hidden="false" customHeight="false" outlineLevel="0" collapsed="false">
      <c r="D113" s="60"/>
      <c r="E113" s="60"/>
      <c r="F113" s="62"/>
      <c r="G113" s="57" t="s">
        <v>5504</v>
      </c>
      <c r="H113" s="57" t="s">
        <v>3792</v>
      </c>
      <c r="I113" s="39"/>
      <c r="J113" s="57" t="s">
        <v>3792</v>
      </c>
      <c r="K113" s="57" t="s">
        <v>3792</v>
      </c>
    </row>
    <row r="114" customFormat="false" ht="46.25" hidden="false" customHeight="false" outlineLevel="0" collapsed="false">
      <c r="D114" s="1" t="s">
        <v>5690</v>
      </c>
      <c r="E114" s="1" t="s">
        <v>5691</v>
      </c>
      <c r="F114" s="0" t="s">
        <v>5334</v>
      </c>
      <c r="G114" s="57" t="s">
        <v>5507</v>
      </c>
      <c r="H114" s="57" t="s">
        <v>5692</v>
      </c>
      <c r="I114" s="34" t="s">
        <v>40</v>
      </c>
      <c r="J114" s="57" t="s">
        <v>5693</v>
      </c>
      <c r="K114" s="57" t="s">
        <v>5694</v>
      </c>
    </row>
    <row r="115" customFormat="false" ht="12.8" hidden="false" customHeight="false" outlineLevel="0" collapsed="false">
      <c r="D115" s="60"/>
      <c r="E115" s="60"/>
      <c r="F115" s="62"/>
      <c r="G115" s="57" t="s">
        <v>5511</v>
      </c>
      <c r="H115" s="57" t="s">
        <v>3792</v>
      </c>
      <c r="I115" s="34"/>
      <c r="J115" s="57" t="s">
        <v>3792</v>
      </c>
      <c r="K115" s="57" t="s">
        <v>3792</v>
      </c>
    </row>
    <row r="116" customFormat="false" ht="57.45" hidden="false" customHeight="false" outlineLevel="0" collapsed="false">
      <c r="D116" s="1" t="s">
        <v>5695</v>
      </c>
      <c r="E116" s="1" t="s">
        <v>5696</v>
      </c>
      <c r="F116" s="0" t="s">
        <v>5342</v>
      </c>
      <c r="G116" s="57" t="s">
        <v>5515</v>
      </c>
      <c r="H116" s="57" t="s">
        <v>5697</v>
      </c>
      <c r="I116" s="37" t="s">
        <v>50</v>
      </c>
      <c r="J116" s="57" t="s">
        <v>5698</v>
      </c>
      <c r="K116" s="57" t="s">
        <v>5699</v>
      </c>
    </row>
    <row r="117" customFormat="false" ht="23.85" hidden="false" customHeight="false" outlineLevel="0" collapsed="false">
      <c r="D117" s="60"/>
      <c r="E117" s="60"/>
      <c r="F117" s="62"/>
      <c r="G117" s="57" t="s">
        <v>5519</v>
      </c>
      <c r="H117" s="57" t="s">
        <v>3792</v>
      </c>
      <c r="I117" s="37"/>
      <c r="J117" s="57" t="s">
        <v>3792</v>
      </c>
      <c r="K117" s="57" t="s">
        <v>3792</v>
      </c>
    </row>
    <row r="118" customFormat="false" ht="57.45" hidden="false" customHeight="false" outlineLevel="0" collapsed="false">
      <c r="D118" s="1" t="s">
        <v>5700</v>
      </c>
      <c r="E118" s="1" t="s">
        <v>5701</v>
      </c>
      <c r="F118" s="0" t="s">
        <v>5342</v>
      </c>
      <c r="G118" s="57" t="s">
        <v>5522</v>
      </c>
      <c r="H118" s="57" t="s">
        <v>5702</v>
      </c>
      <c r="I118" s="34" t="s">
        <v>40</v>
      </c>
      <c r="J118" s="57" t="s">
        <v>5703</v>
      </c>
      <c r="K118" s="57" t="s">
        <v>5704</v>
      </c>
    </row>
    <row r="119" customFormat="false" ht="23.85" hidden="false" customHeight="false" outlineLevel="0" collapsed="false">
      <c r="D119" s="60"/>
      <c r="E119" s="60"/>
      <c r="F119" s="62"/>
      <c r="G119" s="57" t="s">
        <v>5526</v>
      </c>
      <c r="H119" s="57" t="s">
        <v>3792</v>
      </c>
      <c r="I119" s="34"/>
      <c r="J119" s="57" t="s">
        <v>3792</v>
      </c>
      <c r="K119" s="57" t="s">
        <v>3792</v>
      </c>
    </row>
    <row r="120" customFormat="false" ht="57.45" hidden="false" customHeight="false" outlineLevel="0" collapsed="false">
      <c r="D120" s="1" t="s">
        <v>5705</v>
      </c>
      <c r="E120" s="1" t="s">
        <v>5706</v>
      </c>
      <c r="F120" s="0" t="s">
        <v>5334</v>
      </c>
      <c r="G120" s="57" t="s">
        <v>5529</v>
      </c>
      <c r="H120" s="57" t="s">
        <v>5707</v>
      </c>
      <c r="I120" s="39" t="s">
        <v>67</v>
      </c>
      <c r="J120" s="57" t="s">
        <v>5708</v>
      </c>
      <c r="K120" s="57" t="s">
        <v>5709</v>
      </c>
    </row>
    <row r="121" customFormat="false" ht="23.85" hidden="false" customHeight="false" outlineLevel="0" collapsed="false">
      <c r="C121" s="64"/>
      <c r="D121" s="66"/>
      <c r="E121" s="66"/>
      <c r="F121" s="65"/>
      <c r="G121" s="57" t="s">
        <v>5533</v>
      </c>
      <c r="H121" s="57" t="s">
        <v>3792</v>
      </c>
      <c r="I121" s="39"/>
      <c r="J121" s="57" t="s">
        <v>3792</v>
      </c>
      <c r="K121" s="57" t="s">
        <v>3792</v>
      </c>
    </row>
    <row r="122" customFormat="false" ht="46.25" hidden="false" customHeight="false" outlineLevel="0" collapsed="false">
      <c r="C122" s="1" t="s">
        <v>5710</v>
      </c>
      <c r="D122" s="1" t="s">
        <v>5711</v>
      </c>
      <c r="E122" s="1" t="s">
        <v>5712</v>
      </c>
      <c r="F122" s="0" t="s">
        <v>5342</v>
      </c>
      <c r="G122" s="57" t="s">
        <v>5536</v>
      </c>
      <c r="H122" s="57" t="s">
        <v>5713</v>
      </c>
      <c r="I122" s="34" t="s">
        <v>40</v>
      </c>
      <c r="J122" s="57" t="s">
        <v>5714</v>
      </c>
      <c r="K122" s="57" t="s">
        <v>5715</v>
      </c>
      <c r="L122" s="1"/>
    </row>
    <row r="123" customFormat="false" ht="23.85" hidden="false" customHeight="false" outlineLevel="0" collapsed="false">
      <c r="D123" s="60"/>
      <c r="E123" s="60"/>
      <c r="F123" s="62"/>
      <c r="G123" s="57" t="s">
        <v>5540</v>
      </c>
      <c r="H123" s="57" t="s">
        <v>3792</v>
      </c>
      <c r="I123" s="34"/>
      <c r="J123" s="57" t="s">
        <v>3792</v>
      </c>
      <c r="K123" s="57" t="s">
        <v>3792</v>
      </c>
      <c r="L123" s="1"/>
    </row>
    <row r="124" customFormat="false" ht="46.25" hidden="false" customHeight="false" outlineLevel="0" collapsed="false">
      <c r="D124" s="1" t="s">
        <v>5716</v>
      </c>
      <c r="E124" s="1" t="s">
        <v>5717</v>
      </c>
      <c r="F124" s="0" t="s">
        <v>5334</v>
      </c>
      <c r="G124" s="57" t="s">
        <v>5543</v>
      </c>
      <c r="H124" s="57" t="s">
        <v>5718</v>
      </c>
      <c r="I124" s="37" t="s">
        <v>50</v>
      </c>
      <c r="J124" s="57" t="s">
        <v>5719</v>
      </c>
      <c r="K124" s="57" t="s">
        <v>5720</v>
      </c>
      <c r="L124" s="1"/>
    </row>
    <row r="125" customFormat="false" ht="12.8" hidden="false" customHeight="false" outlineLevel="0" collapsed="false">
      <c r="D125" s="60"/>
      <c r="E125" s="60"/>
      <c r="F125" s="62"/>
      <c r="G125" s="57" t="s">
        <v>5547</v>
      </c>
      <c r="H125" s="57" t="s">
        <v>3792</v>
      </c>
      <c r="I125" s="37"/>
      <c r="J125" s="57" t="s">
        <v>3792</v>
      </c>
      <c r="K125" s="57" t="s">
        <v>3792</v>
      </c>
      <c r="L125" s="1"/>
    </row>
    <row r="126" customFormat="false" ht="46.25" hidden="false" customHeight="false" outlineLevel="0" collapsed="false">
      <c r="D126" s="1" t="s">
        <v>5721</v>
      </c>
      <c r="E126" s="1" t="s">
        <v>5722</v>
      </c>
      <c r="F126" s="0" t="s">
        <v>5342</v>
      </c>
      <c r="G126" s="57" t="s">
        <v>5552</v>
      </c>
      <c r="H126" s="57" t="s">
        <v>5723</v>
      </c>
      <c r="I126" s="34" t="s">
        <v>40</v>
      </c>
      <c r="J126" s="57" t="s">
        <v>5724</v>
      </c>
      <c r="K126" s="57" t="s">
        <v>5725</v>
      </c>
      <c r="L126" s="1"/>
    </row>
    <row r="127" customFormat="false" ht="23.85" hidden="false" customHeight="false" outlineLevel="0" collapsed="false">
      <c r="D127" s="60"/>
      <c r="E127" s="60"/>
      <c r="F127" s="62"/>
      <c r="G127" s="57" t="s">
        <v>5556</v>
      </c>
      <c r="H127" s="57" t="s">
        <v>3792</v>
      </c>
      <c r="I127" s="34"/>
      <c r="J127" s="57" t="s">
        <v>3792</v>
      </c>
      <c r="K127" s="57" t="s">
        <v>3792</v>
      </c>
      <c r="L127" s="1"/>
    </row>
    <row r="128" customFormat="false" ht="46.25" hidden="false" customHeight="false" outlineLevel="0" collapsed="false">
      <c r="D128" s="1" t="s">
        <v>5726</v>
      </c>
      <c r="E128" s="1" t="s">
        <v>5727</v>
      </c>
      <c r="F128" s="0" t="s">
        <v>5342</v>
      </c>
      <c r="G128" s="57" t="s">
        <v>5559</v>
      </c>
      <c r="H128" s="57" t="s">
        <v>5728</v>
      </c>
      <c r="I128" s="39" t="s">
        <v>67</v>
      </c>
      <c r="J128" s="57" t="s">
        <v>5729</v>
      </c>
      <c r="K128" s="57" t="s">
        <v>5730</v>
      </c>
      <c r="L128" s="1"/>
    </row>
    <row r="129" customFormat="false" ht="23.85" hidden="false" customHeight="false" outlineLevel="0" collapsed="false">
      <c r="D129" s="60"/>
      <c r="E129" s="60"/>
      <c r="F129" s="62"/>
      <c r="G129" s="57" t="s">
        <v>5563</v>
      </c>
      <c r="H129" s="57" t="s">
        <v>3792</v>
      </c>
      <c r="I129" s="39"/>
      <c r="J129" s="57" t="s">
        <v>3792</v>
      </c>
      <c r="K129" s="57" t="s">
        <v>3792</v>
      </c>
      <c r="L129" s="1"/>
    </row>
    <row r="130" customFormat="false" ht="57.45" hidden="false" customHeight="false" outlineLevel="0" collapsed="false">
      <c r="D130" s="1" t="s">
        <v>5731</v>
      </c>
      <c r="E130" s="1" t="s">
        <v>5732</v>
      </c>
      <c r="F130" s="0" t="s">
        <v>5334</v>
      </c>
      <c r="G130" s="57" t="s">
        <v>5733</v>
      </c>
      <c r="H130" s="57" t="s">
        <v>5734</v>
      </c>
      <c r="I130" s="34" t="s">
        <v>40</v>
      </c>
      <c r="J130" s="57" t="s">
        <v>5735</v>
      </c>
      <c r="K130" s="57" t="s">
        <v>5736</v>
      </c>
      <c r="L130" s="1"/>
    </row>
    <row r="131" customFormat="false" ht="23.85" hidden="false" customHeight="false" outlineLevel="0" collapsed="false">
      <c r="C131" s="64"/>
      <c r="D131" s="66"/>
      <c r="E131" s="66"/>
      <c r="F131" s="65"/>
      <c r="G131" s="57" t="s">
        <v>5737</v>
      </c>
      <c r="H131" s="57" t="s">
        <v>3792</v>
      </c>
      <c r="I131" s="34"/>
      <c r="J131" s="57" t="s">
        <v>3792</v>
      </c>
      <c r="K131" s="57" t="s">
        <v>3792</v>
      </c>
    </row>
    <row r="132" customFormat="false" ht="57.45" hidden="false" customHeight="false" outlineLevel="0" collapsed="false">
      <c r="C132" s="1" t="s">
        <v>5738</v>
      </c>
      <c r="D132" s="1" t="s">
        <v>5739</v>
      </c>
      <c r="E132" s="1" t="s">
        <v>5740</v>
      </c>
      <c r="F132" s="0" t="s">
        <v>5334</v>
      </c>
      <c r="G132" s="57" t="s">
        <v>5741</v>
      </c>
      <c r="H132" s="57" t="s">
        <v>5742</v>
      </c>
      <c r="I132" s="37" t="s">
        <v>50</v>
      </c>
      <c r="J132" s="57" t="s">
        <v>5743</v>
      </c>
      <c r="K132" s="57" t="s">
        <v>5744</v>
      </c>
    </row>
    <row r="133" customFormat="false" ht="23.85" hidden="false" customHeight="false" outlineLevel="0" collapsed="false">
      <c r="D133" s="60"/>
      <c r="E133" s="60"/>
      <c r="F133" s="62"/>
      <c r="G133" s="57" t="s">
        <v>5745</v>
      </c>
      <c r="H133" s="57" t="s">
        <v>3792</v>
      </c>
      <c r="I133" s="37"/>
      <c r="J133" s="57" t="s">
        <v>3792</v>
      </c>
      <c r="K133" s="57" t="s">
        <v>3792</v>
      </c>
    </row>
    <row r="134" customFormat="false" ht="57.45" hidden="false" customHeight="false" outlineLevel="0" collapsed="false">
      <c r="D134" s="1" t="s">
        <v>5746</v>
      </c>
      <c r="E134" s="1" t="s">
        <v>5747</v>
      </c>
      <c r="F134" s="0" t="s">
        <v>5342</v>
      </c>
      <c r="G134" s="57" t="s">
        <v>5748</v>
      </c>
      <c r="H134" s="57" t="s">
        <v>5749</v>
      </c>
      <c r="I134" s="34" t="s">
        <v>40</v>
      </c>
      <c r="J134" s="57" t="s">
        <v>5750</v>
      </c>
      <c r="K134" s="57" t="s">
        <v>5751</v>
      </c>
    </row>
    <row r="135" customFormat="false" ht="23.85" hidden="false" customHeight="false" outlineLevel="0" collapsed="false">
      <c r="D135" s="60"/>
      <c r="E135" s="60"/>
      <c r="F135" s="62"/>
      <c r="G135" s="57" t="s">
        <v>5752</v>
      </c>
      <c r="H135" s="57" t="s">
        <v>3792</v>
      </c>
      <c r="I135" s="34"/>
      <c r="J135" s="57" t="s">
        <v>3792</v>
      </c>
      <c r="K135" s="57" t="s">
        <v>3792</v>
      </c>
    </row>
    <row r="136" customFormat="false" ht="57.45" hidden="false" customHeight="false" outlineLevel="0" collapsed="false">
      <c r="D136" s="1" t="s">
        <v>5753</v>
      </c>
      <c r="E136" s="1" t="s">
        <v>5754</v>
      </c>
      <c r="F136" s="0" t="s">
        <v>5334</v>
      </c>
      <c r="G136" s="57" t="s">
        <v>5755</v>
      </c>
      <c r="H136" s="57" t="s">
        <v>5756</v>
      </c>
      <c r="I136" s="39" t="s">
        <v>67</v>
      </c>
      <c r="J136" s="57" t="s">
        <v>5757</v>
      </c>
      <c r="K136" s="57" t="s">
        <v>5758</v>
      </c>
    </row>
    <row r="137" customFormat="false" ht="23.85" hidden="false" customHeight="false" outlineLevel="0" collapsed="false">
      <c r="D137" s="60"/>
      <c r="E137" s="60"/>
      <c r="F137" s="62"/>
      <c r="G137" s="57" t="s">
        <v>5759</v>
      </c>
      <c r="H137" s="57" t="s">
        <v>3792</v>
      </c>
      <c r="I137" s="39"/>
      <c r="J137" s="57" t="s">
        <v>3792</v>
      </c>
      <c r="K137" s="57" t="s">
        <v>3792</v>
      </c>
    </row>
    <row r="138" customFormat="false" ht="57.45" hidden="false" customHeight="false" outlineLevel="0" collapsed="false">
      <c r="D138" s="1" t="s">
        <v>5760</v>
      </c>
      <c r="E138" s="1" t="s">
        <v>5761</v>
      </c>
      <c r="F138" s="0" t="s">
        <v>5342</v>
      </c>
      <c r="G138" s="57" t="s">
        <v>5762</v>
      </c>
      <c r="H138" s="57" t="s">
        <v>5763</v>
      </c>
      <c r="I138" s="34" t="s">
        <v>40</v>
      </c>
      <c r="J138" s="57" t="s">
        <v>5764</v>
      </c>
      <c r="K138" s="57" t="s">
        <v>5765</v>
      </c>
    </row>
    <row r="139" customFormat="false" ht="12.8" hidden="false" customHeight="false" outlineLevel="0" collapsed="false">
      <c r="D139" s="60"/>
      <c r="E139" s="60"/>
      <c r="F139" s="62"/>
      <c r="G139" s="57" t="s">
        <v>5766</v>
      </c>
      <c r="H139" s="57" t="s">
        <v>3792</v>
      </c>
      <c r="I139" s="34"/>
      <c r="J139" s="57" t="s">
        <v>3792</v>
      </c>
      <c r="K139" s="57" t="s">
        <v>3792</v>
      </c>
    </row>
    <row r="140" customFormat="false" ht="57.45" hidden="false" customHeight="false" outlineLevel="0" collapsed="false">
      <c r="D140" s="1" t="s">
        <v>5767</v>
      </c>
      <c r="E140" s="1" t="s">
        <v>5768</v>
      </c>
      <c r="F140" s="0" t="s">
        <v>5342</v>
      </c>
      <c r="G140" s="57" t="s">
        <v>5769</v>
      </c>
      <c r="H140" s="57" t="s">
        <v>5770</v>
      </c>
      <c r="I140" s="37" t="s">
        <v>50</v>
      </c>
      <c r="J140" s="57" t="s">
        <v>5771</v>
      </c>
      <c r="K140" s="57" t="s">
        <v>5772</v>
      </c>
    </row>
    <row r="141" customFormat="false" ht="23.85" hidden="false" customHeight="false" outlineLevel="0" collapsed="false">
      <c r="C141" s="64"/>
      <c r="D141" s="66"/>
      <c r="E141" s="66"/>
      <c r="F141" s="65"/>
      <c r="G141" s="57" t="s">
        <v>5773</v>
      </c>
      <c r="H141" s="57" t="s">
        <v>3792</v>
      </c>
      <c r="I141" s="37"/>
      <c r="J141" s="57" t="s">
        <v>3792</v>
      </c>
      <c r="K141" s="57" t="s">
        <v>3792</v>
      </c>
    </row>
    <row r="142" customFormat="false" ht="57.45" hidden="false" customHeight="false" outlineLevel="0" collapsed="false">
      <c r="C142" s="1" t="s">
        <v>5774</v>
      </c>
      <c r="D142" s="1" t="s">
        <v>5775</v>
      </c>
      <c r="E142" s="1" t="s">
        <v>5776</v>
      </c>
      <c r="F142" s="0" t="s">
        <v>5334</v>
      </c>
      <c r="G142" s="57" t="s">
        <v>5777</v>
      </c>
      <c r="H142" s="57" t="s">
        <v>5778</v>
      </c>
      <c r="I142" s="34" t="s">
        <v>40</v>
      </c>
      <c r="J142" s="57" t="s">
        <v>5779</v>
      </c>
      <c r="K142" s="57" t="s">
        <v>5780</v>
      </c>
    </row>
    <row r="143" customFormat="false" ht="12.8" hidden="false" customHeight="false" outlineLevel="0" collapsed="false">
      <c r="D143" s="60"/>
      <c r="E143" s="60"/>
      <c r="F143" s="62"/>
      <c r="G143" s="57" t="s">
        <v>2767</v>
      </c>
      <c r="H143" s="57" t="s">
        <v>3792</v>
      </c>
      <c r="I143" s="34"/>
      <c r="J143" s="57" t="s">
        <v>3792</v>
      </c>
      <c r="K143" s="57" t="s">
        <v>3792</v>
      </c>
    </row>
    <row r="144" customFormat="false" ht="46.25" hidden="false" customHeight="false" outlineLevel="0" collapsed="false">
      <c r="D144" s="1" t="s">
        <v>5781</v>
      </c>
      <c r="E144" s="1" t="s">
        <v>5782</v>
      </c>
      <c r="F144" s="0" t="s">
        <v>5342</v>
      </c>
      <c r="G144" s="57" t="s">
        <v>5783</v>
      </c>
      <c r="H144" s="57" t="s">
        <v>5784</v>
      </c>
      <c r="I144" s="39" t="s">
        <v>67</v>
      </c>
      <c r="J144" s="57" t="s">
        <v>5785</v>
      </c>
      <c r="K144" s="57" t="s">
        <v>5786</v>
      </c>
    </row>
    <row r="145" customFormat="false" ht="12.8" hidden="false" customHeight="false" outlineLevel="0" collapsed="false">
      <c r="D145" s="60"/>
      <c r="E145" s="60"/>
      <c r="F145" s="62"/>
      <c r="G145" s="57" t="s">
        <v>5787</v>
      </c>
      <c r="H145" s="57" t="s">
        <v>3792</v>
      </c>
      <c r="I145" s="39"/>
      <c r="J145" s="57" t="s">
        <v>3792</v>
      </c>
      <c r="K145" s="57" t="s">
        <v>3792</v>
      </c>
    </row>
    <row r="146" customFormat="false" ht="57.45" hidden="false" customHeight="false" outlineLevel="0" collapsed="false">
      <c r="D146" s="1" t="s">
        <v>5788</v>
      </c>
      <c r="E146" s="1" t="s">
        <v>5789</v>
      </c>
      <c r="F146" s="0" t="s">
        <v>5342</v>
      </c>
      <c r="G146" s="57" t="s">
        <v>5790</v>
      </c>
      <c r="H146" s="57" t="s">
        <v>5791</v>
      </c>
      <c r="I146" s="34" t="s">
        <v>40</v>
      </c>
      <c r="J146" s="57" t="s">
        <v>5792</v>
      </c>
      <c r="K146" s="57" t="s">
        <v>5793</v>
      </c>
    </row>
    <row r="147" customFormat="false" ht="23.85" hidden="false" customHeight="false" outlineLevel="0" collapsed="false">
      <c r="D147" s="60"/>
      <c r="E147" s="60"/>
      <c r="F147" s="62"/>
      <c r="G147" s="57" t="s">
        <v>5794</v>
      </c>
      <c r="H147" s="57" t="s">
        <v>3792</v>
      </c>
      <c r="I147" s="34"/>
      <c r="J147" s="57" t="s">
        <v>3792</v>
      </c>
      <c r="K147" s="57" t="s">
        <v>3792</v>
      </c>
    </row>
    <row r="148" customFormat="false" ht="46.25" hidden="false" customHeight="false" outlineLevel="0" collapsed="false">
      <c r="D148" s="1" t="s">
        <v>5795</v>
      </c>
      <c r="E148" s="1" t="s">
        <v>5796</v>
      </c>
      <c r="F148" s="0" t="s">
        <v>5334</v>
      </c>
      <c r="G148" s="57" t="s">
        <v>5797</v>
      </c>
      <c r="H148" s="57" t="s">
        <v>5798</v>
      </c>
      <c r="I148" s="37" t="s">
        <v>50</v>
      </c>
      <c r="J148" s="57" t="s">
        <v>5799</v>
      </c>
      <c r="K148" s="57" t="s">
        <v>5800</v>
      </c>
    </row>
    <row r="149" customFormat="false" ht="12.8" hidden="false" customHeight="false" outlineLevel="0" collapsed="false">
      <c r="D149" s="60"/>
      <c r="E149" s="60"/>
      <c r="F149" s="62"/>
      <c r="G149" s="57" t="s">
        <v>5801</v>
      </c>
      <c r="H149" s="57" t="s">
        <v>3792</v>
      </c>
      <c r="I149" s="37"/>
      <c r="J149" s="57" t="s">
        <v>3792</v>
      </c>
      <c r="K149" s="57" t="s">
        <v>3792</v>
      </c>
    </row>
    <row r="150" customFormat="false" ht="57.45" hidden="false" customHeight="false" outlineLevel="0" collapsed="false">
      <c r="D150" s="1" t="s">
        <v>5802</v>
      </c>
      <c r="E150" s="1" t="s">
        <v>5803</v>
      </c>
      <c r="F150" s="0" t="s">
        <v>5334</v>
      </c>
      <c r="G150" s="57" t="s">
        <v>5804</v>
      </c>
      <c r="H150" s="57" t="s">
        <v>5805</v>
      </c>
      <c r="I150" s="34" t="s">
        <v>40</v>
      </c>
      <c r="J150" s="57" t="s">
        <v>5806</v>
      </c>
      <c r="K150" s="57" t="s">
        <v>5807</v>
      </c>
    </row>
    <row r="151" customFormat="false" ht="23.85" hidden="false" customHeight="false" outlineLevel="0" collapsed="false">
      <c r="C151" s="64"/>
      <c r="D151" s="66"/>
      <c r="E151" s="66"/>
      <c r="F151" s="65"/>
      <c r="G151" s="57" t="s">
        <v>5808</v>
      </c>
      <c r="H151" s="57" t="s">
        <v>3792</v>
      </c>
      <c r="I151" s="34"/>
      <c r="J151" s="66"/>
      <c r="K151" s="57" t="s">
        <v>3792</v>
      </c>
    </row>
    <row r="152" customFormat="false" ht="46.25" hidden="false" customHeight="false" outlineLevel="0" collapsed="false">
      <c r="C152" s="1" t="s">
        <v>5809</v>
      </c>
      <c r="D152" s="1" t="s">
        <v>5810</v>
      </c>
      <c r="E152" s="1" t="s">
        <v>5811</v>
      </c>
      <c r="F152" s="0" t="s">
        <v>5334</v>
      </c>
      <c r="G152" s="57" t="s">
        <v>5812</v>
      </c>
      <c r="H152" s="57" t="s">
        <v>5813</v>
      </c>
      <c r="I152" s="39" t="s">
        <v>67</v>
      </c>
      <c r="J152" s="57" t="s">
        <v>5814</v>
      </c>
      <c r="K152" s="57" t="s">
        <v>5815</v>
      </c>
    </row>
    <row r="153" customFormat="false" ht="23.85" hidden="false" customHeight="false" outlineLevel="0" collapsed="false">
      <c r="D153" s="60"/>
      <c r="E153" s="60"/>
      <c r="F153" s="62"/>
      <c r="G153" s="57" t="s">
        <v>5816</v>
      </c>
      <c r="H153" s="57" t="s">
        <v>3792</v>
      </c>
      <c r="I153" s="39"/>
      <c r="J153" s="57" t="s">
        <v>3792</v>
      </c>
      <c r="K153" s="57" t="s">
        <v>3792</v>
      </c>
    </row>
    <row r="154" customFormat="false" ht="57.45" hidden="false" customHeight="false" outlineLevel="0" collapsed="false">
      <c r="D154" s="1" t="s">
        <v>5817</v>
      </c>
      <c r="E154" s="1" t="s">
        <v>5818</v>
      </c>
      <c r="F154" s="0" t="s">
        <v>5342</v>
      </c>
      <c r="G154" s="57" t="s">
        <v>5819</v>
      </c>
      <c r="H154" s="57" t="s">
        <v>5820</v>
      </c>
      <c r="I154" s="34" t="s">
        <v>40</v>
      </c>
      <c r="J154" s="57" t="s">
        <v>5821</v>
      </c>
      <c r="K154" s="57" t="s">
        <v>5822</v>
      </c>
    </row>
    <row r="155" customFormat="false" ht="23.85" hidden="false" customHeight="false" outlineLevel="0" collapsed="false">
      <c r="D155" s="60"/>
      <c r="E155" s="60"/>
      <c r="F155" s="62"/>
      <c r="G155" s="57" t="s">
        <v>5823</v>
      </c>
      <c r="H155" s="57" t="s">
        <v>3792</v>
      </c>
      <c r="I155" s="34"/>
      <c r="J155" s="57" t="s">
        <v>3792</v>
      </c>
      <c r="K155" s="57" t="s">
        <v>3792</v>
      </c>
    </row>
    <row r="156" customFormat="false" ht="46.25" hidden="false" customHeight="false" outlineLevel="0" collapsed="false">
      <c r="D156" s="1" t="s">
        <v>5824</v>
      </c>
      <c r="E156" s="1" t="s">
        <v>5825</v>
      </c>
      <c r="F156" s="0" t="s">
        <v>5342</v>
      </c>
      <c r="G156" s="57" t="s">
        <v>5826</v>
      </c>
      <c r="H156" s="57" t="s">
        <v>5827</v>
      </c>
      <c r="I156" s="34" t="s">
        <v>40</v>
      </c>
      <c r="J156" s="57" t="s">
        <v>5828</v>
      </c>
      <c r="K156" s="57" t="s">
        <v>5829</v>
      </c>
    </row>
    <row r="157" customFormat="false" ht="23.85" hidden="false" customHeight="false" outlineLevel="0" collapsed="false">
      <c r="D157" s="60"/>
      <c r="E157" s="60"/>
      <c r="F157" s="62"/>
      <c r="G157" s="57" t="s">
        <v>5830</v>
      </c>
      <c r="H157" s="57" t="s">
        <v>3792</v>
      </c>
      <c r="I157" s="34"/>
      <c r="J157" s="57" t="s">
        <v>3792</v>
      </c>
      <c r="K157" s="57" t="s">
        <v>3792</v>
      </c>
    </row>
    <row r="158" customFormat="false" ht="57.45" hidden="false" customHeight="false" outlineLevel="0" collapsed="false">
      <c r="D158" s="1" t="s">
        <v>5831</v>
      </c>
      <c r="E158" s="1" t="s">
        <v>5832</v>
      </c>
      <c r="F158" s="0" t="s">
        <v>5334</v>
      </c>
      <c r="G158" s="57" t="s">
        <v>5833</v>
      </c>
      <c r="H158" s="57" t="s">
        <v>5834</v>
      </c>
      <c r="I158" s="39" t="s">
        <v>67</v>
      </c>
      <c r="J158" s="57" t="s">
        <v>5835</v>
      </c>
      <c r="K158" s="57" t="s">
        <v>5836</v>
      </c>
    </row>
    <row r="159" customFormat="false" ht="23.85" hidden="false" customHeight="false" outlineLevel="0" collapsed="false">
      <c r="D159" s="60"/>
      <c r="E159" s="60"/>
      <c r="F159" s="62"/>
      <c r="G159" s="57" t="s">
        <v>5837</v>
      </c>
      <c r="H159" s="57" t="s">
        <v>3792</v>
      </c>
      <c r="I159" s="39"/>
      <c r="J159" s="57" t="s">
        <v>3792</v>
      </c>
      <c r="K159" s="57" t="s">
        <v>3792</v>
      </c>
    </row>
    <row r="160" customFormat="false" ht="46.25" hidden="false" customHeight="false" outlineLevel="0" collapsed="false">
      <c r="D160" s="1" t="s">
        <v>5838</v>
      </c>
      <c r="E160" s="1" t="s">
        <v>5839</v>
      </c>
      <c r="F160" s="0" t="s">
        <v>5342</v>
      </c>
      <c r="G160" s="57" t="s">
        <v>5840</v>
      </c>
      <c r="H160" s="57" t="s">
        <v>5841</v>
      </c>
      <c r="I160" s="37" t="s">
        <v>50</v>
      </c>
      <c r="J160" s="57" t="s">
        <v>5842</v>
      </c>
      <c r="K160" s="57" t="s">
        <v>5843</v>
      </c>
    </row>
    <row r="161" customFormat="false" ht="23.85" hidden="false" customHeight="false" outlineLevel="0" collapsed="false">
      <c r="C161" s="64"/>
      <c r="D161" s="66"/>
      <c r="E161" s="66"/>
      <c r="F161" s="65"/>
      <c r="G161" s="57" t="s">
        <v>5844</v>
      </c>
      <c r="H161" s="57" t="s">
        <v>3792</v>
      </c>
      <c r="I161" s="37"/>
      <c r="J161" s="57" t="s">
        <v>3792</v>
      </c>
      <c r="K161" s="57" t="s">
        <v>3792</v>
      </c>
    </row>
    <row r="162" customFormat="false" ht="57.45" hidden="false" customHeight="false" outlineLevel="0" collapsed="false">
      <c r="C162" s="59" t="s">
        <v>5845</v>
      </c>
      <c r="D162" s="1" t="s">
        <v>5846</v>
      </c>
      <c r="E162" s="1" t="s">
        <v>5847</v>
      </c>
      <c r="F162" s="0" t="s">
        <v>5342</v>
      </c>
      <c r="G162" s="57" t="s">
        <v>5848</v>
      </c>
      <c r="H162" s="57" t="s">
        <v>5849</v>
      </c>
      <c r="I162" s="37" t="s">
        <v>50</v>
      </c>
      <c r="J162" s="57" t="s">
        <v>5850</v>
      </c>
      <c r="K162" s="57" t="s">
        <v>5851</v>
      </c>
    </row>
    <row r="163" customFormat="false" ht="23.85" hidden="false" customHeight="false" outlineLevel="0" collapsed="false">
      <c r="D163" s="60"/>
      <c r="E163" s="60"/>
      <c r="F163" s="62"/>
      <c r="G163" s="57" t="s">
        <v>3174</v>
      </c>
      <c r="H163" s="57" t="s">
        <v>3792</v>
      </c>
      <c r="I163" s="37"/>
      <c r="J163" s="57" t="s">
        <v>3792</v>
      </c>
      <c r="K163" s="57" t="s">
        <v>3792</v>
      </c>
    </row>
    <row r="164" customFormat="false" ht="57.45" hidden="false" customHeight="false" outlineLevel="0" collapsed="false">
      <c r="D164" s="1" t="s">
        <v>5852</v>
      </c>
      <c r="E164" s="1" t="s">
        <v>5853</v>
      </c>
      <c r="F164" s="0" t="s">
        <v>5334</v>
      </c>
      <c r="G164" s="57" t="s">
        <v>5854</v>
      </c>
      <c r="H164" s="57" t="s">
        <v>5855</v>
      </c>
      <c r="I164" s="39" t="s">
        <v>67</v>
      </c>
      <c r="J164" s="57" t="s">
        <v>5856</v>
      </c>
      <c r="K164" s="57" t="s">
        <v>5857</v>
      </c>
    </row>
    <row r="165" customFormat="false" ht="23.85" hidden="false" customHeight="false" outlineLevel="0" collapsed="false">
      <c r="D165" s="60"/>
      <c r="E165" s="60"/>
      <c r="F165" s="62"/>
      <c r="G165" s="57" t="s">
        <v>5858</v>
      </c>
      <c r="H165" s="57" t="s">
        <v>3792</v>
      </c>
      <c r="I165" s="39"/>
      <c r="J165" s="57" t="s">
        <v>3792</v>
      </c>
      <c r="K165" s="57" t="s">
        <v>3792</v>
      </c>
    </row>
    <row r="166" customFormat="false" ht="57.45" hidden="false" customHeight="false" outlineLevel="0" collapsed="false">
      <c r="D166" s="1" t="s">
        <v>5859</v>
      </c>
      <c r="E166" s="1" t="s">
        <v>5860</v>
      </c>
      <c r="F166" s="0" t="s">
        <v>5334</v>
      </c>
      <c r="G166" s="57" t="s">
        <v>3262</v>
      </c>
      <c r="H166" s="57" t="s">
        <v>5861</v>
      </c>
      <c r="I166" s="34" t="s">
        <v>40</v>
      </c>
      <c r="J166" s="57" t="s">
        <v>5862</v>
      </c>
      <c r="K166" s="57" t="s">
        <v>5863</v>
      </c>
    </row>
    <row r="167" customFormat="false" ht="23.85" hidden="false" customHeight="false" outlineLevel="0" collapsed="false">
      <c r="D167" s="60"/>
      <c r="E167" s="60"/>
      <c r="F167" s="62"/>
      <c r="G167" s="57" t="s">
        <v>5864</v>
      </c>
      <c r="H167" s="57" t="s">
        <v>3792</v>
      </c>
      <c r="I167" s="34"/>
      <c r="J167" s="57" t="s">
        <v>3792</v>
      </c>
      <c r="K167" s="57" t="s">
        <v>3792</v>
      </c>
    </row>
    <row r="168" customFormat="false" ht="46.25" hidden="false" customHeight="false" outlineLevel="0" collapsed="false">
      <c r="D168" s="1" t="s">
        <v>5865</v>
      </c>
      <c r="E168" s="1" t="s">
        <v>5866</v>
      </c>
      <c r="F168" s="0" t="s">
        <v>5342</v>
      </c>
      <c r="G168" s="57" t="s">
        <v>5867</v>
      </c>
      <c r="H168" s="57" t="s">
        <v>5868</v>
      </c>
      <c r="I168" s="39" t="s">
        <v>67</v>
      </c>
      <c r="J168" s="57" t="s">
        <v>5869</v>
      </c>
      <c r="K168" s="57" t="s">
        <v>5870</v>
      </c>
    </row>
    <row r="169" customFormat="false" ht="12.8" hidden="false" customHeight="false" outlineLevel="0" collapsed="false">
      <c r="D169" s="60"/>
      <c r="E169" s="60"/>
      <c r="F169" s="62"/>
      <c r="G169" s="57" t="s">
        <v>5871</v>
      </c>
      <c r="H169" s="57" t="s">
        <v>3792</v>
      </c>
      <c r="I169" s="39"/>
      <c r="J169" s="57" t="s">
        <v>3792</v>
      </c>
      <c r="K169" s="57" t="s">
        <v>3792</v>
      </c>
    </row>
    <row r="170" customFormat="false" ht="68.65" hidden="false" customHeight="false" outlineLevel="0" collapsed="false">
      <c r="D170" s="1" t="s">
        <v>5872</v>
      </c>
      <c r="E170" s="1" t="s">
        <v>5873</v>
      </c>
      <c r="F170" s="0" t="s">
        <v>5334</v>
      </c>
      <c r="G170" s="57" t="s">
        <v>5874</v>
      </c>
      <c r="H170" s="57" t="s">
        <v>5875</v>
      </c>
      <c r="I170" s="37" t="s">
        <v>50</v>
      </c>
      <c r="J170" s="57" t="s">
        <v>5876</v>
      </c>
      <c r="K170" s="57" t="s">
        <v>5877</v>
      </c>
    </row>
    <row r="171" customFormat="false" ht="23.85" hidden="false" customHeight="false" outlineLevel="0" collapsed="false">
      <c r="C171" s="64"/>
      <c r="D171" s="66"/>
      <c r="E171" s="66"/>
      <c r="F171" s="65"/>
      <c r="G171" s="57" t="s">
        <v>5878</v>
      </c>
      <c r="H171" s="57" t="s">
        <v>3792</v>
      </c>
      <c r="I171" s="37"/>
      <c r="J171" s="57" t="s">
        <v>3792</v>
      </c>
      <c r="K171" s="57" t="s">
        <v>3792</v>
      </c>
    </row>
    <row r="172" customFormat="false" ht="57.45" hidden="false" customHeight="false" outlineLevel="0" collapsed="false">
      <c r="C172" s="59" t="s">
        <v>5879</v>
      </c>
      <c r="D172" s="1" t="s">
        <v>5880</v>
      </c>
      <c r="E172" s="1" t="s">
        <v>5881</v>
      </c>
      <c r="F172" s="0" t="s">
        <v>5342</v>
      </c>
      <c r="G172" s="57" t="s">
        <v>5882</v>
      </c>
      <c r="H172" s="57" t="s">
        <v>5883</v>
      </c>
      <c r="I172" s="37" t="s">
        <v>50</v>
      </c>
      <c r="J172" s="57" t="s">
        <v>5884</v>
      </c>
      <c r="K172" s="57" t="s">
        <v>5885</v>
      </c>
    </row>
    <row r="173" customFormat="false" ht="12.8" hidden="false" customHeight="false" outlineLevel="0" collapsed="false">
      <c r="D173" s="60"/>
      <c r="E173" s="60"/>
      <c r="F173" s="62"/>
      <c r="G173" s="57" t="s">
        <v>5886</v>
      </c>
      <c r="H173" s="57" t="s">
        <v>3792</v>
      </c>
      <c r="I173" s="37"/>
      <c r="J173" s="57" t="s">
        <v>3792</v>
      </c>
      <c r="K173" s="57" t="s">
        <v>3792</v>
      </c>
    </row>
    <row r="174" customFormat="false" ht="46.25" hidden="false" customHeight="false" outlineLevel="0" collapsed="false">
      <c r="D174" s="1" t="s">
        <v>5887</v>
      </c>
      <c r="E174" s="1" t="s">
        <v>5888</v>
      </c>
      <c r="F174" s="0" t="s">
        <v>5342</v>
      </c>
      <c r="G174" s="57" t="s">
        <v>5889</v>
      </c>
      <c r="H174" s="57" t="s">
        <v>5890</v>
      </c>
      <c r="I174" s="39" t="s">
        <v>67</v>
      </c>
      <c r="J174" s="57" t="s">
        <v>5891</v>
      </c>
      <c r="K174" s="57" t="s">
        <v>5892</v>
      </c>
    </row>
    <row r="175" customFormat="false" ht="23.85" hidden="false" customHeight="false" outlineLevel="0" collapsed="false">
      <c r="D175" s="60"/>
      <c r="E175" s="60"/>
      <c r="F175" s="62"/>
      <c r="G175" s="57" t="s">
        <v>5893</v>
      </c>
      <c r="H175" s="57" t="s">
        <v>3792</v>
      </c>
      <c r="I175" s="39"/>
      <c r="J175" s="57" t="s">
        <v>3792</v>
      </c>
      <c r="K175" s="57" t="s">
        <v>3792</v>
      </c>
    </row>
    <row r="176" customFormat="false" ht="46.25" hidden="false" customHeight="false" outlineLevel="0" collapsed="false">
      <c r="D176" s="1" t="s">
        <v>5894</v>
      </c>
      <c r="E176" s="1" t="s">
        <v>5895</v>
      </c>
      <c r="F176" s="0" t="s">
        <v>5334</v>
      </c>
      <c r="G176" s="57" t="s">
        <v>5896</v>
      </c>
      <c r="H176" s="57" t="s">
        <v>5897</v>
      </c>
      <c r="I176" s="34" t="s">
        <v>40</v>
      </c>
      <c r="J176" s="57" t="s">
        <v>5898</v>
      </c>
      <c r="K176" s="57" t="s">
        <v>5899</v>
      </c>
    </row>
    <row r="177" customFormat="false" ht="23.85" hidden="false" customHeight="false" outlineLevel="0" collapsed="false">
      <c r="D177" s="60"/>
      <c r="E177" s="60"/>
      <c r="F177" s="62"/>
      <c r="G177" s="57" t="s">
        <v>5900</v>
      </c>
      <c r="H177" s="57" t="s">
        <v>3792</v>
      </c>
      <c r="I177" s="34"/>
      <c r="J177" s="57" t="s">
        <v>3792</v>
      </c>
      <c r="K177" s="57" t="s">
        <v>3792</v>
      </c>
    </row>
    <row r="178" customFormat="false" ht="46.25" hidden="false" customHeight="false" outlineLevel="0" collapsed="false">
      <c r="D178" s="1" t="s">
        <v>5901</v>
      </c>
      <c r="E178" s="1" t="s">
        <v>5902</v>
      </c>
      <c r="F178" s="0" t="s">
        <v>5334</v>
      </c>
      <c r="G178" s="57" t="s">
        <v>5903</v>
      </c>
      <c r="H178" s="57" t="s">
        <v>5904</v>
      </c>
      <c r="I178" s="39" t="s">
        <v>67</v>
      </c>
      <c r="J178" s="57" t="s">
        <v>5905</v>
      </c>
      <c r="K178" s="57" t="s">
        <v>5906</v>
      </c>
    </row>
    <row r="179" customFormat="false" ht="23.85" hidden="false" customHeight="false" outlineLevel="0" collapsed="false">
      <c r="D179" s="60"/>
      <c r="E179" s="60"/>
      <c r="F179" s="62"/>
      <c r="G179" s="57" t="s">
        <v>5907</v>
      </c>
      <c r="H179" s="57" t="s">
        <v>3792</v>
      </c>
      <c r="I179" s="39"/>
      <c r="J179" s="57" t="s">
        <v>3792</v>
      </c>
      <c r="K179" s="57" t="s">
        <v>3792</v>
      </c>
    </row>
    <row r="180" customFormat="false" ht="46.25" hidden="false" customHeight="false" outlineLevel="0" collapsed="false">
      <c r="D180" s="1" t="s">
        <v>5908</v>
      </c>
      <c r="E180" s="1" t="s">
        <v>5909</v>
      </c>
      <c r="F180" s="0" t="s">
        <v>5342</v>
      </c>
      <c r="G180" s="57" t="s">
        <v>5910</v>
      </c>
      <c r="H180" s="57" t="s">
        <v>5911</v>
      </c>
      <c r="I180" s="37" t="s">
        <v>50</v>
      </c>
      <c r="J180" s="57" t="s">
        <v>5912</v>
      </c>
      <c r="K180" s="57" t="s">
        <v>5913</v>
      </c>
    </row>
    <row r="181" customFormat="false" ht="23.85" hidden="false" customHeight="false" outlineLevel="0" collapsed="false">
      <c r="C181" s="64"/>
      <c r="D181" s="66"/>
      <c r="E181" s="66"/>
      <c r="F181" s="65"/>
      <c r="G181" s="57" t="s">
        <v>5914</v>
      </c>
      <c r="H181" s="57" t="s">
        <v>3792</v>
      </c>
      <c r="I181" s="37"/>
      <c r="J181" s="57" t="s">
        <v>3792</v>
      </c>
      <c r="K181" s="57" t="s">
        <v>3792</v>
      </c>
    </row>
    <row r="182" customFormat="false" ht="68.65" hidden="false" customHeight="false" outlineLevel="0" collapsed="false">
      <c r="C182" s="59" t="s">
        <v>5915</v>
      </c>
      <c r="D182" s="1" t="s">
        <v>5916</v>
      </c>
      <c r="E182" s="1" t="s">
        <v>5917</v>
      </c>
      <c r="F182" s="0" t="s">
        <v>5342</v>
      </c>
      <c r="G182" s="57" t="s">
        <v>5918</v>
      </c>
      <c r="H182" s="57" t="s">
        <v>5919</v>
      </c>
      <c r="I182" s="37" t="s">
        <v>50</v>
      </c>
      <c r="J182" s="57" t="s">
        <v>5920</v>
      </c>
      <c r="K182" s="57" t="s">
        <v>5921</v>
      </c>
    </row>
    <row r="183" customFormat="false" ht="23.85" hidden="false" customHeight="false" outlineLevel="0" collapsed="false">
      <c r="D183" s="60"/>
      <c r="E183" s="60"/>
      <c r="F183" s="62"/>
      <c r="G183" s="57" t="s">
        <v>5922</v>
      </c>
      <c r="H183" s="57" t="s">
        <v>3792</v>
      </c>
      <c r="I183" s="37"/>
      <c r="J183" s="57" t="s">
        <v>3792</v>
      </c>
      <c r="K183" s="57" t="s">
        <v>3792</v>
      </c>
    </row>
    <row r="184" customFormat="false" ht="68.65" hidden="false" customHeight="false" outlineLevel="0" collapsed="false">
      <c r="D184" s="1" t="s">
        <v>5923</v>
      </c>
      <c r="E184" s="1" t="s">
        <v>5924</v>
      </c>
      <c r="F184" s="0" t="s">
        <v>5334</v>
      </c>
      <c r="G184" s="57" t="s">
        <v>5925</v>
      </c>
      <c r="H184" s="57" t="s">
        <v>5926</v>
      </c>
      <c r="I184" s="39" t="s">
        <v>67</v>
      </c>
      <c r="J184" s="57" t="s">
        <v>5927</v>
      </c>
      <c r="K184" s="57" t="s">
        <v>5928</v>
      </c>
    </row>
    <row r="185" customFormat="false" ht="23.85" hidden="false" customHeight="false" outlineLevel="0" collapsed="false">
      <c r="D185" s="60"/>
      <c r="E185" s="60"/>
      <c r="F185" s="62"/>
      <c r="G185" s="57" t="s">
        <v>5929</v>
      </c>
      <c r="H185" s="57" t="s">
        <v>3792</v>
      </c>
      <c r="I185" s="39"/>
      <c r="J185" s="57" t="s">
        <v>3792</v>
      </c>
      <c r="K185" s="57" t="s">
        <v>3792</v>
      </c>
    </row>
    <row r="186" customFormat="false" ht="68.65" hidden="false" customHeight="false" outlineLevel="0" collapsed="false">
      <c r="D186" s="1" t="s">
        <v>5930</v>
      </c>
      <c r="E186" s="1" t="s">
        <v>5931</v>
      </c>
      <c r="F186" s="0" t="s">
        <v>5334</v>
      </c>
      <c r="G186" s="57" t="s">
        <v>5932</v>
      </c>
      <c r="H186" s="57" t="s">
        <v>5933</v>
      </c>
      <c r="I186" s="34" t="s">
        <v>40</v>
      </c>
      <c r="J186" s="57" t="s">
        <v>5934</v>
      </c>
      <c r="K186" s="57" t="s">
        <v>5935</v>
      </c>
    </row>
    <row r="187" customFormat="false" ht="23.85" hidden="false" customHeight="false" outlineLevel="0" collapsed="false">
      <c r="D187" s="60"/>
      <c r="E187" s="60"/>
      <c r="F187" s="62"/>
      <c r="G187" s="57" t="s">
        <v>5936</v>
      </c>
      <c r="H187" s="57" t="s">
        <v>3792</v>
      </c>
      <c r="I187" s="34"/>
      <c r="J187" s="57" t="s">
        <v>3792</v>
      </c>
      <c r="K187" s="57" t="s">
        <v>3792</v>
      </c>
    </row>
    <row r="188" customFormat="false" ht="57.45" hidden="false" customHeight="false" outlineLevel="0" collapsed="false">
      <c r="D188" s="1" t="s">
        <v>5937</v>
      </c>
      <c r="E188" s="1" t="s">
        <v>5938</v>
      </c>
      <c r="F188" s="0" t="s">
        <v>5342</v>
      </c>
      <c r="G188" s="57" t="s">
        <v>5939</v>
      </c>
      <c r="H188" s="57" t="s">
        <v>5940</v>
      </c>
      <c r="I188" s="39" t="s">
        <v>67</v>
      </c>
      <c r="J188" s="57" t="s">
        <v>5941</v>
      </c>
      <c r="K188" s="57" t="s">
        <v>5942</v>
      </c>
    </row>
    <row r="189" customFormat="false" ht="23.85" hidden="false" customHeight="false" outlineLevel="0" collapsed="false">
      <c r="D189" s="60"/>
      <c r="E189" s="60"/>
      <c r="F189" s="62"/>
      <c r="G189" s="57" t="s">
        <v>5943</v>
      </c>
      <c r="H189" s="57" t="s">
        <v>3792</v>
      </c>
      <c r="I189" s="39"/>
      <c r="J189" s="57" t="s">
        <v>3792</v>
      </c>
      <c r="K189" s="57" t="s">
        <v>3792</v>
      </c>
    </row>
    <row r="190" customFormat="false" ht="68.65" hidden="false" customHeight="false" outlineLevel="0" collapsed="false">
      <c r="D190" s="1" t="s">
        <v>5944</v>
      </c>
      <c r="E190" s="1" t="s">
        <v>5945</v>
      </c>
      <c r="F190" s="0" t="s">
        <v>5334</v>
      </c>
      <c r="G190" s="57" t="s">
        <v>5946</v>
      </c>
      <c r="H190" s="57" t="s">
        <v>5947</v>
      </c>
      <c r="I190" s="37" t="s">
        <v>50</v>
      </c>
      <c r="J190" s="57" t="s">
        <v>5948</v>
      </c>
      <c r="K190" s="57" t="s">
        <v>5949</v>
      </c>
    </row>
    <row r="191" customFormat="false" ht="23.85" hidden="false" customHeight="false" outlineLevel="0" collapsed="false">
      <c r="C191" s="64"/>
      <c r="D191" s="66"/>
      <c r="E191" s="66"/>
      <c r="F191" s="65"/>
      <c r="G191" s="57" t="s">
        <v>5950</v>
      </c>
      <c r="H191" s="57" t="s">
        <v>3792</v>
      </c>
      <c r="I191" s="37"/>
      <c r="J191" s="57" t="s">
        <v>3792</v>
      </c>
      <c r="K191" s="57" t="s">
        <v>3792</v>
      </c>
    </row>
    <row r="192" customFormat="false" ht="46.25" hidden="false" customHeight="false" outlineLevel="0" collapsed="false">
      <c r="C192" s="59" t="s">
        <v>5951</v>
      </c>
      <c r="D192" s="1" t="s">
        <v>5952</v>
      </c>
      <c r="E192" s="1" t="s">
        <v>5953</v>
      </c>
      <c r="F192" s="0" t="s">
        <v>5334</v>
      </c>
      <c r="G192" s="57" t="s">
        <v>5954</v>
      </c>
      <c r="H192" s="57" t="s">
        <v>5955</v>
      </c>
      <c r="I192" s="37" t="s">
        <v>50</v>
      </c>
      <c r="J192" s="57" t="s">
        <v>5956</v>
      </c>
      <c r="K192" s="57" t="s">
        <v>5957</v>
      </c>
    </row>
    <row r="193" customFormat="false" ht="12.8" hidden="false" customHeight="false" outlineLevel="0" collapsed="false">
      <c r="D193" s="60"/>
      <c r="E193" s="60"/>
      <c r="F193" s="62"/>
      <c r="G193" s="57" t="s">
        <v>5958</v>
      </c>
      <c r="H193" s="57" t="s">
        <v>3792</v>
      </c>
      <c r="I193" s="37"/>
      <c r="J193" s="57" t="s">
        <v>3792</v>
      </c>
      <c r="K193" s="57" t="s">
        <v>3792</v>
      </c>
    </row>
    <row r="194" customFormat="false" ht="46.25" hidden="false" customHeight="false" outlineLevel="0" collapsed="false">
      <c r="D194" s="1" t="s">
        <v>5959</v>
      </c>
      <c r="E194" s="1" t="s">
        <v>5960</v>
      </c>
      <c r="F194" s="0" t="s">
        <v>5342</v>
      </c>
      <c r="G194" s="57" t="s">
        <v>5961</v>
      </c>
      <c r="H194" s="57" t="s">
        <v>5962</v>
      </c>
      <c r="I194" s="39" t="s">
        <v>67</v>
      </c>
      <c r="J194" s="57" t="s">
        <v>5799</v>
      </c>
      <c r="K194" s="57" t="s">
        <v>5963</v>
      </c>
    </row>
    <row r="195" customFormat="false" ht="23.85" hidden="false" customHeight="false" outlineLevel="0" collapsed="false">
      <c r="D195" s="60"/>
      <c r="E195" s="60"/>
      <c r="F195" s="62"/>
      <c r="G195" s="57" t="s">
        <v>5964</v>
      </c>
      <c r="H195" s="57" t="s">
        <v>3792</v>
      </c>
      <c r="I195" s="39"/>
      <c r="J195" s="57" t="s">
        <v>3792</v>
      </c>
      <c r="K195" s="57" t="s">
        <v>3792</v>
      </c>
    </row>
    <row r="196" customFormat="false" ht="57.45" hidden="false" customHeight="false" outlineLevel="0" collapsed="false">
      <c r="D196" s="1" t="s">
        <v>5965</v>
      </c>
      <c r="E196" s="1" t="s">
        <v>5966</v>
      </c>
      <c r="F196" s="0" t="s">
        <v>5334</v>
      </c>
      <c r="G196" s="57" t="s">
        <v>5967</v>
      </c>
      <c r="H196" s="57" t="s">
        <v>5968</v>
      </c>
      <c r="I196" s="34" t="s">
        <v>40</v>
      </c>
      <c r="J196" s="57" t="s">
        <v>5969</v>
      </c>
      <c r="K196" s="57" t="s">
        <v>5970</v>
      </c>
    </row>
    <row r="197" customFormat="false" ht="23.85" hidden="false" customHeight="false" outlineLevel="0" collapsed="false">
      <c r="D197" s="60"/>
      <c r="E197" s="60"/>
      <c r="F197" s="62"/>
      <c r="G197" s="57" t="s">
        <v>5971</v>
      </c>
      <c r="H197" s="57" t="s">
        <v>3792</v>
      </c>
      <c r="I197" s="34"/>
      <c r="J197" s="57" t="s">
        <v>3792</v>
      </c>
      <c r="K197" s="57" t="s">
        <v>3792</v>
      </c>
    </row>
    <row r="198" customFormat="false" ht="57.45" hidden="false" customHeight="false" outlineLevel="0" collapsed="false">
      <c r="D198" s="1" t="s">
        <v>5972</v>
      </c>
      <c r="E198" s="1" t="s">
        <v>5973</v>
      </c>
      <c r="F198" s="0" t="s">
        <v>5342</v>
      </c>
      <c r="G198" s="57" t="s">
        <v>5974</v>
      </c>
      <c r="H198" s="57" t="s">
        <v>5975</v>
      </c>
      <c r="I198" s="39" t="s">
        <v>67</v>
      </c>
      <c r="J198" s="57" t="s">
        <v>5976</v>
      </c>
      <c r="K198" s="57" t="s">
        <v>5977</v>
      </c>
    </row>
    <row r="199" customFormat="false" ht="23.85" hidden="false" customHeight="false" outlineLevel="0" collapsed="false">
      <c r="D199" s="60"/>
      <c r="E199" s="60"/>
      <c r="F199" s="62"/>
      <c r="G199" s="57" t="s">
        <v>5978</v>
      </c>
      <c r="H199" s="57" t="s">
        <v>3792</v>
      </c>
      <c r="I199" s="39"/>
      <c r="J199" s="57" t="s">
        <v>3792</v>
      </c>
      <c r="K199" s="57" t="s">
        <v>3792</v>
      </c>
    </row>
    <row r="200" customFormat="false" ht="46.25" hidden="false" customHeight="false" outlineLevel="0" collapsed="false">
      <c r="D200" s="1" t="s">
        <v>5979</v>
      </c>
      <c r="E200" s="1" t="s">
        <v>5980</v>
      </c>
      <c r="F200" s="0" t="s">
        <v>5342</v>
      </c>
      <c r="G200" s="57" t="s">
        <v>5981</v>
      </c>
      <c r="H200" s="57" t="s">
        <v>5982</v>
      </c>
      <c r="I200" s="37" t="s">
        <v>50</v>
      </c>
      <c r="J200" s="57" t="s">
        <v>5983</v>
      </c>
      <c r="K200" s="57" t="s">
        <v>5984</v>
      </c>
    </row>
    <row r="201" customFormat="false" ht="23.85" hidden="false" customHeight="false" outlineLevel="0" collapsed="false">
      <c r="B201" s="67"/>
      <c r="C201" s="68"/>
      <c r="D201" s="68"/>
      <c r="E201" s="68"/>
      <c r="F201" s="65"/>
      <c r="G201" s="57" t="s">
        <v>5985</v>
      </c>
      <c r="H201" s="68"/>
      <c r="I201" s="37"/>
      <c r="J201" s="57" t="s">
        <v>3792</v>
      </c>
      <c r="K201" s="57" t="s">
        <v>3792</v>
      </c>
    </row>
    <row r="202" customFormat="false" ht="57.45" hidden="false" customHeight="false" outlineLevel="0" collapsed="false">
      <c r="B202" s="1" t="s">
        <v>5986</v>
      </c>
      <c r="C202" s="59" t="s">
        <v>5987</v>
      </c>
      <c r="D202" s="1" t="s">
        <v>5988</v>
      </c>
      <c r="E202" s="1" t="s">
        <v>5989</v>
      </c>
      <c r="F202" s="0" t="s">
        <v>5334</v>
      </c>
      <c r="G202" s="57" t="s">
        <v>5990</v>
      </c>
      <c r="H202" s="57" t="s">
        <v>5991</v>
      </c>
      <c r="I202" s="37" t="s">
        <v>50</v>
      </c>
      <c r="J202" s="57" t="s">
        <v>5992</v>
      </c>
      <c r="K202" s="57" t="s">
        <v>5993</v>
      </c>
    </row>
    <row r="203" customFormat="false" ht="46.25" hidden="false" customHeight="false" outlineLevel="0" collapsed="false">
      <c r="D203" s="60"/>
      <c r="E203" s="60"/>
      <c r="F203" s="62"/>
      <c r="G203" s="57" t="s">
        <v>5994</v>
      </c>
      <c r="H203" s="57" t="s">
        <v>5995</v>
      </c>
      <c r="I203" s="37"/>
      <c r="J203" s="57" t="s">
        <v>3792</v>
      </c>
      <c r="K203" s="57" t="s">
        <v>3792</v>
      </c>
    </row>
    <row r="204" customFormat="false" ht="57.45" hidden="false" customHeight="false" outlineLevel="0" collapsed="false">
      <c r="D204" s="1" t="s">
        <v>5996</v>
      </c>
      <c r="E204" s="1" t="s">
        <v>5997</v>
      </c>
      <c r="F204" s="0" t="s">
        <v>5334</v>
      </c>
      <c r="G204" s="57" t="s">
        <v>5998</v>
      </c>
      <c r="H204" s="57" t="s">
        <v>5999</v>
      </c>
      <c r="I204" s="39" t="s">
        <v>67</v>
      </c>
      <c r="J204" s="57" t="s">
        <v>6000</v>
      </c>
      <c r="K204" s="57" t="s">
        <v>6001</v>
      </c>
    </row>
    <row r="205" customFormat="false" ht="46.25" hidden="false" customHeight="false" outlineLevel="0" collapsed="false">
      <c r="D205" s="60"/>
      <c r="E205" s="60"/>
      <c r="F205" s="62"/>
      <c r="G205" s="57" t="s">
        <v>6002</v>
      </c>
      <c r="H205" s="57" t="s">
        <v>6003</v>
      </c>
      <c r="I205" s="39"/>
      <c r="J205" s="57" t="s">
        <v>3792</v>
      </c>
      <c r="K205" s="57" t="s">
        <v>3792</v>
      </c>
    </row>
    <row r="206" customFormat="false" ht="46.25" hidden="false" customHeight="false" outlineLevel="0" collapsed="false">
      <c r="D206" s="1" t="s">
        <v>6004</v>
      </c>
      <c r="E206" s="1" t="s">
        <v>6005</v>
      </c>
      <c r="F206" s="0" t="s">
        <v>5342</v>
      </c>
      <c r="G206" s="57" t="s">
        <v>6006</v>
      </c>
      <c r="H206" s="57" t="s">
        <v>6007</v>
      </c>
      <c r="I206" s="34" t="s">
        <v>40</v>
      </c>
      <c r="J206" s="57" t="s">
        <v>6008</v>
      </c>
      <c r="K206" s="57" t="s">
        <v>6009</v>
      </c>
    </row>
    <row r="207" customFormat="false" ht="46.25" hidden="false" customHeight="false" outlineLevel="0" collapsed="false">
      <c r="D207" s="60"/>
      <c r="E207" s="60"/>
      <c r="F207" s="62"/>
      <c r="G207" s="57" t="s">
        <v>6010</v>
      </c>
      <c r="H207" s="57" t="s">
        <v>6011</v>
      </c>
      <c r="I207" s="34"/>
      <c r="J207" s="57" t="s">
        <v>3792</v>
      </c>
      <c r="K207" s="57" t="s">
        <v>3792</v>
      </c>
    </row>
    <row r="208" customFormat="false" ht="46.25" hidden="false" customHeight="false" outlineLevel="0" collapsed="false">
      <c r="D208" s="1" t="s">
        <v>6012</v>
      </c>
      <c r="E208" s="1" t="s">
        <v>6013</v>
      </c>
      <c r="F208" s="0" t="s">
        <v>5334</v>
      </c>
      <c r="G208" s="57" t="s">
        <v>6014</v>
      </c>
      <c r="H208" s="57" t="s">
        <v>6015</v>
      </c>
      <c r="I208" s="39" t="s">
        <v>67</v>
      </c>
      <c r="J208" s="57" t="s">
        <v>6016</v>
      </c>
      <c r="K208" s="57" t="s">
        <v>6017</v>
      </c>
    </row>
    <row r="209" customFormat="false" ht="46.25" hidden="false" customHeight="false" outlineLevel="0" collapsed="false">
      <c r="D209" s="60"/>
      <c r="E209" s="60"/>
      <c r="F209" s="62"/>
      <c r="G209" s="57" t="s">
        <v>6018</v>
      </c>
      <c r="H209" s="57" t="s">
        <v>6019</v>
      </c>
      <c r="I209" s="39"/>
      <c r="J209" s="57" t="s">
        <v>3792</v>
      </c>
      <c r="K209" s="57" t="s">
        <v>3792</v>
      </c>
    </row>
    <row r="210" customFormat="false" ht="46.25" hidden="false" customHeight="false" outlineLevel="0" collapsed="false">
      <c r="D210" s="1" t="s">
        <v>6020</v>
      </c>
      <c r="E210" s="1" t="s">
        <v>6021</v>
      </c>
      <c r="F210" s="0" t="s">
        <v>5334</v>
      </c>
      <c r="G210" s="57" t="s">
        <v>6022</v>
      </c>
      <c r="H210" s="57" t="s">
        <v>6023</v>
      </c>
      <c r="I210" s="37" t="s">
        <v>50</v>
      </c>
      <c r="J210" s="57" t="s">
        <v>6024</v>
      </c>
      <c r="K210" s="57" t="s">
        <v>6025</v>
      </c>
    </row>
    <row r="211" customFormat="false" ht="46.25" hidden="false" customHeight="false" outlineLevel="0" collapsed="false">
      <c r="C211" s="64"/>
      <c r="D211" s="66"/>
      <c r="E211" s="66"/>
      <c r="F211" s="65"/>
      <c r="G211" s="57" t="s">
        <v>6026</v>
      </c>
      <c r="H211" s="57" t="s">
        <v>6027</v>
      </c>
      <c r="I211" s="37"/>
      <c r="J211" s="57" t="s">
        <v>3792</v>
      </c>
      <c r="K211" s="57" t="s">
        <v>3792</v>
      </c>
    </row>
    <row r="212" customFormat="false" ht="46.25" hidden="false" customHeight="false" outlineLevel="0" collapsed="false">
      <c r="C212" s="59" t="s">
        <v>6028</v>
      </c>
      <c r="D212" s="1" t="s">
        <v>6029</v>
      </c>
      <c r="E212" s="1" t="s">
        <v>6030</v>
      </c>
      <c r="F212" s="0" t="s">
        <v>5334</v>
      </c>
      <c r="G212" s="57" t="s">
        <v>6031</v>
      </c>
      <c r="H212" s="57" t="s">
        <v>6032</v>
      </c>
      <c r="I212" s="37" t="s">
        <v>50</v>
      </c>
      <c r="J212" s="57" t="s">
        <v>6033</v>
      </c>
      <c r="K212" s="57" t="s">
        <v>6034</v>
      </c>
    </row>
    <row r="213" customFormat="false" ht="57.45" hidden="false" customHeight="false" outlineLevel="0" collapsed="false">
      <c r="D213" s="60"/>
      <c r="E213" s="60"/>
      <c r="F213" s="62"/>
      <c r="G213" s="57" t="s">
        <v>6035</v>
      </c>
      <c r="H213" s="57" t="s">
        <v>6036</v>
      </c>
      <c r="I213" s="37"/>
      <c r="J213" s="57" t="s">
        <v>3792</v>
      </c>
      <c r="K213" s="57" t="s">
        <v>3792</v>
      </c>
    </row>
    <row r="214" customFormat="false" ht="46.25" hidden="false" customHeight="false" outlineLevel="0" collapsed="false">
      <c r="D214" s="1" t="s">
        <v>6037</v>
      </c>
      <c r="E214" s="1" t="s">
        <v>6038</v>
      </c>
      <c r="F214" s="0" t="s">
        <v>5342</v>
      </c>
      <c r="G214" s="57" t="s">
        <v>6039</v>
      </c>
      <c r="H214" s="57" t="s">
        <v>6040</v>
      </c>
      <c r="I214" s="39" t="s">
        <v>67</v>
      </c>
      <c r="J214" s="57" t="s">
        <v>6041</v>
      </c>
      <c r="K214" s="57" t="s">
        <v>6042</v>
      </c>
    </row>
    <row r="215" customFormat="false" ht="46.25" hidden="false" customHeight="false" outlineLevel="0" collapsed="false">
      <c r="D215" s="60"/>
      <c r="E215" s="60"/>
      <c r="F215" s="62"/>
      <c r="G215" s="57" t="s">
        <v>6043</v>
      </c>
      <c r="H215" s="57" t="s">
        <v>6044</v>
      </c>
      <c r="I215" s="39"/>
      <c r="J215" s="57" t="s">
        <v>3792</v>
      </c>
      <c r="K215" s="57" t="s">
        <v>3792</v>
      </c>
    </row>
    <row r="216" customFormat="false" ht="46.25" hidden="false" customHeight="false" outlineLevel="0" collapsed="false">
      <c r="D216" s="1" t="s">
        <v>6045</v>
      </c>
      <c r="E216" s="1" t="s">
        <v>6046</v>
      </c>
      <c r="F216" s="0" t="s">
        <v>5342</v>
      </c>
      <c r="G216" s="57" t="s">
        <v>6047</v>
      </c>
      <c r="H216" s="57" t="s">
        <v>6048</v>
      </c>
      <c r="I216" s="34" t="s">
        <v>40</v>
      </c>
      <c r="J216" s="57" t="s">
        <v>6049</v>
      </c>
      <c r="K216" s="57" t="s">
        <v>6050</v>
      </c>
    </row>
    <row r="217" customFormat="false" ht="46.25" hidden="false" customHeight="false" outlineLevel="0" collapsed="false">
      <c r="D217" s="60"/>
      <c r="E217" s="60"/>
      <c r="F217" s="62"/>
      <c r="G217" s="57" t="s">
        <v>6051</v>
      </c>
      <c r="H217" s="57" t="s">
        <v>6052</v>
      </c>
      <c r="I217" s="34"/>
      <c r="J217" s="57" t="s">
        <v>3792</v>
      </c>
      <c r="K217" s="57" t="s">
        <v>3792</v>
      </c>
    </row>
    <row r="218" customFormat="false" ht="46.25" hidden="false" customHeight="false" outlineLevel="0" collapsed="false">
      <c r="D218" s="1" t="s">
        <v>6053</v>
      </c>
      <c r="E218" s="1" t="s">
        <v>6054</v>
      </c>
      <c r="F218" s="0" t="s">
        <v>5342</v>
      </c>
      <c r="G218" s="57" t="s">
        <v>6055</v>
      </c>
      <c r="H218" s="57" t="s">
        <v>6056</v>
      </c>
      <c r="I218" s="39" t="s">
        <v>67</v>
      </c>
      <c r="J218" s="57" t="s">
        <v>6057</v>
      </c>
      <c r="K218" s="57" t="s">
        <v>6058</v>
      </c>
    </row>
    <row r="219" customFormat="false" ht="46.25" hidden="false" customHeight="false" outlineLevel="0" collapsed="false">
      <c r="D219" s="60"/>
      <c r="E219" s="60"/>
      <c r="F219" s="62"/>
      <c r="G219" s="57" t="s">
        <v>6059</v>
      </c>
      <c r="H219" s="57" t="s">
        <v>6060</v>
      </c>
      <c r="I219" s="39"/>
      <c r="J219" s="57" t="s">
        <v>3792</v>
      </c>
      <c r="K219" s="57" t="s">
        <v>3792</v>
      </c>
    </row>
    <row r="220" customFormat="false" ht="46.25" hidden="false" customHeight="false" outlineLevel="0" collapsed="false">
      <c r="D220" s="1" t="s">
        <v>6061</v>
      </c>
      <c r="E220" s="1" t="s">
        <v>6062</v>
      </c>
      <c r="F220" s="0" t="s">
        <v>5342</v>
      </c>
      <c r="G220" s="57" t="s">
        <v>6063</v>
      </c>
      <c r="H220" s="57" t="s">
        <v>6064</v>
      </c>
      <c r="I220" s="37" t="s">
        <v>50</v>
      </c>
      <c r="J220" s="57" t="s">
        <v>6065</v>
      </c>
      <c r="K220" s="57" t="s">
        <v>6066</v>
      </c>
    </row>
    <row r="221" customFormat="false" ht="35.05" hidden="false" customHeight="false" outlineLevel="0" collapsed="false">
      <c r="C221" s="64"/>
      <c r="D221" s="66"/>
      <c r="E221" s="66"/>
      <c r="F221" s="65"/>
      <c r="G221" s="57" t="s">
        <v>6067</v>
      </c>
      <c r="H221" s="57" t="s">
        <v>6068</v>
      </c>
      <c r="I221" s="37"/>
      <c r="J221" s="57" t="s">
        <v>3792</v>
      </c>
      <c r="K221" s="57" t="s">
        <v>3792</v>
      </c>
    </row>
    <row r="222" customFormat="false" ht="57.45" hidden="false" customHeight="false" outlineLevel="0" collapsed="false">
      <c r="C222" s="1" t="s">
        <v>6069</v>
      </c>
      <c r="D222" s="1" t="s">
        <v>6070</v>
      </c>
      <c r="E222" s="1" t="s">
        <v>6071</v>
      </c>
      <c r="F222" s="0" t="s">
        <v>5334</v>
      </c>
      <c r="G222" s="57" t="s">
        <v>6072</v>
      </c>
      <c r="H222" s="57" t="s">
        <v>6073</v>
      </c>
      <c r="I222" s="37" t="s">
        <v>50</v>
      </c>
      <c r="J222" s="57" t="s">
        <v>6074</v>
      </c>
      <c r="K222" s="57" t="s">
        <v>6075</v>
      </c>
    </row>
    <row r="223" customFormat="false" ht="46.25" hidden="false" customHeight="false" outlineLevel="0" collapsed="false">
      <c r="D223" s="60"/>
      <c r="E223" s="60"/>
      <c r="F223" s="62"/>
      <c r="G223" s="57" t="s">
        <v>6076</v>
      </c>
      <c r="H223" s="57" t="s">
        <v>6077</v>
      </c>
      <c r="I223" s="37"/>
      <c r="J223" s="57" t="s">
        <v>3792</v>
      </c>
      <c r="K223" s="57" t="s">
        <v>3792</v>
      </c>
    </row>
    <row r="224" customFormat="false" ht="46.25" hidden="false" customHeight="false" outlineLevel="0" collapsed="false">
      <c r="D224" s="1" t="s">
        <v>6078</v>
      </c>
      <c r="E224" s="1" t="s">
        <v>6079</v>
      </c>
      <c r="F224" s="0" t="s">
        <v>5342</v>
      </c>
      <c r="G224" s="57" t="s">
        <v>6080</v>
      </c>
      <c r="H224" s="57" t="s">
        <v>6081</v>
      </c>
      <c r="I224" s="39" t="s">
        <v>67</v>
      </c>
      <c r="J224" s="57" t="s">
        <v>6082</v>
      </c>
      <c r="K224" s="57" t="s">
        <v>6083</v>
      </c>
    </row>
    <row r="225" customFormat="false" ht="46.25" hidden="false" customHeight="false" outlineLevel="0" collapsed="false">
      <c r="D225" s="60"/>
      <c r="E225" s="60"/>
      <c r="F225" s="62"/>
      <c r="G225" s="57" t="s">
        <v>6084</v>
      </c>
      <c r="H225" s="57" t="s">
        <v>6085</v>
      </c>
      <c r="I225" s="39"/>
      <c r="J225" s="57" t="s">
        <v>3792</v>
      </c>
      <c r="K225" s="57" t="s">
        <v>3792</v>
      </c>
    </row>
    <row r="226" customFormat="false" ht="46.25" hidden="false" customHeight="false" outlineLevel="0" collapsed="false">
      <c r="D226" s="1" t="s">
        <v>6086</v>
      </c>
      <c r="E226" s="1" t="s">
        <v>6087</v>
      </c>
      <c r="F226" s="0" t="s">
        <v>5342</v>
      </c>
      <c r="G226" s="57" t="s">
        <v>6088</v>
      </c>
      <c r="H226" s="57" t="s">
        <v>6089</v>
      </c>
      <c r="I226" s="34" t="s">
        <v>40</v>
      </c>
      <c r="J226" s="57" t="s">
        <v>6090</v>
      </c>
      <c r="K226" s="57" t="s">
        <v>6091</v>
      </c>
    </row>
    <row r="227" customFormat="false" ht="57.45" hidden="false" customHeight="false" outlineLevel="0" collapsed="false">
      <c r="D227" s="60"/>
      <c r="E227" s="60"/>
      <c r="F227" s="62"/>
      <c r="G227" s="57" t="s">
        <v>6092</v>
      </c>
      <c r="H227" s="57" t="s">
        <v>6093</v>
      </c>
      <c r="I227" s="34"/>
      <c r="J227" s="57" t="s">
        <v>3792</v>
      </c>
      <c r="K227" s="57" t="s">
        <v>3792</v>
      </c>
    </row>
    <row r="228" customFormat="false" ht="46.25" hidden="false" customHeight="false" outlineLevel="0" collapsed="false">
      <c r="D228" s="1" t="s">
        <v>6094</v>
      </c>
      <c r="E228" s="1" t="s">
        <v>6095</v>
      </c>
      <c r="F228" s="0" t="s">
        <v>5334</v>
      </c>
      <c r="G228" s="57" t="s">
        <v>6096</v>
      </c>
      <c r="H228" s="57" t="s">
        <v>6097</v>
      </c>
      <c r="I228" s="39" t="s">
        <v>67</v>
      </c>
      <c r="J228" s="57" t="s">
        <v>6098</v>
      </c>
      <c r="K228" s="57" t="s">
        <v>6099</v>
      </c>
    </row>
    <row r="229" customFormat="false" ht="46.25" hidden="false" customHeight="false" outlineLevel="0" collapsed="false">
      <c r="D229" s="60"/>
      <c r="E229" s="60"/>
      <c r="F229" s="62"/>
      <c r="G229" s="57" t="s">
        <v>6100</v>
      </c>
      <c r="H229" s="57" t="s">
        <v>6101</v>
      </c>
      <c r="I229" s="39"/>
      <c r="J229" s="57" t="s">
        <v>3792</v>
      </c>
      <c r="K229" s="57" t="s">
        <v>3792</v>
      </c>
    </row>
    <row r="230" customFormat="false" ht="46.25" hidden="false" customHeight="false" outlineLevel="0" collapsed="false">
      <c r="D230" s="1" t="s">
        <v>6102</v>
      </c>
      <c r="E230" s="1" t="s">
        <v>6103</v>
      </c>
      <c r="F230" s="0" t="s">
        <v>5334</v>
      </c>
      <c r="G230" s="57" t="s">
        <v>6104</v>
      </c>
      <c r="H230" s="57" t="s">
        <v>6105</v>
      </c>
      <c r="I230" s="37" t="s">
        <v>50</v>
      </c>
      <c r="J230" s="57" t="s">
        <v>6106</v>
      </c>
      <c r="K230" s="57" t="s">
        <v>6107</v>
      </c>
    </row>
    <row r="231" customFormat="false" ht="46.25" hidden="false" customHeight="false" outlineLevel="0" collapsed="false">
      <c r="C231" s="64"/>
      <c r="D231" s="66"/>
      <c r="E231" s="66"/>
      <c r="F231" s="65"/>
      <c r="G231" s="57" t="s">
        <v>6108</v>
      </c>
      <c r="H231" s="57" t="s">
        <v>6109</v>
      </c>
      <c r="I231" s="37"/>
      <c r="J231" s="57" t="s">
        <v>3792</v>
      </c>
      <c r="K231" s="57" t="s">
        <v>3792</v>
      </c>
    </row>
    <row r="232" customFormat="false" ht="57.45" hidden="false" customHeight="false" outlineLevel="0" collapsed="false">
      <c r="C232" s="1" t="s">
        <v>6110</v>
      </c>
      <c r="D232" s="1" t="s">
        <v>6111</v>
      </c>
      <c r="E232" s="1" t="s">
        <v>6112</v>
      </c>
      <c r="F232" s="0" t="s">
        <v>5342</v>
      </c>
      <c r="G232" s="57" t="s">
        <v>6113</v>
      </c>
      <c r="H232" s="57" t="s">
        <v>6114</v>
      </c>
      <c r="I232" s="37" t="s">
        <v>50</v>
      </c>
      <c r="J232" s="57" t="s">
        <v>6115</v>
      </c>
      <c r="K232" s="57" t="s">
        <v>6116</v>
      </c>
    </row>
    <row r="233" customFormat="false" ht="46.25" hidden="false" customHeight="false" outlineLevel="0" collapsed="false">
      <c r="D233" s="60"/>
      <c r="E233" s="60"/>
      <c r="F233" s="62"/>
      <c r="G233" s="57" t="s">
        <v>6117</v>
      </c>
      <c r="H233" s="57" t="s">
        <v>6118</v>
      </c>
      <c r="I233" s="37"/>
      <c r="J233" s="57" t="s">
        <v>3792</v>
      </c>
      <c r="K233" s="57" t="s">
        <v>3792</v>
      </c>
    </row>
    <row r="234" customFormat="false" ht="46.25" hidden="false" customHeight="false" outlineLevel="0" collapsed="false">
      <c r="D234" s="1" t="s">
        <v>6119</v>
      </c>
      <c r="E234" s="1" t="s">
        <v>6120</v>
      </c>
      <c r="F234" s="0" t="s">
        <v>5334</v>
      </c>
      <c r="G234" s="57" t="s">
        <v>6121</v>
      </c>
      <c r="H234" s="57" t="s">
        <v>6122</v>
      </c>
      <c r="I234" s="39" t="s">
        <v>67</v>
      </c>
      <c r="J234" s="57" t="s">
        <v>6123</v>
      </c>
      <c r="K234" s="57" t="s">
        <v>6124</v>
      </c>
    </row>
    <row r="235" customFormat="false" ht="46.25" hidden="false" customHeight="false" outlineLevel="0" collapsed="false">
      <c r="D235" s="60"/>
      <c r="E235" s="60"/>
      <c r="F235" s="62"/>
      <c r="G235" s="57" t="s">
        <v>6125</v>
      </c>
      <c r="H235" s="57" t="s">
        <v>6126</v>
      </c>
      <c r="I235" s="39"/>
      <c r="J235" s="57" t="s">
        <v>3792</v>
      </c>
      <c r="K235" s="57" t="s">
        <v>3792</v>
      </c>
    </row>
    <row r="236" customFormat="false" ht="46.25" hidden="false" customHeight="false" outlineLevel="0" collapsed="false">
      <c r="D236" s="1" t="s">
        <v>6127</v>
      </c>
      <c r="E236" s="1" t="s">
        <v>6128</v>
      </c>
      <c r="F236" s="0" t="s">
        <v>5334</v>
      </c>
      <c r="G236" s="57" t="s">
        <v>6129</v>
      </c>
      <c r="H236" s="57" t="s">
        <v>6130</v>
      </c>
      <c r="I236" s="34" t="s">
        <v>40</v>
      </c>
      <c r="J236" s="57" t="s">
        <v>6131</v>
      </c>
      <c r="K236" s="57" t="s">
        <v>5970</v>
      </c>
    </row>
    <row r="237" customFormat="false" ht="57.45" hidden="false" customHeight="false" outlineLevel="0" collapsed="false">
      <c r="D237" s="60"/>
      <c r="E237" s="60"/>
      <c r="F237" s="62"/>
      <c r="G237" s="57" t="s">
        <v>6132</v>
      </c>
      <c r="H237" s="57" t="s">
        <v>6133</v>
      </c>
      <c r="I237" s="34"/>
      <c r="J237" s="57" t="s">
        <v>3792</v>
      </c>
      <c r="K237" s="57" t="s">
        <v>3792</v>
      </c>
    </row>
    <row r="238" customFormat="false" ht="57.45" hidden="false" customHeight="false" outlineLevel="0" collapsed="false">
      <c r="D238" s="1" t="s">
        <v>6134</v>
      </c>
      <c r="E238" s="1" t="s">
        <v>6135</v>
      </c>
      <c r="F238" s="0" t="s">
        <v>5342</v>
      </c>
      <c r="G238" s="57" t="s">
        <v>6136</v>
      </c>
      <c r="H238" s="57" t="s">
        <v>6137</v>
      </c>
      <c r="I238" s="39" t="s">
        <v>67</v>
      </c>
      <c r="J238" s="57" t="s">
        <v>6138</v>
      </c>
      <c r="K238" s="57" t="s">
        <v>6139</v>
      </c>
    </row>
    <row r="239" customFormat="false" ht="35.05" hidden="false" customHeight="false" outlineLevel="0" collapsed="false">
      <c r="D239" s="60"/>
      <c r="E239" s="60"/>
      <c r="F239" s="62"/>
      <c r="G239" s="57" t="s">
        <v>6140</v>
      </c>
      <c r="H239" s="57" t="s">
        <v>6141</v>
      </c>
      <c r="I239" s="39"/>
      <c r="J239" s="57" t="s">
        <v>3792</v>
      </c>
      <c r="K239" s="57" t="s">
        <v>3792</v>
      </c>
    </row>
    <row r="240" customFormat="false" ht="57.45" hidden="false" customHeight="false" outlineLevel="0" collapsed="false">
      <c r="D240" s="1" t="s">
        <v>6142</v>
      </c>
      <c r="E240" s="1" t="s">
        <v>6143</v>
      </c>
      <c r="F240" s="0" t="s">
        <v>5334</v>
      </c>
      <c r="G240" s="57" t="s">
        <v>6144</v>
      </c>
      <c r="H240" s="57" t="s">
        <v>6145</v>
      </c>
      <c r="I240" s="37" t="s">
        <v>50</v>
      </c>
      <c r="J240" s="57" t="s">
        <v>6146</v>
      </c>
      <c r="K240" s="57" t="s">
        <v>6147</v>
      </c>
    </row>
    <row r="241" customFormat="false" ht="46.25" hidden="false" customHeight="false" outlineLevel="0" collapsed="false">
      <c r="C241" s="64"/>
      <c r="D241" s="66"/>
      <c r="E241" s="66"/>
      <c r="F241" s="65"/>
      <c r="G241" s="57" t="s">
        <v>6148</v>
      </c>
      <c r="H241" s="57" t="s">
        <v>6149</v>
      </c>
      <c r="I241" s="37"/>
      <c r="J241" s="57" t="s">
        <v>3792</v>
      </c>
      <c r="K241" s="57" t="s">
        <v>3792</v>
      </c>
    </row>
    <row r="242" customFormat="false" ht="57.45" hidden="false" customHeight="false" outlineLevel="0" collapsed="false">
      <c r="C242" s="1" t="s">
        <v>6150</v>
      </c>
      <c r="D242" s="1" t="s">
        <v>6151</v>
      </c>
      <c r="E242" s="1" t="s">
        <v>6152</v>
      </c>
      <c r="F242" s="0" t="s">
        <v>5342</v>
      </c>
      <c r="G242" s="57" t="s">
        <v>6153</v>
      </c>
      <c r="H242" s="57" t="s">
        <v>6154</v>
      </c>
      <c r="I242" s="37" t="s">
        <v>50</v>
      </c>
      <c r="J242" s="57" t="s">
        <v>6155</v>
      </c>
      <c r="K242" s="57" t="s">
        <v>6156</v>
      </c>
    </row>
    <row r="243" customFormat="false" ht="46.25" hidden="false" customHeight="false" outlineLevel="0" collapsed="false">
      <c r="D243" s="60"/>
      <c r="E243" s="60"/>
      <c r="F243" s="62"/>
      <c r="G243" s="57" t="s">
        <v>6157</v>
      </c>
      <c r="H243" s="57" t="s">
        <v>6158</v>
      </c>
      <c r="I243" s="37"/>
      <c r="J243" s="57" t="s">
        <v>3792</v>
      </c>
      <c r="K243" s="57" t="s">
        <v>3792</v>
      </c>
    </row>
    <row r="244" customFormat="false" ht="57.45" hidden="false" customHeight="false" outlineLevel="0" collapsed="false">
      <c r="D244" s="1" t="s">
        <v>6159</v>
      </c>
      <c r="E244" s="1" t="s">
        <v>6160</v>
      </c>
      <c r="F244" s="0" t="s">
        <v>5334</v>
      </c>
      <c r="G244" s="57" t="s">
        <v>6161</v>
      </c>
      <c r="H244" s="57" t="s">
        <v>6162</v>
      </c>
      <c r="I244" s="39" t="s">
        <v>67</v>
      </c>
      <c r="J244" s="57" t="s">
        <v>6163</v>
      </c>
      <c r="K244" s="57" t="s">
        <v>6164</v>
      </c>
    </row>
    <row r="245" customFormat="false" ht="46.25" hidden="false" customHeight="false" outlineLevel="0" collapsed="false">
      <c r="D245" s="60"/>
      <c r="E245" s="60"/>
      <c r="F245" s="62"/>
      <c r="G245" s="57" t="s">
        <v>6165</v>
      </c>
      <c r="H245" s="57" t="s">
        <v>6166</v>
      </c>
      <c r="I245" s="39"/>
      <c r="J245" s="57" t="s">
        <v>3792</v>
      </c>
      <c r="K245" s="57" t="s">
        <v>3792</v>
      </c>
    </row>
    <row r="246" customFormat="false" ht="57.45" hidden="false" customHeight="false" outlineLevel="0" collapsed="false">
      <c r="D246" s="1" t="s">
        <v>6167</v>
      </c>
      <c r="E246" s="1" t="s">
        <v>6168</v>
      </c>
      <c r="F246" s="0" t="s">
        <v>5342</v>
      </c>
      <c r="G246" s="57" t="s">
        <v>6169</v>
      </c>
      <c r="H246" s="57" t="s">
        <v>6170</v>
      </c>
      <c r="I246" s="34" t="s">
        <v>40</v>
      </c>
      <c r="J246" s="57" t="s">
        <v>6171</v>
      </c>
      <c r="K246" s="57" t="s">
        <v>6172</v>
      </c>
    </row>
    <row r="247" customFormat="false" ht="46.25" hidden="false" customHeight="false" outlineLevel="0" collapsed="false">
      <c r="D247" s="60"/>
      <c r="E247" s="60"/>
      <c r="F247" s="62"/>
      <c r="G247" s="57" t="s">
        <v>6173</v>
      </c>
      <c r="H247" s="57" t="s">
        <v>6174</v>
      </c>
      <c r="I247" s="34"/>
      <c r="J247" s="57" t="s">
        <v>3792</v>
      </c>
      <c r="K247" s="57" t="s">
        <v>3792</v>
      </c>
    </row>
    <row r="248" customFormat="false" ht="46.25" hidden="false" customHeight="false" outlineLevel="0" collapsed="false">
      <c r="D248" s="1" t="s">
        <v>6175</v>
      </c>
      <c r="E248" s="1" t="s">
        <v>6176</v>
      </c>
      <c r="F248" s="0" t="s">
        <v>5334</v>
      </c>
      <c r="G248" s="57" t="s">
        <v>6177</v>
      </c>
      <c r="H248" s="57" t="s">
        <v>6178</v>
      </c>
      <c r="I248" s="39" t="s">
        <v>67</v>
      </c>
      <c r="J248" s="57" t="s">
        <v>6179</v>
      </c>
      <c r="K248" s="57" t="s">
        <v>6180</v>
      </c>
    </row>
    <row r="249" customFormat="false" ht="46.25" hidden="false" customHeight="false" outlineLevel="0" collapsed="false">
      <c r="D249" s="60"/>
      <c r="E249" s="60"/>
      <c r="F249" s="62"/>
      <c r="G249" s="57" t="s">
        <v>6181</v>
      </c>
      <c r="H249" s="57" t="s">
        <v>6182</v>
      </c>
      <c r="I249" s="39"/>
      <c r="J249" s="57" t="s">
        <v>3792</v>
      </c>
      <c r="K249" s="57" t="s">
        <v>3792</v>
      </c>
    </row>
    <row r="250" customFormat="false" ht="57.45" hidden="false" customHeight="false" outlineLevel="0" collapsed="false">
      <c r="D250" s="1" t="s">
        <v>6183</v>
      </c>
      <c r="E250" s="1" t="s">
        <v>6184</v>
      </c>
      <c r="F250" s="0" t="s">
        <v>5342</v>
      </c>
      <c r="G250" s="57" t="s">
        <v>6185</v>
      </c>
      <c r="H250" s="57" t="s">
        <v>6186</v>
      </c>
      <c r="I250" s="37" t="s">
        <v>50</v>
      </c>
      <c r="J250" s="57" t="s">
        <v>6187</v>
      </c>
      <c r="K250" s="57" t="s">
        <v>6188</v>
      </c>
    </row>
    <row r="251" customFormat="false" ht="46.25" hidden="false" customHeight="false" outlineLevel="0" collapsed="false">
      <c r="C251" s="64"/>
      <c r="D251" s="66"/>
      <c r="E251" s="66"/>
      <c r="F251" s="65"/>
      <c r="G251" s="57" t="s">
        <v>6189</v>
      </c>
      <c r="H251" s="57" t="s">
        <v>6190</v>
      </c>
      <c r="I251" s="37"/>
      <c r="J251" s="57" t="s">
        <v>3792</v>
      </c>
      <c r="K251" s="57" t="s">
        <v>3792</v>
      </c>
    </row>
    <row r="252" customFormat="false" ht="46.25" hidden="false" customHeight="false" outlineLevel="0" collapsed="false">
      <c r="C252" s="59" t="s">
        <v>6191</v>
      </c>
      <c r="D252" s="1" t="s">
        <v>6192</v>
      </c>
      <c r="E252" s="1" t="s">
        <v>6193</v>
      </c>
      <c r="F252" s="0" t="s">
        <v>5334</v>
      </c>
      <c r="G252" s="57" t="s">
        <v>6194</v>
      </c>
      <c r="H252" s="57" t="s">
        <v>6195</v>
      </c>
      <c r="I252" s="37" t="s">
        <v>50</v>
      </c>
      <c r="J252" s="57" t="s">
        <v>6196</v>
      </c>
      <c r="K252" s="57" t="s">
        <v>6197</v>
      </c>
    </row>
    <row r="253" customFormat="false" ht="46.25" hidden="false" customHeight="false" outlineLevel="0" collapsed="false">
      <c r="D253" s="60"/>
      <c r="E253" s="60"/>
      <c r="F253" s="62"/>
      <c r="G253" s="57" t="s">
        <v>6198</v>
      </c>
      <c r="H253" s="57" t="s">
        <v>6199</v>
      </c>
      <c r="I253" s="37"/>
      <c r="J253" s="57" t="s">
        <v>3792</v>
      </c>
      <c r="K253" s="57" t="s">
        <v>3792</v>
      </c>
    </row>
    <row r="254" customFormat="false" ht="46.25" hidden="false" customHeight="false" outlineLevel="0" collapsed="false">
      <c r="D254" s="1" t="s">
        <v>6200</v>
      </c>
      <c r="E254" s="1" t="s">
        <v>6201</v>
      </c>
      <c r="F254" s="0" t="s">
        <v>5342</v>
      </c>
      <c r="G254" s="57" t="s">
        <v>6202</v>
      </c>
      <c r="H254" s="57" t="s">
        <v>6203</v>
      </c>
      <c r="I254" s="39" t="s">
        <v>67</v>
      </c>
      <c r="J254" s="57" t="s">
        <v>6204</v>
      </c>
      <c r="K254" s="57" t="s">
        <v>6205</v>
      </c>
    </row>
    <row r="255" customFormat="false" ht="46.25" hidden="false" customHeight="false" outlineLevel="0" collapsed="false">
      <c r="D255" s="60"/>
      <c r="E255" s="60"/>
      <c r="F255" s="62"/>
      <c r="G255" s="57" t="s">
        <v>6206</v>
      </c>
      <c r="H255" s="57" t="s">
        <v>6207</v>
      </c>
      <c r="I255" s="39"/>
      <c r="J255" s="57" t="s">
        <v>3792</v>
      </c>
      <c r="K255" s="57" t="s">
        <v>3792</v>
      </c>
    </row>
    <row r="256" customFormat="false" ht="46.25" hidden="false" customHeight="false" outlineLevel="0" collapsed="false">
      <c r="D256" s="1" t="s">
        <v>6208</v>
      </c>
      <c r="E256" s="1" t="s">
        <v>6209</v>
      </c>
      <c r="F256" s="0" t="s">
        <v>5342</v>
      </c>
      <c r="G256" s="57" t="s">
        <v>6210</v>
      </c>
      <c r="H256" s="57" t="s">
        <v>6211</v>
      </c>
      <c r="I256" s="34" t="s">
        <v>40</v>
      </c>
      <c r="J256" s="57" t="s">
        <v>6212</v>
      </c>
      <c r="K256" s="57" t="s">
        <v>6213</v>
      </c>
    </row>
    <row r="257" customFormat="false" ht="46.25" hidden="false" customHeight="false" outlineLevel="0" collapsed="false">
      <c r="D257" s="60"/>
      <c r="E257" s="60"/>
      <c r="F257" s="62"/>
      <c r="G257" s="57" t="s">
        <v>6214</v>
      </c>
      <c r="H257" s="57" t="s">
        <v>6215</v>
      </c>
      <c r="I257" s="34"/>
      <c r="J257" s="57" t="s">
        <v>3792</v>
      </c>
      <c r="K257" s="57" t="s">
        <v>3792</v>
      </c>
    </row>
    <row r="258" customFormat="false" ht="91" hidden="false" customHeight="false" outlineLevel="0" collapsed="false">
      <c r="D258" s="1" t="s">
        <v>6216</v>
      </c>
      <c r="E258" s="1" t="s">
        <v>6217</v>
      </c>
      <c r="F258" s="0" t="s">
        <v>5334</v>
      </c>
      <c r="G258" s="57" t="s">
        <v>6218</v>
      </c>
      <c r="H258" s="57" t="s">
        <v>6219</v>
      </c>
      <c r="I258" s="39" t="s">
        <v>67</v>
      </c>
      <c r="J258" s="57" t="s">
        <v>6220</v>
      </c>
      <c r="K258" s="57" t="s">
        <v>6221</v>
      </c>
    </row>
    <row r="259" customFormat="false" ht="23.85" hidden="false" customHeight="false" outlineLevel="0" collapsed="false">
      <c r="D259" s="60"/>
      <c r="E259" s="60"/>
      <c r="F259" s="62"/>
      <c r="G259" s="57" t="s">
        <v>6222</v>
      </c>
      <c r="H259" s="57" t="s">
        <v>3792</v>
      </c>
      <c r="I259" s="39"/>
      <c r="J259" s="57" t="s">
        <v>3792</v>
      </c>
      <c r="K259" s="57" t="s">
        <v>3792</v>
      </c>
    </row>
    <row r="260" customFormat="false" ht="91" hidden="false" customHeight="false" outlineLevel="0" collapsed="false">
      <c r="D260" s="1" t="s">
        <v>6223</v>
      </c>
      <c r="E260" s="1" t="s">
        <v>6224</v>
      </c>
      <c r="F260" s="0" t="s">
        <v>5334</v>
      </c>
      <c r="G260" s="57" t="s">
        <v>6225</v>
      </c>
      <c r="H260" s="57" t="s">
        <v>6226</v>
      </c>
      <c r="I260" s="37" t="s">
        <v>50</v>
      </c>
      <c r="J260" s="57" t="s">
        <v>6227</v>
      </c>
      <c r="K260" s="57" t="s">
        <v>6228</v>
      </c>
    </row>
    <row r="261" customFormat="false" ht="23.85" hidden="false" customHeight="false" outlineLevel="0" collapsed="false">
      <c r="C261" s="64"/>
      <c r="D261" s="66"/>
      <c r="E261" s="66"/>
      <c r="F261" s="65"/>
      <c r="G261" s="57" t="s">
        <v>6229</v>
      </c>
      <c r="H261" s="57" t="s">
        <v>3792</v>
      </c>
      <c r="I261" s="37"/>
      <c r="J261" s="57" t="s">
        <v>3792</v>
      </c>
      <c r="K261" s="57" t="s">
        <v>3792</v>
      </c>
    </row>
    <row r="262" customFormat="false" ht="91" hidden="false" customHeight="false" outlineLevel="0" collapsed="false">
      <c r="C262" s="59" t="s">
        <v>6230</v>
      </c>
      <c r="D262" s="1" t="s">
        <v>6231</v>
      </c>
      <c r="E262" s="1" t="s">
        <v>6232</v>
      </c>
      <c r="F262" s="0" t="s">
        <v>5342</v>
      </c>
      <c r="G262" s="57" t="s">
        <v>6233</v>
      </c>
      <c r="H262" s="57" t="s">
        <v>6234</v>
      </c>
      <c r="I262" s="37" t="s">
        <v>50</v>
      </c>
      <c r="J262" s="57" t="s">
        <v>6235</v>
      </c>
      <c r="K262" s="57" t="s">
        <v>6236</v>
      </c>
    </row>
    <row r="263" customFormat="false" ht="23.85" hidden="false" customHeight="false" outlineLevel="0" collapsed="false">
      <c r="D263" s="60"/>
      <c r="E263" s="60"/>
      <c r="F263" s="62"/>
      <c r="G263" s="57" t="s">
        <v>6237</v>
      </c>
      <c r="H263" s="57" t="s">
        <v>3792</v>
      </c>
      <c r="I263" s="37"/>
      <c r="J263" s="57" t="s">
        <v>3792</v>
      </c>
      <c r="K263" s="57" t="s">
        <v>3792</v>
      </c>
    </row>
    <row r="264" customFormat="false" ht="113.4" hidden="false" customHeight="false" outlineLevel="0" collapsed="false">
      <c r="D264" s="1" t="s">
        <v>6238</v>
      </c>
      <c r="E264" s="1" t="s">
        <v>6239</v>
      </c>
      <c r="F264" s="0" t="s">
        <v>5342</v>
      </c>
      <c r="G264" s="57" t="s">
        <v>6240</v>
      </c>
      <c r="H264" s="57" t="s">
        <v>6241</v>
      </c>
      <c r="I264" s="39" t="s">
        <v>67</v>
      </c>
      <c r="J264" s="57" t="s">
        <v>6242</v>
      </c>
      <c r="K264" s="57" t="s">
        <v>6243</v>
      </c>
    </row>
    <row r="265" customFormat="false" ht="23.85" hidden="false" customHeight="false" outlineLevel="0" collapsed="false">
      <c r="D265" s="60"/>
      <c r="E265" s="60"/>
      <c r="F265" s="62"/>
      <c r="G265" s="57" t="s">
        <v>6244</v>
      </c>
      <c r="H265" s="57" t="s">
        <v>3792</v>
      </c>
      <c r="I265" s="39"/>
      <c r="J265" s="57" t="s">
        <v>3792</v>
      </c>
      <c r="K265" s="57" t="s">
        <v>3792</v>
      </c>
    </row>
    <row r="266" customFormat="false" ht="68.65" hidden="false" customHeight="false" outlineLevel="0" collapsed="false">
      <c r="D266" s="1" t="s">
        <v>6245</v>
      </c>
      <c r="E266" s="1" t="s">
        <v>6246</v>
      </c>
      <c r="F266" s="0" t="s">
        <v>5334</v>
      </c>
      <c r="G266" s="57" t="s">
        <v>6247</v>
      </c>
      <c r="H266" s="57" t="s">
        <v>6248</v>
      </c>
      <c r="I266" s="34" t="s">
        <v>40</v>
      </c>
      <c r="J266" s="57" t="s">
        <v>6249</v>
      </c>
      <c r="K266" s="57" t="s">
        <v>6250</v>
      </c>
    </row>
    <row r="267" customFormat="false" ht="23.85" hidden="false" customHeight="false" outlineLevel="0" collapsed="false">
      <c r="D267" s="60"/>
      <c r="E267" s="60"/>
      <c r="F267" s="62"/>
      <c r="G267" s="57" t="s">
        <v>6251</v>
      </c>
      <c r="H267" s="57" t="s">
        <v>3792</v>
      </c>
      <c r="I267" s="34"/>
      <c r="J267" s="57" t="s">
        <v>3792</v>
      </c>
      <c r="K267" s="57" t="s">
        <v>3792</v>
      </c>
    </row>
    <row r="268" customFormat="false" ht="79.85" hidden="false" customHeight="false" outlineLevel="0" collapsed="false">
      <c r="D268" s="1" t="s">
        <v>6252</v>
      </c>
      <c r="E268" s="1" t="s">
        <v>6253</v>
      </c>
      <c r="F268" s="0" t="s">
        <v>5334</v>
      </c>
      <c r="G268" s="57" t="s">
        <v>6254</v>
      </c>
      <c r="H268" s="57" t="s">
        <v>6255</v>
      </c>
      <c r="I268" s="39" t="s">
        <v>67</v>
      </c>
      <c r="J268" s="57" t="s">
        <v>6256</v>
      </c>
      <c r="K268" s="57" t="s">
        <v>6257</v>
      </c>
    </row>
    <row r="269" customFormat="false" ht="12.8" hidden="false" customHeight="false" outlineLevel="0" collapsed="false">
      <c r="D269" s="60"/>
      <c r="E269" s="60"/>
      <c r="F269" s="62"/>
      <c r="G269" s="57" t="s">
        <v>6258</v>
      </c>
      <c r="H269" s="57" t="s">
        <v>3792</v>
      </c>
      <c r="I269" s="39"/>
      <c r="J269" s="57" t="s">
        <v>3792</v>
      </c>
      <c r="K269" s="57" t="s">
        <v>3792</v>
      </c>
    </row>
    <row r="270" customFormat="false" ht="91" hidden="false" customHeight="false" outlineLevel="0" collapsed="false">
      <c r="D270" s="1" t="s">
        <v>6259</v>
      </c>
      <c r="E270" s="1" t="s">
        <v>6260</v>
      </c>
      <c r="F270" s="0" t="s">
        <v>5334</v>
      </c>
      <c r="G270" s="57" t="s">
        <v>6261</v>
      </c>
      <c r="H270" s="57" t="s">
        <v>6262</v>
      </c>
      <c r="I270" s="37" t="s">
        <v>50</v>
      </c>
      <c r="J270" s="57" t="s">
        <v>6263</v>
      </c>
      <c r="K270" s="57" t="s">
        <v>6264</v>
      </c>
    </row>
    <row r="271" customFormat="false" ht="23.85" hidden="false" customHeight="false" outlineLevel="0" collapsed="false">
      <c r="C271" s="64"/>
      <c r="D271" s="66"/>
      <c r="E271" s="66"/>
      <c r="F271" s="65"/>
      <c r="G271" s="57" t="s">
        <v>6265</v>
      </c>
      <c r="H271" s="57" t="s">
        <v>3792</v>
      </c>
      <c r="I271" s="37"/>
      <c r="J271" s="57" t="s">
        <v>3792</v>
      </c>
      <c r="K271" s="57" t="s">
        <v>3792</v>
      </c>
    </row>
    <row r="272" customFormat="false" ht="68.65" hidden="false" customHeight="false" outlineLevel="0" collapsed="false">
      <c r="C272" s="59" t="s">
        <v>6266</v>
      </c>
      <c r="D272" s="1" t="s">
        <v>6267</v>
      </c>
      <c r="E272" s="1" t="s">
        <v>6268</v>
      </c>
      <c r="F272" s="0" t="s">
        <v>5342</v>
      </c>
      <c r="G272" s="57" t="s">
        <v>6269</v>
      </c>
      <c r="H272" s="57" t="s">
        <v>6270</v>
      </c>
      <c r="I272" s="37" t="s">
        <v>50</v>
      </c>
      <c r="J272" s="57" t="s">
        <v>6271</v>
      </c>
      <c r="K272" s="57" t="s">
        <v>6272</v>
      </c>
    </row>
    <row r="273" customFormat="false" ht="23.85" hidden="false" customHeight="false" outlineLevel="0" collapsed="false">
      <c r="D273" s="60"/>
      <c r="E273" s="60"/>
      <c r="F273" s="62"/>
      <c r="G273" s="57" t="s">
        <v>6273</v>
      </c>
      <c r="H273" s="57" t="s">
        <v>3792</v>
      </c>
      <c r="I273" s="37"/>
      <c r="J273" s="57" t="s">
        <v>3792</v>
      </c>
      <c r="K273" s="57" t="s">
        <v>3792</v>
      </c>
    </row>
    <row r="274" customFormat="false" ht="68.65" hidden="false" customHeight="false" outlineLevel="0" collapsed="false">
      <c r="D274" s="1" t="s">
        <v>6274</v>
      </c>
      <c r="E274" s="1" t="s">
        <v>6275</v>
      </c>
      <c r="F274" s="0" t="s">
        <v>5334</v>
      </c>
      <c r="G274" s="57" t="s">
        <v>6276</v>
      </c>
      <c r="H274" s="57" t="s">
        <v>6277</v>
      </c>
      <c r="I274" s="39" t="s">
        <v>67</v>
      </c>
      <c r="J274" s="57" t="s">
        <v>6278</v>
      </c>
      <c r="K274" s="57" t="s">
        <v>6279</v>
      </c>
    </row>
    <row r="275" customFormat="false" ht="23.85" hidden="false" customHeight="false" outlineLevel="0" collapsed="false">
      <c r="D275" s="60"/>
      <c r="E275" s="60"/>
      <c r="F275" s="62"/>
      <c r="G275" s="57" t="s">
        <v>6280</v>
      </c>
      <c r="H275" s="57" t="s">
        <v>3792</v>
      </c>
      <c r="I275" s="39"/>
      <c r="J275" s="57" t="s">
        <v>3792</v>
      </c>
      <c r="K275" s="57" t="s">
        <v>3792</v>
      </c>
    </row>
    <row r="276" customFormat="false" ht="68.65" hidden="false" customHeight="false" outlineLevel="0" collapsed="false">
      <c r="D276" s="1" t="s">
        <v>6281</v>
      </c>
      <c r="E276" s="1" t="s">
        <v>6282</v>
      </c>
      <c r="F276" s="0" t="s">
        <v>5342</v>
      </c>
      <c r="G276" s="57" t="s">
        <v>6283</v>
      </c>
      <c r="H276" s="57" t="s">
        <v>6284</v>
      </c>
      <c r="I276" s="34" t="s">
        <v>40</v>
      </c>
      <c r="J276" s="57" t="s">
        <v>6285</v>
      </c>
      <c r="K276" s="57" t="s">
        <v>6286</v>
      </c>
    </row>
    <row r="277" customFormat="false" ht="12.8" hidden="false" customHeight="false" outlineLevel="0" collapsed="false">
      <c r="D277" s="60"/>
      <c r="E277" s="60"/>
      <c r="F277" s="62"/>
      <c r="G277" s="57" t="s">
        <v>6287</v>
      </c>
      <c r="H277" s="57" t="s">
        <v>3792</v>
      </c>
      <c r="I277" s="34"/>
      <c r="J277" s="57" t="s">
        <v>3792</v>
      </c>
      <c r="K277" s="57" t="s">
        <v>3792</v>
      </c>
    </row>
    <row r="278" customFormat="false" ht="79.85" hidden="false" customHeight="false" outlineLevel="0" collapsed="false">
      <c r="D278" s="1" t="s">
        <v>6288</v>
      </c>
      <c r="E278" s="1" t="s">
        <v>6289</v>
      </c>
      <c r="F278" s="0" t="s">
        <v>5334</v>
      </c>
      <c r="G278" s="57" t="s">
        <v>6290</v>
      </c>
      <c r="H278" s="57" t="s">
        <v>6291</v>
      </c>
      <c r="I278" s="39" t="s">
        <v>67</v>
      </c>
      <c r="J278" s="57" t="s">
        <v>6292</v>
      </c>
      <c r="K278" s="57" t="s">
        <v>6293</v>
      </c>
    </row>
    <row r="279" customFormat="false" ht="12.8" hidden="false" customHeight="false" outlineLevel="0" collapsed="false">
      <c r="D279" s="60"/>
      <c r="E279" s="60"/>
      <c r="F279" s="62"/>
      <c r="G279" s="57" t="s">
        <v>6294</v>
      </c>
      <c r="H279" s="57" t="s">
        <v>3792</v>
      </c>
      <c r="I279" s="39"/>
      <c r="J279" s="57" t="s">
        <v>3792</v>
      </c>
      <c r="K279" s="57" t="s">
        <v>3792</v>
      </c>
    </row>
    <row r="280" customFormat="false" ht="68.65" hidden="false" customHeight="false" outlineLevel="0" collapsed="false">
      <c r="D280" s="1" t="s">
        <v>6295</v>
      </c>
      <c r="E280" s="1" t="s">
        <v>6296</v>
      </c>
      <c r="F280" s="0" t="s">
        <v>5342</v>
      </c>
      <c r="G280" s="57" t="s">
        <v>6297</v>
      </c>
      <c r="H280" s="57" t="s">
        <v>6298</v>
      </c>
      <c r="I280" s="37" t="s">
        <v>50</v>
      </c>
      <c r="J280" s="57" t="s">
        <v>6299</v>
      </c>
      <c r="K280" s="57" t="s">
        <v>6300</v>
      </c>
    </row>
    <row r="281" customFormat="false" ht="23.85" hidden="false" customHeight="false" outlineLevel="0" collapsed="false">
      <c r="C281" s="64"/>
      <c r="D281" s="66"/>
      <c r="E281" s="66"/>
      <c r="F281" s="69"/>
      <c r="G281" s="57" t="s">
        <v>6301</v>
      </c>
      <c r="H281" s="57" t="s">
        <v>3792</v>
      </c>
      <c r="I281" s="37"/>
      <c r="J281" s="57" t="s">
        <v>3792</v>
      </c>
      <c r="K281" s="57" t="s">
        <v>3792</v>
      </c>
    </row>
    <row r="282" customFormat="false" ht="102.2" hidden="false" customHeight="false" outlineLevel="0" collapsed="false">
      <c r="C282" s="59" t="s">
        <v>6302</v>
      </c>
      <c r="D282" s="1" t="s">
        <v>6303</v>
      </c>
      <c r="E282" s="1" t="s">
        <v>6304</v>
      </c>
      <c r="F282" s="0" t="s">
        <v>5334</v>
      </c>
      <c r="G282" s="57" t="s">
        <v>6305</v>
      </c>
      <c r="H282" s="57" t="s">
        <v>6306</v>
      </c>
      <c r="I282" s="37" t="s">
        <v>50</v>
      </c>
      <c r="J282" s="57" t="s">
        <v>6307</v>
      </c>
      <c r="K282" s="57" t="s">
        <v>6308</v>
      </c>
    </row>
    <row r="283" customFormat="false" ht="12.8" hidden="false" customHeight="false" outlineLevel="0" collapsed="false">
      <c r="D283" s="60"/>
      <c r="E283" s="60"/>
      <c r="F283" s="62"/>
      <c r="G283" s="57" t="s">
        <v>6309</v>
      </c>
      <c r="H283" s="57" t="s">
        <v>3792</v>
      </c>
      <c r="I283" s="37"/>
      <c r="J283" s="57" t="s">
        <v>3792</v>
      </c>
      <c r="K283" s="57" t="s">
        <v>3792</v>
      </c>
    </row>
    <row r="284" customFormat="false" ht="79.85" hidden="false" customHeight="false" outlineLevel="0" collapsed="false">
      <c r="D284" s="1" t="s">
        <v>6310</v>
      </c>
      <c r="E284" s="1" t="s">
        <v>6311</v>
      </c>
      <c r="F284" s="0" t="s">
        <v>5334</v>
      </c>
      <c r="G284" s="57" t="s">
        <v>6312</v>
      </c>
      <c r="H284" s="57" t="s">
        <v>6313</v>
      </c>
      <c r="I284" s="39" t="s">
        <v>67</v>
      </c>
      <c r="J284" s="57" t="s">
        <v>6314</v>
      </c>
      <c r="K284" s="57" t="s">
        <v>6315</v>
      </c>
    </row>
    <row r="285" customFormat="false" ht="23.85" hidden="false" customHeight="false" outlineLevel="0" collapsed="false">
      <c r="D285" s="60"/>
      <c r="E285" s="60"/>
      <c r="F285" s="62"/>
      <c r="G285" s="57" t="s">
        <v>6316</v>
      </c>
      <c r="H285" s="57" t="s">
        <v>3792</v>
      </c>
      <c r="I285" s="39"/>
      <c r="J285" s="57" t="s">
        <v>3792</v>
      </c>
      <c r="K285" s="57" t="s">
        <v>3792</v>
      </c>
    </row>
    <row r="286" customFormat="false" ht="79.85" hidden="false" customHeight="false" outlineLevel="0" collapsed="false">
      <c r="D286" s="1" t="s">
        <v>6317</v>
      </c>
      <c r="E286" s="1" t="s">
        <v>6318</v>
      </c>
      <c r="F286" s="0" t="s">
        <v>5334</v>
      </c>
      <c r="G286" s="57" t="s">
        <v>6319</v>
      </c>
      <c r="H286" s="57" t="s">
        <v>6320</v>
      </c>
      <c r="I286" s="34" t="s">
        <v>40</v>
      </c>
      <c r="J286" s="57" t="s">
        <v>6321</v>
      </c>
      <c r="K286" s="57" t="s">
        <v>6322</v>
      </c>
    </row>
    <row r="287" customFormat="false" ht="23.85" hidden="false" customHeight="false" outlineLevel="0" collapsed="false">
      <c r="D287" s="60"/>
      <c r="E287" s="60"/>
      <c r="F287" s="62"/>
      <c r="G287" s="57" t="s">
        <v>6323</v>
      </c>
      <c r="H287" s="57" t="s">
        <v>3792</v>
      </c>
      <c r="I287" s="34"/>
      <c r="J287" s="57" t="s">
        <v>3792</v>
      </c>
      <c r="K287" s="57" t="s">
        <v>3792</v>
      </c>
    </row>
    <row r="288" customFormat="false" ht="79.85" hidden="false" customHeight="false" outlineLevel="0" collapsed="false">
      <c r="D288" s="1" t="s">
        <v>6324</v>
      </c>
      <c r="E288" s="1" t="s">
        <v>6325</v>
      </c>
      <c r="F288" s="0" t="s">
        <v>5342</v>
      </c>
      <c r="G288" s="57" t="s">
        <v>6326</v>
      </c>
      <c r="H288" s="57" t="s">
        <v>6327</v>
      </c>
      <c r="I288" s="39" t="s">
        <v>67</v>
      </c>
      <c r="J288" s="57" t="s">
        <v>6328</v>
      </c>
      <c r="K288" s="57" t="s">
        <v>6329</v>
      </c>
    </row>
    <row r="289" customFormat="false" ht="23.85" hidden="false" customHeight="false" outlineLevel="0" collapsed="false">
      <c r="D289" s="60"/>
      <c r="E289" s="60"/>
      <c r="F289" s="62"/>
      <c r="G289" s="57" t="s">
        <v>6330</v>
      </c>
      <c r="H289" s="57" t="s">
        <v>3792</v>
      </c>
      <c r="I289" s="39"/>
      <c r="J289" s="57" t="s">
        <v>3792</v>
      </c>
      <c r="K289" s="57" t="s">
        <v>3792</v>
      </c>
    </row>
    <row r="290" customFormat="false" ht="68.65" hidden="false" customHeight="false" outlineLevel="0" collapsed="false">
      <c r="D290" s="1" t="s">
        <v>6331</v>
      </c>
      <c r="E290" s="1" t="s">
        <v>6332</v>
      </c>
      <c r="F290" s="0" t="s">
        <v>5342</v>
      </c>
      <c r="G290" s="57" t="s">
        <v>6333</v>
      </c>
      <c r="H290" s="57" t="s">
        <v>6334</v>
      </c>
      <c r="I290" s="37" t="s">
        <v>50</v>
      </c>
      <c r="J290" s="57" t="s">
        <v>6335</v>
      </c>
      <c r="K290" s="57" t="s">
        <v>6336</v>
      </c>
    </row>
    <row r="291" customFormat="false" ht="12.8" hidden="false" customHeight="false" outlineLevel="0" collapsed="false">
      <c r="B291" s="67"/>
      <c r="C291" s="68"/>
      <c r="D291" s="68"/>
      <c r="E291" s="68"/>
      <c r="F291" s="65"/>
      <c r="G291" s="57" t="s">
        <v>6337</v>
      </c>
      <c r="H291" s="57" t="s">
        <v>3792</v>
      </c>
      <c r="I291" s="37"/>
      <c r="J291" s="57" t="s">
        <v>3792</v>
      </c>
      <c r="K291" s="57" t="s">
        <v>3792</v>
      </c>
    </row>
    <row r="292" customFormat="false" ht="91" hidden="false" customHeight="false" outlineLevel="0" collapsed="false">
      <c r="B292" s="1" t="s">
        <v>6338</v>
      </c>
      <c r="C292" s="59" t="s">
        <v>6339</v>
      </c>
      <c r="D292" s="1" t="s">
        <v>6340</v>
      </c>
      <c r="E292" s="1" t="s">
        <v>6341</v>
      </c>
      <c r="F292" s="0" t="s">
        <v>5334</v>
      </c>
      <c r="G292" s="57" t="s">
        <v>6342</v>
      </c>
      <c r="H292" s="57" t="s">
        <v>6343</v>
      </c>
      <c r="I292" s="37" t="s">
        <v>50</v>
      </c>
      <c r="J292" s="57" t="s">
        <v>6344</v>
      </c>
      <c r="K292" s="57" t="s">
        <v>6345</v>
      </c>
    </row>
    <row r="293" customFormat="false" ht="12.8" hidden="false" customHeight="false" outlineLevel="0" collapsed="false">
      <c r="D293" s="60"/>
      <c r="E293" s="60"/>
      <c r="F293" s="62"/>
      <c r="G293" s="57" t="s">
        <v>6346</v>
      </c>
      <c r="H293" s="57" t="s">
        <v>3792</v>
      </c>
      <c r="I293" s="37"/>
      <c r="J293" s="57" t="s">
        <v>3792</v>
      </c>
      <c r="K293" s="57" t="s">
        <v>3792</v>
      </c>
    </row>
    <row r="294" customFormat="false" ht="68.65" hidden="false" customHeight="false" outlineLevel="0" collapsed="false">
      <c r="D294" s="1" t="s">
        <v>6347</v>
      </c>
      <c r="E294" s="1" t="s">
        <v>6348</v>
      </c>
      <c r="F294" s="0" t="s">
        <v>5342</v>
      </c>
      <c r="G294" s="57" t="s">
        <v>6349</v>
      </c>
      <c r="H294" s="57" t="s">
        <v>6350</v>
      </c>
      <c r="I294" s="39" t="s">
        <v>67</v>
      </c>
      <c r="J294" s="57" t="s">
        <v>6351</v>
      </c>
      <c r="K294" s="57" t="s">
        <v>6352</v>
      </c>
    </row>
    <row r="295" customFormat="false" ht="12.8" hidden="false" customHeight="false" outlineLevel="0" collapsed="false">
      <c r="D295" s="60"/>
      <c r="E295" s="60"/>
      <c r="F295" s="62"/>
      <c r="G295" s="57" t="s">
        <v>6353</v>
      </c>
      <c r="H295" s="57" t="s">
        <v>3792</v>
      </c>
      <c r="I295" s="39"/>
      <c r="J295" s="57" t="s">
        <v>3792</v>
      </c>
      <c r="K295" s="57" t="s">
        <v>3792</v>
      </c>
    </row>
    <row r="296" customFormat="false" ht="68.65" hidden="false" customHeight="false" outlineLevel="0" collapsed="false">
      <c r="D296" s="1" t="s">
        <v>6354</v>
      </c>
      <c r="E296" s="1" t="s">
        <v>6355</v>
      </c>
      <c r="F296" s="0" t="s">
        <v>5342</v>
      </c>
      <c r="G296" s="57" t="s">
        <v>6356</v>
      </c>
      <c r="H296" s="57" t="s">
        <v>6357</v>
      </c>
      <c r="I296" s="34" t="s">
        <v>40</v>
      </c>
      <c r="J296" s="57" t="s">
        <v>6358</v>
      </c>
      <c r="K296" s="57" t="s">
        <v>6359</v>
      </c>
    </row>
    <row r="297" customFormat="false" ht="23.85" hidden="false" customHeight="false" outlineLevel="0" collapsed="false">
      <c r="D297" s="60"/>
      <c r="E297" s="60"/>
      <c r="F297" s="62"/>
      <c r="G297" s="57" t="s">
        <v>6360</v>
      </c>
      <c r="H297" s="57" t="s">
        <v>3792</v>
      </c>
      <c r="I297" s="34"/>
      <c r="J297" s="57" t="s">
        <v>3792</v>
      </c>
      <c r="K297" s="57" t="s">
        <v>3792</v>
      </c>
    </row>
    <row r="298" customFormat="false" ht="57.45" hidden="false" customHeight="false" outlineLevel="0" collapsed="false">
      <c r="D298" s="1" t="s">
        <v>6361</v>
      </c>
      <c r="E298" s="1" t="s">
        <v>6362</v>
      </c>
      <c r="F298" s="0" t="s">
        <v>5334</v>
      </c>
      <c r="G298" s="57" t="s">
        <v>6363</v>
      </c>
      <c r="H298" s="57" t="s">
        <v>6364</v>
      </c>
      <c r="I298" s="39" t="s">
        <v>67</v>
      </c>
      <c r="J298" s="57" t="s">
        <v>6365</v>
      </c>
      <c r="K298" s="57" t="s">
        <v>6366</v>
      </c>
    </row>
    <row r="299" customFormat="false" ht="23.85" hidden="false" customHeight="false" outlineLevel="0" collapsed="false">
      <c r="D299" s="60"/>
      <c r="E299" s="60"/>
      <c r="F299" s="62"/>
      <c r="G299" s="57" t="s">
        <v>6367</v>
      </c>
      <c r="H299" s="57" t="s">
        <v>3792</v>
      </c>
      <c r="I299" s="39"/>
      <c r="J299" s="57" t="s">
        <v>3792</v>
      </c>
      <c r="K299" s="57" t="s">
        <v>3792</v>
      </c>
    </row>
    <row r="300" customFormat="false" ht="79.85" hidden="false" customHeight="false" outlineLevel="0" collapsed="false">
      <c r="D300" s="1" t="s">
        <v>6368</v>
      </c>
      <c r="E300" s="1" t="s">
        <v>6369</v>
      </c>
      <c r="F300" s="0" t="s">
        <v>5342</v>
      </c>
      <c r="G300" s="57" t="s">
        <v>6370</v>
      </c>
      <c r="H300" s="57" t="s">
        <v>6371</v>
      </c>
      <c r="I300" s="37" t="s">
        <v>50</v>
      </c>
      <c r="J300" s="57" t="s">
        <v>6372</v>
      </c>
      <c r="K300" s="57" t="s">
        <v>6373</v>
      </c>
    </row>
    <row r="301" customFormat="false" ht="23.85" hidden="false" customHeight="false" outlineLevel="0" collapsed="false">
      <c r="C301" s="64"/>
      <c r="D301" s="66"/>
      <c r="E301" s="66"/>
      <c r="F301" s="65"/>
      <c r="G301" s="57" t="s">
        <v>6374</v>
      </c>
      <c r="H301" s="66"/>
      <c r="I301" s="37"/>
      <c r="J301" s="66"/>
      <c r="K301" s="57" t="s">
        <v>3792</v>
      </c>
    </row>
    <row r="302" customFormat="false" ht="79.85" hidden="false" customHeight="false" outlineLevel="0" collapsed="false">
      <c r="C302" s="59" t="s">
        <v>6375</v>
      </c>
      <c r="D302" s="1" t="s">
        <v>6376</v>
      </c>
      <c r="E302" s="1" t="s">
        <v>6377</v>
      </c>
      <c r="F302" s="0" t="s">
        <v>5342</v>
      </c>
      <c r="G302" s="57" t="s">
        <v>6378</v>
      </c>
      <c r="H302" s="57" t="s">
        <v>6379</v>
      </c>
      <c r="I302" s="37" t="s">
        <v>50</v>
      </c>
      <c r="J302" s="57" t="s">
        <v>6380</v>
      </c>
      <c r="K302" s="57" t="s">
        <v>6381</v>
      </c>
    </row>
    <row r="303" customFormat="false" ht="23.85" hidden="false" customHeight="false" outlineLevel="0" collapsed="false">
      <c r="D303" s="60"/>
      <c r="E303" s="60"/>
      <c r="F303" s="62"/>
      <c r="G303" s="57" t="s">
        <v>6382</v>
      </c>
      <c r="H303" s="57" t="s">
        <v>3792</v>
      </c>
      <c r="I303" s="37"/>
      <c r="J303" s="57" t="s">
        <v>3792</v>
      </c>
      <c r="K303" s="57" t="s">
        <v>3792</v>
      </c>
    </row>
    <row r="304" customFormat="false" ht="68.65" hidden="false" customHeight="false" outlineLevel="0" collapsed="false">
      <c r="D304" s="1" t="s">
        <v>6383</v>
      </c>
      <c r="E304" s="1" t="s">
        <v>6384</v>
      </c>
      <c r="F304" s="0" t="s">
        <v>5334</v>
      </c>
      <c r="G304" s="57" t="s">
        <v>6385</v>
      </c>
      <c r="H304" s="57" t="s">
        <v>6386</v>
      </c>
      <c r="I304" s="39" t="s">
        <v>67</v>
      </c>
      <c r="J304" s="57" t="s">
        <v>6387</v>
      </c>
      <c r="K304" s="57" t="s">
        <v>6388</v>
      </c>
    </row>
    <row r="305" customFormat="false" ht="12.8" hidden="false" customHeight="false" outlineLevel="0" collapsed="false">
      <c r="D305" s="60"/>
      <c r="E305" s="60"/>
      <c r="F305" s="62"/>
      <c r="G305" s="57" t="s">
        <v>6389</v>
      </c>
      <c r="H305" s="57" t="s">
        <v>3792</v>
      </c>
      <c r="I305" s="39"/>
      <c r="J305" s="57" t="s">
        <v>3792</v>
      </c>
      <c r="K305" s="57" t="s">
        <v>3792</v>
      </c>
    </row>
    <row r="306" customFormat="false" ht="68.65" hidden="false" customHeight="false" outlineLevel="0" collapsed="false">
      <c r="D306" s="1" t="s">
        <v>6390</v>
      </c>
      <c r="E306" s="1" t="s">
        <v>6391</v>
      </c>
      <c r="F306" s="0" t="s">
        <v>5334</v>
      </c>
      <c r="G306" s="57" t="s">
        <v>6392</v>
      </c>
      <c r="H306" s="57" t="s">
        <v>6393</v>
      </c>
      <c r="I306" s="34" t="s">
        <v>40</v>
      </c>
      <c r="J306" s="57" t="s">
        <v>6394</v>
      </c>
      <c r="K306" s="57" t="s">
        <v>6395</v>
      </c>
    </row>
    <row r="307" customFormat="false" ht="12.8" hidden="false" customHeight="false" outlineLevel="0" collapsed="false">
      <c r="D307" s="60"/>
      <c r="E307" s="60"/>
      <c r="F307" s="62"/>
      <c r="G307" s="57" t="s">
        <v>6396</v>
      </c>
      <c r="H307" s="57" t="s">
        <v>3792</v>
      </c>
      <c r="I307" s="34"/>
      <c r="J307" s="57" t="s">
        <v>3792</v>
      </c>
      <c r="K307" s="57" t="s">
        <v>3792</v>
      </c>
    </row>
    <row r="308" customFormat="false" ht="68.65" hidden="false" customHeight="false" outlineLevel="0" collapsed="false">
      <c r="D308" s="1" t="s">
        <v>6397</v>
      </c>
      <c r="E308" s="1" t="s">
        <v>6398</v>
      </c>
      <c r="F308" s="0" t="s">
        <v>5334</v>
      </c>
      <c r="G308" s="57" t="s">
        <v>6399</v>
      </c>
      <c r="H308" s="57" t="s">
        <v>6400</v>
      </c>
      <c r="I308" s="39" t="s">
        <v>67</v>
      </c>
      <c r="J308" s="57" t="s">
        <v>6401</v>
      </c>
      <c r="K308" s="57" t="s">
        <v>6402</v>
      </c>
    </row>
    <row r="309" customFormat="false" ht="23.85" hidden="false" customHeight="false" outlineLevel="0" collapsed="false">
      <c r="D309" s="60"/>
      <c r="E309" s="60"/>
      <c r="F309" s="62"/>
      <c r="G309" s="57" t="s">
        <v>6403</v>
      </c>
      <c r="H309" s="57" t="s">
        <v>3792</v>
      </c>
      <c r="I309" s="39"/>
      <c r="J309" s="57" t="s">
        <v>3792</v>
      </c>
      <c r="K309" s="57" t="s">
        <v>3792</v>
      </c>
    </row>
    <row r="310" customFormat="false" ht="68.65" hidden="false" customHeight="false" outlineLevel="0" collapsed="false">
      <c r="D310" s="1" t="s">
        <v>6404</v>
      </c>
      <c r="E310" s="1" t="s">
        <v>6405</v>
      </c>
      <c r="F310" s="0" t="s">
        <v>5342</v>
      </c>
      <c r="G310" s="57" t="s">
        <v>6406</v>
      </c>
      <c r="H310" s="57" t="s">
        <v>6407</v>
      </c>
      <c r="I310" s="37" t="s">
        <v>50</v>
      </c>
      <c r="J310" s="57" t="s">
        <v>6408</v>
      </c>
      <c r="K310" s="57" t="s">
        <v>6409</v>
      </c>
    </row>
    <row r="311" customFormat="false" ht="23.85" hidden="false" customHeight="false" outlineLevel="0" collapsed="false">
      <c r="C311" s="64"/>
      <c r="D311" s="66"/>
      <c r="E311" s="66"/>
      <c r="F311" s="65"/>
      <c r="G311" s="57" t="s">
        <v>6410</v>
      </c>
      <c r="H311" s="57" t="s">
        <v>3792</v>
      </c>
      <c r="I311" s="37"/>
      <c r="J311" s="57" t="s">
        <v>3792</v>
      </c>
      <c r="K311" s="57" t="s">
        <v>3792</v>
      </c>
    </row>
    <row r="312" customFormat="false" ht="68.65" hidden="false" customHeight="false" outlineLevel="0" collapsed="false">
      <c r="C312" s="59" t="s">
        <v>6411</v>
      </c>
      <c r="D312" s="1" t="s">
        <v>6412</v>
      </c>
      <c r="E312" s="1" t="s">
        <v>6413</v>
      </c>
      <c r="F312" s="0" t="s">
        <v>5334</v>
      </c>
      <c r="G312" s="57" t="s">
        <v>5486</v>
      </c>
      <c r="H312" s="57" t="s">
        <v>6414</v>
      </c>
      <c r="I312" s="37" t="s">
        <v>50</v>
      </c>
      <c r="J312" s="57" t="s">
        <v>3624</v>
      </c>
      <c r="K312" s="57" t="s">
        <v>6415</v>
      </c>
    </row>
    <row r="313" customFormat="false" ht="23.85" hidden="false" customHeight="false" outlineLevel="0" collapsed="false">
      <c r="D313" s="60"/>
      <c r="E313" s="60"/>
      <c r="F313" s="62"/>
      <c r="G313" s="57" t="s">
        <v>1077</v>
      </c>
      <c r="H313" s="57" t="s">
        <v>3792</v>
      </c>
      <c r="I313" s="37"/>
      <c r="J313" s="57" t="s">
        <v>3792</v>
      </c>
      <c r="K313" s="57" t="s">
        <v>3792</v>
      </c>
    </row>
    <row r="314" customFormat="false" ht="68.65" hidden="false" customHeight="false" outlineLevel="0" collapsed="false">
      <c r="D314" s="1" t="s">
        <v>6416</v>
      </c>
      <c r="E314" s="1" t="s">
        <v>6417</v>
      </c>
      <c r="F314" s="0" t="s">
        <v>5342</v>
      </c>
      <c r="G314" s="57" t="s">
        <v>6418</v>
      </c>
      <c r="H314" s="57" t="s">
        <v>6419</v>
      </c>
      <c r="I314" s="39" t="s">
        <v>67</v>
      </c>
      <c r="J314" s="57" t="s">
        <v>6420</v>
      </c>
      <c r="K314" s="57" t="s">
        <v>6421</v>
      </c>
    </row>
    <row r="315" customFormat="false" ht="23.85" hidden="false" customHeight="false" outlineLevel="0" collapsed="false">
      <c r="D315" s="60"/>
      <c r="E315" s="60"/>
      <c r="F315" s="62"/>
      <c r="G315" s="57" t="s">
        <v>6422</v>
      </c>
      <c r="H315" s="57" t="s">
        <v>3792</v>
      </c>
      <c r="I315" s="39"/>
      <c r="J315" s="57" t="s">
        <v>3792</v>
      </c>
      <c r="K315" s="57" t="s">
        <v>3792</v>
      </c>
    </row>
    <row r="316" customFormat="false" ht="68.65" hidden="false" customHeight="false" outlineLevel="0" collapsed="false">
      <c r="D316" s="1" t="s">
        <v>6423</v>
      </c>
      <c r="E316" s="1" t="s">
        <v>6424</v>
      </c>
      <c r="F316" s="0" t="s">
        <v>5342</v>
      </c>
      <c r="G316" s="57" t="s">
        <v>6425</v>
      </c>
      <c r="H316" s="57" t="s">
        <v>6426</v>
      </c>
      <c r="I316" s="34" t="s">
        <v>40</v>
      </c>
      <c r="J316" s="57" t="s">
        <v>6427</v>
      </c>
      <c r="K316" s="57" t="s">
        <v>6428</v>
      </c>
    </row>
    <row r="317" customFormat="false" ht="23.85" hidden="false" customHeight="false" outlineLevel="0" collapsed="false">
      <c r="D317" s="60"/>
      <c r="E317" s="60"/>
      <c r="F317" s="62"/>
      <c r="G317" s="57" t="s">
        <v>6429</v>
      </c>
      <c r="H317" s="57" t="s">
        <v>3792</v>
      </c>
      <c r="I317" s="34"/>
      <c r="J317" s="57" t="s">
        <v>3792</v>
      </c>
      <c r="K317" s="57" t="s">
        <v>3792</v>
      </c>
    </row>
    <row r="318" customFormat="false" ht="68.65" hidden="false" customHeight="false" outlineLevel="0" collapsed="false">
      <c r="D318" s="1" t="s">
        <v>6430</v>
      </c>
      <c r="E318" s="1" t="s">
        <v>6431</v>
      </c>
      <c r="F318" s="0" t="s">
        <v>5334</v>
      </c>
      <c r="G318" s="57" t="s">
        <v>6432</v>
      </c>
      <c r="H318" s="57" t="s">
        <v>6433</v>
      </c>
      <c r="I318" s="39" t="s">
        <v>67</v>
      </c>
      <c r="J318" s="57" t="s">
        <v>6434</v>
      </c>
      <c r="K318" s="57" t="s">
        <v>6435</v>
      </c>
    </row>
    <row r="319" customFormat="false" ht="12.8" hidden="false" customHeight="false" outlineLevel="0" collapsed="false">
      <c r="D319" s="60"/>
      <c r="E319" s="60"/>
      <c r="F319" s="62"/>
      <c r="G319" s="57" t="s">
        <v>6436</v>
      </c>
      <c r="H319" s="57" t="s">
        <v>3792</v>
      </c>
      <c r="I319" s="39"/>
      <c r="J319" s="57" t="s">
        <v>3792</v>
      </c>
      <c r="K319" s="57" t="s">
        <v>3792</v>
      </c>
    </row>
    <row r="320" customFormat="false" ht="68.65" hidden="false" customHeight="false" outlineLevel="0" collapsed="false">
      <c r="D320" s="1" t="s">
        <v>6437</v>
      </c>
      <c r="E320" s="1" t="s">
        <v>6438</v>
      </c>
      <c r="F320" s="0" t="s">
        <v>5334</v>
      </c>
      <c r="G320" s="57" t="s">
        <v>6439</v>
      </c>
      <c r="H320" s="57" t="s">
        <v>6440</v>
      </c>
      <c r="I320" s="37" t="s">
        <v>50</v>
      </c>
      <c r="J320" s="57" t="s">
        <v>6441</v>
      </c>
      <c r="K320" s="57" t="s">
        <v>6442</v>
      </c>
    </row>
    <row r="321" customFormat="false" ht="23.85" hidden="false" customHeight="false" outlineLevel="0" collapsed="false">
      <c r="C321" s="64"/>
      <c r="D321" s="66"/>
      <c r="E321" s="66"/>
      <c r="F321" s="65"/>
      <c r="G321" s="57" t="s">
        <v>3394</v>
      </c>
      <c r="H321" s="57" t="s">
        <v>3792</v>
      </c>
      <c r="I321" s="37"/>
      <c r="J321" s="57" t="s">
        <v>3792</v>
      </c>
      <c r="K321" s="57" t="s">
        <v>3792</v>
      </c>
    </row>
    <row r="322" customFormat="false" ht="68.65" hidden="false" customHeight="false" outlineLevel="0" collapsed="false">
      <c r="C322" s="59" t="s">
        <v>6443</v>
      </c>
      <c r="D322" s="1" t="s">
        <v>6444</v>
      </c>
      <c r="E322" s="1" t="s">
        <v>6445</v>
      </c>
      <c r="F322" s="0" t="s">
        <v>5342</v>
      </c>
      <c r="G322" s="57" t="s">
        <v>6446</v>
      </c>
      <c r="H322" s="57" t="s">
        <v>6447</v>
      </c>
      <c r="I322" s="37" t="s">
        <v>50</v>
      </c>
      <c r="J322" s="57" t="s">
        <v>6448</v>
      </c>
      <c r="K322" s="57" t="s">
        <v>6449</v>
      </c>
    </row>
    <row r="323" customFormat="false" ht="12.8" hidden="false" customHeight="false" outlineLevel="0" collapsed="false">
      <c r="D323" s="60"/>
      <c r="E323" s="60"/>
      <c r="F323" s="62"/>
      <c r="G323" s="57" t="s">
        <v>6450</v>
      </c>
      <c r="H323" s="57" t="s">
        <v>3792</v>
      </c>
      <c r="I323" s="37"/>
      <c r="J323" s="57" t="s">
        <v>3792</v>
      </c>
      <c r="K323" s="57" t="s">
        <v>3792</v>
      </c>
    </row>
    <row r="324" customFormat="false" ht="68.65" hidden="false" customHeight="false" outlineLevel="0" collapsed="false">
      <c r="D324" s="1" t="s">
        <v>6451</v>
      </c>
      <c r="E324" s="1" t="s">
        <v>6452</v>
      </c>
      <c r="F324" s="0" t="s">
        <v>5342</v>
      </c>
      <c r="G324" s="57" t="s">
        <v>6453</v>
      </c>
      <c r="H324" s="57" t="s">
        <v>6454</v>
      </c>
      <c r="I324" s="39" t="s">
        <v>67</v>
      </c>
      <c r="J324" s="57" t="s">
        <v>6455</v>
      </c>
      <c r="K324" s="57" t="s">
        <v>6456</v>
      </c>
    </row>
    <row r="325" customFormat="false" ht="12.8" hidden="false" customHeight="false" outlineLevel="0" collapsed="false">
      <c r="D325" s="60"/>
      <c r="E325" s="60"/>
      <c r="F325" s="62"/>
      <c r="G325" s="57" t="s">
        <v>6457</v>
      </c>
      <c r="H325" s="57" t="s">
        <v>3792</v>
      </c>
      <c r="I325" s="39"/>
      <c r="J325" s="57" t="s">
        <v>3792</v>
      </c>
      <c r="K325" s="57" t="s">
        <v>3792</v>
      </c>
    </row>
    <row r="326" customFormat="false" ht="57.45" hidden="false" customHeight="false" outlineLevel="0" collapsed="false">
      <c r="D326" s="1" t="s">
        <v>6458</v>
      </c>
      <c r="E326" s="1" t="s">
        <v>6459</v>
      </c>
      <c r="F326" s="0" t="s">
        <v>5334</v>
      </c>
      <c r="G326" s="57" t="s">
        <v>6460</v>
      </c>
      <c r="H326" s="57" t="s">
        <v>6461</v>
      </c>
      <c r="I326" s="34" t="s">
        <v>40</v>
      </c>
      <c r="J326" s="57" t="s">
        <v>6462</v>
      </c>
      <c r="K326" s="57" t="s">
        <v>6463</v>
      </c>
    </row>
    <row r="327" customFormat="false" ht="12.8" hidden="false" customHeight="false" outlineLevel="0" collapsed="false">
      <c r="D327" s="60"/>
      <c r="E327" s="60"/>
      <c r="F327" s="62"/>
      <c r="G327" s="57" t="s">
        <v>6464</v>
      </c>
      <c r="H327" s="57" t="s">
        <v>3792</v>
      </c>
      <c r="I327" s="34"/>
      <c r="J327" s="57" t="s">
        <v>3792</v>
      </c>
      <c r="K327" s="57" t="s">
        <v>3792</v>
      </c>
    </row>
    <row r="328" customFormat="false" ht="68.65" hidden="false" customHeight="false" outlineLevel="0" collapsed="false">
      <c r="D328" s="1" t="s">
        <v>6465</v>
      </c>
      <c r="E328" s="1" t="s">
        <v>6466</v>
      </c>
      <c r="F328" s="0" t="s">
        <v>5334</v>
      </c>
      <c r="G328" s="57" t="s">
        <v>6467</v>
      </c>
      <c r="H328" s="57" t="s">
        <v>6468</v>
      </c>
      <c r="I328" s="39" t="s">
        <v>67</v>
      </c>
      <c r="J328" s="57" t="s">
        <v>6469</v>
      </c>
      <c r="K328" s="57" t="s">
        <v>6470</v>
      </c>
    </row>
    <row r="329" customFormat="false" ht="23.85" hidden="false" customHeight="false" outlineLevel="0" collapsed="false">
      <c r="D329" s="60"/>
      <c r="E329" s="60"/>
      <c r="F329" s="62"/>
      <c r="G329" s="57" t="s">
        <v>6471</v>
      </c>
      <c r="H329" s="57" t="s">
        <v>3792</v>
      </c>
      <c r="I329" s="39"/>
      <c r="J329" s="57" t="s">
        <v>3792</v>
      </c>
      <c r="K329" s="57" t="s">
        <v>3792</v>
      </c>
    </row>
    <row r="330" customFormat="false" ht="68.65" hidden="false" customHeight="false" outlineLevel="0" collapsed="false">
      <c r="D330" s="1" t="s">
        <v>6472</v>
      </c>
      <c r="E330" s="1" t="s">
        <v>6473</v>
      </c>
      <c r="F330" s="0" t="s">
        <v>5342</v>
      </c>
      <c r="G330" s="57" t="s">
        <v>6474</v>
      </c>
      <c r="H330" s="57" t="s">
        <v>6475</v>
      </c>
      <c r="I330" s="37" t="s">
        <v>50</v>
      </c>
      <c r="J330" s="57" t="s">
        <v>6476</v>
      </c>
      <c r="K330" s="57" t="s">
        <v>6477</v>
      </c>
    </row>
    <row r="331" customFormat="false" ht="23.85" hidden="false" customHeight="false" outlineLevel="0" collapsed="false">
      <c r="C331" s="64"/>
      <c r="D331" s="66"/>
      <c r="E331" s="66"/>
      <c r="F331" s="65"/>
      <c r="G331" s="57" t="s">
        <v>6478</v>
      </c>
      <c r="H331" s="57" t="s">
        <v>3792</v>
      </c>
      <c r="I331" s="37"/>
      <c r="J331" s="57" t="s">
        <v>3792</v>
      </c>
      <c r="K331" s="57" t="s">
        <v>3792</v>
      </c>
    </row>
    <row r="332" customFormat="false" ht="79.85" hidden="false" customHeight="false" outlineLevel="0" collapsed="false">
      <c r="C332" s="59" t="s">
        <v>6479</v>
      </c>
      <c r="D332" s="1" t="s">
        <v>6480</v>
      </c>
      <c r="E332" s="1" t="s">
        <v>6481</v>
      </c>
      <c r="F332" s="0" t="s">
        <v>5342</v>
      </c>
      <c r="G332" s="57" t="s">
        <v>6482</v>
      </c>
      <c r="H332" s="57" t="s">
        <v>6483</v>
      </c>
      <c r="I332" s="37" t="s">
        <v>50</v>
      </c>
      <c r="J332" s="57" t="s">
        <v>6484</v>
      </c>
      <c r="K332" s="57" t="s">
        <v>6485</v>
      </c>
    </row>
    <row r="333" customFormat="false" ht="12.8" hidden="false" customHeight="false" outlineLevel="0" collapsed="false">
      <c r="D333" s="60"/>
      <c r="E333" s="60"/>
      <c r="F333" s="62"/>
      <c r="G333" s="57" t="s">
        <v>6486</v>
      </c>
      <c r="H333" s="57" t="s">
        <v>3792</v>
      </c>
      <c r="I333" s="37"/>
      <c r="J333" s="57" t="s">
        <v>3792</v>
      </c>
      <c r="K333" s="57" t="s">
        <v>3792</v>
      </c>
    </row>
    <row r="334" customFormat="false" ht="57.45" hidden="false" customHeight="false" outlineLevel="0" collapsed="false">
      <c r="D334" s="1" t="s">
        <v>6487</v>
      </c>
      <c r="E334" s="1" t="s">
        <v>6488</v>
      </c>
      <c r="F334" s="0" t="s">
        <v>5334</v>
      </c>
      <c r="G334" s="57" t="s">
        <v>6489</v>
      </c>
      <c r="H334" s="57" t="s">
        <v>6490</v>
      </c>
      <c r="I334" s="39" t="s">
        <v>67</v>
      </c>
      <c r="J334" s="57" t="s">
        <v>6491</v>
      </c>
      <c r="K334" s="57" t="s">
        <v>6492</v>
      </c>
    </row>
    <row r="335" customFormat="false" ht="23.85" hidden="false" customHeight="false" outlineLevel="0" collapsed="false">
      <c r="D335" s="60"/>
      <c r="E335" s="60"/>
      <c r="F335" s="62"/>
      <c r="G335" s="57" t="s">
        <v>6493</v>
      </c>
      <c r="H335" s="57" t="s">
        <v>3792</v>
      </c>
      <c r="I335" s="39"/>
      <c r="J335" s="57" t="s">
        <v>3792</v>
      </c>
      <c r="K335" s="57" t="s">
        <v>3792</v>
      </c>
    </row>
    <row r="336" customFormat="false" ht="57.45" hidden="false" customHeight="false" outlineLevel="0" collapsed="false">
      <c r="D336" s="1" t="s">
        <v>6494</v>
      </c>
      <c r="E336" s="1" t="s">
        <v>6495</v>
      </c>
      <c r="F336" s="0" t="s">
        <v>5342</v>
      </c>
      <c r="G336" s="57" t="s">
        <v>6496</v>
      </c>
      <c r="H336" s="57" t="s">
        <v>6497</v>
      </c>
      <c r="I336" s="34" t="s">
        <v>40</v>
      </c>
      <c r="J336" s="57" t="s">
        <v>6498</v>
      </c>
      <c r="K336" s="57" t="s">
        <v>6499</v>
      </c>
    </row>
    <row r="337" customFormat="false" ht="12.8" hidden="false" customHeight="false" outlineLevel="0" collapsed="false">
      <c r="D337" s="60"/>
      <c r="E337" s="60"/>
      <c r="F337" s="62"/>
      <c r="G337" s="57" t="s">
        <v>6500</v>
      </c>
      <c r="H337" s="57" t="s">
        <v>3792</v>
      </c>
      <c r="I337" s="34"/>
      <c r="J337" s="57" t="s">
        <v>3792</v>
      </c>
      <c r="K337" s="57" t="s">
        <v>3792</v>
      </c>
    </row>
    <row r="338" customFormat="false" ht="68.65" hidden="false" customHeight="false" outlineLevel="0" collapsed="false">
      <c r="D338" s="1" t="s">
        <v>6501</v>
      </c>
      <c r="E338" s="1" t="s">
        <v>6502</v>
      </c>
      <c r="F338" s="0" t="s">
        <v>5334</v>
      </c>
      <c r="G338" s="57" t="s">
        <v>6503</v>
      </c>
      <c r="H338" s="57" t="s">
        <v>6504</v>
      </c>
      <c r="I338" s="39" t="s">
        <v>67</v>
      </c>
      <c r="J338" s="57" t="s">
        <v>6505</v>
      </c>
      <c r="K338" s="57" t="s">
        <v>6506</v>
      </c>
    </row>
    <row r="339" customFormat="false" ht="12.8" hidden="false" customHeight="false" outlineLevel="0" collapsed="false">
      <c r="D339" s="60"/>
      <c r="E339" s="60"/>
      <c r="F339" s="62"/>
      <c r="G339" s="57" t="s">
        <v>6507</v>
      </c>
      <c r="H339" s="57" t="s">
        <v>3792</v>
      </c>
      <c r="I339" s="39"/>
      <c r="J339" s="57" t="s">
        <v>3792</v>
      </c>
      <c r="K339" s="57" t="s">
        <v>3792</v>
      </c>
    </row>
    <row r="340" customFormat="false" ht="79.85" hidden="false" customHeight="false" outlineLevel="0" collapsed="false">
      <c r="D340" s="1" t="s">
        <v>6508</v>
      </c>
      <c r="E340" s="1" t="s">
        <v>6509</v>
      </c>
      <c r="F340" s="0" t="s">
        <v>5342</v>
      </c>
      <c r="G340" s="57" t="s">
        <v>6510</v>
      </c>
      <c r="H340" s="57" t="s">
        <v>6511</v>
      </c>
      <c r="I340" s="37" t="s">
        <v>50</v>
      </c>
      <c r="J340" s="57" t="s">
        <v>6512</v>
      </c>
      <c r="K340" s="57" t="s">
        <v>6513</v>
      </c>
    </row>
    <row r="341" customFormat="false" ht="12.8" hidden="false" customHeight="false" outlineLevel="0" collapsed="false">
      <c r="C341" s="64"/>
      <c r="D341" s="66"/>
      <c r="E341" s="66"/>
      <c r="F341" s="65"/>
      <c r="G341" s="57" t="s">
        <v>6514</v>
      </c>
      <c r="H341" s="57" t="s">
        <v>3792</v>
      </c>
      <c r="I341" s="37"/>
      <c r="J341" s="57" t="s">
        <v>3792</v>
      </c>
      <c r="K341" s="57" t="s">
        <v>3792</v>
      </c>
    </row>
    <row r="342" customFormat="false" ht="57.45" hidden="false" customHeight="false" outlineLevel="0" collapsed="false">
      <c r="C342" s="1" t="s">
        <v>6515</v>
      </c>
      <c r="D342" s="1" t="s">
        <v>6516</v>
      </c>
      <c r="E342" s="1" t="s">
        <v>6517</v>
      </c>
      <c r="F342" s="0" t="s">
        <v>5334</v>
      </c>
      <c r="G342" s="57" t="s">
        <v>6518</v>
      </c>
      <c r="H342" s="57" t="s">
        <v>6519</v>
      </c>
      <c r="I342" s="37" t="s">
        <v>50</v>
      </c>
      <c r="J342" s="57" t="s">
        <v>6520</v>
      </c>
      <c r="K342" s="57" t="s">
        <v>6521</v>
      </c>
    </row>
    <row r="343" customFormat="false" ht="23.85" hidden="false" customHeight="false" outlineLevel="0" collapsed="false">
      <c r="D343" s="60"/>
      <c r="E343" s="60"/>
      <c r="F343" s="62"/>
      <c r="G343" s="57" t="s">
        <v>6522</v>
      </c>
      <c r="H343" s="57" t="s">
        <v>3792</v>
      </c>
      <c r="I343" s="37"/>
      <c r="J343" s="57" t="s">
        <v>3792</v>
      </c>
      <c r="K343" s="57" t="s">
        <v>3792</v>
      </c>
    </row>
    <row r="344" customFormat="false" ht="46.25" hidden="false" customHeight="false" outlineLevel="0" collapsed="false">
      <c r="D344" s="1" t="s">
        <v>6523</v>
      </c>
      <c r="E344" s="1" t="s">
        <v>6524</v>
      </c>
      <c r="F344" s="0" t="s">
        <v>5334</v>
      </c>
      <c r="G344" s="57" t="s">
        <v>6525</v>
      </c>
      <c r="H344" s="57" t="s">
        <v>6526</v>
      </c>
      <c r="I344" s="39" t="s">
        <v>67</v>
      </c>
      <c r="J344" s="57" t="s">
        <v>6527</v>
      </c>
      <c r="K344" s="57" t="s">
        <v>6528</v>
      </c>
    </row>
    <row r="345" customFormat="false" ht="23.85" hidden="false" customHeight="false" outlineLevel="0" collapsed="false">
      <c r="D345" s="60"/>
      <c r="E345" s="60"/>
      <c r="F345" s="62"/>
      <c r="G345" s="57" t="s">
        <v>427</v>
      </c>
      <c r="H345" s="57" t="s">
        <v>3792</v>
      </c>
      <c r="I345" s="39"/>
      <c r="J345" s="57" t="s">
        <v>3792</v>
      </c>
      <c r="K345" s="57" t="s">
        <v>3792</v>
      </c>
    </row>
    <row r="346" customFormat="false" ht="57.45" hidden="false" customHeight="false" outlineLevel="0" collapsed="false">
      <c r="D346" s="1" t="s">
        <v>6529</v>
      </c>
      <c r="E346" s="1" t="s">
        <v>6530</v>
      </c>
      <c r="F346" s="0" t="s">
        <v>5342</v>
      </c>
      <c r="G346" s="57" t="s">
        <v>6531</v>
      </c>
      <c r="H346" s="57" t="s">
        <v>6532</v>
      </c>
      <c r="I346" s="34" t="s">
        <v>40</v>
      </c>
      <c r="J346" s="57" t="s">
        <v>5703</v>
      </c>
      <c r="K346" s="57" t="s">
        <v>6533</v>
      </c>
    </row>
    <row r="347" customFormat="false" ht="23.85" hidden="false" customHeight="false" outlineLevel="0" collapsed="false">
      <c r="D347" s="60"/>
      <c r="E347" s="60"/>
      <c r="F347" s="62"/>
      <c r="G347" s="57" t="s">
        <v>6534</v>
      </c>
      <c r="H347" s="57" t="s">
        <v>3792</v>
      </c>
      <c r="I347" s="34"/>
      <c r="J347" s="57" t="s">
        <v>3792</v>
      </c>
      <c r="K347" s="57" t="s">
        <v>3792</v>
      </c>
    </row>
    <row r="348" customFormat="false" ht="79.85" hidden="false" customHeight="false" outlineLevel="0" collapsed="false">
      <c r="D348" s="1" t="s">
        <v>6535</v>
      </c>
      <c r="E348" s="1" t="s">
        <v>6536</v>
      </c>
      <c r="F348" s="0" t="s">
        <v>5334</v>
      </c>
      <c r="G348" s="57" t="s">
        <v>6537</v>
      </c>
      <c r="H348" s="57" t="s">
        <v>6538</v>
      </c>
      <c r="I348" s="39" t="s">
        <v>67</v>
      </c>
      <c r="J348" s="57" t="s">
        <v>6539</v>
      </c>
      <c r="K348" s="57" t="s">
        <v>6540</v>
      </c>
    </row>
    <row r="349" customFormat="false" ht="12.8" hidden="false" customHeight="false" outlineLevel="0" collapsed="false">
      <c r="D349" s="60"/>
      <c r="E349" s="60"/>
      <c r="F349" s="62"/>
      <c r="G349" s="57" t="s">
        <v>6541</v>
      </c>
      <c r="H349" s="57" t="s">
        <v>3792</v>
      </c>
      <c r="I349" s="39"/>
      <c r="J349" s="57" t="s">
        <v>3792</v>
      </c>
      <c r="K349" s="57" t="s">
        <v>3792</v>
      </c>
    </row>
    <row r="350" customFormat="false" ht="57.45" hidden="false" customHeight="false" outlineLevel="0" collapsed="false">
      <c r="D350" s="1" t="s">
        <v>6542</v>
      </c>
      <c r="E350" s="1" t="s">
        <v>6543</v>
      </c>
      <c r="F350" s="0" t="s">
        <v>5334</v>
      </c>
      <c r="G350" s="57" t="s">
        <v>6544</v>
      </c>
      <c r="H350" s="57" t="s">
        <v>6545</v>
      </c>
      <c r="I350" s="37" t="s">
        <v>50</v>
      </c>
      <c r="J350" s="57" t="s">
        <v>6546</v>
      </c>
      <c r="K350" s="57" t="s">
        <v>6547</v>
      </c>
    </row>
    <row r="351" customFormat="false" ht="12.8" hidden="false" customHeight="false" outlineLevel="0" collapsed="false">
      <c r="C351" s="64"/>
      <c r="D351" s="66"/>
      <c r="E351" s="66"/>
      <c r="F351" s="65"/>
      <c r="G351" s="57" t="s">
        <v>6548</v>
      </c>
      <c r="H351" s="57" t="s">
        <v>3792</v>
      </c>
      <c r="I351" s="37"/>
      <c r="J351" s="57" t="s">
        <v>3792</v>
      </c>
      <c r="K351" s="57" t="s">
        <v>3792</v>
      </c>
    </row>
    <row r="352" customFormat="false" ht="68.65" hidden="false" customHeight="false" outlineLevel="0" collapsed="false">
      <c r="C352" s="1" t="s">
        <v>6549</v>
      </c>
      <c r="D352" s="1" t="s">
        <v>6550</v>
      </c>
      <c r="E352" s="1" t="s">
        <v>6551</v>
      </c>
      <c r="F352" s="0" t="s">
        <v>5342</v>
      </c>
      <c r="G352" s="57" t="s">
        <v>6552</v>
      </c>
      <c r="H352" s="57" t="s">
        <v>6553</v>
      </c>
      <c r="I352" s="37" t="s">
        <v>50</v>
      </c>
      <c r="J352" s="57" t="s">
        <v>6554</v>
      </c>
      <c r="K352" s="57" t="s">
        <v>6555</v>
      </c>
    </row>
    <row r="353" customFormat="false" ht="12.8" hidden="false" customHeight="false" outlineLevel="0" collapsed="false">
      <c r="D353" s="60"/>
      <c r="E353" s="60"/>
      <c r="F353" s="62"/>
      <c r="G353" s="57" t="s">
        <v>6556</v>
      </c>
      <c r="H353" s="57" t="s">
        <v>3792</v>
      </c>
      <c r="I353" s="37"/>
      <c r="J353" s="57" t="s">
        <v>3792</v>
      </c>
      <c r="K353" s="57" t="s">
        <v>3792</v>
      </c>
    </row>
    <row r="354" customFormat="false" ht="68.65" hidden="false" customHeight="false" outlineLevel="0" collapsed="false">
      <c r="D354" s="1" t="s">
        <v>6557</v>
      </c>
      <c r="E354" s="1" t="s">
        <v>6558</v>
      </c>
      <c r="F354" s="0" t="s">
        <v>5342</v>
      </c>
      <c r="G354" s="57" t="s">
        <v>6559</v>
      </c>
      <c r="H354" s="57" t="s">
        <v>6560</v>
      </c>
      <c r="I354" s="39" t="s">
        <v>67</v>
      </c>
      <c r="J354" s="57" t="s">
        <v>6561</v>
      </c>
      <c r="K354" s="57" t="s">
        <v>6562</v>
      </c>
    </row>
    <row r="355" customFormat="false" ht="12.8" hidden="false" customHeight="false" outlineLevel="0" collapsed="false">
      <c r="D355" s="60"/>
      <c r="E355" s="60"/>
      <c r="F355" s="62"/>
      <c r="G355" s="57" t="s">
        <v>6563</v>
      </c>
      <c r="H355" s="57" t="s">
        <v>3792</v>
      </c>
      <c r="I355" s="39"/>
      <c r="J355" s="57" t="s">
        <v>3792</v>
      </c>
      <c r="K355" s="57" t="s">
        <v>3792</v>
      </c>
    </row>
    <row r="356" customFormat="false" ht="57.45" hidden="false" customHeight="false" outlineLevel="0" collapsed="false">
      <c r="D356" s="1" t="s">
        <v>6564</v>
      </c>
      <c r="E356" s="1" t="s">
        <v>6565</v>
      </c>
      <c r="F356" s="0" t="s">
        <v>5342</v>
      </c>
      <c r="G356" s="57" t="s">
        <v>6566</v>
      </c>
      <c r="H356" s="57" t="s">
        <v>6567</v>
      </c>
      <c r="I356" s="34" t="s">
        <v>40</v>
      </c>
      <c r="J356" s="57" t="s">
        <v>6568</v>
      </c>
      <c r="K356" s="57" t="s">
        <v>6569</v>
      </c>
    </row>
    <row r="357" customFormat="false" ht="12.8" hidden="false" customHeight="false" outlineLevel="0" collapsed="false">
      <c r="D357" s="60"/>
      <c r="E357" s="60"/>
      <c r="F357" s="62"/>
      <c r="G357" s="57" t="s">
        <v>6570</v>
      </c>
      <c r="H357" s="57" t="s">
        <v>3792</v>
      </c>
      <c r="I357" s="34"/>
      <c r="J357" s="57" t="s">
        <v>3792</v>
      </c>
      <c r="K357" s="57" t="s">
        <v>3792</v>
      </c>
    </row>
    <row r="358" customFormat="false" ht="57.45" hidden="false" customHeight="false" outlineLevel="0" collapsed="false">
      <c r="D358" s="1" t="s">
        <v>6571</v>
      </c>
      <c r="E358" s="1" t="s">
        <v>6572</v>
      </c>
      <c r="F358" s="0" t="s">
        <v>5334</v>
      </c>
      <c r="G358" s="57" t="s">
        <v>6573</v>
      </c>
      <c r="H358" s="57" t="s">
        <v>6574</v>
      </c>
      <c r="I358" s="39" t="s">
        <v>67</v>
      </c>
      <c r="J358" s="57" t="s">
        <v>6575</v>
      </c>
      <c r="K358" s="57" t="s">
        <v>6576</v>
      </c>
    </row>
    <row r="359" customFormat="false" ht="23.85" hidden="false" customHeight="false" outlineLevel="0" collapsed="false">
      <c r="D359" s="60"/>
      <c r="E359" s="60"/>
      <c r="F359" s="62"/>
      <c r="G359" s="57" t="s">
        <v>6577</v>
      </c>
      <c r="H359" s="57" t="s">
        <v>3792</v>
      </c>
      <c r="I359" s="39"/>
      <c r="J359" s="57" t="s">
        <v>3792</v>
      </c>
      <c r="K359" s="57" t="s">
        <v>3792</v>
      </c>
    </row>
    <row r="360" customFormat="false" ht="57.45" hidden="false" customHeight="false" outlineLevel="0" collapsed="false">
      <c r="D360" s="1" t="s">
        <v>6578</v>
      </c>
      <c r="E360" s="1" t="s">
        <v>6579</v>
      </c>
      <c r="F360" s="0" t="s">
        <v>5342</v>
      </c>
      <c r="G360" s="57" t="s">
        <v>6580</v>
      </c>
      <c r="H360" s="57" t="s">
        <v>6581</v>
      </c>
      <c r="I360" s="37" t="s">
        <v>50</v>
      </c>
      <c r="J360" s="57" t="s">
        <v>6582</v>
      </c>
      <c r="K360" s="57" t="s">
        <v>6583</v>
      </c>
    </row>
    <row r="361" customFormat="false" ht="12.8" hidden="false" customHeight="false" outlineLevel="0" collapsed="false">
      <c r="C361" s="64"/>
      <c r="D361" s="66"/>
      <c r="E361" s="66"/>
      <c r="F361" s="65"/>
      <c r="G361" s="57" t="s">
        <v>6584</v>
      </c>
      <c r="H361" s="57" t="s">
        <v>3792</v>
      </c>
      <c r="I361" s="37"/>
      <c r="J361" s="57" t="s">
        <v>3792</v>
      </c>
      <c r="K361" s="57" t="s">
        <v>3792</v>
      </c>
    </row>
    <row r="362" customFormat="false" ht="68.65" hidden="false" customHeight="false" outlineLevel="0" collapsed="false">
      <c r="C362" s="59" t="s">
        <v>6585</v>
      </c>
      <c r="D362" s="1" t="s">
        <v>6586</v>
      </c>
      <c r="E362" s="1" t="s">
        <v>6587</v>
      </c>
      <c r="F362" s="0" t="s">
        <v>5334</v>
      </c>
      <c r="G362" s="57" t="s">
        <v>6588</v>
      </c>
      <c r="H362" s="57" t="s">
        <v>6589</v>
      </c>
      <c r="I362" s="37" t="s">
        <v>50</v>
      </c>
      <c r="J362" s="57" t="s">
        <v>6590</v>
      </c>
      <c r="K362" s="57" t="s">
        <v>6591</v>
      </c>
    </row>
    <row r="363" customFormat="false" ht="12.8" hidden="false" customHeight="false" outlineLevel="0" collapsed="false">
      <c r="D363" s="60"/>
      <c r="E363" s="60"/>
      <c r="F363" s="62"/>
      <c r="G363" s="57" t="s">
        <v>6592</v>
      </c>
      <c r="H363" s="57" t="s">
        <v>3792</v>
      </c>
      <c r="I363" s="37"/>
      <c r="J363" s="57" t="s">
        <v>3792</v>
      </c>
      <c r="K363" s="57" t="s">
        <v>3792</v>
      </c>
    </row>
    <row r="364" customFormat="false" ht="68.65" hidden="false" customHeight="false" outlineLevel="0" collapsed="false">
      <c r="D364" s="1" t="s">
        <v>6593</v>
      </c>
      <c r="E364" s="1" t="s">
        <v>6594</v>
      </c>
      <c r="F364" s="0" t="s">
        <v>5342</v>
      </c>
      <c r="G364" s="57" t="s">
        <v>6595</v>
      </c>
      <c r="H364" s="57" t="s">
        <v>6596</v>
      </c>
      <c r="I364" s="39" t="s">
        <v>67</v>
      </c>
      <c r="J364" s="57" t="s">
        <v>6597</v>
      </c>
      <c r="K364" s="57" t="s">
        <v>6598</v>
      </c>
    </row>
    <row r="365" customFormat="false" ht="23.85" hidden="false" customHeight="false" outlineLevel="0" collapsed="false">
      <c r="D365" s="60"/>
      <c r="E365" s="60"/>
      <c r="F365" s="62"/>
      <c r="G365" s="57" t="s">
        <v>6599</v>
      </c>
      <c r="H365" s="57" t="s">
        <v>3792</v>
      </c>
      <c r="I365" s="39"/>
      <c r="J365" s="57" t="s">
        <v>3792</v>
      </c>
      <c r="K365" s="57" t="s">
        <v>3792</v>
      </c>
    </row>
    <row r="366" customFormat="false" ht="57.45" hidden="false" customHeight="false" outlineLevel="0" collapsed="false">
      <c r="D366" s="1" t="s">
        <v>6600</v>
      </c>
      <c r="E366" s="1" t="s">
        <v>6601</v>
      </c>
      <c r="F366" s="0" t="s">
        <v>5334</v>
      </c>
      <c r="G366" s="57" t="s">
        <v>6602</v>
      </c>
      <c r="H366" s="57" t="s">
        <v>6603</v>
      </c>
      <c r="I366" s="34" t="s">
        <v>40</v>
      </c>
      <c r="J366" s="57" t="s">
        <v>6604</v>
      </c>
      <c r="K366" s="57" t="s">
        <v>6605</v>
      </c>
    </row>
    <row r="367" customFormat="false" ht="12.8" hidden="false" customHeight="false" outlineLevel="0" collapsed="false">
      <c r="D367" s="60"/>
      <c r="E367" s="60"/>
      <c r="F367" s="62"/>
      <c r="G367" s="57" t="s">
        <v>6606</v>
      </c>
      <c r="H367" s="57" t="s">
        <v>3792</v>
      </c>
      <c r="I367" s="34"/>
      <c r="J367" s="57" t="s">
        <v>3792</v>
      </c>
      <c r="K367" s="57" t="s">
        <v>3792</v>
      </c>
    </row>
    <row r="368" customFormat="false" ht="68.65" hidden="false" customHeight="false" outlineLevel="0" collapsed="false">
      <c r="D368" s="1" t="s">
        <v>6607</v>
      </c>
      <c r="E368" s="1" t="s">
        <v>6608</v>
      </c>
      <c r="F368" s="0" t="s">
        <v>5334</v>
      </c>
      <c r="G368" s="57" t="s">
        <v>6609</v>
      </c>
      <c r="H368" s="57" t="s">
        <v>6610</v>
      </c>
      <c r="I368" s="39" t="s">
        <v>67</v>
      </c>
      <c r="J368" s="57" t="s">
        <v>6611</v>
      </c>
      <c r="K368" s="57" t="s">
        <v>6612</v>
      </c>
    </row>
    <row r="369" customFormat="false" ht="23.85" hidden="false" customHeight="false" outlineLevel="0" collapsed="false">
      <c r="D369" s="60"/>
      <c r="E369" s="60"/>
      <c r="F369" s="62"/>
      <c r="G369" s="57" t="s">
        <v>6613</v>
      </c>
      <c r="H369" s="57" t="s">
        <v>3792</v>
      </c>
      <c r="I369" s="39"/>
      <c r="J369" s="57" t="s">
        <v>3792</v>
      </c>
      <c r="K369" s="57" t="s">
        <v>3792</v>
      </c>
    </row>
    <row r="370" customFormat="false" ht="79.85" hidden="false" customHeight="false" outlineLevel="0" collapsed="false">
      <c r="D370" s="1" t="s">
        <v>6614</v>
      </c>
      <c r="E370" s="1" t="s">
        <v>6615</v>
      </c>
      <c r="F370" s="0" t="s">
        <v>5334</v>
      </c>
      <c r="G370" s="57" t="s">
        <v>6616</v>
      </c>
      <c r="H370" s="57" t="s">
        <v>6617</v>
      </c>
      <c r="I370" s="37" t="s">
        <v>50</v>
      </c>
      <c r="J370" s="57" t="s">
        <v>6618</v>
      </c>
      <c r="K370" s="57" t="s">
        <v>6619</v>
      </c>
    </row>
    <row r="371" customFormat="false" ht="23.85" hidden="false" customHeight="false" outlineLevel="0" collapsed="false">
      <c r="C371" s="64"/>
      <c r="D371" s="66"/>
      <c r="E371" s="66"/>
      <c r="F371" s="65"/>
      <c r="G371" s="57" t="s">
        <v>6620</v>
      </c>
      <c r="H371" s="57" t="s">
        <v>3792</v>
      </c>
      <c r="I371" s="37"/>
      <c r="J371" s="57" t="s">
        <v>3792</v>
      </c>
      <c r="K371" s="57" t="s">
        <v>3792</v>
      </c>
    </row>
    <row r="372" customFormat="false" ht="57.45" hidden="false" customHeight="false" outlineLevel="0" collapsed="false">
      <c r="C372" s="1" t="s">
        <v>6621</v>
      </c>
      <c r="D372" s="1" t="s">
        <v>6622</v>
      </c>
      <c r="E372" s="1" t="s">
        <v>6623</v>
      </c>
      <c r="F372" s="0" t="s">
        <v>5342</v>
      </c>
      <c r="G372" s="57" t="s">
        <v>6624</v>
      </c>
      <c r="H372" s="57" t="s">
        <v>6625</v>
      </c>
      <c r="I372" s="37" t="s">
        <v>50</v>
      </c>
      <c r="J372" s="57" t="s">
        <v>6626</v>
      </c>
      <c r="K372" s="57" t="s">
        <v>6627</v>
      </c>
    </row>
    <row r="373" customFormat="false" ht="23.85" hidden="false" customHeight="false" outlineLevel="0" collapsed="false">
      <c r="D373" s="60"/>
      <c r="E373" s="60"/>
      <c r="F373" s="62"/>
      <c r="G373" s="57" t="s">
        <v>6628</v>
      </c>
      <c r="H373" s="57" t="s">
        <v>3792</v>
      </c>
      <c r="I373" s="37"/>
      <c r="J373" s="57" t="s">
        <v>3792</v>
      </c>
      <c r="K373" s="57" t="s">
        <v>3792</v>
      </c>
    </row>
    <row r="374" customFormat="false" ht="57.45" hidden="false" customHeight="false" outlineLevel="0" collapsed="false">
      <c r="D374" s="1" t="s">
        <v>6629</v>
      </c>
      <c r="E374" s="1" t="s">
        <v>6630</v>
      </c>
      <c r="F374" s="0" t="s">
        <v>5334</v>
      </c>
      <c r="G374" s="57" t="s">
        <v>5903</v>
      </c>
      <c r="H374" s="57" t="s">
        <v>6631</v>
      </c>
      <c r="I374" s="39" t="s">
        <v>67</v>
      </c>
      <c r="J374" s="57" t="s">
        <v>6632</v>
      </c>
      <c r="K374" s="57" t="s">
        <v>6633</v>
      </c>
    </row>
    <row r="375" customFormat="false" ht="12.8" hidden="false" customHeight="false" outlineLevel="0" collapsed="false">
      <c r="D375" s="60"/>
      <c r="E375" s="60"/>
      <c r="F375" s="62"/>
      <c r="G375" s="57" t="s">
        <v>6353</v>
      </c>
      <c r="H375" s="57" t="s">
        <v>3792</v>
      </c>
      <c r="I375" s="39"/>
      <c r="J375" s="57" t="s">
        <v>3792</v>
      </c>
      <c r="K375" s="57" t="s">
        <v>3792</v>
      </c>
    </row>
    <row r="376" customFormat="false" ht="46.25" hidden="false" customHeight="false" outlineLevel="0" collapsed="false">
      <c r="D376" s="1" t="s">
        <v>6634</v>
      </c>
      <c r="E376" s="1" t="s">
        <v>6635</v>
      </c>
      <c r="F376" s="0" t="s">
        <v>5334</v>
      </c>
      <c r="G376" s="57" t="s">
        <v>6636</v>
      </c>
      <c r="H376" s="57" t="s">
        <v>6637</v>
      </c>
      <c r="I376" s="34" t="s">
        <v>40</v>
      </c>
      <c r="J376" s="57" t="s">
        <v>6638</v>
      </c>
      <c r="K376" s="57" t="s">
        <v>6639</v>
      </c>
    </row>
    <row r="377" customFormat="false" ht="12.8" hidden="false" customHeight="false" outlineLevel="0" collapsed="false">
      <c r="D377" s="60"/>
      <c r="E377" s="60"/>
      <c r="F377" s="62"/>
      <c r="G377" s="57" t="s">
        <v>6640</v>
      </c>
      <c r="H377" s="57" t="s">
        <v>3792</v>
      </c>
      <c r="I377" s="34"/>
      <c r="J377" s="57" t="s">
        <v>3792</v>
      </c>
      <c r="K377" s="57" t="s">
        <v>3792</v>
      </c>
    </row>
    <row r="378" customFormat="false" ht="57.45" hidden="false" customHeight="false" outlineLevel="0" collapsed="false">
      <c r="D378" s="1" t="s">
        <v>6641</v>
      </c>
      <c r="E378" s="1" t="s">
        <v>6642</v>
      </c>
      <c r="F378" s="0" t="s">
        <v>5342</v>
      </c>
      <c r="G378" s="57" t="s">
        <v>6643</v>
      </c>
      <c r="H378" s="57" t="s">
        <v>6644</v>
      </c>
      <c r="I378" s="39" t="s">
        <v>67</v>
      </c>
      <c r="J378" s="57" t="s">
        <v>6645</v>
      </c>
      <c r="K378" s="57" t="s">
        <v>6646</v>
      </c>
    </row>
    <row r="379" customFormat="false" ht="12.8" hidden="false" customHeight="false" outlineLevel="0" collapsed="false">
      <c r="D379" s="60"/>
      <c r="E379" s="60"/>
      <c r="F379" s="62"/>
      <c r="G379" s="57" t="s">
        <v>6647</v>
      </c>
      <c r="H379" s="57" t="s">
        <v>3792</v>
      </c>
      <c r="I379" s="39"/>
      <c r="J379" s="57" t="s">
        <v>3792</v>
      </c>
      <c r="K379" s="57" t="s">
        <v>3792</v>
      </c>
    </row>
    <row r="380" customFormat="false" ht="68.65" hidden="false" customHeight="false" outlineLevel="0" collapsed="false">
      <c r="D380" s="1" t="s">
        <v>6648</v>
      </c>
      <c r="E380" s="1" t="s">
        <v>6649</v>
      </c>
      <c r="F380" s="0" t="s">
        <v>5334</v>
      </c>
      <c r="G380" s="57" t="s">
        <v>6650</v>
      </c>
      <c r="H380" s="57" t="s">
        <v>6651</v>
      </c>
      <c r="I380" s="37" t="s">
        <v>50</v>
      </c>
      <c r="J380" s="57" t="s">
        <v>6652</v>
      </c>
      <c r="K380" s="57" t="s">
        <v>6653</v>
      </c>
    </row>
    <row r="381" customFormat="false" ht="12.8" hidden="false" customHeight="false" outlineLevel="0" collapsed="false">
      <c r="B381" s="67"/>
      <c r="C381" s="68"/>
      <c r="D381" s="68"/>
      <c r="E381" s="68"/>
      <c r="F381" s="69"/>
      <c r="G381" s="57" t="s">
        <v>6654</v>
      </c>
      <c r="H381" s="57" t="s">
        <v>3792</v>
      </c>
      <c r="I381" s="37"/>
      <c r="J381" s="57" t="s">
        <v>3792</v>
      </c>
      <c r="K381" s="57" t="s">
        <v>3792</v>
      </c>
    </row>
    <row r="382" customFormat="false" ht="68.65" hidden="false" customHeight="false" outlineLevel="0" collapsed="false">
      <c r="B382" s="1" t="s">
        <v>6655</v>
      </c>
      <c r="C382" s="59" t="s">
        <v>6656</v>
      </c>
      <c r="D382" s="1" t="s">
        <v>6657</v>
      </c>
      <c r="E382" s="1" t="s">
        <v>6658</v>
      </c>
      <c r="F382" s="0" t="s">
        <v>5342</v>
      </c>
      <c r="G382" s="57" t="s">
        <v>6659</v>
      </c>
      <c r="H382" s="57" t="s">
        <v>6660</v>
      </c>
      <c r="I382" s="37" t="s">
        <v>50</v>
      </c>
      <c r="J382" s="57" t="s">
        <v>6661</v>
      </c>
      <c r="K382" s="57" t="s">
        <v>6662</v>
      </c>
    </row>
    <row r="383" customFormat="false" ht="12.8" hidden="false" customHeight="false" outlineLevel="0" collapsed="false">
      <c r="D383" s="60"/>
      <c r="E383" s="60"/>
      <c r="F383" s="62"/>
      <c r="G383" s="57" t="s">
        <v>6663</v>
      </c>
      <c r="H383" s="57" t="s">
        <v>3792</v>
      </c>
      <c r="I383" s="37"/>
      <c r="J383" s="57" t="s">
        <v>3792</v>
      </c>
      <c r="K383" s="57" t="s">
        <v>3792</v>
      </c>
    </row>
    <row r="384" customFormat="false" ht="68.65" hidden="false" customHeight="false" outlineLevel="0" collapsed="false">
      <c r="D384" s="1" t="s">
        <v>6664</v>
      </c>
      <c r="E384" s="1" t="s">
        <v>6665</v>
      </c>
      <c r="F384" s="0" t="s">
        <v>5334</v>
      </c>
      <c r="G384" s="57" t="s">
        <v>6666</v>
      </c>
      <c r="H384" s="57" t="s">
        <v>6667</v>
      </c>
      <c r="I384" s="39" t="s">
        <v>67</v>
      </c>
      <c r="J384" s="57" t="s">
        <v>6668</v>
      </c>
      <c r="K384" s="57" t="s">
        <v>6669</v>
      </c>
    </row>
    <row r="385" customFormat="false" ht="23.85" hidden="false" customHeight="false" outlineLevel="0" collapsed="false">
      <c r="D385" s="60"/>
      <c r="E385" s="60"/>
      <c r="F385" s="62"/>
      <c r="G385" s="57" t="s">
        <v>6670</v>
      </c>
      <c r="H385" s="57" t="s">
        <v>3792</v>
      </c>
      <c r="I385" s="39"/>
      <c r="J385" s="57" t="s">
        <v>3792</v>
      </c>
      <c r="K385" s="57" t="s">
        <v>3792</v>
      </c>
    </row>
    <row r="386" customFormat="false" ht="57.45" hidden="false" customHeight="false" outlineLevel="0" collapsed="false">
      <c r="D386" s="1" t="s">
        <v>6671</v>
      </c>
      <c r="E386" s="1" t="s">
        <v>6672</v>
      </c>
      <c r="F386" s="0" t="s">
        <v>5334</v>
      </c>
      <c r="G386" s="57" t="s">
        <v>6673</v>
      </c>
      <c r="H386" s="57" t="s">
        <v>6674</v>
      </c>
      <c r="I386" s="34" t="s">
        <v>40</v>
      </c>
      <c r="J386" s="57" t="s">
        <v>6675</v>
      </c>
      <c r="K386" s="57" t="s">
        <v>6676</v>
      </c>
    </row>
    <row r="387" customFormat="false" ht="12.8" hidden="false" customHeight="false" outlineLevel="0" collapsed="false">
      <c r="D387" s="60"/>
      <c r="E387" s="60"/>
      <c r="F387" s="62"/>
      <c r="G387" s="57" t="s">
        <v>6677</v>
      </c>
      <c r="H387" s="57" t="s">
        <v>3792</v>
      </c>
      <c r="I387" s="34"/>
      <c r="J387" s="57" t="s">
        <v>3792</v>
      </c>
      <c r="K387" s="57" t="s">
        <v>3792</v>
      </c>
    </row>
    <row r="388" customFormat="false" ht="68.65" hidden="false" customHeight="false" outlineLevel="0" collapsed="false">
      <c r="D388" s="1" t="s">
        <v>6678</v>
      </c>
      <c r="E388" s="1" t="s">
        <v>6679</v>
      </c>
      <c r="F388" s="0" t="s">
        <v>5342</v>
      </c>
      <c r="G388" s="57" t="s">
        <v>6680</v>
      </c>
      <c r="H388" s="57" t="s">
        <v>6681</v>
      </c>
      <c r="I388" s="39" t="s">
        <v>67</v>
      </c>
      <c r="J388" s="57" t="s">
        <v>6682</v>
      </c>
      <c r="K388" s="57" t="s">
        <v>6683</v>
      </c>
    </row>
    <row r="389" customFormat="false" ht="23.85" hidden="false" customHeight="false" outlineLevel="0" collapsed="false">
      <c r="D389" s="60"/>
      <c r="E389" s="60"/>
      <c r="F389" s="62"/>
      <c r="G389" s="57" t="s">
        <v>6684</v>
      </c>
      <c r="H389" s="57" t="s">
        <v>3792</v>
      </c>
      <c r="I389" s="39"/>
      <c r="J389" s="57" t="s">
        <v>3792</v>
      </c>
      <c r="K389" s="57" t="s">
        <v>3792</v>
      </c>
    </row>
    <row r="390" customFormat="false" ht="68.65" hidden="false" customHeight="false" outlineLevel="0" collapsed="false">
      <c r="D390" s="1" t="s">
        <v>6685</v>
      </c>
      <c r="E390" s="1" t="s">
        <v>6686</v>
      </c>
      <c r="F390" s="0" t="s">
        <v>5342</v>
      </c>
      <c r="G390" s="57" t="s">
        <v>1137</v>
      </c>
      <c r="H390" s="57" t="s">
        <v>6687</v>
      </c>
      <c r="I390" s="37" t="s">
        <v>50</v>
      </c>
      <c r="J390" s="57" t="s">
        <v>6688</v>
      </c>
      <c r="K390" s="57" t="s">
        <v>6689</v>
      </c>
    </row>
    <row r="391" customFormat="false" ht="12.8" hidden="false" customHeight="false" outlineLevel="0" collapsed="false">
      <c r="C391" s="64"/>
      <c r="D391" s="66"/>
      <c r="E391" s="66"/>
      <c r="F391" s="65"/>
      <c r="G391" s="57" t="s">
        <v>6690</v>
      </c>
      <c r="H391" s="57" t="s">
        <v>3792</v>
      </c>
      <c r="I391" s="37"/>
      <c r="J391" s="57" t="s">
        <v>3792</v>
      </c>
      <c r="K391" s="57" t="s">
        <v>3792</v>
      </c>
    </row>
    <row r="392" customFormat="false" ht="57.45" hidden="false" customHeight="false" outlineLevel="0" collapsed="false">
      <c r="C392" s="1" t="s">
        <v>6691</v>
      </c>
      <c r="D392" s="1" t="s">
        <v>6692</v>
      </c>
      <c r="E392" s="1" t="s">
        <v>6693</v>
      </c>
      <c r="F392" s="0" t="s">
        <v>5342</v>
      </c>
      <c r="G392" s="57" t="s">
        <v>6694</v>
      </c>
      <c r="H392" s="57" t="s">
        <v>6695</v>
      </c>
      <c r="I392" s="37" t="s">
        <v>50</v>
      </c>
      <c r="J392" s="57" t="s">
        <v>6696</v>
      </c>
      <c r="K392" s="57" t="s">
        <v>6697</v>
      </c>
    </row>
    <row r="393" customFormat="false" ht="23.85" hidden="false" customHeight="false" outlineLevel="0" collapsed="false">
      <c r="D393" s="60"/>
      <c r="E393" s="60"/>
      <c r="F393" s="62"/>
      <c r="G393" s="57" t="s">
        <v>6698</v>
      </c>
      <c r="H393" s="57" t="s">
        <v>3792</v>
      </c>
      <c r="I393" s="37"/>
      <c r="J393" s="57" t="s">
        <v>3792</v>
      </c>
      <c r="K393" s="60"/>
    </row>
    <row r="394" customFormat="false" ht="68.65" hidden="false" customHeight="false" outlineLevel="0" collapsed="false">
      <c r="D394" s="1" t="s">
        <v>6699</v>
      </c>
      <c r="E394" s="1" t="s">
        <v>6700</v>
      </c>
      <c r="F394" s="0" t="s">
        <v>5334</v>
      </c>
      <c r="G394" s="57" t="s">
        <v>6701</v>
      </c>
      <c r="H394" s="57" t="s">
        <v>6702</v>
      </c>
      <c r="I394" s="39" t="s">
        <v>67</v>
      </c>
      <c r="J394" s="57" t="s">
        <v>6703</v>
      </c>
      <c r="K394" s="57" t="s">
        <v>6704</v>
      </c>
    </row>
    <row r="395" customFormat="false" ht="12.8" hidden="false" customHeight="false" outlineLevel="0" collapsed="false">
      <c r="D395" s="60"/>
      <c r="E395" s="60"/>
      <c r="F395" s="62"/>
      <c r="G395" s="57" t="s">
        <v>6705</v>
      </c>
      <c r="H395" s="57" t="s">
        <v>3792</v>
      </c>
      <c r="I395" s="39"/>
      <c r="J395" s="57" t="s">
        <v>3792</v>
      </c>
      <c r="K395" s="57" t="s">
        <v>3792</v>
      </c>
    </row>
    <row r="396" customFormat="false" ht="68.65" hidden="false" customHeight="false" outlineLevel="0" collapsed="false">
      <c r="D396" s="1" t="s">
        <v>6706</v>
      </c>
      <c r="E396" s="1" t="s">
        <v>6707</v>
      </c>
      <c r="F396" s="0" t="s">
        <v>5342</v>
      </c>
      <c r="G396" s="57" t="s">
        <v>6708</v>
      </c>
      <c r="H396" s="57" t="s">
        <v>6709</v>
      </c>
      <c r="I396" s="34" t="s">
        <v>40</v>
      </c>
      <c r="J396" s="57" t="s">
        <v>6710</v>
      </c>
      <c r="K396" s="57" t="s">
        <v>6711</v>
      </c>
    </row>
    <row r="397" customFormat="false" ht="23.85" hidden="false" customHeight="false" outlineLevel="0" collapsed="false">
      <c r="D397" s="60"/>
      <c r="E397" s="60"/>
      <c r="F397" s="62"/>
      <c r="G397" s="57" t="s">
        <v>6712</v>
      </c>
      <c r="H397" s="57" t="s">
        <v>3792</v>
      </c>
      <c r="I397" s="34"/>
      <c r="J397" s="57" t="s">
        <v>3792</v>
      </c>
      <c r="K397" s="57" t="s">
        <v>3792</v>
      </c>
    </row>
    <row r="398" customFormat="false" ht="68.65" hidden="false" customHeight="false" outlineLevel="0" collapsed="false">
      <c r="D398" s="1" t="s">
        <v>6713</v>
      </c>
      <c r="E398" s="1" t="s">
        <v>6714</v>
      </c>
      <c r="F398" s="0" t="s">
        <v>5334</v>
      </c>
      <c r="G398" s="57" t="s">
        <v>6715</v>
      </c>
      <c r="H398" s="57" t="s">
        <v>6716</v>
      </c>
      <c r="I398" s="39" t="s">
        <v>67</v>
      </c>
      <c r="J398" s="57" t="s">
        <v>6717</v>
      </c>
      <c r="K398" s="57" t="s">
        <v>6718</v>
      </c>
    </row>
    <row r="399" customFormat="false" ht="12.8" hidden="false" customHeight="false" outlineLevel="0" collapsed="false">
      <c r="D399" s="60"/>
      <c r="E399" s="60"/>
      <c r="F399" s="62"/>
      <c r="G399" s="57" t="s">
        <v>6719</v>
      </c>
      <c r="H399" s="57" t="s">
        <v>3792</v>
      </c>
      <c r="I399" s="39"/>
      <c r="J399" s="57" t="s">
        <v>3792</v>
      </c>
      <c r="K399" s="57" t="s">
        <v>3792</v>
      </c>
    </row>
    <row r="400" customFormat="false" ht="79.85" hidden="false" customHeight="false" outlineLevel="0" collapsed="false">
      <c r="D400" s="1" t="s">
        <v>6720</v>
      </c>
      <c r="E400" s="1" t="s">
        <v>6721</v>
      </c>
      <c r="F400" s="0" t="s">
        <v>5342</v>
      </c>
      <c r="G400" s="57" t="s">
        <v>6722</v>
      </c>
      <c r="H400" s="57" t="s">
        <v>6723</v>
      </c>
      <c r="I400" s="37" t="s">
        <v>50</v>
      </c>
      <c r="J400" s="57" t="s">
        <v>6724</v>
      </c>
      <c r="K400" s="57" t="s">
        <v>6725</v>
      </c>
    </row>
    <row r="401" customFormat="false" ht="68.65" hidden="false" customHeight="false" outlineLevel="0" collapsed="false">
      <c r="C401" s="64"/>
      <c r="D401" s="66"/>
      <c r="E401" s="66"/>
      <c r="F401" s="65"/>
      <c r="G401" s="57" t="s">
        <v>6726</v>
      </c>
      <c r="H401" s="57" t="s">
        <v>6727</v>
      </c>
      <c r="I401" s="37"/>
      <c r="J401" s="57" t="s">
        <v>3792</v>
      </c>
      <c r="K401" s="57" t="s">
        <v>3792</v>
      </c>
    </row>
    <row r="402" customFormat="false" ht="57.45" hidden="false" customHeight="false" outlineLevel="0" collapsed="false">
      <c r="C402" s="1" t="s">
        <v>6728</v>
      </c>
      <c r="D402" s="1" t="s">
        <v>6729</v>
      </c>
      <c r="E402" s="1" t="s">
        <v>6730</v>
      </c>
      <c r="F402" s="0" t="s">
        <v>5334</v>
      </c>
      <c r="G402" s="57" t="s">
        <v>6731</v>
      </c>
      <c r="H402" s="57" t="s">
        <v>3792</v>
      </c>
      <c r="I402" s="37" t="s">
        <v>50</v>
      </c>
      <c r="J402" s="57" t="s">
        <v>6732</v>
      </c>
      <c r="K402" s="57" t="s">
        <v>6733</v>
      </c>
    </row>
    <row r="403" customFormat="false" ht="68.65" hidden="false" customHeight="false" outlineLevel="0" collapsed="false">
      <c r="D403" s="60"/>
      <c r="E403" s="60"/>
      <c r="F403" s="62"/>
      <c r="G403" s="57" t="s">
        <v>6734</v>
      </c>
      <c r="H403" s="57"/>
      <c r="I403" s="37"/>
      <c r="J403" s="57"/>
      <c r="K403" s="57" t="s">
        <v>3792</v>
      </c>
    </row>
    <row r="404" customFormat="false" ht="68.65" hidden="false" customHeight="false" outlineLevel="0" collapsed="false">
      <c r="D404" s="1" t="s">
        <v>6735</v>
      </c>
      <c r="E404" s="1" t="s">
        <v>6736</v>
      </c>
      <c r="F404" s="0" t="s">
        <v>5334</v>
      </c>
      <c r="G404" s="57" t="s">
        <v>6737</v>
      </c>
      <c r="H404" s="57" t="s">
        <v>6738</v>
      </c>
      <c r="I404" s="39" t="s">
        <v>67</v>
      </c>
      <c r="J404" s="57" t="s">
        <v>6739</v>
      </c>
      <c r="K404" s="57" t="s">
        <v>6740</v>
      </c>
    </row>
    <row r="405" customFormat="false" ht="79.85" hidden="false" customHeight="false" outlineLevel="0" collapsed="false">
      <c r="D405" s="60"/>
      <c r="E405" s="60"/>
      <c r="F405" s="62"/>
      <c r="G405" s="57" t="s">
        <v>6741</v>
      </c>
      <c r="H405" s="57" t="s">
        <v>3792</v>
      </c>
      <c r="I405" s="39"/>
      <c r="J405" s="57" t="s">
        <v>3792</v>
      </c>
      <c r="K405" s="57" t="s">
        <v>3792</v>
      </c>
    </row>
    <row r="406" customFormat="false" ht="79.85" hidden="false" customHeight="false" outlineLevel="0" collapsed="false">
      <c r="D406" s="1" t="s">
        <v>6742</v>
      </c>
      <c r="E406" s="1" t="s">
        <v>6743</v>
      </c>
      <c r="F406" s="0" t="s">
        <v>5342</v>
      </c>
      <c r="G406" s="57" t="s">
        <v>6744</v>
      </c>
      <c r="H406" s="57" t="s">
        <v>6745</v>
      </c>
      <c r="I406" s="34" t="s">
        <v>40</v>
      </c>
      <c r="J406" s="57" t="s">
        <v>6746</v>
      </c>
      <c r="K406" s="57" t="s">
        <v>6747</v>
      </c>
    </row>
    <row r="407" customFormat="false" ht="57.45" hidden="false" customHeight="false" outlineLevel="0" collapsed="false">
      <c r="D407" s="60"/>
      <c r="E407" s="60"/>
      <c r="F407" s="62"/>
      <c r="G407" s="57" t="s">
        <v>6748</v>
      </c>
      <c r="H407" s="57" t="s">
        <v>3792</v>
      </c>
      <c r="I407" s="34"/>
      <c r="J407" s="57" t="s">
        <v>3792</v>
      </c>
      <c r="K407" s="57" t="s">
        <v>3792</v>
      </c>
    </row>
    <row r="408" customFormat="false" ht="57.45" hidden="false" customHeight="false" outlineLevel="0" collapsed="false">
      <c r="D408" s="1" t="s">
        <v>6749</v>
      </c>
      <c r="E408" s="1" t="s">
        <v>6750</v>
      </c>
      <c r="F408" s="0" t="s">
        <v>5342</v>
      </c>
      <c r="G408" s="57" t="s">
        <v>6751</v>
      </c>
      <c r="H408" s="57" t="s">
        <v>6752</v>
      </c>
      <c r="I408" s="39" t="s">
        <v>67</v>
      </c>
      <c r="J408" s="57" t="s">
        <v>6753</v>
      </c>
      <c r="K408" s="57" t="s">
        <v>6754</v>
      </c>
    </row>
    <row r="409" customFormat="false" ht="68.65" hidden="false" customHeight="false" outlineLevel="0" collapsed="false">
      <c r="D409" s="60"/>
      <c r="E409" s="60"/>
      <c r="F409" s="62"/>
      <c r="G409" s="57" t="s">
        <v>6755</v>
      </c>
      <c r="H409" s="57" t="s">
        <v>3792</v>
      </c>
      <c r="I409" s="39"/>
      <c r="J409" s="57" t="s">
        <v>3792</v>
      </c>
      <c r="K409" s="57" t="s">
        <v>3792</v>
      </c>
    </row>
    <row r="410" customFormat="false" ht="68.65" hidden="false" customHeight="false" outlineLevel="0" collapsed="false">
      <c r="D410" s="1" t="s">
        <v>6756</v>
      </c>
      <c r="E410" s="1" t="s">
        <v>6757</v>
      </c>
      <c r="F410" s="0" t="s">
        <v>5342</v>
      </c>
      <c r="G410" s="57" t="s">
        <v>6758</v>
      </c>
      <c r="H410" s="57" t="s">
        <v>6759</v>
      </c>
      <c r="I410" s="37" t="s">
        <v>50</v>
      </c>
      <c r="J410" s="57" t="s">
        <v>6760</v>
      </c>
      <c r="K410" s="57" t="s">
        <v>6761</v>
      </c>
    </row>
    <row r="411" customFormat="false" ht="79.85" hidden="false" customHeight="false" outlineLevel="0" collapsed="false">
      <c r="C411" s="64"/>
      <c r="D411" s="66"/>
      <c r="E411" s="66"/>
      <c r="F411" s="65"/>
      <c r="G411" s="57" t="s">
        <v>6762</v>
      </c>
      <c r="H411" s="57" t="s">
        <v>3792</v>
      </c>
      <c r="I411" s="37"/>
      <c r="J411" s="57" t="s">
        <v>3792</v>
      </c>
      <c r="K411" s="57" t="s">
        <v>3792</v>
      </c>
    </row>
    <row r="412" customFormat="false" ht="79.85" hidden="false" customHeight="false" outlineLevel="0" collapsed="false">
      <c r="C412" s="59" t="s">
        <v>6763</v>
      </c>
      <c r="D412" s="1" t="s">
        <v>6764</v>
      </c>
      <c r="E412" s="1" t="s">
        <v>6765</v>
      </c>
      <c r="F412" s="0" t="s">
        <v>5334</v>
      </c>
      <c r="G412" s="57" t="s">
        <v>6766</v>
      </c>
      <c r="H412" s="57" t="s">
        <v>6767</v>
      </c>
      <c r="I412" s="37" t="s">
        <v>50</v>
      </c>
      <c r="J412" s="57" t="s">
        <v>6768</v>
      </c>
      <c r="K412" s="57" t="s">
        <v>6769</v>
      </c>
    </row>
    <row r="413" customFormat="false" ht="57.45" hidden="false" customHeight="false" outlineLevel="0" collapsed="false">
      <c r="D413" s="60"/>
      <c r="E413" s="60"/>
      <c r="F413" s="62"/>
      <c r="G413" s="57" t="s">
        <v>6770</v>
      </c>
      <c r="H413" s="57" t="s">
        <v>3792</v>
      </c>
      <c r="I413" s="37"/>
      <c r="J413" s="57" t="s">
        <v>3792</v>
      </c>
      <c r="K413" s="57" t="s">
        <v>3792</v>
      </c>
    </row>
    <row r="414" customFormat="false" ht="57.45" hidden="false" customHeight="false" outlineLevel="0" collapsed="false">
      <c r="D414" s="1" t="s">
        <v>6771</v>
      </c>
      <c r="E414" s="1" t="s">
        <v>6772</v>
      </c>
      <c r="F414" s="0" t="s">
        <v>5342</v>
      </c>
      <c r="G414" s="57" t="s">
        <v>5454</v>
      </c>
      <c r="H414" s="57" t="s">
        <v>6773</v>
      </c>
      <c r="I414" s="39" t="s">
        <v>67</v>
      </c>
      <c r="J414" s="57" t="s">
        <v>6774</v>
      </c>
      <c r="K414" s="57" t="s">
        <v>6775</v>
      </c>
    </row>
    <row r="415" customFormat="false" ht="57.45" hidden="false" customHeight="false" outlineLevel="0" collapsed="false">
      <c r="D415" s="60"/>
      <c r="E415" s="60"/>
      <c r="F415" s="62"/>
      <c r="G415" s="57" t="s">
        <v>6776</v>
      </c>
      <c r="H415" s="57" t="s">
        <v>3792</v>
      </c>
      <c r="I415" s="39"/>
      <c r="J415" s="57" t="s">
        <v>3792</v>
      </c>
      <c r="K415" s="57" t="s">
        <v>3792</v>
      </c>
    </row>
    <row r="416" customFormat="false" ht="57.45" hidden="false" customHeight="false" outlineLevel="0" collapsed="false">
      <c r="D416" s="1" t="s">
        <v>6777</v>
      </c>
      <c r="E416" s="1" t="s">
        <v>6778</v>
      </c>
      <c r="F416" s="0" t="s">
        <v>5334</v>
      </c>
      <c r="G416" s="57" t="s">
        <v>6779</v>
      </c>
      <c r="H416" s="57" t="s">
        <v>6780</v>
      </c>
      <c r="I416" s="34" t="s">
        <v>40</v>
      </c>
      <c r="J416" s="57" t="s">
        <v>6781</v>
      </c>
      <c r="K416" s="57" t="s">
        <v>6782</v>
      </c>
    </row>
    <row r="417" customFormat="false" ht="91" hidden="false" customHeight="false" outlineLevel="0" collapsed="false">
      <c r="D417" s="60"/>
      <c r="E417" s="60"/>
      <c r="F417" s="62"/>
      <c r="G417" s="57" t="s">
        <v>6783</v>
      </c>
      <c r="H417" s="57" t="s">
        <v>3792</v>
      </c>
      <c r="I417" s="34"/>
      <c r="J417" s="57" t="s">
        <v>3792</v>
      </c>
      <c r="K417" s="57" t="s">
        <v>3792</v>
      </c>
    </row>
    <row r="418" customFormat="false" ht="91" hidden="false" customHeight="false" outlineLevel="0" collapsed="false">
      <c r="D418" s="1" t="s">
        <v>6784</v>
      </c>
      <c r="E418" s="1" t="s">
        <v>6785</v>
      </c>
      <c r="F418" s="0" t="s">
        <v>5342</v>
      </c>
      <c r="G418" s="57" t="s">
        <v>6786</v>
      </c>
      <c r="H418" s="57" t="s">
        <v>6787</v>
      </c>
      <c r="I418" s="39" t="s">
        <v>67</v>
      </c>
      <c r="J418" s="57" t="s">
        <v>6788</v>
      </c>
      <c r="K418" s="57" t="s">
        <v>6789</v>
      </c>
    </row>
    <row r="419" customFormat="false" ht="57.45" hidden="false" customHeight="false" outlineLevel="0" collapsed="false">
      <c r="D419" s="60"/>
      <c r="E419" s="60"/>
      <c r="F419" s="62"/>
      <c r="G419" s="57" t="s">
        <v>6790</v>
      </c>
      <c r="H419" s="57" t="s">
        <v>3792</v>
      </c>
      <c r="I419" s="39"/>
      <c r="J419" s="57" t="s">
        <v>3792</v>
      </c>
      <c r="K419" s="57" t="s">
        <v>3792</v>
      </c>
    </row>
    <row r="420" customFormat="false" ht="57.45" hidden="false" customHeight="false" outlineLevel="0" collapsed="false">
      <c r="D420" s="1" t="s">
        <v>6791</v>
      </c>
      <c r="E420" s="1" t="s">
        <v>6792</v>
      </c>
      <c r="F420" s="0" t="s">
        <v>5342</v>
      </c>
      <c r="G420" s="57" t="s">
        <v>6793</v>
      </c>
      <c r="H420" s="57" t="s">
        <v>6794</v>
      </c>
      <c r="I420" s="37" t="s">
        <v>50</v>
      </c>
      <c r="J420" s="57" t="s">
        <v>6795</v>
      </c>
      <c r="K420" s="57" t="s">
        <v>6796</v>
      </c>
    </row>
    <row r="421" customFormat="false" ht="57.45" hidden="false" customHeight="false" outlineLevel="0" collapsed="false">
      <c r="C421" s="64"/>
      <c r="D421" s="66"/>
      <c r="E421" s="66"/>
      <c r="F421" s="65"/>
      <c r="G421" s="57" t="s">
        <v>6797</v>
      </c>
      <c r="H421" s="57" t="s">
        <v>3792</v>
      </c>
      <c r="I421" s="37"/>
      <c r="J421" s="57" t="s">
        <v>3792</v>
      </c>
      <c r="K421" s="57" t="s">
        <v>3792</v>
      </c>
    </row>
    <row r="422" customFormat="false" ht="57.45" hidden="false" customHeight="false" outlineLevel="0" collapsed="false">
      <c r="C422" s="59" t="s">
        <v>6798</v>
      </c>
      <c r="D422" s="1" t="s">
        <v>6799</v>
      </c>
      <c r="E422" s="1" t="s">
        <v>6800</v>
      </c>
      <c r="F422" s="0" t="s">
        <v>5342</v>
      </c>
      <c r="G422" s="57" t="s">
        <v>6801</v>
      </c>
      <c r="H422" s="57" t="s">
        <v>6802</v>
      </c>
      <c r="I422" s="37" t="s">
        <v>50</v>
      </c>
      <c r="J422" s="57" t="s">
        <v>6803</v>
      </c>
      <c r="K422" s="57" t="s">
        <v>6804</v>
      </c>
    </row>
    <row r="423" customFormat="false" ht="68.65" hidden="false" customHeight="false" outlineLevel="0" collapsed="false">
      <c r="D423" s="60"/>
      <c r="E423" s="60"/>
      <c r="F423" s="62"/>
      <c r="G423" s="57" t="s">
        <v>6805</v>
      </c>
      <c r="H423" s="57" t="s">
        <v>3792</v>
      </c>
      <c r="I423" s="37"/>
      <c r="J423" s="57" t="s">
        <v>3792</v>
      </c>
      <c r="K423" s="57" t="s">
        <v>3792</v>
      </c>
    </row>
    <row r="424" customFormat="false" ht="68.65" hidden="false" customHeight="false" outlineLevel="0" collapsed="false">
      <c r="D424" s="1" t="s">
        <v>6806</v>
      </c>
      <c r="E424" s="1" t="s">
        <v>6807</v>
      </c>
      <c r="F424" s="0" t="s">
        <v>5334</v>
      </c>
      <c r="G424" s="57" t="s">
        <v>6808</v>
      </c>
      <c r="H424" s="57" t="s">
        <v>6809</v>
      </c>
      <c r="I424" s="39" t="s">
        <v>67</v>
      </c>
      <c r="J424" s="57" t="s">
        <v>6810</v>
      </c>
      <c r="K424" s="57" t="s">
        <v>6811</v>
      </c>
    </row>
    <row r="425" customFormat="false" ht="68.65" hidden="false" customHeight="false" outlineLevel="0" collapsed="false">
      <c r="D425" s="60"/>
      <c r="E425" s="60"/>
      <c r="F425" s="62"/>
      <c r="G425" s="57" t="s">
        <v>6812</v>
      </c>
      <c r="H425" s="57" t="s">
        <v>3792</v>
      </c>
      <c r="I425" s="39"/>
      <c r="J425" s="57" t="s">
        <v>3792</v>
      </c>
      <c r="K425" s="57" t="s">
        <v>3792</v>
      </c>
    </row>
    <row r="426" customFormat="false" ht="68.65" hidden="false" customHeight="false" outlineLevel="0" collapsed="false">
      <c r="D426" s="1" t="s">
        <v>6813</v>
      </c>
      <c r="E426" s="1" t="s">
        <v>6814</v>
      </c>
      <c r="F426" s="0" t="s">
        <v>5334</v>
      </c>
      <c r="G426" s="57" t="s">
        <v>6815</v>
      </c>
      <c r="H426" s="57" t="s">
        <v>6816</v>
      </c>
      <c r="I426" s="34" t="s">
        <v>40</v>
      </c>
      <c r="J426" s="57" t="s">
        <v>6817</v>
      </c>
      <c r="K426" s="57" t="s">
        <v>6818</v>
      </c>
    </row>
    <row r="427" customFormat="false" ht="79.85" hidden="false" customHeight="false" outlineLevel="0" collapsed="false">
      <c r="D427" s="60"/>
      <c r="E427" s="60"/>
      <c r="F427" s="62"/>
      <c r="G427" s="57" t="s">
        <v>6819</v>
      </c>
      <c r="H427" s="57" t="s">
        <v>3792</v>
      </c>
      <c r="I427" s="34"/>
      <c r="J427" s="57" t="s">
        <v>3792</v>
      </c>
      <c r="K427" s="57" t="s">
        <v>3792</v>
      </c>
    </row>
    <row r="428" customFormat="false" ht="79.85" hidden="false" customHeight="false" outlineLevel="0" collapsed="false">
      <c r="D428" s="1" t="s">
        <v>6820</v>
      </c>
      <c r="E428" s="1" t="s">
        <v>6821</v>
      </c>
      <c r="F428" s="0" t="s">
        <v>5342</v>
      </c>
      <c r="G428" s="57" t="s">
        <v>6822</v>
      </c>
      <c r="H428" s="57" t="s">
        <v>6823</v>
      </c>
      <c r="I428" s="39" t="s">
        <v>67</v>
      </c>
      <c r="J428" s="57" t="s">
        <v>6824</v>
      </c>
      <c r="K428" s="57" t="s">
        <v>6825</v>
      </c>
    </row>
    <row r="429" customFormat="false" ht="68.65" hidden="false" customHeight="false" outlineLevel="0" collapsed="false">
      <c r="D429" s="60"/>
      <c r="E429" s="60"/>
      <c r="F429" s="62"/>
      <c r="G429" s="57" t="s">
        <v>6826</v>
      </c>
      <c r="H429" s="57" t="s">
        <v>3792</v>
      </c>
      <c r="I429" s="39"/>
      <c r="J429" s="57" t="s">
        <v>3792</v>
      </c>
      <c r="K429" s="57" t="s">
        <v>3792</v>
      </c>
    </row>
    <row r="430" customFormat="false" ht="68.65" hidden="false" customHeight="false" outlineLevel="0" collapsed="false">
      <c r="D430" s="1" t="s">
        <v>6827</v>
      </c>
      <c r="E430" s="1" t="s">
        <v>6828</v>
      </c>
      <c r="F430" s="0" t="s">
        <v>5334</v>
      </c>
      <c r="G430" s="57" t="s">
        <v>6829</v>
      </c>
      <c r="H430" s="57" t="s">
        <v>6830</v>
      </c>
      <c r="I430" s="37" t="s">
        <v>50</v>
      </c>
      <c r="J430" s="57" t="s">
        <v>6831</v>
      </c>
      <c r="K430" s="57" t="s">
        <v>6832</v>
      </c>
    </row>
    <row r="431" customFormat="false" ht="79.85" hidden="false" customHeight="false" outlineLevel="0" collapsed="false">
      <c r="C431" s="64"/>
      <c r="D431" s="66"/>
      <c r="E431" s="66"/>
      <c r="F431" s="65"/>
      <c r="G431" s="57" t="s">
        <v>6833</v>
      </c>
      <c r="H431" s="57" t="s">
        <v>3792</v>
      </c>
      <c r="I431" s="37"/>
      <c r="J431" s="57" t="s">
        <v>3792</v>
      </c>
      <c r="K431" s="57" t="s">
        <v>3792</v>
      </c>
    </row>
    <row r="432" customFormat="false" ht="79.85" hidden="false" customHeight="false" outlineLevel="0" collapsed="false">
      <c r="C432" s="59" t="s">
        <v>6834</v>
      </c>
      <c r="D432" s="1" t="s">
        <v>6835</v>
      </c>
      <c r="E432" s="1" t="s">
        <v>6836</v>
      </c>
      <c r="F432" s="0" t="s">
        <v>5334</v>
      </c>
      <c r="G432" s="57" t="s">
        <v>6837</v>
      </c>
      <c r="H432" s="57" t="s">
        <v>6838</v>
      </c>
      <c r="I432" s="37" t="s">
        <v>50</v>
      </c>
      <c r="J432" s="57" t="s">
        <v>6839</v>
      </c>
      <c r="K432" s="57" t="s">
        <v>6840</v>
      </c>
    </row>
    <row r="433" customFormat="false" ht="68.65" hidden="false" customHeight="false" outlineLevel="0" collapsed="false">
      <c r="D433" s="60"/>
      <c r="E433" s="60"/>
      <c r="F433" s="62"/>
      <c r="G433" s="57" t="s">
        <v>6841</v>
      </c>
      <c r="H433" s="57" t="s">
        <v>3792</v>
      </c>
      <c r="I433" s="37"/>
      <c r="J433" s="57" t="s">
        <v>3792</v>
      </c>
      <c r="K433" s="57" t="s">
        <v>3792</v>
      </c>
    </row>
    <row r="434" customFormat="false" ht="68.65" hidden="false" customHeight="false" outlineLevel="0" collapsed="false">
      <c r="D434" s="1" t="s">
        <v>6842</v>
      </c>
      <c r="E434" s="1" t="s">
        <v>6843</v>
      </c>
      <c r="F434" s="0" t="s">
        <v>5342</v>
      </c>
      <c r="G434" s="57" t="s">
        <v>6844</v>
      </c>
      <c r="H434" s="57" t="s">
        <v>6845</v>
      </c>
      <c r="I434" s="39" t="s">
        <v>67</v>
      </c>
      <c r="J434" s="57" t="s">
        <v>6846</v>
      </c>
      <c r="K434" s="57" t="s">
        <v>6847</v>
      </c>
    </row>
    <row r="435" customFormat="false" ht="57.45" hidden="false" customHeight="false" outlineLevel="0" collapsed="false">
      <c r="D435" s="60"/>
      <c r="E435" s="60"/>
      <c r="F435" s="62"/>
      <c r="G435" s="57" t="s">
        <v>6848</v>
      </c>
      <c r="H435" s="57" t="s">
        <v>3792</v>
      </c>
      <c r="I435" s="39"/>
      <c r="J435" s="57" t="s">
        <v>3792</v>
      </c>
      <c r="K435" s="57" t="s">
        <v>3792</v>
      </c>
    </row>
    <row r="436" customFormat="false" ht="57.45" hidden="false" customHeight="false" outlineLevel="0" collapsed="false">
      <c r="D436" s="1" t="s">
        <v>6849</v>
      </c>
      <c r="E436" s="1" t="s">
        <v>6850</v>
      </c>
      <c r="F436" s="0" t="s">
        <v>5342</v>
      </c>
      <c r="G436" s="57" t="s">
        <v>6851</v>
      </c>
      <c r="H436" s="57" t="s">
        <v>6852</v>
      </c>
      <c r="I436" s="34" t="s">
        <v>40</v>
      </c>
      <c r="J436" s="57" t="s">
        <v>6853</v>
      </c>
      <c r="K436" s="57" t="s">
        <v>6854</v>
      </c>
    </row>
    <row r="437" customFormat="false" ht="68.65" hidden="false" customHeight="false" outlineLevel="0" collapsed="false">
      <c r="D437" s="60"/>
      <c r="E437" s="60"/>
      <c r="F437" s="62"/>
      <c r="G437" s="57" t="s">
        <v>6855</v>
      </c>
      <c r="H437" s="57" t="s">
        <v>3792</v>
      </c>
      <c r="I437" s="34"/>
      <c r="J437" s="57" t="s">
        <v>3792</v>
      </c>
      <c r="K437" s="57" t="s">
        <v>3792</v>
      </c>
    </row>
    <row r="438" customFormat="false" ht="68.65" hidden="false" customHeight="false" outlineLevel="0" collapsed="false">
      <c r="D438" s="1" t="s">
        <v>6856</v>
      </c>
      <c r="E438" s="1" t="s">
        <v>6857</v>
      </c>
      <c r="F438" s="0" t="s">
        <v>5334</v>
      </c>
      <c r="G438" s="57" t="s">
        <v>6858</v>
      </c>
      <c r="H438" s="57" t="s">
        <v>6859</v>
      </c>
      <c r="I438" s="39" t="s">
        <v>67</v>
      </c>
      <c r="J438" s="57" t="s">
        <v>6860</v>
      </c>
      <c r="K438" s="57" t="s">
        <v>6861</v>
      </c>
    </row>
    <row r="439" customFormat="false" ht="57.45" hidden="false" customHeight="false" outlineLevel="0" collapsed="false">
      <c r="D439" s="60"/>
      <c r="E439" s="60"/>
      <c r="F439" s="62"/>
      <c r="G439" s="57" t="s">
        <v>6862</v>
      </c>
      <c r="H439" s="57" t="s">
        <v>3792</v>
      </c>
      <c r="I439" s="39"/>
      <c r="J439" s="57" t="s">
        <v>3792</v>
      </c>
      <c r="K439" s="57" t="s">
        <v>3792</v>
      </c>
    </row>
    <row r="440" customFormat="false" ht="57.45" hidden="false" customHeight="false" outlineLevel="0" collapsed="false">
      <c r="D440" s="1" t="s">
        <v>6863</v>
      </c>
      <c r="E440" s="1" t="s">
        <v>6864</v>
      </c>
      <c r="F440" s="0" t="s">
        <v>5342</v>
      </c>
      <c r="G440" s="57" t="s">
        <v>6865</v>
      </c>
      <c r="H440" s="57" t="s">
        <v>6866</v>
      </c>
      <c r="I440" s="37" t="s">
        <v>50</v>
      </c>
      <c r="J440" s="57" t="s">
        <v>6867</v>
      </c>
      <c r="K440" s="57" t="s">
        <v>5970</v>
      </c>
    </row>
    <row r="441" customFormat="false" ht="57.45" hidden="false" customHeight="false" outlineLevel="0" collapsed="false">
      <c r="C441" s="64"/>
      <c r="D441" s="66"/>
      <c r="E441" s="66"/>
      <c r="F441" s="65"/>
      <c r="G441" s="57" t="s">
        <v>6868</v>
      </c>
      <c r="H441" s="57" t="s">
        <v>3792</v>
      </c>
      <c r="I441" s="37"/>
      <c r="J441" s="57" t="s">
        <v>3792</v>
      </c>
      <c r="K441" s="57" t="s">
        <v>3792</v>
      </c>
    </row>
    <row r="442" customFormat="false" ht="57.45" hidden="false" customHeight="false" outlineLevel="0" collapsed="false">
      <c r="C442" s="59" t="s">
        <v>6869</v>
      </c>
      <c r="D442" s="1" t="s">
        <v>6870</v>
      </c>
      <c r="E442" s="1" t="s">
        <v>6871</v>
      </c>
      <c r="F442" s="0" t="s">
        <v>5342</v>
      </c>
      <c r="G442" s="57" t="s">
        <v>6872</v>
      </c>
      <c r="H442" s="57" t="s">
        <v>6873</v>
      </c>
      <c r="I442" s="37" t="s">
        <v>50</v>
      </c>
      <c r="J442" s="57" t="s">
        <v>6874</v>
      </c>
      <c r="K442" s="57" t="s">
        <v>6875</v>
      </c>
    </row>
    <row r="443" customFormat="false" ht="68.65" hidden="false" customHeight="false" outlineLevel="0" collapsed="false">
      <c r="D443" s="60"/>
      <c r="E443" s="60"/>
      <c r="F443" s="62"/>
      <c r="G443" s="57" t="s">
        <v>6876</v>
      </c>
      <c r="H443" s="57" t="s">
        <v>3792</v>
      </c>
      <c r="I443" s="37"/>
      <c r="J443" s="57" t="s">
        <v>3792</v>
      </c>
      <c r="K443" s="57" t="s">
        <v>3792</v>
      </c>
    </row>
    <row r="444" customFormat="false" ht="68.65" hidden="false" customHeight="false" outlineLevel="0" collapsed="false">
      <c r="D444" s="1" t="s">
        <v>6877</v>
      </c>
      <c r="E444" s="1" t="s">
        <v>6878</v>
      </c>
      <c r="F444" s="0" t="s">
        <v>5334</v>
      </c>
      <c r="G444" s="57" t="s">
        <v>6879</v>
      </c>
      <c r="H444" s="57" t="s">
        <v>6880</v>
      </c>
      <c r="I444" s="39" t="s">
        <v>67</v>
      </c>
      <c r="J444" s="57" t="s">
        <v>6881</v>
      </c>
      <c r="K444" s="57" t="s">
        <v>6882</v>
      </c>
    </row>
    <row r="445" customFormat="false" ht="68.65" hidden="false" customHeight="false" outlineLevel="0" collapsed="false">
      <c r="D445" s="60"/>
      <c r="E445" s="60"/>
      <c r="F445" s="62"/>
      <c r="G445" s="57" t="s">
        <v>6883</v>
      </c>
      <c r="H445" s="57" t="s">
        <v>3792</v>
      </c>
      <c r="I445" s="39"/>
      <c r="J445" s="57" t="s">
        <v>3792</v>
      </c>
      <c r="K445" s="57" t="s">
        <v>3792</v>
      </c>
    </row>
    <row r="446" customFormat="false" ht="68.65" hidden="false" customHeight="false" outlineLevel="0" collapsed="false">
      <c r="D446" s="1" t="s">
        <v>6884</v>
      </c>
      <c r="E446" s="1" t="s">
        <v>6885</v>
      </c>
      <c r="F446" s="0" t="s">
        <v>5334</v>
      </c>
      <c r="G446" s="57" t="s">
        <v>6886</v>
      </c>
      <c r="H446" s="57" t="s">
        <v>6887</v>
      </c>
      <c r="I446" s="34" t="s">
        <v>40</v>
      </c>
      <c r="J446" s="57" t="s">
        <v>6888</v>
      </c>
      <c r="K446" s="57" t="s">
        <v>6889</v>
      </c>
    </row>
    <row r="447" customFormat="false" ht="57.45" hidden="false" customHeight="false" outlineLevel="0" collapsed="false">
      <c r="D447" s="60"/>
      <c r="E447" s="60"/>
      <c r="F447" s="62"/>
      <c r="G447" s="57" t="s">
        <v>6890</v>
      </c>
      <c r="H447" s="57" t="s">
        <v>3792</v>
      </c>
      <c r="I447" s="34"/>
      <c r="J447" s="57" t="s">
        <v>3792</v>
      </c>
      <c r="K447" s="57" t="s">
        <v>3792</v>
      </c>
    </row>
    <row r="448" customFormat="false" ht="57.45" hidden="false" customHeight="false" outlineLevel="0" collapsed="false">
      <c r="D448" s="1" t="s">
        <v>6891</v>
      </c>
      <c r="E448" s="1" t="s">
        <v>6892</v>
      </c>
      <c r="F448" s="0" t="s">
        <v>5342</v>
      </c>
      <c r="G448" s="57" t="s">
        <v>6893</v>
      </c>
      <c r="H448" s="57" t="s">
        <v>6894</v>
      </c>
      <c r="I448" s="39" t="s">
        <v>67</v>
      </c>
      <c r="J448" s="57" t="s">
        <v>6895</v>
      </c>
      <c r="K448" s="57" t="s">
        <v>6896</v>
      </c>
    </row>
    <row r="449" customFormat="false" ht="68.65" hidden="false" customHeight="false" outlineLevel="0" collapsed="false">
      <c r="D449" s="60"/>
      <c r="E449" s="60"/>
      <c r="F449" s="62"/>
      <c r="G449" s="57" t="s">
        <v>6897</v>
      </c>
      <c r="H449" s="57" t="s">
        <v>3792</v>
      </c>
      <c r="I449" s="39"/>
      <c r="J449" s="57" t="s">
        <v>3792</v>
      </c>
      <c r="K449" s="57" t="s">
        <v>3792</v>
      </c>
    </row>
    <row r="450" customFormat="false" ht="68.65" hidden="false" customHeight="false" outlineLevel="0" collapsed="false">
      <c r="D450" s="1" t="s">
        <v>6898</v>
      </c>
      <c r="E450" s="1" t="s">
        <v>6899</v>
      </c>
      <c r="F450" s="0" t="s">
        <v>5342</v>
      </c>
      <c r="G450" s="57" t="s">
        <v>6900</v>
      </c>
      <c r="H450" s="57" t="s">
        <v>6901</v>
      </c>
      <c r="I450" s="37" t="s">
        <v>50</v>
      </c>
      <c r="J450" s="57" t="s">
        <v>6902</v>
      </c>
      <c r="K450" s="57" t="s">
        <v>6903</v>
      </c>
    </row>
    <row r="451" customFormat="false" ht="57.45" hidden="false" customHeight="false" outlineLevel="0" collapsed="false">
      <c r="C451" s="64"/>
      <c r="D451" s="66"/>
      <c r="E451" s="66"/>
      <c r="F451" s="69"/>
      <c r="G451" s="57" t="s">
        <v>6904</v>
      </c>
      <c r="H451" s="57" t="s">
        <v>3792</v>
      </c>
      <c r="I451" s="37"/>
      <c r="J451" s="57" t="s">
        <v>3792</v>
      </c>
      <c r="K451" s="57" t="s">
        <v>3792</v>
      </c>
    </row>
    <row r="452" customFormat="false" ht="57.45" hidden="false" customHeight="false" outlineLevel="0" collapsed="false">
      <c r="C452" s="59" t="s">
        <v>6905</v>
      </c>
      <c r="D452" s="1" t="s">
        <v>6906</v>
      </c>
      <c r="E452" s="1" t="s">
        <v>6907</v>
      </c>
      <c r="F452" s="57" t="s">
        <v>5334</v>
      </c>
      <c r="G452" s="57" t="s">
        <v>6908</v>
      </c>
      <c r="H452" s="57" t="s">
        <v>6909</v>
      </c>
      <c r="I452" s="37" t="s">
        <v>50</v>
      </c>
      <c r="J452" s="57" t="s">
        <v>6910</v>
      </c>
      <c r="K452" s="57" t="s">
        <v>6911</v>
      </c>
    </row>
    <row r="453" customFormat="false" ht="79.85" hidden="false" customHeight="false" outlineLevel="0" collapsed="false">
      <c r="D453" s="60"/>
      <c r="E453" s="60"/>
      <c r="F453" s="61"/>
      <c r="G453" s="57" t="s">
        <v>6912</v>
      </c>
      <c r="H453" s="57" t="s">
        <v>3792</v>
      </c>
      <c r="I453" s="37"/>
      <c r="J453" s="57" t="s">
        <v>3792</v>
      </c>
      <c r="K453" s="57" t="s">
        <v>3792</v>
      </c>
    </row>
    <row r="454" customFormat="false" ht="79.85" hidden="false" customHeight="false" outlineLevel="0" collapsed="false">
      <c r="D454" s="1" t="s">
        <v>6913</v>
      </c>
      <c r="E454" s="1" t="s">
        <v>6914</v>
      </c>
      <c r="F454" s="57" t="s">
        <v>5342</v>
      </c>
      <c r="G454" s="57" t="s">
        <v>6915</v>
      </c>
      <c r="H454" s="57" t="s">
        <v>6916</v>
      </c>
      <c r="I454" s="39" t="s">
        <v>67</v>
      </c>
      <c r="J454" s="57" t="s">
        <v>6917</v>
      </c>
      <c r="K454" s="57" t="s">
        <v>6918</v>
      </c>
    </row>
    <row r="455" customFormat="false" ht="68.65" hidden="false" customHeight="false" outlineLevel="0" collapsed="false">
      <c r="D455" s="60"/>
      <c r="E455" s="60"/>
      <c r="F455" s="61"/>
      <c r="G455" s="57" t="s">
        <v>6919</v>
      </c>
      <c r="H455" s="57" t="s">
        <v>3792</v>
      </c>
      <c r="I455" s="39"/>
      <c r="J455" s="57" t="s">
        <v>3792</v>
      </c>
      <c r="K455" s="57" t="s">
        <v>3792</v>
      </c>
    </row>
    <row r="456" customFormat="false" ht="68.65" hidden="false" customHeight="false" outlineLevel="0" collapsed="false">
      <c r="D456" s="1" t="s">
        <v>6920</v>
      </c>
      <c r="E456" s="1" t="s">
        <v>6921</v>
      </c>
      <c r="F456" s="0" t="s">
        <v>5334</v>
      </c>
      <c r="G456" s="57" t="s">
        <v>6922</v>
      </c>
      <c r="H456" s="57" t="s">
        <v>6923</v>
      </c>
      <c r="I456" s="34" t="s">
        <v>40</v>
      </c>
      <c r="J456" s="57" t="s">
        <v>6924</v>
      </c>
      <c r="K456" s="57" t="s">
        <v>6925</v>
      </c>
    </row>
    <row r="457" customFormat="false" ht="57.45" hidden="false" customHeight="false" outlineLevel="0" collapsed="false">
      <c r="D457" s="60"/>
      <c r="E457" s="60"/>
      <c r="F457" s="62"/>
      <c r="G457" s="57" t="s">
        <v>6926</v>
      </c>
      <c r="H457" s="57" t="s">
        <v>3792</v>
      </c>
      <c r="I457" s="34"/>
      <c r="J457" s="57" t="s">
        <v>3792</v>
      </c>
      <c r="K457" s="57" t="s">
        <v>3792</v>
      </c>
    </row>
    <row r="458" customFormat="false" ht="57.45" hidden="false" customHeight="false" outlineLevel="0" collapsed="false">
      <c r="D458" s="1" t="s">
        <v>6927</v>
      </c>
      <c r="E458" s="1" t="s">
        <v>6928</v>
      </c>
      <c r="F458" s="0" t="s">
        <v>5334</v>
      </c>
      <c r="G458" s="57" t="s">
        <v>6929</v>
      </c>
      <c r="H458" s="57" t="s">
        <v>6930</v>
      </c>
      <c r="I458" s="39" t="s">
        <v>67</v>
      </c>
      <c r="J458" s="57" t="s">
        <v>6931</v>
      </c>
      <c r="K458" s="57" t="s">
        <v>6932</v>
      </c>
    </row>
    <row r="459" customFormat="false" ht="68.65" hidden="false" customHeight="false" outlineLevel="0" collapsed="false">
      <c r="D459" s="60"/>
      <c r="E459" s="60"/>
      <c r="F459" s="62"/>
      <c r="G459" s="57" t="s">
        <v>6933</v>
      </c>
      <c r="H459" s="57" t="s">
        <v>3792</v>
      </c>
      <c r="I459" s="39"/>
      <c r="J459" s="57" t="s">
        <v>3792</v>
      </c>
      <c r="K459" s="57" t="s">
        <v>3792</v>
      </c>
    </row>
    <row r="460" customFormat="false" ht="68.65" hidden="false" customHeight="false" outlineLevel="0" collapsed="false">
      <c r="D460" s="1" t="s">
        <v>6934</v>
      </c>
      <c r="E460" s="1" t="s">
        <v>6935</v>
      </c>
      <c r="F460" s="0" t="s">
        <v>5342</v>
      </c>
      <c r="G460" s="57" t="s">
        <v>6936</v>
      </c>
      <c r="H460" s="57" t="s">
        <v>6937</v>
      </c>
      <c r="I460" s="37" t="s">
        <v>50</v>
      </c>
      <c r="J460" s="57" t="s">
        <v>6938</v>
      </c>
      <c r="K460" s="57" t="s">
        <v>6939</v>
      </c>
    </row>
    <row r="461" customFormat="false" ht="79.85" hidden="false" customHeight="false" outlineLevel="0" collapsed="false">
      <c r="C461" s="64"/>
      <c r="D461" s="66"/>
      <c r="E461" s="66"/>
      <c r="F461" s="65"/>
      <c r="G461" s="57" t="s">
        <v>6940</v>
      </c>
      <c r="H461" s="57" t="s">
        <v>3792</v>
      </c>
      <c r="I461" s="37"/>
      <c r="J461" s="57" t="s">
        <v>3792</v>
      </c>
      <c r="K461" s="57" t="s">
        <v>3792</v>
      </c>
    </row>
    <row r="462" customFormat="false" ht="79.85" hidden="false" customHeight="false" outlineLevel="0" collapsed="false">
      <c r="C462" s="1" t="s">
        <v>6941</v>
      </c>
      <c r="D462" s="1" t="s">
        <v>6942</v>
      </c>
      <c r="E462" s="1" t="s">
        <v>6943</v>
      </c>
      <c r="F462" s="0" t="s">
        <v>5334</v>
      </c>
      <c r="G462" s="57" t="s">
        <v>6944</v>
      </c>
      <c r="H462" s="57" t="s">
        <v>6945</v>
      </c>
      <c r="I462" s="37" t="s">
        <v>50</v>
      </c>
      <c r="J462" s="57" t="s">
        <v>6946</v>
      </c>
      <c r="K462" s="57" t="s">
        <v>6947</v>
      </c>
    </row>
    <row r="463" customFormat="false" ht="57.45" hidden="false" customHeight="false" outlineLevel="0" collapsed="false">
      <c r="D463" s="60"/>
      <c r="E463" s="60"/>
      <c r="F463" s="62"/>
      <c r="G463" s="57" t="s">
        <v>6948</v>
      </c>
      <c r="H463" s="57" t="s">
        <v>3792</v>
      </c>
      <c r="I463" s="37"/>
      <c r="J463" s="57" t="s">
        <v>3792</v>
      </c>
      <c r="K463" s="57" t="s">
        <v>3792</v>
      </c>
    </row>
    <row r="464" customFormat="false" ht="57.45" hidden="false" customHeight="false" outlineLevel="0" collapsed="false">
      <c r="D464" s="1" t="s">
        <v>6949</v>
      </c>
      <c r="E464" s="1" t="s">
        <v>6950</v>
      </c>
      <c r="F464" s="0" t="s">
        <v>5342</v>
      </c>
      <c r="G464" s="57" t="s">
        <v>6951</v>
      </c>
      <c r="H464" s="57" t="s">
        <v>6952</v>
      </c>
      <c r="I464" s="39" t="s">
        <v>67</v>
      </c>
      <c r="J464" s="57" t="s">
        <v>6953</v>
      </c>
      <c r="K464" s="57" t="s">
        <v>6954</v>
      </c>
    </row>
    <row r="465" customFormat="false" ht="68.65" hidden="false" customHeight="false" outlineLevel="0" collapsed="false">
      <c r="D465" s="60"/>
      <c r="E465" s="60"/>
      <c r="F465" s="62"/>
      <c r="G465" s="57" t="s">
        <v>6955</v>
      </c>
      <c r="H465" s="57" t="s">
        <v>3792</v>
      </c>
      <c r="I465" s="39"/>
      <c r="J465" s="57" t="s">
        <v>3792</v>
      </c>
      <c r="K465" s="57" t="s">
        <v>3792</v>
      </c>
    </row>
    <row r="466" customFormat="false" ht="68.65" hidden="false" customHeight="false" outlineLevel="0" collapsed="false">
      <c r="D466" s="1" t="s">
        <v>6956</v>
      </c>
      <c r="E466" s="1" t="s">
        <v>6957</v>
      </c>
      <c r="F466" s="0" t="s">
        <v>5342</v>
      </c>
      <c r="G466" s="57" t="s">
        <v>6958</v>
      </c>
      <c r="H466" s="57" t="s">
        <v>6959</v>
      </c>
      <c r="I466" s="34" t="s">
        <v>40</v>
      </c>
      <c r="J466" s="57" t="s">
        <v>6960</v>
      </c>
      <c r="K466" s="57" t="s">
        <v>6961</v>
      </c>
    </row>
    <row r="467" customFormat="false" ht="68.65" hidden="false" customHeight="false" outlineLevel="0" collapsed="false">
      <c r="D467" s="60"/>
      <c r="E467" s="60"/>
      <c r="F467" s="62"/>
      <c r="G467" s="57" t="s">
        <v>6962</v>
      </c>
      <c r="H467" s="57" t="s">
        <v>3792</v>
      </c>
      <c r="I467" s="34"/>
      <c r="J467" s="57" t="s">
        <v>3792</v>
      </c>
      <c r="K467" s="57" t="s">
        <v>3792</v>
      </c>
    </row>
    <row r="468" customFormat="false" ht="68.65" hidden="false" customHeight="false" outlineLevel="0" collapsed="false">
      <c r="D468" s="1" t="s">
        <v>6963</v>
      </c>
      <c r="E468" s="1" t="s">
        <v>6964</v>
      </c>
      <c r="F468" s="0" t="s">
        <v>5334</v>
      </c>
      <c r="G468" s="57" t="s">
        <v>6965</v>
      </c>
      <c r="H468" s="57" t="s">
        <v>6966</v>
      </c>
      <c r="I468" s="39" t="s">
        <v>67</v>
      </c>
      <c r="J468" s="57" t="s">
        <v>6967</v>
      </c>
      <c r="K468" s="57" t="s">
        <v>6968</v>
      </c>
    </row>
    <row r="469" customFormat="false" ht="57.45" hidden="false" customHeight="false" outlineLevel="0" collapsed="false">
      <c r="D469" s="60"/>
      <c r="E469" s="60"/>
      <c r="F469" s="62"/>
      <c r="G469" s="57" t="s">
        <v>6969</v>
      </c>
      <c r="H469" s="57" t="s">
        <v>3792</v>
      </c>
      <c r="I469" s="39"/>
      <c r="J469" s="57" t="s">
        <v>3792</v>
      </c>
      <c r="K469" s="57" t="s">
        <v>3792</v>
      </c>
    </row>
    <row r="470" customFormat="false" ht="57.45" hidden="false" customHeight="false" outlineLevel="0" collapsed="false">
      <c r="D470" s="1" t="s">
        <v>6970</v>
      </c>
      <c r="E470" s="1" t="s">
        <v>6971</v>
      </c>
      <c r="F470" s="0" t="s">
        <v>5342</v>
      </c>
      <c r="G470" s="57" t="s">
        <v>6972</v>
      </c>
      <c r="H470" s="57" t="s">
        <v>6973</v>
      </c>
      <c r="I470" s="37" t="s">
        <v>50</v>
      </c>
      <c r="J470" s="57" t="s">
        <v>6974</v>
      </c>
      <c r="K470" s="57" t="s">
        <v>6975</v>
      </c>
    </row>
    <row r="471" customFormat="false" ht="68.65" hidden="false" customHeight="false" outlineLevel="0" collapsed="false">
      <c r="B471" s="67"/>
      <c r="C471" s="68"/>
      <c r="D471" s="68"/>
      <c r="E471" s="68"/>
      <c r="F471" s="65"/>
      <c r="G471" s="57" t="s">
        <v>6976</v>
      </c>
      <c r="H471" s="57" t="s">
        <v>3792</v>
      </c>
      <c r="I471" s="37"/>
      <c r="J471" s="57" t="s">
        <v>3792</v>
      </c>
      <c r="K471" s="57" t="s">
        <v>3792</v>
      </c>
    </row>
    <row r="472" customFormat="false" ht="68.65" hidden="false" customHeight="false" outlineLevel="0" collapsed="false">
      <c r="B472" s="1" t="s">
        <v>6977</v>
      </c>
      <c r="C472" s="59" t="s">
        <v>6978</v>
      </c>
      <c r="D472" s="1" t="s">
        <v>6979</v>
      </c>
      <c r="E472" s="1" t="s">
        <v>6980</v>
      </c>
      <c r="F472" s="0" t="s">
        <v>5334</v>
      </c>
      <c r="G472" s="57" t="s">
        <v>6981</v>
      </c>
      <c r="H472" s="57" t="s">
        <v>6982</v>
      </c>
      <c r="I472" s="37" t="s">
        <v>50</v>
      </c>
      <c r="J472" s="57" t="s">
        <v>6983</v>
      </c>
      <c r="K472" s="57" t="s">
        <v>6984</v>
      </c>
    </row>
    <row r="473" customFormat="false" ht="57.45" hidden="false" customHeight="false" outlineLevel="0" collapsed="false">
      <c r="D473" s="60"/>
      <c r="E473" s="60"/>
      <c r="F473" s="62"/>
      <c r="G473" s="57" t="s">
        <v>6985</v>
      </c>
      <c r="H473" s="57" t="s">
        <v>3792</v>
      </c>
      <c r="I473" s="37"/>
      <c r="J473" s="57" t="s">
        <v>3792</v>
      </c>
      <c r="K473" s="57" t="s">
        <v>3792</v>
      </c>
    </row>
    <row r="474" customFormat="false" ht="57.45" hidden="false" customHeight="false" outlineLevel="0" collapsed="false">
      <c r="F474" s="0" t="s">
        <v>5342</v>
      </c>
      <c r="G474" s="57" t="s">
        <v>6986</v>
      </c>
      <c r="H474" s="57" t="s">
        <v>6987</v>
      </c>
      <c r="I474" s="39" t="s">
        <v>67</v>
      </c>
      <c r="J474" s="57" t="s">
        <v>6988</v>
      </c>
      <c r="K474" s="57" t="s">
        <v>6989</v>
      </c>
    </row>
    <row r="475" customFormat="false" ht="68.65" hidden="false" customHeight="false" outlineLevel="0" collapsed="false">
      <c r="D475" s="60" t="s">
        <v>6990</v>
      </c>
      <c r="E475" s="60" t="s">
        <v>6991</v>
      </c>
      <c r="F475" s="62"/>
      <c r="G475" s="57" t="s">
        <v>6992</v>
      </c>
      <c r="H475" s="57" t="s">
        <v>3792</v>
      </c>
      <c r="I475" s="39"/>
      <c r="J475" s="57" t="s">
        <v>3792</v>
      </c>
      <c r="K475" s="57" t="s">
        <v>3792</v>
      </c>
    </row>
    <row r="476" customFormat="false" ht="68.65" hidden="false" customHeight="false" outlineLevel="0" collapsed="false">
      <c r="F476" s="0" t="s">
        <v>5334</v>
      </c>
      <c r="G476" s="57" t="s">
        <v>6993</v>
      </c>
      <c r="H476" s="57" t="s">
        <v>6994</v>
      </c>
      <c r="I476" s="34" t="s">
        <v>40</v>
      </c>
      <c r="J476" s="57" t="s">
        <v>6995</v>
      </c>
      <c r="K476" s="57" t="s">
        <v>6996</v>
      </c>
    </row>
    <row r="477" customFormat="false" ht="57.45" hidden="false" customHeight="false" outlineLevel="0" collapsed="false">
      <c r="D477" s="60" t="s">
        <v>6997</v>
      </c>
      <c r="E477" s="60" t="s">
        <v>6998</v>
      </c>
      <c r="F477" s="62"/>
      <c r="G477" s="57" t="s">
        <v>6999</v>
      </c>
      <c r="H477" s="57" t="s">
        <v>3792</v>
      </c>
      <c r="I477" s="34"/>
      <c r="J477" s="57" t="s">
        <v>3792</v>
      </c>
      <c r="K477" s="57" t="s">
        <v>3792</v>
      </c>
    </row>
    <row r="478" customFormat="false" ht="57.45" hidden="false" customHeight="false" outlineLevel="0" collapsed="false">
      <c r="F478" s="0" t="s">
        <v>5334</v>
      </c>
      <c r="G478" s="57" t="s">
        <v>6965</v>
      </c>
      <c r="H478" s="57" t="s">
        <v>7000</v>
      </c>
      <c r="I478" s="39" t="s">
        <v>67</v>
      </c>
      <c r="J478" s="57" t="s">
        <v>7001</v>
      </c>
      <c r="K478" s="57" t="s">
        <v>7002</v>
      </c>
    </row>
    <row r="479" customFormat="false" ht="68.65" hidden="false" customHeight="false" outlineLevel="0" collapsed="false">
      <c r="D479" s="60" t="s">
        <v>7003</v>
      </c>
      <c r="E479" s="60" t="s">
        <v>7004</v>
      </c>
      <c r="F479" s="62"/>
      <c r="G479" s="57" t="s">
        <v>6969</v>
      </c>
      <c r="H479" s="57" t="s">
        <v>3792</v>
      </c>
      <c r="I479" s="39"/>
      <c r="J479" s="57" t="s">
        <v>3792</v>
      </c>
      <c r="K479" s="57" t="s">
        <v>3792</v>
      </c>
    </row>
    <row r="480" customFormat="false" ht="68.65" hidden="false" customHeight="false" outlineLevel="0" collapsed="false">
      <c r="F480" s="0" t="s">
        <v>5342</v>
      </c>
      <c r="G480" s="57" t="s">
        <v>6972</v>
      </c>
      <c r="H480" s="57" t="s">
        <v>7005</v>
      </c>
      <c r="I480" s="37" t="s">
        <v>50</v>
      </c>
      <c r="J480" s="57" t="s">
        <v>7006</v>
      </c>
      <c r="K480" s="57" t="s">
        <v>7007</v>
      </c>
    </row>
    <row r="481" customFormat="false" ht="79.85" hidden="false" customHeight="false" outlineLevel="0" collapsed="false">
      <c r="C481" s="64"/>
      <c r="D481" s="66" t="s">
        <v>7008</v>
      </c>
      <c r="E481" s="66" t="s">
        <v>7009</v>
      </c>
      <c r="F481" s="65"/>
      <c r="G481" s="57" t="s">
        <v>6976</v>
      </c>
      <c r="H481" s="57" t="s">
        <v>3792</v>
      </c>
      <c r="I481" s="37"/>
      <c r="J481" s="57" t="s">
        <v>3792</v>
      </c>
      <c r="K481" s="57" t="s">
        <v>3792</v>
      </c>
    </row>
    <row r="482" customFormat="false" ht="79.85" hidden="false" customHeight="false" outlineLevel="0" collapsed="false">
      <c r="F482" s="0" t="s">
        <v>5342</v>
      </c>
      <c r="G482" s="57" t="s">
        <v>6981</v>
      </c>
      <c r="H482" s="57" t="s">
        <v>7010</v>
      </c>
      <c r="I482" s="37" t="s">
        <v>50</v>
      </c>
      <c r="J482" s="57" t="s">
        <v>7011</v>
      </c>
      <c r="K482" s="57" t="s">
        <v>7012</v>
      </c>
    </row>
    <row r="483" customFormat="false" ht="79.85" hidden="false" customHeight="false" outlineLevel="0" collapsed="false">
      <c r="C483" s="59" t="s">
        <v>7013</v>
      </c>
      <c r="D483" s="60" t="s">
        <v>6979</v>
      </c>
      <c r="E483" s="60" t="s">
        <v>7014</v>
      </c>
      <c r="F483" s="62"/>
      <c r="G483" s="57" t="s">
        <v>6985</v>
      </c>
      <c r="H483" s="57" t="s">
        <v>3792</v>
      </c>
      <c r="I483" s="37"/>
      <c r="J483" s="57" t="s">
        <v>3792</v>
      </c>
      <c r="K483" s="57" t="s">
        <v>3792</v>
      </c>
    </row>
    <row r="484" customFormat="false" ht="79.85" hidden="false" customHeight="false" outlineLevel="0" collapsed="false">
      <c r="F484" s="0" t="s">
        <v>5334</v>
      </c>
      <c r="G484" s="57" t="s">
        <v>6986</v>
      </c>
      <c r="H484" s="57" t="s">
        <v>7015</v>
      </c>
      <c r="I484" s="39" t="s">
        <v>67</v>
      </c>
      <c r="J484" s="57" t="s">
        <v>7016</v>
      </c>
      <c r="K484" s="57" t="s">
        <v>7017</v>
      </c>
    </row>
    <row r="485" customFormat="false" ht="79.85" hidden="false" customHeight="false" outlineLevel="0" collapsed="false">
      <c r="D485" s="60" t="s">
        <v>6990</v>
      </c>
      <c r="E485" s="60" t="s">
        <v>7018</v>
      </c>
      <c r="F485" s="62"/>
      <c r="G485" s="57" t="s">
        <v>6992</v>
      </c>
      <c r="H485" s="57" t="s">
        <v>3792</v>
      </c>
      <c r="I485" s="39"/>
      <c r="J485" s="57" t="s">
        <v>3792</v>
      </c>
      <c r="K485" s="57" t="s">
        <v>3792</v>
      </c>
    </row>
    <row r="486" customFormat="false" ht="79.85" hidden="false" customHeight="false" outlineLevel="0" collapsed="false">
      <c r="F486" s="0" t="s">
        <v>5334</v>
      </c>
      <c r="G486" s="57" t="s">
        <v>6993</v>
      </c>
      <c r="H486" s="57" t="s">
        <v>7019</v>
      </c>
      <c r="I486" s="34" t="s">
        <v>40</v>
      </c>
      <c r="J486" s="57" t="s">
        <v>7020</v>
      </c>
      <c r="K486" s="57" t="s">
        <v>7021</v>
      </c>
    </row>
    <row r="487" customFormat="false" ht="79.85" hidden="false" customHeight="false" outlineLevel="0" collapsed="false">
      <c r="D487" s="60" t="s">
        <v>6997</v>
      </c>
      <c r="E487" s="60" t="s">
        <v>7022</v>
      </c>
      <c r="F487" s="62"/>
      <c r="G487" s="57" t="s">
        <v>6999</v>
      </c>
      <c r="H487" s="57" t="s">
        <v>3792</v>
      </c>
      <c r="I487" s="34"/>
      <c r="J487" s="57" t="s">
        <v>3792</v>
      </c>
      <c r="K487" s="57" t="s">
        <v>3792</v>
      </c>
    </row>
    <row r="488" customFormat="false" ht="79.85" hidden="false" customHeight="false" outlineLevel="0" collapsed="false">
      <c r="F488" s="0" t="s">
        <v>5342</v>
      </c>
      <c r="G488" s="57" t="s">
        <v>7023</v>
      </c>
      <c r="H488" s="57" t="s">
        <v>7024</v>
      </c>
      <c r="I488" s="39" t="s">
        <v>67</v>
      </c>
      <c r="J488" s="57" t="s">
        <v>7025</v>
      </c>
      <c r="K488" s="57" t="s">
        <v>7026</v>
      </c>
    </row>
    <row r="489" customFormat="false" ht="68.65" hidden="false" customHeight="false" outlineLevel="0" collapsed="false">
      <c r="D489" s="60" t="s">
        <v>7003</v>
      </c>
      <c r="E489" s="60" t="s">
        <v>7004</v>
      </c>
      <c r="F489" s="62"/>
      <c r="G489" s="57" t="s">
        <v>7027</v>
      </c>
      <c r="H489" s="57" t="s">
        <v>7028</v>
      </c>
      <c r="I489" s="39"/>
      <c r="J489" s="0"/>
      <c r="K489" s="57" t="s">
        <v>3792</v>
      </c>
    </row>
    <row r="490" customFormat="false" ht="68.65" hidden="false" customHeight="false" outlineLevel="0" collapsed="false">
      <c r="F490" s="0" t="s">
        <v>5342</v>
      </c>
      <c r="G490" s="57" t="s">
        <v>7029</v>
      </c>
      <c r="H490" s="57" t="s">
        <v>7030</v>
      </c>
      <c r="I490" s="37" t="s">
        <v>50</v>
      </c>
      <c r="J490" s="57" t="s">
        <v>7001</v>
      </c>
      <c r="K490" s="57" t="s">
        <v>7031</v>
      </c>
    </row>
    <row r="491" customFormat="false" ht="91" hidden="false" customHeight="false" outlineLevel="0" collapsed="false">
      <c r="C491" s="64"/>
      <c r="D491" s="66" t="s">
        <v>7008</v>
      </c>
      <c r="E491" s="66" t="s">
        <v>7009</v>
      </c>
      <c r="F491" s="65"/>
      <c r="G491" s="57" t="s">
        <v>7032</v>
      </c>
      <c r="H491" s="57" t="s">
        <v>3792</v>
      </c>
      <c r="I491" s="37"/>
      <c r="J491" s="57" t="s">
        <v>3792</v>
      </c>
      <c r="K491" s="57" t="s">
        <v>3792</v>
      </c>
    </row>
    <row r="492" customFormat="false" ht="91" hidden="false" customHeight="false" outlineLevel="0" collapsed="false">
      <c r="F492" s="0" t="s">
        <v>5334</v>
      </c>
      <c r="G492" s="57" t="s">
        <v>7033</v>
      </c>
      <c r="H492" s="57" t="s">
        <v>7034</v>
      </c>
      <c r="I492" s="37" t="s">
        <v>50</v>
      </c>
      <c r="J492" s="57" t="s">
        <v>7035</v>
      </c>
      <c r="K492" s="57" t="s">
        <v>7036</v>
      </c>
    </row>
    <row r="493" customFormat="false" ht="102.2" hidden="false" customHeight="false" outlineLevel="0" collapsed="false">
      <c r="C493" s="59" t="s">
        <v>7037</v>
      </c>
      <c r="D493" s="60" t="s">
        <v>7038</v>
      </c>
      <c r="E493" s="60" t="s">
        <v>7039</v>
      </c>
      <c r="F493" s="62"/>
      <c r="G493" s="57" t="s">
        <v>7040</v>
      </c>
      <c r="H493" s="57" t="s">
        <v>3792</v>
      </c>
      <c r="I493" s="37"/>
      <c r="J493" s="57" t="s">
        <v>3792</v>
      </c>
      <c r="K493" s="57" t="s">
        <v>3792</v>
      </c>
    </row>
    <row r="494" customFormat="false" ht="102.2" hidden="false" customHeight="false" outlineLevel="0" collapsed="false">
      <c r="F494" s="0" t="s">
        <v>5342</v>
      </c>
      <c r="G494" s="57" t="s">
        <v>7041</v>
      </c>
      <c r="H494" s="57" t="s">
        <v>7042</v>
      </c>
      <c r="I494" s="39" t="s">
        <v>67</v>
      </c>
      <c r="J494" s="57" t="s">
        <v>7011</v>
      </c>
      <c r="K494" s="57" t="s">
        <v>7043</v>
      </c>
    </row>
    <row r="495" customFormat="false" ht="79.85" hidden="false" customHeight="false" outlineLevel="0" collapsed="false">
      <c r="D495" s="60" t="s">
        <v>7044</v>
      </c>
      <c r="E495" s="60" t="s">
        <v>7045</v>
      </c>
      <c r="F495" s="62"/>
      <c r="G495" s="57" t="s">
        <v>7046</v>
      </c>
      <c r="H495" s="57" t="s">
        <v>3792</v>
      </c>
      <c r="I495" s="39"/>
      <c r="J495" s="57" t="s">
        <v>3792</v>
      </c>
      <c r="K495" s="57" t="s">
        <v>3792</v>
      </c>
    </row>
    <row r="496" customFormat="false" ht="79.85" hidden="false" customHeight="false" outlineLevel="0" collapsed="false">
      <c r="F496" s="0" t="s">
        <v>5342</v>
      </c>
      <c r="G496" s="57" t="s">
        <v>7047</v>
      </c>
      <c r="H496" s="57" t="s">
        <v>7048</v>
      </c>
      <c r="I496" s="34" t="s">
        <v>40</v>
      </c>
      <c r="J496" s="57" t="s">
        <v>7016</v>
      </c>
      <c r="K496" s="57" t="s">
        <v>7049</v>
      </c>
    </row>
    <row r="497" customFormat="false" ht="79.85" hidden="false" customHeight="false" outlineLevel="0" collapsed="false">
      <c r="D497" s="60" t="s">
        <v>7050</v>
      </c>
      <c r="E497" s="60" t="s">
        <v>7051</v>
      </c>
      <c r="F497" s="62"/>
      <c r="G497" s="57" t="s">
        <v>7052</v>
      </c>
      <c r="H497" s="57" t="s">
        <v>3792</v>
      </c>
      <c r="I497" s="34"/>
      <c r="J497" s="57" t="s">
        <v>3792</v>
      </c>
      <c r="K497" s="57" t="s">
        <v>3792</v>
      </c>
    </row>
    <row r="498" customFormat="false" ht="79.85" hidden="false" customHeight="false" outlineLevel="0" collapsed="false">
      <c r="F498" s="0" t="s">
        <v>5334</v>
      </c>
      <c r="G498" s="57" t="s">
        <v>7053</v>
      </c>
      <c r="H498" s="57" t="s">
        <v>7054</v>
      </c>
      <c r="I498" s="39" t="s">
        <v>67</v>
      </c>
      <c r="J498" s="57" t="s">
        <v>7020</v>
      </c>
      <c r="K498" s="57" t="s">
        <v>7055</v>
      </c>
    </row>
    <row r="499" customFormat="false" ht="79.85" hidden="false" customHeight="false" outlineLevel="0" collapsed="false">
      <c r="D499" s="60" t="s">
        <v>7056</v>
      </c>
      <c r="E499" s="60" t="s">
        <v>7057</v>
      </c>
      <c r="F499" s="62"/>
      <c r="G499" s="57" t="s">
        <v>7058</v>
      </c>
      <c r="H499" s="57" t="s">
        <v>3792</v>
      </c>
      <c r="I499" s="39"/>
      <c r="J499" s="57" t="s">
        <v>3792</v>
      </c>
      <c r="K499" s="57" t="s">
        <v>3792</v>
      </c>
    </row>
    <row r="500" customFormat="false" ht="79.85" hidden="false" customHeight="false" outlineLevel="0" collapsed="false">
      <c r="F500" s="0" t="s">
        <v>5342</v>
      </c>
      <c r="G500" s="57" t="s">
        <v>7053</v>
      </c>
      <c r="H500" s="57" t="s">
        <v>7059</v>
      </c>
      <c r="I500" s="37" t="s">
        <v>50</v>
      </c>
      <c r="J500" s="57" t="s">
        <v>7025</v>
      </c>
      <c r="K500" s="57" t="s">
        <v>7060</v>
      </c>
    </row>
    <row r="501" customFormat="false" ht="102.2" hidden="false" customHeight="false" outlineLevel="0" collapsed="false">
      <c r="C501" s="64"/>
      <c r="D501" s="66" t="s">
        <v>7061</v>
      </c>
      <c r="E501" s="66" t="s">
        <v>7062</v>
      </c>
      <c r="F501" s="65"/>
      <c r="G501" s="57" t="s">
        <v>7058</v>
      </c>
      <c r="H501" s="57" t="s">
        <v>3792</v>
      </c>
      <c r="I501" s="37"/>
      <c r="J501" s="57" t="s">
        <v>3792</v>
      </c>
      <c r="K501" s="57" t="s">
        <v>3792</v>
      </c>
    </row>
    <row r="502" customFormat="false" ht="102.2" hidden="false" customHeight="false" outlineLevel="0" collapsed="false">
      <c r="F502" s="0" t="s">
        <v>5334</v>
      </c>
      <c r="G502" s="57" t="s">
        <v>7063</v>
      </c>
      <c r="H502" s="57" t="s">
        <v>7064</v>
      </c>
      <c r="I502" s="37" t="s">
        <v>50</v>
      </c>
      <c r="J502" s="57" t="s">
        <v>7065</v>
      </c>
      <c r="K502" s="57" t="s">
        <v>7066</v>
      </c>
    </row>
    <row r="503" customFormat="false" ht="79.85" hidden="false" customHeight="false" outlineLevel="0" collapsed="false">
      <c r="C503" s="59" t="s">
        <v>7067</v>
      </c>
      <c r="D503" s="60" t="s">
        <v>7068</v>
      </c>
      <c r="E503" s="60" t="s">
        <v>7069</v>
      </c>
      <c r="F503" s="62"/>
      <c r="G503" s="57" t="s">
        <v>7070</v>
      </c>
      <c r="H503" s="57" t="s">
        <v>3792</v>
      </c>
      <c r="I503" s="37"/>
      <c r="J503" s="57" t="s">
        <v>3792</v>
      </c>
      <c r="K503" s="57" t="s">
        <v>3792</v>
      </c>
    </row>
    <row r="504" customFormat="false" ht="79.85" hidden="false" customHeight="false" outlineLevel="0" collapsed="false">
      <c r="F504" s="0" t="s">
        <v>5334</v>
      </c>
      <c r="G504" s="57" t="s">
        <v>7071</v>
      </c>
      <c r="H504" s="57" t="s">
        <v>7072</v>
      </c>
      <c r="I504" s="39" t="s">
        <v>67</v>
      </c>
      <c r="J504" s="57" t="s">
        <v>7073</v>
      </c>
      <c r="K504" s="57" t="s">
        <v>7074</v>
      </c>
    </row>
    <row r="505" customFormat="false" ht="91" hidden="false" customHeight="false" outlineLevel="0" collapsed="false">
      <c r="D505" s="60" t="s">
        <v>7075</v>
      </c>
      <c r="E505" s="60" t="s">
        <v>7076</v>
      </c>
      <c r="F505" s="62"/>
      <c r="G505" s="57" t="s">
        <v>7077</v>
      </c>
      <c r="H505" s="57" t="s">
        <v>3792</v>
      </c>
      <c r="I505" s="39"/>
      <c r="J505" s="57" t="s">
        <v>3792</v>
      </c>
      <c r="K505" s="57" t="s">
        <v>3792</v>
      </c>
    </row>
    <row r="506" customFormat="false" ht="91" hidden="false" customHeight="false" outlineLevel="0" collapsed="false">
      <c r="F506" s="0" t="s">
        <v>5342</v>
      </c>
      <c r="G506" s="57" t="s">
        <v>7078</v>
      </c>
      <c r="H506" s="57" t="s">
        <v>7079</v>
      </c>
      <c r="I506" s="34" t="s">
        <v>40</v>
      </c>
      <c r="J506" s="57" t="s">
        <v>7080</v>
      </c>
      <c r="K506" s="57" t="s">
        <v>7081</v>
      </c>
    </row>
    <row r="507" customFormat="false" ht="91" hidden="false" customHeight="false" outlineLevel="0" collapsed="false">
      <c r="D507" s="60" t="s">
        <v>7082</v>
      </c>
      <c r="E507" s="60" t="s">
        <v>7083</v>
      </c>
      <c r="F507" s="62"/>
      <c r="G507" s="57" t="s">
        <v>7084</v>
      </c>
      <c r="H507" s="57" t="s">
        <v>3792</v>
      </c>
      <c r="I507" s="34"/>
      <c r="J507" s="57" t="s">
        <v>3792</v>
      </c>
      <c r="K507" s="57" t="s">
        <v>3792</v>
      </c>
    </row>
    <row r="508" customFormat="false" ht="91" hidden="false" customHeight="false" outlineLevel="0" collapsed="false">
      <c r="F508" s="0" t="s">
        <v>5334</v>
      </c>
      <c r="G508" s="57" t="s">
        <v>7085</v>
      </c>
      <c r="H508" s="57" t="s">
        <v>7086</v>
      </c>
      <c r="I508" s="39" t="s">
        <v>67</v>
      </c>
      <c r="J508" s="57" t="s">
        <v>7087</v>
      </c>
      <c r="K508" s="57" t="s">
        <v>7088</v>
      </c>
    </row>
    <row r="509" customFormat="false" ht="79.85" hidden="false" customHeight="false" outlineLevel="0" collapsed="false">
      <c r="D509" s="60" t="s">
        <v>7089</v>
      </c>
      <c r="E509" s="60" t="s">
        <v>7090</v>
      </c>
      <c r="F509" s="62"/>
      <c r="G509" s="57" t="s">
        <v>7091</v>
      </c>
      <c r="H509" s="57" t="s">
        <v>3792</v>
      </c>
      <c r="I509" s="39"/>
      <c r="J509" s="57" t="s">
        <v>3792</v>
      </c>
      <c r="K509" s="57" t="s">
        <v>3792</v>
      </c>
    </row>
    <row r="510" customFormat="false" ht="79.85" hidden="false" customHeight="false" outlineLevel="0" collapsed="false">
      <c r="F510" s="0" t="s">
        <v>5334</v>
      </c>
      <c r="G510" s="57" t="s">
        <v>7092</v>
      </c>
      <c r="H510" s="57" t="s">
        <v>7093</v>
      </c>
      <c r="I510" s="37" t="s">
        <v>50</v>
      </c>
      <c r="J510" s="57" t="s">
        <v>7094</v>
      </c>
      <c r="K510" s="57" t="s">
        <v>7095</v>
      </c>
    </row>
    <row r="511" customFormat="false" ht="91" hidden="false" customHeight="false" outlineLevel="0" collapsed="false">
      <c r="C511" s="64"/>
      <c r="D511" s="66" t="s">
        <v>7096</v>
      </c>
      <c r="E511" s="66" t="s">
        <v>7097</v>
      </c>
      <c r="F511" s="65"/>
      <c r="G511" s="57" t="s">
        <v>7098</v>
      </c>
      <c r="H511" s="57" t="s">
        <v>3792</v>
      </c>
      <c r="I511" s="37"/>
      <c r="J511" s="57" t="s">
        <v>3792</v>
      </c>
      <c r="K511" s="57" t="s">
        <v>3792</v>
      </c>
    </row>
    <row r="512" customFormat="false" ht="91" hidden="false" customHeight="false" outlineLevel="0" collapsed="false">
      <c r="F512" s="0" t="s">
        <v>5342</v>
      </c>
      <c r="G512" s="57" t="s">
        <v>7099</v>
      </c>
      <c r="H512" s="57" t="s">
        <v>7100</v>
      </c>
      <c r="I512" s="37" t="s">
        <v>50</v>
      </c>
      <c r="J512" s="57" t="s">
        <v>7101</v>
      </c>
      <c r="K512" s="57" t="s">
        <v>7102</v>
      </c>
    </row>
    <row r="513" customFormat="false" ht="79.85" hidden="false" customHeight="false" outlineLevel="0" collapsed="false">
      <c r="C513" s="59" t="s">
        <v>7103</v>
      </c>
      <c r="D513" s="60" t="s">
        <v>7104</v>
      </c>
      <c r="E513" s="60" t="s">
        <v>7105</v>
      </c>
      <c r="F513" s="62"/>
      <c r="G513" s="57" t="s">
        <v>7106</v>
      </c>
      <c r="H513" s="57" t="s">
        <v>3792</v>
      </c>
      <c r="I513" s="37"/>
      <c r="J513" s="57" t="s">
        <v>3792</v>
      </c>
      <c r="K513" s="57" t="s">
        <v>3792</v>
      </c>
    </row>
    <row r="514" customFormat="false" ht="79.85" hidden="false" customHeight="false" outlineLevel="0" collapsed="false">
      <c r="D514" s="1" t="s">
        <v>7107</v>
      </c>
      <c r="E514" s="1" t="s">
        <v>7108</v>
      </c>
      <c r="F514" s="0" t="s">
        <v>5334</v>
      </c>
      <c r="G514" s="57" t="s">
        <v>7109</v>
      </c>
      <c r="H514" s="57" t="s">
        <v>7110</v>
      </c>
      <c r="I514" s="39" t="s">
        <v>67</v>
      </c>
      <c r="J514" s="57" t="s">
        <v>7111</v>
      </c>
      <c r="K514" s="57" t="s">
        <v>7112</v>
      </c>
    </row>
    <row r="515" customFormat="false" ht="79.85" hidden="false" customHeight="false" outlineLevel="0" collapsed="false">
      <c r="D515" s="60"/>
      <c r="E515" s="60"/>
      <c r="F515" s="62"/>
      <c r="G515" s="57" t="s">
        <v>7113</v>
      </c>
      <c r="H515" s="57" t="s">
        <v>3792</v>
      </c>
      <c r="I515" s="39"/>
      <c r="J515" s="57" t="s">
        <v>3792</v>
      </c>
      <c r="K515" s="57" t="s">
        <v>3792</v>
      </c>
    </row>
    <row r="516" customFormat="false" ht="79.85" hidden="false" customHeight="false" outlineLevel="0" collapsed="false">
      <c r="D516" s="1" t="s">
        <v>7114</v>
      </c>
      <c r="E516" s="1" t="s">
        <v>7115</v>
      </c>
      <c r="F516" s="0" t="s">
        <v>5342</v>
      </c>
      <c r="G516" s="57" t="s">
        <v>7116</v>
      </c>
      <c r="H516" s="57" t="s">
        <v>7117</v>
      </c>
      <c r="I516" s="34" t="s">
        <v>40</v>
      </c>
      <c r="J516" s="57" t="s">
        <v>5891</v>
      </c>
      <c r="K516" s="57" t="s">
        <v>7118</v>
      </c>
    </row>
    <row r="517" customFormat="false" ht="79.85" hidden="false" customHeight="false" outlineLevel="0" collapsed="false">
      <c r="D517" s="60"/>
      <c r="E517" s="60"/>
      <c r="F517" s="62"/>
      <c r="G517" s="57" t="s">
        <v>7119</v>
      </c>
      <c r="H517" s="57" t="s">
        <v>3792</v>
      </c>
      <c r="I517" s="34"/>
      <c r="J517" s="57" t="s">
        <v>3792</v>
      </c>
      <c r="K517" s="57" t="s">
        <v>3792</v>
      </c>
    </row>
    <row r="518" customFormat="false" ht="79.85" hidden="false" customHeight="false" outlineLevel="0" collapsed="false">
      <c r="D518" s="1" t="s">
        <v>7120</v>
      </c>
      <c r="E518" s="1" t="s">
        <v>7121</v>
      </c>
      <c r="F518" s="0" t="s">
        <v>5342</v>
      </c>
      <c r="G518" s="57" t="s">
        <v>7122</v>
      </c>
      <c r="H518" s="57" t="s">
        <v>7123</v>
      </c>
      <c r="I518" s="39" t="s">
        <v>67</v>
      </c>
      <c r="J518" s="57" t="s">
        <v>5898</v>
      </c>
      <c r="K518" s="57" t="s">
        <v>7124</v>
      </c>
    </row>
    <row r="519" customFormat="false" ht="91" hidden="false" customHeight="false" outlineLevel="0" collapsed="false">
      <c r="D519" s="60"/>
      <c r="E519" s="60"/>
      <c r="F519" s="62"/>
      <c r="G519" s="57" t="s">
        <v>7125</v>
      </c>
      <c r="H519" s="57" t="s">
        <v>3792</v>
      </c>
      <c r="I519" s="39"/>
      <c r="J519" s="57" t="s">
        <v>3792</v>
      </c>
      <c r="K519" s="57" t="s">
        <v>3792</v>
      </c>
    </row>
    <row r="520" customFormat="false" ht="91" hidden="false" customHeight="false" outlineLevel="0" collapsed="false">
      <c r="D520" s="1" t="s">
        <v>7126</v>
      </c>
      <c r="E520" s="1" t="s">
        <v>7127</v>
      </c>
      <c r="F520" s="0" t="s">
        <v>5334</v>
      </c>
      <c r="G520" s="57" t="s">
        <v>7128</v>
      </c>
      <c r="H520" s="57" t="s">
        <v>7129</v>
      </c>
      <c r="I520" s="37" t="s">
        <v>50</v>
      </c>
      <c r="J520" s="57" t="s">
        <v>7130</v>
      </c>
      <c r="K520" s="57" t="s">
        <v>5970</v>
      </c>
    </row>
    <row r="521" customFormat="false" ht="91" hidden="false" customHeight="false" outlineLevel="0" collapsed="false">
      <c r="C521" s="64"/>
      <c r="D521" s="66"/>
      <c r="E521" s="66"/>
      <c r="F521" s="65"/>
      <c r="G521" s="57" t="s">
        <v>7131</v>
      </c>
      <c r="H521" s="57" t="s">
        <v>3792</v>
      </c>
      <c r="I521" s="37"/>
      <c r="J521" s="57" t="s">
        <v>3792</v>
      </c>
      <c r="K521" s="57" t="s">
        <v>3792</v>
      </c>
    </row>
    <row r="522" customFormat="false" ht="91" hidden="false" customHeight="false" outlineLevel="0" collapsed="false">
      <c r="C522" s="59" t="s">
        <v>7132</v>
      </c>
      <c r="D522" s="1" t="s">
        <v>7133</v>
      </c>
      <c r="E522" s="1" t="s">
        <v>7134</v>
      </c>
      <c r="F522" s="0" t="s">
        <v>5334</v>
      </c>
      <c r="G522" s="57" t="s">
        <v>7135</v>
      </c>
      <c r="H522" s="57" t="s">
        <v>7136</v>
      </c>
      <c r="I522" s="37" t="s">
        <v>50</v>
      </c>
      <c r="J522" s="57" t="s">
        <v>7137</v>
      </c>
      <c r="K522" s="57" t="s">
        <v>7138</v>
      </c>
    </row>
    <row r="523" customFormat="false" ht="79.85" hidden="false" customHeight="false" outlineLevel="0" collapsed="false">
      <c r="D523" s="60"/>
      <c r="E523" s="60"/>
      <c r="F523" s="62"/>
      <c r="G523" s="57" t="s">
        <v>7139</v>
      </c>
      <c r="H523" s="57" t="s">
        <v>3792</v>
      </c>
      <c r="I523" s="37"/>
      <c r="J523" s="57" t="s">
        <v>3792</v>
      </c>
      <c r="K523" s="57" t="s">
        <v>3792</v>
      </c>
    </row>
    <row r="524" customFormat="false" ht="79.85" hidden="false" customHeight="false" outlineLevel="0" collapsed="false">
      <c r="D524" s="1" t="s">
        <v>7140</v>
      </c>
      <c r="E524" s="1" t="s">
        <v>7141</v>
      </c>
      <c r="F524" s="0" t="s">
        <v>5342</v>
      </c>
      <c r="G524" s="57" t="s">
        <v>7142</v>
      </c>
      <c r="H524" s="57" t="s">
        <v>7143</v>
      </c>
      <c r="I524" s="39" t="s">
        <v>67</v>
      </c>
      <c r="J524" s="57" t="s">
        <v>7144</v>
      </c>
      <c r="K524" s="57" t="s">
        <v>7145</v>
      </c>
    </row>
    <row r="525" customFormat="false" ht="79.85" hidden="false" customHeight="false" outlineLevel="0" collapsed="false">
      <c r="D525" s="60"/>
      <c r="E525" s="60"/>
      <c r="F525" s="62"/>
      <c r="G525" s="57" t="s">
        <v>7146</v>
      </c>
      <c r="H525" s="57" t="s">
        <v>3792</v>
      </c>
      <c r="I525" s="39"/>
      <c r="J525" s="57" t="s">
        <v>3792</v>
      </c>
      <c r="K525" s="57" t="s">
        <v>3792</v>
      </c>
    </row>
    <row r="526" customFormat="false" ht="79.85" hidden="false" customHeight="false" outlineLevel="0" collapsed="false">
      <c r="D526" s="1" t="s">
        <v>7147</v>
      </c>
      <c r="E526" s="1" t="s">
        <v>7148</v>
      </c>
      <c r="F526" s="0" t="s">
        <v>5334</v>
      </c>
      <c r="G526" s="57" t="s">
        <v>7149</v>
      </c>
      <c r="H526" s="57" t="s">
        <v>7150</v>
      </c>
      <c r="I526" s="34" t="s">
        <v>40</v>
      </c>
      <c r="J526" s="57" t="s">
        <v>7151</v>
      </c>
      <c r="K526" s="57" t="s">
        <v>7152</v>
      </c>
    </row>
    <row r="527" customFormat="false" ht="79.85" hidden="false" customHeight="false" outlineLevel="0" collapsed="false">
      <c r="D527" s="60"/>
      <c r="E527" s="60"/>
      <c r="F527" s="62"/>
      <c r="G527" s="57" t="s">
        <v>7153</v>
      </c>
      <c r="H527" s="57" t="s">
        <v>3792</v>
      </c>
      <c r="I527" s="34"/>
      <c r="J527" s="57" t="s">
        <v>3792</v>
      </c>
      <c r="K527" s="57" t="s">
        <v>3792</v>
      </c>
    </row>
    <row r="528" customFormat="false" ht="79.85" hidden="false" customHeight="false" outlineLevel="0" collapsed="false">
      <c r="D528" s="1" t="s">
        <v>7154</v>
      </c>
      <c r="E528" s="1" t="s">
        <v>7155</v>
      </c>
      <c r="F528" s="0" t="s">
        <v>5334</v>
      </c>
      <c r="G528" s="57" t="s">
        <v>7156</v>
      </c>
      <c r="H528" s="57" t="s">
        <v>7157</v>
      </c>
      <c r="I528" s="39" t="s">
        <v>67</v>
      </c>
      <c r="J528" s="57" t="s">
        <v>7158</v>
      </c>
      <c r="K528" s="57" t="s">
        <v>7159</v>
      </c>
    </row>
    <row r="529" customFormat="false" ht="79.85" hidden="false" customHeight="false" outlineLevel="0" collapsed="false">
      <c r="D529" s="60"/>
      <c r="E529" s="60"/>
      <c r="F529" s="62"/>
      <c r="G529" s="57" t="s">
        <v>7160</v>
      </c>
      <c r="H529" s="57" t="s">
        <v>3792</v>
      </c>
      <c r="I529" s="39"/>
      <c r="J529" s="57" t="s">
        <v>3792</v>
      </c>
      <c r="K529" s="57" t="s">
        <v>3792</v>
      </c>
    </row>
    <row r="530" customFormat="false" ht="79.85" hidden="false" customHeight="false" outlineLevel="0" collapsed="false">
      <c r="D530" s="1" t="s">
        <v>7161</v>
      </c>
      <c r="E530" s="1" t="s">
        <v>7162</v>
      </c>
      <c r="F530" s="0" t="s">
        <v>5334</v>
      </c>
      <c r="G530" s="57" t="s">
        <v>7163</v>
      </c>
      <c r="H530" s="57" t="s">
        <v>7164</v>
      </c>
      <c r="I530" s="37" t="s">
        <v>50</v>
      </c>
      <c r="J530" s="57" t="s">
        <v>7165</v>
      </c>
      <c r="K530" s="57" t="s">
        <v>7166</v>
      </c>
    </row>
    <row r="531" customFormat="false" ht="79.85" hidden="false" customHeight="false" outlineLevel="0" collapsed="false">
      <c r="C531" s="64"/>
      <c r="D531" s="66"/>
      <c r="E531" s="66"/>
      <c r="F531" s="65"/>
      <c r="G531" s="57" t="s">
        <v>7167</v>
      </c>
      <c r="H531" s="57" t="s">
        <v>3792</v>
      </c>
      <c r="I531" s="37"/>
      <c r="J531" s="57" t="s">
        <v>3792</v>
      </c>
      <c r="K531" s="57" t="s">
        <v>3792</v>
      </c>
    </row>
    <row r="532" customFormat="false" ht="79.85" hidden="false" customHeight="false" outlineLevel="0" collapsed="false">
      <c r="C532" s="59" t="s">
        <v>7168</v>
      </c>
      <c r="D532" s="1" t="s">
        <v>7169</v>
      </c>
      <c r="E532" s="1" t="s">
        <v>7170</v>
      </c>
      <c r="F532" s="0" t="s">
        <v>5342</v>
      </c>
      <c r="G532" s="57" t="s">
        <v>7171</v>
      </c>
      <c r="H532" s="57" t="s">
        <v>7172</v>
      </c>
      <c r="I532" s="37" t="s">
        <v>50</v>
      </c>
      <c r="J532" s="57" t="s">
        <v>7173</v>
      </c>
      <c r="K532" s="57" t="s">
        <v>7174</v>
      </c>
    </row>
    <row r="533" customFormat="false" ht="68.65" hidden="false" customHeight="false" outlineLevel="0" collapsed="false">
      <c r="D533" s="60"/>
      <c r="E533" s="60"/>
      <c r="F533" s="62"/>
      <c r="G533" s="57" t="s">
        <v>7175</v>
      </c>
      <c r="H533" s="57" t="s">
        <v>3792</v>
      </c>
      <c r="I533" s="37"/>
      <c r="J533" s="57" t="s">
        <v>3792</v>
      </c>
      <c r="K533" s="57" t="s">
        <v>3792</v>
      </c>
    </row>
    <row r="534" customFormat="false" ht="68.65" hidden="false" customHeight="false" outlineLevel="0" collapsed="false">
      <c r="D534" s="1" t="s">
        <v>7176</v>
      </c>
      <c r="E534" s="1" t="s">
        <v>7177</v>
      </c>
      <c r="F534" s="0" t="s">
        <v>5334</v>
      </c>
      <c r="G534" s="57" t="s">
        <v>7178</v>
      </c>
      <c r="H534" s="57" t="s">
        <v>7179</v>
      </c>
      <c r="I534" s="39" t="s">
        <v>67</v>
      </c>
      <c r="J534" s="57" t="s">
        <v>7180</v>
      </c>
      <c r="K534" s="57" t="s">
        <v>7181</v>
      </c>
    </row>
    <row r="535" customFormat="false" ht="79.85" hidden="false" customHeight="false" outlineLevel="0" collapsed="false">
      <c r="D535" s="60"/>
      <c r="E535" s="60"/>
      <c r="F535" s="62"/>
      <c r="G535" s="57" t="s">
        <v>7182</v>
      </c>
      <c r="H535" s="57" t="s">
        <v>3792</v>
      </c>
      <c r="I535" s="39"/>
      <c r="J535" s="57" t="s">
        <v>3792</v>
      </c>
      <c r="K535" s="57" t="s">
        <v>3792</v>
      </c>
    </row>
    <row r="536" customFormat="false" ht="79.85" hidden="false" customHeight="false" outlineLevel="0" collapsed="false">
      <c r="D536" s="1" t="s">
        <v>7183</v>
      </c>
      <c r="E536" s="1" t="s">
        <v>7184</v>
      </c>
      <c r="F536" s="0" t="s">
        <v>5334</v>
      </c>
      <c r="G536" s="57" t="s">
        <v>7185</v>
      </c>
      <c r="H536" s="57" t="s">
        <v>7186</v>
      </c>
      <c r="I536" s="34" t="s">
        <v>40</v>
      </c>
      <c r="J536" s="57" t="s">
        <v>7187</v>
      </c>
      <c r="K536" s="57" t="s">
        <v>7188</v>
      </c>
    </row>
    <row r="537" customFormat="false" ht="79.85" hidden="false" customHeight="false" outlineLevel="0" collapsed="false">
      <c r="D537" s="60"/>
      <c r="E537" s="60"/>
      <c r="F537" s="62"/>
      <c r="G537" s="57" t="s">
        <v>7189</v>
      </c>
      <c r="H537" s="57" t="s">
        <v>3792</v>
      </c>
      <c r="I537" s="34"/>
      <c r="J537" s="57" t="s">
        <v>3792</v>
      </c>
      <c r="K537" s="57" t="s">
        <v>3792</v>
      </c>
    </row>
    <row r="538" customFormat="false" ht="79.85" hidden="false" customHeight="false" outlineLevel="0" collapsed="false">
      <c r="D538" s="1" t="s">
        <v>7190</v>
      </c>
      <c r="E538" s="1" t="s">
        <v>7191</v>
      </c>
      <c r="F538" s="0" t="s">
        <v>5342</v>
      </c>
      <c r="G538" s="57" t="s">
        <v>7192</v>
      </c>
      <c r="H538" s="57" t="s">
        <v>7193</v>
      </c>
      <c r="I538" s="39" t="s">
        <v>67</v>
      </c>
      <c r="J538" s="57" t="s">
        <v>7194</v>
      </c>
      <c r="K538" s="57" t="s">
        <v>7195</v>
      </c>
    </row>
    <row r="539" customFormat="false" ht="79.85" hidden="false" customHeight="false" outlineLevel="0" collapsed="false">
      <c r="D539" s="60"/>
      <c r="E539" s="60"/>
      <c r="F539" s="62"/>
      <c r="G539" s="57" t="s">
        <v>7196</v>
      </c>
      <c r="H539" s="57" t="s">
        <v>3792</v>
      </c>
      <c r="I539" s="39"/>
      <c r="J539" s="57" t="s">
        <v>3792</v>
      </c>
      <c r="K539" s="57" t="s">
        <v>3792</v>
      </c>
    </row>
    <row r="540" customFormat="false" ht="79.85" hidden="false" customHeight="false" outlineLevel="0" collapsed="false">
      <c r="D540" s="1" t="s">
        <v>7197</v>
      </c>
      <c r="E540" s="1" t="s">
        <v>7198</v>
      </c>
      <c r="F540" s="0" t="s">
        <v>5342</v>
      </c>
      <c r="G540" s="57" t="s">
        <v>7199</v>
      </c>
      <c r="H540" s="57" t="s">
        <v>7200</v>
      </c>
      <c r="I540" s="37" t="s">
        <v>50</v>
      </c>
      <c r="J540" s="57" t="s">
        <v>7201</v>
      </c>
      <c r="K540" s="57" t="s">
        <v>7202</v>
      </c>
    </row>
    <row r="541" customFormat="false" ht="68.65" hidden="false" customHeight="false" outlineLevel="0" collapsed="false">
      <c r="C541" s="64"/>
      <c r="D541" s="66"/>
      <c r="E541" s="66"/>
      <c r="F541" s="65"/>
      <c r="G541" s="57" t="s">
        <v>7203</v>
      </c>
      <c r="H541" s="57" t="s">
        <v>3792</v>
      </c>
      <c r="I541" s="37"/>
      <c r="J541" s="57" t="s">
        <v>3792</v>
      </c>
      <c r="K541" s="57" t="s">
        <v>3792</v>
      </c>
    </row>
    <row r="542" customFormat="false" ht="68.65" hidden="false" customHeight="false" outlineLevel="0" collapsed="false">
      <c r="C542" s="1" t="s">
        <v>7204</v>
      </c>
      <c r="D542" s="1" t="s">
        <v>7205</v>
      </c>
      <c r="E542" s="1" t="s">
        <v>7206</v>
      </c>
      <c r="F542" s="0" t="s">
        <v>5334</v>
      </c>
      <c r="G542" s="57" t="s">
        <v>7207</v>
      </c>
      <c r="H542" s="57" t="s">
        <v>7208</v>
      </c>
      <c r="I542" s="37" t="s">
        <v>50</v>
      </c>
      <c r="J542" s="57" t="s">
        <v>7209</v>
      </c>
      <c r="K542" s="57" t="s">
        <v>7210</v>
      </c>
    </row>
    <row r="543" customFormat="false" ht="79.85" hidden="false" customHeight="false" outlineLevel="0" collapsed="false">
      <c r="D543" s="60"/>
      <c r="E543" s="60"/>
      <c r="F543" s="62"/>
      <c r="G543" s="57" t="s">
        <v>7211</v>
      </c>
      <c r="H543" s="57" t="s">
        <v>3792</v>
      </c>
      <c r="I543" s="37"/>
      <c r="J543" s="57" t="s">
        <v>3792</v>
      </c>
      <c r="K543" s="57" t="s">
        <v>3792</v>
      </c>
    </row>
    <row r="544" customFormat="false" ht="79.85" hidden="false" customHeight="false" outlineLevel="0" collapsed="false">
      <c r="D544" s="1" t="s">
        <v>7212</v>
      </c>
      <c r="E544" s="1" t="s">
        <v>7213</v>
      </c>
      <c r="F544" s="0" t="s">
        <v>5334</v>
      </c>
      <c r="G544" s="57" t="s">
        <v>7214</v>
      </c>
      <c r="H544" s="57" t="s">
        <v>7215</v>
      </c>
      <c r="I544" s="39" t="s">
        <v>67</v>
      </c>
      <c r="J544" s="57" t="s">
        <v>7216</v>
      </c>
      <c r="K544" s="57" t="s">
        <v>7217</v>
      </c>
    </row>
    <row r="545" customFormat="false" ht="68.65" hidden="false" customHeight="false" outlineLevel="0" collapsed="false">
      <c r="D545" s="60"/>
      <c r="E545" s="60"/>
      <c r="F545" s="62"/>
      <c r="G545" s="57" t="s">
        <v>7218</v>
      </c>
      <c r="H545" s="57" t="s">
        <v>3792</v>
      </c>
      <c r="I545" s="39"/>
      <c r="J545" s="57" t="s">
        <v>3792</v>
      </c>
      <c r="K545" s="57" t="s">
        <v>3792</v>
      </c>
    </row>
    <row r="546" customFormat="false" ht="68.65" hidden="false" customHeight="false" outlineLevel="0" collapsed="false">
      <c r="D546" s="1" t="s">
        <v>7219</v>
      </c>
      <c r="E546" s="1" t="s">
        <v>7220</v>
      </c>
      <c r="F546" s="0" t="s">
        <v>5342</v>
      </c>
      <c r="G546" s="57" t="s">
        <v>7221</v>
      </c>
      <c r="H546" s="57" t="s">
        <v>7222</v>
      </c>
      <c r="I546" s="34" t="s">
        <v>40</v>
      </c>
      <c r="J546" s="57" t="s">
        <v>7223</v>
      </c>
      <c r="K546" s="57" t="s">
        <v>7224</v>
      </c>
    </row>
    <row r="547" customFormat="false" ht="79.85" hidden="false" customHeight="false" outlineLevel="0" collapsed="false">
      <c r="D547" s="60"/>
      <c r="E547" s="60"/>
      <c r="F547" s="62"/>
      <c r="G547" s="57" t="s">
        <v>7225</v>
      </c>
      <c r="H547" s="57" t="s">
        <v>3792</v>
      </c>
      <c r="I547" s="34"/>
      <c r="J547" s="57" t="s">
        <v>3792</v>
      </c>
      <c r="K547" s="57" t="s">
        <v>3792</v>
      </c>
    </row>
    <row r="548" customFormat="false" ht="79.85" hidden="false" customHeight="false" outlineLevel="0" collapsed="false">
      <c r="D548" s="1" t="s">
        <v>7226</v>
      </c>
      <c r="E548" s="1" t="s">
        <v>7227</v>
      </c>
      <c r="F548" s="0" t="s">
        <v>5342</v>
      </c>
      <c r="G548" s="57" t="s">
        <v>7228</v>
      </c>
      <c r="H548" s="57" t="s">
        <v>7229</v>
      </c>
      <c r="I548" s="39" t="s">
        <v>67</v>
      </c>
      <c r="J548" s="57" t="s">
        <v>7230</v>
      </c>
      <c r="K548" s="57" t="s">
        <v>7231</v>
      </c>
    </row>
    <row r="549" customFormat="false" ht="68.65" hidden="false" customHeight="false" outlineLevel="0" collapsed="false">
      <c r="D549" s="60"/>
      <c r="E549" s="60"/>
      <c r="F549" s="62"/>
      <c r="G549" s="57" t="s">
        <v>7232</v>
      </c>
      <c r="H549" s="57" t="s">
        <v>3792</v>
      </c>
      <c r="I549" s="39"/>
      <c r="J549" s="57" t="s">
        <v>3792</v>
      </c>
      <c r="K549" s="57" t="s">
        <v>3792</v>
      </c>
    </row>
    <row r="550" customFormat="false" ht="68.65" hidden="false" customHeight="false" outlineLevel="0" collapsed="false">
      <c r="D550" s="1" t="s">
        <v>7233</v>
      </c>
      <c r="E550" s="1" t="s">
        <v>7234</v>
      </c>
      <c r="F550" s="0" t="s">
        <v>5342</v>
      </c>
      <c r="G550" s="57" t="s">
        <v>7235</v>
      </c>
      <c r="H550" s="57" t="s">
        <v>7236</v>
      </c>
      <c r="I550" s="37" t="s">
        <v>50</v>
      </c>
      <c r="J550" s="57" t="s">
        <v>7237</v>
      </c>
      <c r="K550" s="57" t="s">
        <v>7238</v>
      </c>
    </row>
    <row r="551" customFormat="false" ht="68.65" hidden="false" customHeight="false" outlineLevel="0" collapsed="false">
      <c r="C551" s="64"/>
      <c r="D551" s="66"/>
      <c r="E551" s="66"/>
      <c r="F551" s="69"/>
      <c r="G551" s="57" t="s">
        <v>7239</v>
      </c>
      <c r="H551" s="57" t="s">
        <v>3792</v>
      </c>
      <c r="I551" s="37"/>
      <c r="J551" s="57" t="s">
        <v>3792</v>
      </c>
      <c r="K551" s="57" t="s">
        <v>3792</v>
      </c>
    </row>
    <row r="552" customFormat="false" ht="68.65" hidden="false" customHeight="false" outlineLevel="0" collapsed="false">
      <c r="C552" s="59" t="s">
        <v>7240</v>
      </c>
      <c r="D552" s="1" t="s">
        <v>7241</v>
      </c>
      <c r="E552" s="1" t="s">
        <v>7242</v>
      </c>
      <c r="F552" s="0" t="s">
        <v>5334</v>
      </c>
      <c r="G552" s="57" t="s">
        <v>7243</v>
      </c>
      <c r="H552" s="57" t="s">
        <v>7244</v>
      </c>
      <c r="I552" s="37" t="s">
        <v>50</v>
      </c>
      <c r="J552" s="57" t="s">
        <v>7245</v>
      </c>
      <c r="K552" s="57" t="s">
        <v>7246</v>
      </c>
    </row>
    <row r="553" customFormat="false" ht="68.65" hidden="false" customHeight="false" outlineLevel="0" collapsed="false">
      <c r="D553" s="60"/>
      <c r="E553" s="60"/>
      <c r="F553" s="62"/>
      <c r="G553" s="57" t="s">
        <v>7247</v>
      </c>
      <c r="H553" s="57" t="s">
        <v>3792</v>
      </c>
      <c r="I553" s="37"/>
      <c r="J553" s="57" t="s">
        <v>3792</v>
      </c>
      <c r="K553" s="57" t="s">
        <v>3792</v>
      </c>
    </row>
    <row r="554" customFormat="false" ht="68.65" hidden="false" customHeight="false" outlineLevel="0" collapsed="false">
      <c r="D554" s="1" t="s">
        <v>7248</v>
      </c>
      <c r="E554" s="1" t="s">
        <v>7249</v>
      </c>
      <c r="F554" s="0" t="s">
        <v>5342</v>
      </c>
      <c r="G554" s="57" t="s">
        <v>7250</v>
      </c>
      <c r="H554" s="57" t="s">
        <v>7251</v>
      </c>
      <c r="I554" s="39" t="s">
        <v>67</v>
      </c>
      <c r="J554" s="57" t="s">
        <v>7252</v>
      </c>
      <c r="K554" s="57" t="s">
        <v>7253</v>
      </c>
    </row>
    <row r="555" customFormat="false" ht="57.45" hidden="false" customHeight="false" outlineLevel="0" collapsed="false">
      <c r="D555" s="60"/>
      <c r="E555" s="60"/>
      <c r="F555" s="62"/>
      <c r="G555" s="57" t="s">
        <v>7254</v>
      </c>
      <c r="H555" s="57" t="s">
        <v>3792</v>
      </c>
      <c r="I555" s="39"/>
      <c r="J555" s="57" t="s">
        <v>3792</v>
      </c>
      <c r="K555" s="57" t="s">
        <v>3792</v>
      </c>
    </row>
    <row r="556" customFormat="false" ht="57.45" hidden="false" customHeight="false" outlineLevel="0" collapsed="false">
      <c r="D556" s="1" t="s">
        <v>7255</v>
      </c>
      <c r="E556" s="1" t="s">
        <v>7256</v>
      </c>
      <c r="F556" s="0" t="s">
        <v>5334</v>
      </c>
      <c r="G556" s="57" t="s">
        <v>7257</v>
      </c>
      <c r="H556" s="57" t="s">
        <v>7258</v>
      </c>
      <c r="I556" s="34" t="s">
        <v>40</v>
      </c>
      <c r="J556" s="57" t="s">
        <v>6724</v>
      </c>
      <c r="K556" s="57" t="s">
        <v>7259</v>
      </c>
    </row>
    <row r="557" customFormat="false" ht="68.65" hidden="false" customHeight="false" outlineLevel="0" collapsed="false">
      <c r="D557" s="60"/>
      <c r="E557" s="60"/>
      <c r="F557" s="62"/>
      <c r="G557" s="57" t="s">
        <v>7260</v>
      </c>
      <c r="H557" s="57" t="s">
        <v>3792</v>
      </c>
      <c r="I557" s="34"/>
      <c r="J557" s="57" t="s">
        <v>3792</v>
      </c>
      <c r="K557" s="57" t="s">
        <v>3792</v>
      </c>
    </row>
    <row r="558" customFormat="false" ht="68.65" hidden="false" customHeight="false" outlineLevel="0" collapsed="false">
      <c r="D558" s="1" t="s">
        <v>7261</v>
      </c>
      <c r="E558" s="1" t="s">
        <v>7262</v>
      </c>
      <c r="F558" s="0" t="s">
        <v>5342</v>
      </c>
      <c r="G558" s="57" t="s">
        <v>7263</v>
      </c>
      <c r="H558" s="57" t="s">
        <v>7264</v>
      </c>
      <c r="I558" s="39" t="s">
        <v>67</v>
      </c>
      <c r="J558" s="57" t="s">
        <v>7265</v>
      </c>
      <c r="K558" s="57" t="s">
        <v>7266</v>
      </c>
    </row>
    <row r="559" customFormat="false" ht="68.65" hidden="false" customHeight="false" outlineLevel="0" collapsed="false">
      <c r="D559" s="60"/>
      <c r="E559" s="60"/>
      <c r="F559" s="62"/>
      <c r="G559" s="57" t="s">
        <v>7267</v>
      </c>
      <c r="H559" s="57" t="s">
        <v>3792</v>
      </c>
      <c r="I559" s="39"/>
      <c r="J559" s="57" t="s">
        <v>3792</v>
      </c>
      <c r="K559" s="57" t="s">
        <v>3792</v>
      </c>
    </row>
    <row r="560" customFormat="false" ht="68.65" hidden="false" customHeight="false" outlineLevel="0" collapsed="false">
      <c r="D560" s="1" t="s">
        <v>7268</v>
      </c>
      <c r="E560" s="1" t="s">
        <v>7269</v>
      </c>
      <c r="F560" s="0" t="s">
        <v>5334</v>
      </c>
      <c r="G560" s="57" t="s">
        <v>7270</v>
      </c>
      <c r="H560" s="57" t="s">
        <v>7271</v>
      </c>
      <c r="I560" s="37" t="s">
        <v>50</v>
      </c>
      <c r="J560" s="57" t="s">
        <v>7272</v>
      </c>
      <c r="K560" s="57" t="s">
        <v>7273</v>
      </c>
    </row>
    <row r="561" customFormat="false" ht="68.65" hidden="false" customHeight="false" outlineLevel="0" collapsed="false">
      <c r="B561" s="67"/>
      <c r="C561" s="68"/>
      <c r="D561" s="68"/>
      <c r="E561" s="68"/>
      <c r="F561" s="65"/>
      <c r="G561" s="57" t="s">
        <v>7274</v>
      </c>
      <c r="H561" s="57" t="s">
        <v>3792</v>
      </c>
      <c r="I561" s="37"/>
      <c r="J561" s="57" t="s">
        <v>3792</v>
      </c>
      <c r="K561" s="57" t="s">
        <v>3792</v>
      </c>
    </row>
    <row r="562" customFormat="false" ht="68.65" hidden="false" customHeight="false" outlineLevel="0" collapsed="false">
      <c r="B562" s="1" t="s">
        <v>7275</v>
      </c>
      <c r="C562" s="1" t="s">
        <v>7276</v>
      </c>
      <c r="D562" s="1" t="s">
        <v>7277</v>
      </c>
      <c r="E562" s="1" t="s">
        <v>7278</v>
      </c>
      <c r="F562" s="0" t="s">
        <v>5342</v>
      </c>
      <c r="G562" s="57" t="s">
        <v>7279</v>
      </c>
      <c r="H562" s="57" t="s">
        <v>7280</v>
      </c>
      <c r="I562" s="37" t="s">
        <v>50</v>
      </c>
      <c r="J562" s="57" t="s">
        <v>7281</v>
      </c>
      <c r="K562" s="57" t="s">
        <v>7282</v>
      </c>
    </row>
    <row r="563" customFormat="false" ht="79.85" hidden="false" customHeight="false" outlineLevel="0" collapsed="false">
      <c r="D563" s="60"/>
      <c r="E563" s="60"/>
      <c r="F563" s="62"/>
      <c r="G563" s="57" t="s">
        <v>7283</v>
      </c>
      <c r="H563" s="57" t="s">
        <v>3792</v>
      </c>
      <c r="I563" s="37"/>
      <c r="J563" s="57" t="s">
        <v>3792</v>
      </c>
      <c r="K563" s="57" t="s">
        <v>3792</v>
      </c>
    </row>
    <row r="564" customFormat="false" ht="79.85" hidden="false" customHeight="false" outlineLevel="0" collapsed="false">
      <c r="D564" s="1" t="s">
        <v>7284</v>
      </c>
      <c r="E564" s="1" t="s">
        <v>7285</v>
      </c>
      <c r="F564" s="0" t="s">
        <v>5334</v>
      </c>
      <c r="G564" s="57" t="s">
        <v>7286</v>
      </c>
      <c r="H564" s="57" t="s">
        <v>7287</v>
      </c>
      <c r="I564" s="39" t="s">
        <v>67</v>
      </c>
      <c r="J564" s="57" t="s">
        <v>7288</v>
      </c>
      <c r="K564" s="57" t="s">
        <v>7289</v>
      </c>
    </row>
    <row r="565" customFormat="false" ht="68.65" hidden="false" customHeight="false" outlineLevel="0" collapsed="false">
      <c r="D565" s="60"/>
      <c r="E565" s="60"/>
      <c r="F565" s="62"/>
      <c r="G565" s="57" t="s">
        <v>7290</v>
      </c>
      <c r="H565" s="57" t="s">
        <v>3792</v>
      </c>
      <c r="I565" s="39"/>
      <c r="J565" s="57" t="s">
        <v>3792</v>
      </c>
      <c r="K565" s="57" t="s">
        <v>3792</v>
      </c>
    </row>
    <row r="566" customFormat="false" ht="68.65" hidden="false" customHeight="false" outlineLevel="0" collapsed="false">
      <c r="D566" s="1" t="s">
        <v>7291</v>
      </c>
      <c r="E566" s="1" t="s">
        <v>7292</v>
      </c>
      <c r="F566" s="0" t="s">
        <v>5342</v>
      </c>
      <c r="G566" s="57" t="s">
        <v>7293</v>
      </c>
      <c r="H566" s="57" t="s">
        <v>7294</v>
      </c>
      <c r="I566" s="34" t="s">
        <v>40</v>
      </c>
      <c r="J566" s="57" t="s">
        <v>7295</v>
      </c>
      <c r="K566" s="57" t="s">
        <v>7296</v>
      </c>
    </row>
    <row r="567" customFormat="false" ht="57.45" hidden="false" customHeight="false" outlineLevel="0" collapsed="false">
      <c r="D567" s="60"/>
      <c r="E567" s="60"/>
      <c r="F567" s="62"/>
      <c r="G567" s="57" t="s">
        <v>7297</v>
      </c>
      <c r="H567" s="57" t="s">
        <v>3792</v>
      </c>
      <c r="I567" s="34"/>
      <c r="J567" s="57" t="s">
        <v>3792</v>
      </c>
      <c r="K567" s="57" t="s">
        <v>3792</v>
      </c>
    </row>
    <row r="568" customFormat="false" ht="57.45" hidden="false" customHeight="false" outlineLevel="0" collapsed="false">
      <c r="D568" s="1" t="s">
        <v>7298</v>
      </c>
      <c r="E568" s="1" t="s">
        <v>7299</v>
      </c>
      <c r="F568" s="0" t="s">
        <v>5342</v>
      </c>
      <c r="G568" s="57" t="s">
        <v>7300</v>
      </c>
      <c r="H568" s="57" t="s">
        <v>7301</v>
      </c>
      <c r="I568" s="39" t="s">
        <v>67</v>
      </c>
      <c r="J568" s="57" t="s">
        <v>7302</v>
      </c>
      <c r="K568" s="57" t="s">
        <v>7303</v>
      </c>
    </row>
    <row r="569" customFormat="false" ht="57.45" hidden="false" customHeight="false" outlineLevel="0" collapsed="false">
      <c r="D569" s="60" t="s">
        <v>7304</v>
      </c>
      <c r="E569" s="60" t="s">
        <v>7305</v>
      </c>
      <c r="F569" s="62"/>
      <c r="G569" s="57" t="s">
        <v>7306</v>
      </c>
      <c r="H569" s="57" t="s">
        <v>3792</v>
      </c>
      <c r="I569" s="39"/>
      <c r="J569" s="57" t="s">
        <v>3792</v>
      </c>
      <c r="K569" s="57" t="s">
        <v>3792</v>
      </c>
    </row>
    <row r="570" customFormat="false" ht="57.45" hidden="false" customHeight="false" outlineLevel="0" collapsed="false">
      <c r="F570" s="0" t="s">
        <v>5334</v>
      </c>
      <c r="G570" s="57" t="s">
        <v>7307</v>
      </c>
      <c r="H570" s="57" t="s">
        <v>7308</v>
      </c>
      <c r="I570" s="37" t="s">
        <v>50</v>
      </c>
      <c r="J570" s="57" t="s">
        <v>7309</v>
      </c>
      <c r="K570" s="57" t="s">
        <v>7238</v>
      </c>
    </row>
    <row r="571" customFormat="false" ht="79.85" hidden="false" customHeight="false" outlineLevel="0" collapsed="false">
      <c r="C571" s="64" t="s">
        <v>7310</v>
      </c>
      <c r="D571" s="66" t="s">
        <v>7311</v>
      </c>
      <c r="E571" s="66" t="s">
        <v>7312</v>
      </c>
      <c r="F571" s="65"/>
      <c r="G571" s="57" t="s">
        <v>7313</v>
      </c>
      <c r="H571" s="57" t="s">
        <v>3792</v>
      </c>
      <c r="I571" s="37"/>
      <c r="J571" s="57" t="s">
        <v>3792</v>
      </c>
      <c r="K571" s="57" t="s">
        <v>3792</v>
      </c>
    </row>
    <row r="572" customFormat="false" ht="79.85" hidden="false" customHeight="false" outlineLevel="0" collapsed="false">
      <c r="F572" s="0" t="s">
        <v>5342</v>
      </c>
      <c r="G572" s="57" t="s">
        <v>7314</v>
      </c>
      <c r="H572" s="57" t="s">
        <v>7315</v>
      </c>
      <c r="I572" s="37" t="s">
        <v>50</v>
      </c>
      <c r="J572" s="57" t="s">
        <v>7316</v>
      </c>
      <c r="K572" s="57" t="s">
        <v>7246</v>
      </c>
    </row>
    <row r="573" customFormat="false" ht="68.65" hidden="false" customHeight="false" outlineLevel="0" collapsed="false">
      <c r="D573" s="60" t="s">
        <v>7317</v>
      </c>
      <c r="E573" s="60" t="s">
        <v>7318</v>
      </c>
      <c r="F573" s="62"/>
      <c r="G573" s="57" t="s">
        <v>7319</v>
      </c>
      <c r="H573" s="57" t="s">
        <v>3792</v>
      </c>
      <c r="I573" s="37"/>
      <c r="J573" s="57" t="s">
        <v>3792</v>
      </c>
      <c r="K573" s="57" t="s">
        <v>3792</v>
      </c>
    </row>
    <row r="574" customFormat="false" ht="68.65" hidden="false" customHeight="false" outlineLevel="0" collapsed="false">
      <c r="F574" s="0" t="s">
        <v>5334</v>
      </c>
      <c r="G574" s="57" t="s">
        <v>7320</v>
      </c>
      <c r="H574" s="57" t="s">
        <v>7321</v>
      </c>
      <c r="I574" s="39" t="s">
        <v>67</v>
      </c>
      <c r="J574" s="57" t="s">
        <v>7322</v>
      </c>
      <c r="K574" s="57" t="s">
        <v>7253</v>
      </c>
    </row>
    <row r="575" customFormat="false" ht="79.85" hidden="false" customHeight="false" outlineLevel="0" collapsed="false">
      <c r="D575" s="60" t="s">
        <v>7323</v>
      </c>
      <c r="E575" s="60" t="s">
        <v>7324</v>
      </c>
      <c r="F575" s="62"/>
      <c r="G575" s="57" t="s">
        <v>7325</v>
      </c>
      <c r="H575" s="57" t="s">
        <v>3792</v>
      </c>
      <c r="I575" s="39"/>
      <c r="J575" s="57" t="s">
        <v>3792</v>
      </c>
      <c r="K575" s="57" t="s">
        <v>3792</v>
      </c>
    </row>
    <row r="576" customFormat="false" ht="79.85" hidden="false" customHeight="false" outlineLevel="0" collapsed="false">
      <c r="F576" s="0" t="s">
        <v>5342</v>
      </c>
      <c r="G576" s="57" t="s">
        <v>7326</v>
      </c>
      <c r="H576" s="57" t="s">
        <v>7327</v>
      </c>
      <c r="I576" s="34" t="s">
        <v>40</v>
      </c>
      <c r="J576" s="57" t="s">
        <v>7328</v>
      </c>
      <c r="K576" s="57" t="s">
        <v>7259</v>
      </c>
    </row>
    <row r="577" customFormat="false" ht="57.45" hidden="false" customHeight="false" outlineLevel="0" collapsed="false">
      <c r="D577" s="60" t="s">
        <v>7329</v>
      </c>
      <c r="E577" s="60" t="s">
        <v>7330</v>
      </c>
      <c r="F577" s="62"/>
      <c r="G577" s="57" t="s">
        <v>7331</v>
      </c>
      <c r="H577" s="57" t="s">
        <v>3792</v>
      </c>
      <c r="I577" s="34"/>
      <c r="J577" s="57" t="s">
        <v>3792</v>
      </c>
      <c r="K577" s="57" t="s">
        <v>3792</v>
      </c>
    </row>
    <row r="578" customFormat="false" ht="57.45" hidden="false" customHeight="false" outlineLevel="0" collapsed="false">
      <c r="F578" s="0" t="s">
        <v>5342</v>
      </c>
      <c r="G578" s="57" t="s">
        <v>7332</v>
      </c>
      <c r="H578" s="57" t="s">
        <v>7333</v>
      </c>
      <c r="I578" s="39" t="s">
        <v>67</v>
      </c>
      <c r="J578" s="57" t="s">
        <v>7334</v>
      </c>
      <c r="K578" s="57" t="s">
        <v>7266</v>
      </c>
    </row>
    <row r="579" customFormat="false" ht="79.85" hidden="false" customHeight="false" outlineLevel="0" collapsed="false">
      <c r="D579" s="60" t="s">
        <v>7335</v>
      </c>
      <c r="E579" s="60" t="s">
        <v>7336</v>
      </c>
      <c r="F579" s="62"/>
      <c r="G579" s="57" t="s">
        <v>7337</v>
      </c>
      <c r="H579" s="57" t="s">
        <v>3792</v>
      </c>
      <c r="I579" s="39"/>
      <c r="J579" s="57" t="s">
        <v>3792</v>
      </c>
      <c r="K579" s="57" t="s">
        <v>3792</v>
      </c>
    </row>
    <row r="580" customFormat="false" ht="79.85" hidden="false" customHeight="false" outlineLevel="0" collapsed="false">
      <c r="F580" s="0" t="s">
        <v>5334</v>
      </c>
      <c r="G580" s="57" t="s">
        <v>7338</v>
      </c>
      <c r="H580" s="57" t="s">
        <v>7339</v>
      </c>
      <c r="I580" s="37" t="s">
        <v>50</v>
      </c>
      <c r="J580" s="57" t="s">
        <v>7340</v>
      </c>
      <c r="K580" s="57" t="s">
        <v>7273</v>
      </c>
    </row>
    <row r="581" customFormat="false" ht="91" hidden="false" customHeight="false" outlineLevel="0" collapsed="false">
      <c r="C581" s="64" t="s">
        <v>7341</v>
      </c>
      <c r="D581" s="66" t="s">
        <v>7342</v>
      </c>
      <c r="E581" s="66" t="s">
        <v>7343</v>
      </c>
      <c r="F581" s="65"/>
      <c r="G581" s="57" t="s">
        <v>7344</v>
      </c>
      <c r="H581" s="57" t="s">
        <v>3792</v>
      </c>
      <c r="I581" s="37"/>
      <c r="J581" s="57" t="s">
        <v>3792</v>
      </c>
      <c r="K581" s="57" t="s">
        <v>3792</v>
      </c>
    </row>
    <row r="582" customFormat="false" ht="91" hidden="false" customHeight="false" outlineLevel="0" collapsed="false">
      <c r="F582" s="0" t="s">
        <v>5334</v>
      </c>
      <c r="G582" s="57" t="s">
        <v>7345</v>
      </c>
      <c r="H582" s="57" t="s">
        <v>7346</v>
      </c>
      <c r="I582" s="37" t="s">
        <v>50</v>
      </c>
      <c r="J582" s="57" t="s">
        <v>7347</v>
      </c>
      <c r="K582" s="57" t="s">
        <v>7282</v>
      </c>
    </row>
    <row r="583" customFormat="false" ht="79.85" hidden="false" customHeight="false" outlineLevel="0" collapsed="false">
      <c r="D583" s="60" t="s">
        <v>7348</v>
      </c>
      <c r="E583" s="60" t="s">
        <v>7349</v>
      </c>
      <c r="F583" s="62"/>
      <c r="G583" s="57" t="s">
        <v>7350</v>
      </c>
      <c r="H583" s="57" t="s">
        <v>3792</v>
      </c>
      <c r="I583" s="37"/>
      <c r="J583" s="57" t="s">
        <v>3792</v>
      </c>
      <c r="K583" s="57" t="s">
        <v>3792</v>
      </c>
    </row>
    <row r="584" customFormat="false" ht="79.85" hidden="false" customHeight="false" outlineLevel="0" collapsed="false">
      <c r="F584" s="0" t="s">
        <v>5342</v>
      </c>
      <c r="G584" s="57" t="s">
        <v>7351</v>
      </c>
      <c r="H584" s="57" t="s">
        <v>7352</v>
      </c>
      <c r="I584" s="39" t="s">
        <v>67</v>
      </c>
      <c r="J584" s="57" t="s">
        <v>7353</v>
      </c>
      <c r="K584" s="57" t="s">
        <v>7289</v>
      </c>
    </row>
    <row r="585" customFormat="false" ht="79.85" hidden="false" customHeight="false" outlineLevel="0" collapsed="false">
      <c r="D585" s="60" t="s">
        <v>7354</v>
      </c>
      <c r="E585" s="60" t="s">
        <v>7355</v>
      </c>
      <c r="F585" s="62"/>
      <c r="G585" s="57" t="s">
        <v>7356</v>
      </c>
      <c r="H585" s="57" t="s">
        <v>3792</v>
      </c>
      <c r="I585" s="39"/>
      <c r="J585" s="57" t="s">
        <v>3792</v>
      </c>
      <c r="K585" s="57" t="s">
        <v>3792</v>
      </c>
    </row>
    <row r="586" customFormat="false" ht="79.85" hidden="false" customHeight="false" outlineLevel="0" collapsed="false">
      <c r="F586" s="0" t="s">
        <v>5334</v>
      </c>
      <c r="G586" s="57" t="s">
        <v>7357</v>
      </c>
      <c r="H586" s="57" t="s">
        <v>7358</v>
      </c>
      <c r="I586" s="34" t="s">
        <v>40</v>
      </c>
      <c r="J586" s="57" t="s">
        <v>7359</v>
      </c>
      <c r="K586" s="57" t="s">
        <v>7296</v>
      </c>
    </row>
    <row r="587" customFormat="false" ht="91" hidden="false" customHeight="false" outlineLevel="0" collapsed="false">
      <c r="D587" s="60" t="s">
        <v>7360</v>
      </c>
      <c r="E587" s="60" t="s">
        <v>7361</v>
      </c>
      <c r="F587" s="62"/>
      <c r="G587" s="57" t="s">
        <v>7362</v>
      </c>
      <c r="H587" s="57" t="s">
        <v>3792</v>
      </c>
      <c r="I587" s="34"/>
      <c r="J587" s="57" t="s">
        <v>3792</v>
      </c>
      <c r="K587" s="57" t="s">
        <v>3792</v>
      </c>
    </row>
    <row r="588" customFormat="false" ht="91" hidden="false" customHeight="false" outlineLevel="0" collapsed="false">
      <c r="F588" s="0" t="s">
        <v>5342</v>
      </c>
      <c r="G588" s="57" t="s">
        <v>7363</v>
      </c>
      <c r="H588" s="57" t="s">
        <v>7364</v>
      </c>
      <c r="I588" s="39" t="s">
        <v>67</v>
      </c>
      <c r="J588" s="57" t="s">
        <v>7365</v>
      </c>
      <c r="K588" s="57" t="s">
        <v>7303</v>
      </c>
    </row>
    <row r="589" customFormat="false" ht="79.85" hidden="false" customHeight="false" outlineLevel="0" collapsed="false">
      <c r="D589" s="60" t="s">
        <v>7366</v>
      </c>
      <c r="E589" s="60" t="s">
        <v>7367</v>
      </c>
      <c r="F589" s="62"/>
      <c r="G589" s="57" t="s">
        <v>7368</v>
      </c>
      <c r="H589" s="57" t="s">
        <v>3792</v>
      </c>
      <c r="I589" s="39"/>
      <c r="J589" s="57" t="s">
        <v>3792</v>
      </c>
      <c r="K589" s="57" t="s">
        <v>3792</v>
      </c>
    </row>
    <row r="590" customFormat="false" ht="79.85" hidden="false" customHeight="false" outlineLevel="0" collapsed="false">
      <c r="F590" s="0" t="s">
        <v>5342</v>
      </c>
      <c r="G590" s="57" t="s">
        <v>7369</v>
      </c>
      <c r="H590" s="57" t="s">
        <v>7370</v>
      </c>
      <c r="I590" s="37" t="s">
        <v>50</v>
      </c>
      <c r="J590" s="57" t="s">
        <v>7371</v>
      </c>
      <c r="K590" s="57" t="s">
        <v>7372</v>
      </c>
    </row>
    <row r="591" customFormat="false" ht="57.45" hidden="false" customHeight="false" outlineLevel="0" collapsed="false">
      <c r="C591" s="70" t="s">
        <v>7373</v>
      </c>
      <c r="D591" s="66" t="s">
        <v>7374</v>
      </c>
      <c r="E591" s="66" t="s">
        <v>7375</v>
      </c>
      <c r="F591" s="65"/>
      <c r="G591" s="57" t="s">
        <v>7376</v>
      </c>
      <c r="I591" s="37"/>
      <c r="J591" s="57" t="s">
        <v>3792</v>
      </c>
      <c r="K591" s="57" t="s">
        <v>3792</v>
      </c>
    </row>
    <row r="592" customFormat="false" ht="57.45" hidden="false" customHeight="false" outlineLevel="0" collapsed="false">
      <c r="F592" s="0" t="s">
        <v>5334</v>
      </c>
      <c r="G592" s="57" t="s">
        <v>7377</v>
      </c>
      <c r="H592" s="57" t="s">
        <v>7374</v>
      </c>
      <c r="I592" s="37" t="s">
        <v>50</v>
      </c>
      <c r="J592" s="57" t="s">
        <v>7378</v>
      </c>
      <c r="K592" s="57" t="s">
        <v>7379</v>
      </c>
    </row>
    <row r="593" customFormat="false" ht="46.25" hidden="false" customHeight="false" outlineLevel="0" collapsed="false">
      <c r="D593" s="60" t="s">
        <v>7380</v>
      </c>
      <c r="E593" s="60" t="s">
        <v>7381</v>
      </c>
      <c r="F593" s="62"/>
      <c r="G593" s="57" t="s">
        <v>7382</v>
      </c>
      <c r="H593" s="57" t="s">
        <v>3792</v>
      </c>
      <c r="I593" s="37"/>
      <c r="J593" s="57" t="s">
        <v>3792</v>
      </c>
      <c r="K593" s="57" t="s">
        <v>3792</v>
      </c>
    </row>
    <row r="594" customFormat="false" ht="46.25" hidden="false" customHeight="false" outlineLevel="0" collapsed="false">
      <c r="F594" s="0" t="s">
        <v>5342</v>
      </c>
      <c r="G594" s="57" t="s">
        <v>7383</v>
      </c>
      <c r="H594" s="57" t="s">
        <v>7380</v>
      </c>
      <c r="I594" s="39" t="s">
        <v>67</v>
      </c>
      <c r="J594" s="57" t="s">
        <v>7384</v>
      </c>
      <c r="K594" s="57" t="s">
        <v>7385</v>
      </c>
    </row>
    <row r="595" customFormat="false" ht="46.25" hidden="false" customHeight="false" outlineLevel="0" collapsed="false">
      <c r="D595" s="60" t="s">
        <v>7386</v>
      </c>
      <c r="E595" s="60" t="s">
        <v>7387</v>
      </c>
      <c r="F595" s="62"/>
      <c r="G595" s="57" t="s">
        <v>7388</v>
      </c>
      <c r="H595" s="57" t="s">
        <v>3792</v>
      </c>
      <c r="I595" s="39"/>
      <c r="J595" s="57" t="s">
        <v>3792</v>
      </c>
      <c r="K595" s="57" t="s">
        <v>3792</v>
      </c>
    </row>
    <row r="596" customFormat="false" ht="46.25" hidden="false" customHeight="false" outlineLevel="0" collapsed="false">
      <c r="F596" s="0" t="s">
        <v>5342</v>
      </c>
      <c r="G596" s="57" t="s">
        <v>7389</v>
      </c>
      <c r="H596" s="57" t="s">
        <v>7386</v>
      </c>
      <c r="I596" s="34" t="s">
        <v>40</v>
      </c>
      <c r="J596" s="57" t="s">
        <v>7390</v>
      </c>
      <c r="K596" s="57" t="s">
        <v>7391</v>
      </c>
    </row>
    <row r="597" customFormat="false" ht="46.25" hidden="false" customHeight="false" outlineLevel="0" collapsed="false">
      <c r="D597" s="60" t="s">
        <v>7392</v>
      </c>
      <c r="E597" s="60" t="s">
        <v>7393</v>
      </c>
      <c r="F597" s="62"/>
      <c r="G597" s="57" t="s">
        <v>7394</v>
      </c>
      <c r="H597" s="57" t="s">
        <v>3792</v>
      </c>
      <c r="I597" s="34"/>
      <c r="J597" s="57" t="s">
        <v>3792</v>
      </c>
      <c r="K597" s="57" t="s">
        <v>3792</v>
      </c>
    </row>
    <row r="598" customFormat="false" ht="57.45" hidden="false" customHeight="false" outlineLevel="0" collapsed="false">
      <c r="F598" s="0" t="s">
        <v>5334</v>
      </c>
      <c r="G598" s="57" t="s">
        <v>7395</v>
      </c>
      <c r="H598" s="57" t="s">
        <v>7392</v>
      </c>
      <c r="I598" s="39" t="s">
        <v>67</v>
      </c>
      <c r="J598" s="57" t="s">
        <v>7396</v>
      </c>
      <c r="K598" s="57" t="s">
        <v>7397</v>
      </c>
    </row>
    <row r="599" customFormat="false" ht="46.25" hidden="false" customHeight="false" outlineLevel="0" collapsed="false">
      <c r="D599" s="60" t="s">
        <v>7398</v>
      </c>
      <c r="E599" s="60" t="s">
        <v>7399</v>
      </c>
      <c r="F599" s="62"/>
      <c r="G599" s="57" t="s">
        <v>7400</v>
      </c>
      <c r="H599" s="57" t="s">
        <v>3792</v>
      </c>
      <c r="I599" s="39"/>
      <c r="J599" s="57" t="s">
        <v>3792</v>
      </c>
      <c r="K599" s="57" t="s">
        <v>3792</v>
      </c>
    </row>
    <row r="600" customFormat="false" ht="46.25" hidden="false" customHeight="false" outlineLevel="0" collapsed="false">
      <c r="F600" s="0" t="s">
        <v>5334</v>
      </c>
      <c r="G600" s="57" t="s">
        <v>7401</v>
      </c>
      <c r="H600" s="57" t="s">
        <v>7398</v>
      </c>
      <c r="I600" s="37" t="s">
        <v>50</v>
      </c>
      <c r="J600" s="57" t="s">
        <v>7402</v>
      </c>
      <c r="K600" s="57" t="s">
        <v>7403</v>
      </c>
    </row>
    <row r="601" customFormat="false" ht="35.05" hidden="false" customHeight="false" outlineLevel="0" collapsed="false">
      <c r="C601" s="70" t="s">
        <v>7404</v>
      </c>
      <c r="D601" s="66" t="s">
        <v>7405</v>
      </c>
      <c r="E601" s="66" t="s">
        <v>7406</v>
      </c>
      <c r="F601" s="65"/>
      <c r="G601" s="57" t="s">
        <v>7407</v>
      </c>
      <c r="H601" s="57" t="s">
        <v>3792</v>
      </c>
      <c r="I601" s="37"/>
      <c r="J601" s="57" t="s">
        <v>3792</v>
      </c>
      <c r="K601" s="57" t="s">
        <v>3792</v>
      </c>
    </row>
    <row r="602" customFormat="false" ht="57.45" hidden="false" customHeight="false" outlineLevel="0" collapsed="false">
      <c r="F602" s="0" t="s">
        <v>5334</v>
      </c>
      <c r="G602" s="57" t="s">
        <v>7408</v>
      </c>
      <c r="H602" s="57" t="s">
        <v>7405</v>
      </c>
      <c r="I602" s="37" t="s">
        <v>50</v>
      </c>
      <c r="J602" s="57" t="s">
        <v>7409</v>
      </c>
      <c r="K602" s="57" t="s">
        <v>7410</v>
      </c>
    </row>
    <row r="603" customFormat="false" ht="46.25" hidden="false" customHeight="false" outlineLevel="0" collapsed="false">
      <c r="D603" s="60" t="s">
        <v>7411</v>
      </c>
      <c r="E603" s="60" t="s">
        <v>7412</v>
      </c>
      <c r="F603" s="62"/>
      <c r="G603" s="57" t="s">
        <v>7413</v>
      </c>
      <c r="H603" s="57" t="s">
        <v>3792</v>
      </c>
      <c r="I603" s="37"/>
      <c r="K603" s="57" t="s">
        <v>3792</v>
      </c>
    </row>
    <row r="604" customFormat="false" ht="46.25" hidden="false" customHeight="false" outlineLevel="0" collapsed="false">
      <c r="F604" s="0" t="s">
        <v>5342</v>
      </c>
      <c r="G604" s="57" t="s">
        <v>7414</v>
      </c>
      <c r="H604" s="57" t="s">
        <v>7411</v>
      </c>
      <c r="I604" s="39" t="s">
        <v>67</v>
      </c>
      <c r="J604" s="57" t="s">
        <v>7415</v>
      </c>
      <c r="K604" s="57" t="s">
        <v>7416</v>
      </c>
    </row>
    <row r="605" customFormat="false" ht="35.05" hidden="false" customHeight="false" outlineLevel="0" collapsed="false">
      <c r="D605" s="60" t="s">
        <v>7417</v>
      </c>
      <c r="E605" s="60" t="s">
        <v>7418</v>
      </c>
      <c r="F605" s="62"/>
      <c r="G605" s="57" t="s">
        <v>7419</v>
      </c>
      <c r="H605" s="57" t="s">
        <v>3792</v>
      </c>
      <c r="I605" s="39"/>
      <c r="J605" s="57" t="s">
        <v>3792</v>
      </c>
      <c r="K605" s="57" t="s">
        <v>3792</v>
      </c>
    </row>
    <row r="606" customFormat="false" ht="57.45" hidden="false" customHeight="false" outlineLevel="0" collapsed="false">
      <c r="F606" s="0" t="s">
        <v>5342</v>
      </c>
      <c r="G606" s="57" t="s">
        <v>7420</v>
      </c>
      <c r="H606" s="57" t="s">
        <v>7417</v>
      </c>
      <c r="I606" s="34" t="s">
        <v>40</v>
      </c>
      <c r="J606" s="57" t="s">
        <v>7421</v>
      </c>
      <c r="K606" s="57" t="s">
        <v>7422</v>
      </c>
    </row>
    <row r="607" customFormat="false" ht="46.25" hidden="false" customHeight="false" outlineLevel="0" collapsed="false">
      <c r="D607" s="60" t="s">
        <v>7423</v>
      </c>
      <c r="E607" s="60" t="s">
        <v>7424</v>
      </c>
      <c r="F607" s="62"/>
      <c r="G607" s="57" t="s">
        <v>7425</v>
      </c>
      <c r="H607" s="57" t="s">
        <v>3792</v>
      </c>
      <c r="I607" s="34"/>
      <c r="J607" s="57" t="s">
        <v>3792</v>
      </c>
      <c r="K607" s="57" t="s">
        <v>3792</v>
      </c>
    </row>
    <row r="608" customFormat="false" ht="46.25" hidden="false" customHeight="false" outlineLevel="0" collapsed="false">
      <c r="F608" s="0" t="s">
        <v>5334</v>
      </c>
      <c r="G608" s="57" t="s">
        <v>7426</v>
      </c>
      <c r="H608" s="57" t="s">
        <v>7423</v>
      </c>
      <c r="I608" s="39" t="s">
        <v>67</v>
      </c>
      <c r="J608" s="57" t="s">
        <v>7427</v>
      </c>
      <c r="K608" s="57" t="s">
        <v>7428</v>
      </c>
    </row>
    <row r="609" customFormat="false" ht="35.05" hidden="false" customHeight="false" outlineLevel="0" collapsed="false">
      <c r="D609" s="60" t="s">
        <v>7429</v>
      </c>
      <c r="E609" s="60" t="s">
        <v>7430</v>
      </c>
      <c r="F609" s="62"/>
      <c r="G609" s="57" t="s">
        <v>7431</v>
      </c>
      <c r="H609" s="57" t="s">
        <v>3792</v>
      </c>
      <c r="I609" s="39"/>
      <c r="J609" s="57" t="s">
        <v>3792</v>
      </c>
      <c r="K609" s="57" t="s">
        <v>3792</v>
      </c>
    </row>
    <row r="610" customFormat="false" ht="57.45" hidden="false" customHeight="false" outlineLevel="0" collapsed="false">
      <c r="F610" s="0" t="s">
        <v>5342</v>
      </c>
      <c r="G610" s="57" t="s">
        <v>7432</v>
      </c>
      <c r="H610" s="57" t="s">
        <v>7429</v>
      </c>
      <c r="I610" s="37" t="s">
        <v>50</v>
      </c>
      <c r="J610" s="57" t="s">
        <v>7433</v>
      </c>
      <c r="K610" s="57" t="s">
        <v>7434</v>
      </c>
    </row>
    <row r="611" customFormat="false" ht="46.25" hidden="false" customHeight="false" outlineLevel="0" collapsed="false">
      <c r="C611" s="70" t="s">
        <v>7435</v>
      </c>
      <c r="D611" s="66" t="s">
        <v>7436</v>
      </c>
      <c r="E611" s="66" t="s">
        <v>7437</v>
      </c>
      <c r="F611" s="65"/>
      <c r="G611" s="57" t="s">
        <v>7438</v>
      </c>
      <c r="H611" s="57" t="s">
        <v>3792</v>
      </c>
      <c r="I611" s="37"/>
      <c r="J611" s="57" t="s">
        <v>3792</v>
      </c>
      <c r="K611" s="57" t="s">
        <v>3792</v>
      </c>
    </row>
    <row r="612" customFormat="false" ht="46.25" hidden="false" customHeight="false" outlineLevel="0" collapsed="false">
      <c r="F612" s="0" t="s">
        <v>5342</v>
      </c>
      <c r="G612" s="57" t="s">
        <v>7439</v>
      </c>
      <c r="H612" s="57" t="s">
        <v>7436</v>
      </c>
      <c r="I612" s="37" t="s">
        <v>50</v>
      </c>
      <c r="J612" s="57" t="s">
        <v>7440</v>
      </c>
      <c r="K612" s="57" t="s">
        <v>7441</v>
      </c>
    </row>
    <row r="613" customFormat="false" ht="46.25" hidden="false" customHeight="false" outlineLevel="0" collapsed="false">
      <c r="D613" s="60" t="s">
        <v>7442</v>
      </c>
      <c r="E613" s="60" t="s">
        <v>7443</v>
      </c>
      <c r="F613" s="62"/>
      <c r="G613" s="57" t="s">
        <v>7444</v>
      </c>
      <c r="H613" s="57" t="s">
        <v>3792</v>
      </c>
      <c r="I613" s="37"/>
      <c r="J613" s="57" t="s">
        <v>3792</v>
      </c>
      <c r="K613" s="57" t="s">
        <v>3792</v>
      </c>
    </row>
    <row r="614" customFormat="false" ht="46.25" hidden="false" customHeight="false" outlineLevel="0" collapsed="false">
      <c r="F614" s="0" t="s">
        <v>5334</v>
      </c>
      <c r="G614" s="57" t="s">
        <v>7445</v>
      </c>
      <c r="H614" s="57" t="s">
        <v>7442</v>
      </c>
      <c r="I614" s="39" t="s">
        <v>67</v>
      </c>
      <c r="J614" s="57" t="s">
        <v>7446</v>
      </c>
      <c r="K614" s="57" t="s">
        <v>7447</v>
      </c>
    </row>
    <row r="615" customFormat="false" ht="46.25" hidden="false" customHeight="false" outlineLevel="0" collapsed="false">
      <c r="D615" s="60" t="s">
        <v>7448</v>
      </c>
      <c r="E615" s="60" t="s">
        <v>7449</v>
      </c>
      <c r="F615" s="62"/>
      <c r="G615" s="57" t="s">
        <v>7450</v>
      </c>
      <c r="H615" s="57" t="s">
        <v>3792</v>
      </c>
      <c r="I615" s="39"/>
      <c r="J615" s="57" t="s">
        <v>3792</v>
      </c>
      <c r="K615" s="57" t="s">
        <v>3792</v>
      </c>
    </row>
    <row r="616" customFormat="false" ht="46.25" hidden="false" customHeight="false" outlineLevel="0" collapsed="false">
      <c r="F616" s="0" t="s">
        <v>5334</v>
      </c>
      <c r="G616" s="57" t="s">
        <v>7451</v>
      </c>
      <c r="H616" s="57" t="s">
        <v>7448</v>
      </c>
      <c r="I616" s="34" t="s">
        <v>40</v>
      </c>
      <c r="J616" s="57" t="s">
        <v>7452</v>
      </c>
      <c r="K616" s="57" t="s">
        <v>7453</v>
      </c>
    </row>
    <row r="617" customFormat="false" ht="46.25" hidden="false" customHeight="false" outlineLevel="0" collapsed="false">
      <c r="D617" s="60" t="s">
        <v>7454</v>
      </c>
      <c r="E617" s="60" t="s">
        <v>7455</v>
      </c>
      <c r="F617" s="62"/>
      <c r="G617" s="57" t="s">
        <v>7456</v>
      </c>
      <c r="H617" s="57" t="s">
        <v>3792</v>
      </c>
      <c r="I617" s="34"/>
      <c r="J617" s="57" t="s">
        <v>3792</v>
      </c>
      <c r="K617" s="57" t="s">
        <v>3792</v>
      </c>
    </row>
    <row r="618" customFormat="false" ht="57.45" hidden="false" customHeight="false" outlineLevel="0" collapsed="false">
      <c r="F618" s="0" t="s">
        <v>5342</v>
      </c>
      <c r="G618" s="57" t="s">
        <v>7457</v>
      </c>
      <c r="H618" s="57" t="s">
        <v>7454</v>
      </c>
      <c r="I618" s="39" t="s">
        <v>67</v>
      </c>
      <c r="J618" s="57" t="s">
        <v>7458</v>
      </c>
      <c r="K618" s="57" t="s">
        <v>7459</v>
      </c>
    </row>
    <row r="619" customFormat="false" ht="46.25" hidden="false" customHeight="false" outlineLevel="0" collapsed="false">
      <c r="D619" s="60" t="s">
        <v>7460</v>
      </c>
      <c r="E619" s="60" t="s">
        <v>7461</v>
      </c>
      <c r="F619" s="62"/>
      <c r="G619" s="57" t="s">
        <v>7462</v>
      </c>
      <c r="H619" s="57" t="s">
        <v>3792</v>
      </c>
      <c r="I619" s="39"/>
      <c r="J619" s="57" t="s">
        <v>3792</v>
      </c>
      <c r="K619" s="57" t="s">
        <v>3792</v>
      </c>
    </row>
    <row r="620" customFormat="false" ht="46.25" hidden="false" customHeight="false" outlineLevel="0" collapsed="false">
      <c r="F620" s="0" t="s">
        <v>5334</v>
      </c>
      <c r="G620" s="57" t="s">
        <v>7463</v>
      </c>
      <c r="H620" s="57" t="s">
        <v>7460</v>
      </c>
      <c r="I620" s="37" t="s">
        <v>50</v>
      </c>
      <c r="J620" s="57" t="s">
        <v>7464</v>
      </c>
      <c r="K620" s="57" t="s">
        <v>7465</v>
      </c>
    </row>
    <row r="621" customFormat="false" ht="46.25" hidden="false" customHeight="false" outlineLevel="0" collapsed="false">
      <c r="C621" s="70" t="s">
        <v>7466</v>
      </c>
      <c r="D621" s="66" t="s">
        <v>7467</v>
      </c>
      <c r="E621" s="66" t="s">
        <v>7468</v>
      </c>
      <c r="F621" s="65"/>
      <c r="G621" s="57" t="s">
        <v>7469</v>
      </c>
      <c r="H621" s="57" t="s">
        <v>3792</v>
      </c>
      <c r="I621" s="37"/>
      <c r="J621" s="57" t="s">
        <v>3792</v>
      </c>
      <c r="K621" s="57" t="s">
        <v>3792</v>
      </c>
    </row>
    <row r="622" customFormat="false" ht="46.25" hidden="false" customHeight="false" outlineLevel="0" collapsed="false">
      <c r="F622" s="0" t="s">
        <v>5342</v>
      </c>
      <c r="G622" s="57" t="s">
        <v>7470</v>
      </c>
      <c r="H622" s="57" t="s">
        <v>7467</v>
      </c>
      <c r="I622" s="37" t="s">
        <v>50</v>
      </c>
      <c r="J622" s="57" t="s">
        <v>7471</v>
      </c>
      <c r="K622" s="57" t="s">
        <v>7472</v>
      </c>
    </row>
    <row r="623" customFormat="false" ht="35.05" hidden="false" customHeight="false" outlineLevel="0" collapsed="false">
      <c r="D623" s="60" t="s">
        <v>7473</v>
      </c>
      <c r="E623" s="60" t="s">
        <v>7474</v>
      </c>
      <c r="F623" s="62"/>
      <c r="G623" s="57" t="s">
        <v>7475</v>
      </c>
      <c r="H623" s="57" t="s">
        <v>3792</v>
      </c>
      <c r="I623" s="37"/>
      <c r="J623" s="57" t="s">
        <v>3792</v>
      </c>
      <c r="K623" s="57" t="s">
        <v>3792</v>
      </c>
    </row>
    <row r="624" customFormat="false" ht="35.05" hidden="false" customHeight="false" outlineLevel="0" collapsed="false">
      <c r="F624" s="0" t="s">
        <v>5342</v>
      </c>
      <c r="G624" s="57" t="s">
        <v>7476</v>
      </c>
      <c r="H624" s="57" t="s">
        <v>7473</v>
      </c>
      <c r="I624" s="39" t="s">
        <v>67</v>
      </c>
      <c r="J624" s="57" t="s">
        <v>7477</v>
      </c>
      <c r="K624" s="57" t="s">
        <v>7478</v>
      </c>
    </row>
    <row r="625" customFormat="false" ht="46.25" hidden="false" customHeight="false" outlineLevel="0" collapsed="false">
      <c r="D625" s="60" t="s">
        <v>7479</v>
      </c>
      <c r="E625" s="60" t="s">
        <v>7480</v>
      </c>
      <c r="F625" s="62"/>
      <c r="G625" s="57" t="s">
        <v>7481</v>
      </c>
      <c r="H625" s="57" t="s">
        <v>3792</v>
      </c>
      <c r="I625" s="39"/>
      <c r="J625" s="57" t="s">
        <v>3792</v>
      </c>
      <c r="K625" s="57" t="s">
        <v>3792</v>
      </c>
    </row>
    <row r="626" customFormat="false" ht="46.25" hidden="false" customHeight="false" outlineLevel="0" collapsed="false">
      <c r="F626" s="0" t="s">
        <v>5334</v>
      </c>
      <c r="G626" s="57" t="s">
        <v>7482</v>
      </c>
      <c r="H626" s="57" t="s">
        <v>7479</v>
      </c>
      <c r="I626" s="34" t="s">
        <v>40</v>
      </c>
      <c r="J626" s="57" t="s">
        <v>7483</v>
      </c>
      <c r="K626" s="57" t="s">
        <v>7484</v>
      </c>
    </row>
    <row r="627" customFormat="false" ht="46.25" hidden="false" customHeight="false" outlineLevel="0" collapsed="false">
      <c r="D627" s="60" t="s">
        <v>7485</v>
      </c>
      <c r="E627" s="60" t="s">
        <v>7486</v>
      </c>
      <c r="F627" s="62"/>
      <c r="G627" s="57" t="s">
        <v>7487</v>
      </c>
      <c r="H627" s="57" t="s">
        <v>3792</v>
      </c>
      <c r="I627" s="34"/>
      <c r="J627" s="57" t="s">
        <v>3792</v>
      </c>
      <c r="K627" s="57" t="s">
        <v>3792</v>
      </c>
    </row>
    <row r="628" customFormat="false" ht="46.25" hidden="false" customHeight="false" outlineLevel="0" collapsed="false">
      <c r="F628" s="0" t="s">
        <v>5334</v>
      </c>
      <c r="G628" s="57" t="s">
        <v>7488</v>
      </c>
      <c r="H628" s="57" t="s">
        <v>7485</v>
      </c>
      <c r="I628" s="39" t="s">
        <v>67</v>
      </c>
      <c r="J628" s="57" t="s">
        <v>7489</v>
      </c>
      <c r="K628" s="57" t="s">
        <v>7490</v>
      </c>
    </row>
    <row r="629" customFormat="false" ht="46.25" hidden="false" customHeight="false" outlineLevel="0" collapsed="false">
      <c r="D629" s="60" t="s">
        <v>7491</v>
      </c>
      <c r="E629" s="60" t="s">
        <v>7492</v>
      </c>
      <c r="F629" s="62"/>
      <c r="G629" s="57" t="s">
        <v>7493</v>
      </c>
      <c r="H629" s="57" t="s">
        <v>3792</v>
      </c>
      <c r="I629" s="39"/>
      <c r="J629" s="57" t="s">
        <v>3792</v>
      </c>
      <c r="K629" s="57" t="s">
        <v>3792</v>
      </c>
    </row>
    <row r="630" customFormat="false" ht="57.45" hidden="false" customHeight="false" outlineLevel="0" collapsed="false">
      <c r="F630" s="0" t="s">
        <v>5342</v>
      </c>
      <c r="G630" s="57" t="s">
        <v>7494</v>
      </c>
      <c r="H630" s="57" t="s">
        <v>7491</v>
      </c>
      <c r="I630" s="37" t="s">
        <v>50</v>
      </c>
      <c r="J630" s="57" t="s">
        <v>7495</v>
      </c>
      <c r="K630" s="57" t="s">
        <v>7496</v>
      </c>
    </row>
    <row r="631" customFormat="false" ht="46.25" hidden="false" customHeight="false" outlineLevel="0" collapsed="false">
      <c r="C631" s="70" t="s">
        <v>7497</v>
      </c>
      <c r="D631" s="66" t="s">
        <v>7498</v>
      </c>
      <c r="E631" s="66" t="s">
        <v>7499</v>
      </c>
      <c r="F631" s="65"/>
      <c r="G631" s="57" t="s">
        <v>7500</v>
      </c>
      <c r="H631" s="57" t="s">
        <v>3792</v>
      </c>
      <c r="I631" s="37"/>
      <c r="J631" s="57" t="s">
        <v>3792</v>
      </c>
      <c r="K631" s="57" t="s">
        <v>3792</v>
      </c>
    </row>
    <row r="632" customFormat="false" ht="46.25" hidden="false" customHeight="false" outlineLevel="0" collapsed="false">
      <c r="F632" s="0" t="s">
        <v>5342</v>
      </c>
      <c r="G632" s="57" t="s">
        <v>7501</v>
      </c>
      <c r="H632" s="57" t="s">
        <v>7498</v>
      </c>
      <c r="I632" s="37" t="s">
        <v>50</v>
      </c>
      <c r="J632" s="57" t="s">
        <v>7502</v>
      </c>
      <c r="K632" s="57" t="s">
        <v>7503</v>
      </c>
    </row>
    <row r="633" customFormat="false" ht="46.25" hidden="false" customHeight="false" outlineLevel="0" collapsed="false">
      <c r="D633" s="60" t="s">
        <v>7504</v>
      </c>
      <c r="E633" s="60" t="s">
        <v>7505</v>
      </c>
      <c r="F633" s="62"/>
      <c r="G633" s="57" t="s">
        <v>7506</v>
      </c>
      <c r="H633" s="57" t="s">
        <v>3792</v>
      </c>
      <c r="I633" s="37"/>
      <c r="J633" s="57" t="s">
        <v>3792</v>
      </c>
      <c r="K633" s="57" t="s">
        <v>3792</v>
      </c>
    </row>
    <row r="634" customFormat="false" ht="46.25" hidden="false" customHeight="false" outlineLevel="0" collapsed="false">
      <c r="F634" s="0" t="s">
        <v>5334</v>
      </c>
      <c r="G634" s="57" t="s">
        <v>7507</v>
      </c>
      <c r="H634" s="57" t="s">
        <v>7504</v>
      </c>
      <c r="I634" s="39" t="s">
        <v>67</v>
      </c>
      <c r="J634" s="57" t="s">
        <v>7508</v>
      </c>
      <c r="K634" s="57" t="s">
        <v>7509</v>
      </c>
    </row>
    <row r="635" customFormat="false" ht="35.05" hidden="false" customHeight="false" outlineLevel="0" collapsed="false">
      <c r="D635" s="60" t="s">
        <v>7510</v>
      </c>
      <c r="E635" s="60" t="s">
        <v>7511</v>
      </c>
      <c r="F635" s="62"/>
      <c r="G635" s="57" t="s">
        <v>7512</v>
      </c>
      <c r="H635" s="57" t="s">
        <v>3792</v>
      </c>
      <c r="I635" s="39"/>
      <c r="J635" s="57" t="s">
        <v>3792</v>
      </c>
      <c r="K635" s="57" t="s">
        <v>3792</v>
      </c>
    </row>
    <row r="636" customFormat="false" ht="35.05" hidden="false" customHeight="false" outlineLevel="0" collapsed="false">
      <c r="F636" s="0" t="s">
        <v>5334</v>
      </c>
      <c r="G636" s="57" t="s">
        <v>7513</v>
      </c>
      <c r="H636" s="57" t="s">
        <v>7510</v>
      </c>
      <c r="I636" s="34" t="s">
        <v>40</v>
      </c>
      <c r="J636" s="57" t="s">
        <v>7514</v>
      </c>
      <c r="K636" s="57" t="s">
        <v>7515</v>
      </c>
    </row>
    <row r="637" customFormat="false" ht="46.25" hidden="false" customHeight="false" outlineLevel="0" collapsed="false">
      <c r="D637" s="60" t="s">
        <v>7516</v>
      </c>
      <c r="E637" s="60" t="s">
        <v>7517</v>
      </c>
      <c r="F637" s="62"/>
      <c r="G637" s="57" t="s">
        <v>7518</v>
      </c>
      <c r="H637" s="57" t="s">
        <v>3792</v>
      </c>
      <c r="I637" s="34"/>
      <c r="J637" s="57" t="s">
        <v>3792</v>
      </c>
      <c r="K637" s="57" t="s">
        <v>3792</v>
      </c>
    </row>
    <row r="638" customFormat="false" ht="46.25" hidden="false" customHeight="false" outlineLevel="0" collapsed="false">
      <c r="F638" s="0" t="s">
        <v>5342</v>
      </c>
      <c r="G638" s="57" t="s">
        <v>7519</v>
      </c>
      <c r="H638" s="57" t="s">
        <v>7516</v>
      </c>
      <c r="I638" s="39" t="s">
        <v>67</v>
      </c>
      <c r="J638" s="57" t="s">
        <v>7520</v>
      </c>
      <c r="K638" s="57" t="s">
        <v>7521</v>
      </c>
    </row>
    <row r="639" customFormat="false" ht="46.25" hidden="false" customHeight="false" outlineLevel="0" collapsed="false">
      <c r="D639" s="60" t="s">
        <v>7522</v>
      </c>
      <c r="E639" s="60" t="s">
        <v>7523</v>
      </c>
      <c r="F639" s="62"/>
      <c r="G639" s="57" t="s">
        <v>7524</v>
      </c>
      <c r="H639" s="57" t="s">
        <v>3792</v>
      </c>
      <c r="I639" s="39"/>
      <c r="J639" s="57" t="s">
        <v>3792</v>
      </c>
      <c r="K639" s="57" t="s">
        <v>3792</v>
      </c>
    </row>
    <row r="640" customFormat="false" ht="46.25" hidden="false" customHeight="false" outlineLevel="0" collapsed="false">
      <c r="F640" s="0" t="s">
        <v>5334</v>
      </c>
      <c r="G640" s="57" t="s">
        <v>7525</v>
      </c>
      <c r="H640" s="57" t="s">
        <v>7522</v>
      </c>
      <c r="I640" s="37" t="s">
        <v>50</v>
      </c>
      <c r="J640" s="57" t="s">
        <v>7526</v>
      </c>
      <c r="K640" s="57" t="s">
        <v>7527</v>
      </c>
    </row>
    <row r="641" customFormat="false" ht="35.05" hidden="false" customHeight="false" outlineLevel="0" collapsed="false">
      <c r="C641" s="64" t="s">
        <v>7528</v>
      </c>
      <c r="D641" s="66" t="s">
        <v>7529</v>
      </c>
      <c r="E641" s="66" t="s">
        <v>7530</v>
      </c>
      <c r="F641" s="65"/>
      <c r="G641" s="57" t="s">
        <v>7531</v>
      </c>
      <c r="H641" s="57" t="s">
        <v>3792</v>
      </c>
      <c r="I641" s="37"/>
      <c r="J641" s="57" t="s">
        <v>3792</v>
      </c>
      <c r="K641" s="57" t="s">
        <v>3792</v>
      </c>
    </row>
    <row r="642" customFormat="false" ht="57.45" hidden="false" customHeight="false" outlineLevel="0" collapsed="false">
      <c r="F642" s="0" t="s">
        <v>5334</v>
      </c>
      <c r="G642" s="57" t="s">
        <v>7532</v>
      </c>
      <c r="H642" s="57" t="s">
        <v>7529</v>
      </c>
      <c r="I642" s="37" t="s">
        <v>50</v>
      </c>
      <c r="J642" s="57" t="s">
        <v>7533</v>
      </c>
      <c r="K642" s="57" t="s">
        <v>7534</v>
      </c>
    </row>
    <row r="643" customFormat="false" ht="46.25" hidden="false" customHeight="false" outlineLevel="0" collapsed="false">
      <c r="D643" s="60" t="s">
        <v>7535</v>
      </c>
      <c r="E643" s="60" t="s">
        <v>7536</v>
      </c>
      <c r="F643" s="62"/>
      <c r="G643" s="57" t="s">
        <v>7537</v>
      </c>
      <c r="H643" s="57" t="s">
        <v>3792</v>
      </c>
      <c r="I643" s="37"/>
      <c r="J643" s="57" t="s">
        <v>3792</v>
      </c>
      <c r="K643" s="57" t="s">
        <v>3792</v>
      </c>
    </row>
    <row r="644" customFormat="false" ht="46.25" hidden="false" customHeight="false" outlineLevel="0" collapsed="false">
      <c r="F644" s="0" t="s">
        <v>5342</v>
      </c>
      <c r="G644" s="57" t="s">
        <v>7538</v>
      </c>
      <c r="H644" s="57" t="s">
        <v>7535</v>
      </c>
      <c r="I644" s="39" t="s">
        <v>67</v>
      </c>
      <c r="J644" s="57" t="s">
        <v>7539</v>
      </c>
      <c r="K644" s="57" t="s">
        <v>7303</v>
      </c>
    </row>
    <row r="645" customFormat="false" ht="46.25" hidden="false" customHeight="false" outlineLevel="0" collapsed="false">
      <c r="D645" s="60" t="s">
        <v>7540</v>
      </c>
      <c r="E645" s="60" t="s">
        <v>7541</v>
      </c>
      <c r="F645" s="62"/>
      <c r="G645" s="57" t="s">
        <v>7542</v>
      </c>
      <c r="H645" s="57" t="s">
        <v>3792</v>
      </c>
      <c r="I645" s="39"/>
      <c r="J645" s="57" t="s">
        <v>3792</v>
      </c>
      <c r="K645" s="57" t="s">
        <v>3792</v>
      </c>
    </row>
    <row r="646" customFormat="false" ht="57.45" hidden="false" customHeight="false" outlineLevel="0" collapsed="false">
      <c r="F646" s="0" t="s">
        <v>5334</v>
      </c>
      <c r="G646" s="57" t="s">
        <v>7543</v>
      </c>
      <c r="H646" s="57" t="s">
        <v>7540</v>
      </c>
      <c r="I646" s="34" t="s">
        <v>40</v>
      </c>
      <c r="J646" s="57" t="s">
        <v>7544</v>
      </c>
      <c r="K646" s="57" t="s">
        <v>7545</v>
      </c>
    </row>
    <row r="647" customFormat="false" ht="35.05" hidden="false" customHeight="false" outlineLevel="0" collapsed="false">
      <c r="D647" s="60" t="s">
        <v>7546</v>
      </c>
      <c r="E647" s="60" t="s">
        <v>7547</v>
      </c>
      <c r="F647" s="62"/>
      <c r="G647" s="57" t="s">
        <v>7548</v>
      </c>
      <c r="H647" s="57" t="s">
        <v>3792</v>
      </c>
      <c r="I647" s="34"/>
      <c r="J647" s="57" t="s">
        <v>3792</v>
      </c>
      <c r="K647" s="57" t="s">
        <v>3792</v>
      </c>
    </row>
    <row r="648" customFormat="false" ht="46.25" hidden="false" customHeight="false" outlineLevel="0" collapsed="false">
      <c r="F648" s="0" t="s">
        <v>5342</v>
      </c>
      <c r="G648" s="57" t="s">
        <v>7549</v>
      </c>
      <c r="H648" s="57" t="s">
        <v>7546</v>
      </c>
      <c r="I648" s="39" t="s">
        <v>67</v>
      </c>
      <c r="J648" s="57" t="s">
        <v>7550</v>
      </c>
      <c r="K648" s="57" t="s">
        <v>7551</v>
      </c>
    </row>
    <row r="649" customFormat="false" ht="35.05" hidden="false" customHeight="false" outlineLevel="0" collapsed="false">
      <c r="D649" s="60" t="s">
        <v>7552</v>
      </c>
      <c r="E649" s="60" t="s">
        <v>7553</v>
      </c>
      <c r="F649" s="62"/>
      <c r="G649" s="57" t="s">
        <v>7554</v>
      </c>
      <c r="H649" s="57" t="s">
        <v>3792</v>
      </c>
      <c r="I649" s="39"/>
      <c r="J649" s="57" t="s">
        <v>3792</v>
      </c>
      <c r="K649" s="57" t="s">
        <v>3792</v>
      </c>
    </row>
    <row r="650" customFormat="false" ht="57.45" hidden="false" customHeight="false" outlineLevel="0" collapsed="false">
      <c r="F650" s="0" t="s">
        <v>5342</v>
      </c>
      <c r="G650" s="57" t="s">
        <v>7555</v>
      </c>
      <c r="H650" s="57" t="s">
        <v>7552</v>
      </c>
      <c r="I650" s="37" t="s">
        <v>50</v>
      </c>
      <c r="J650" s="57" t="s">
        <v>7556</v>
      </c>
      <c r="K650" s="57" t="s">
        <v>7557</v>
      </c>
    </row>
    <row r="651" customFormat="false" ht="46.25" hidden="false" customHeight="false" outlineLevel="0" collapsed="false">
      <c r="B651" s="67" t="s">
        <v>7558</v>
      </c>
      <c r="C651" s="68" t="s">
        <v>7559</v>
      </c>
      <c r="D651" s="68" t="s">
        <v>7560</v>
      </c>
      <c r="E651" s="68" t="s">
        <v>7561</v>
      </c>
      <c r="F651" s="65"/>
      <c r="G651" s="57" t="s">
        <v>7562</v>
      </c>
      <c r="H651" s="57" t="s">
        <v>3792</v>
      </c>
      <c r="I651" s="37"/>
      <c r="J651" s="57" t="s">
        <v>3792</v>
      </c>
      <c r="K651" s="57" t="s">
        <v>3792</v>
      </c>
    </row>
    <row r="652" customFormat="false" ht="46.25" hidden="false" customHeight="false" outlineLevel="0" collapsed="false">
      <c r="F652" s="0" t="s">
        <v>5334</v>
      </c>
      <c r="G652" s="57" t="s">
        <v>7563</v>
      </c>
      <c r="H652" s="57" t="s">
        <v>7560</v>
      </c>
      <c r="I652" s="37" t="s">
        <v>50</v>
      </c>
      <c r="J652" s="57" t="s">
        <v>7564</v>
      </c>
      <c r="K652" s="57" t="s">
        <v>7565</v>
      </c>
    </row>
    <row r="653" customFormat="false" ht="35.05" hidden="false" customHeight="false" outlineLevel="0" collapsed="false">
      <c r="D653" s="60" t="s">
        <v>7566</v>
      </c>
      <c r="E653" s="60" t="s">
        <v>7567</v>
      </c>
      <c r="F653" s="62"/>
      <c r="G653" s="57" t="s">
        <v>7568</v>
      </c>
      <c r="H653" s="57" t="s">
        <v>3792</v>
      </c>
      <c r="I653" s="37"/>
      <c r="J653" s="57" t="s">
        <v>3792</v>
      </c>
      <c r="K653" s="57" t="s">
        <v>3792</v>
      </c>
    </row>
    <row r="654" customFormat="false" ht="57.45" hidden="false" customHeight="false" outlineLevel="0" collapsed="false">
      <c r="F654" s="0" t="s">
        <v>5334</v>
      </c>
      <c r="G654" s="57" t="s">
        <v>7569</v>
      </c>
      <c r="H654" s="57" t="s">
        <v>7566</v>
      </c>
      <c r="I654" s="39" t="s">
        <v>67</v>
      </c>
      <c r="J654" s="57" t="s">
        <v>7570</v>
      </c>
      <c r="K654" s="57" t="s">
        <v>7571</v>
      </c>
    </row>
    <row r="655" customFormat="false" ht="35.05" hidden="false" customHeight="false" outlineLevel="0" collapsed="false">
      <c r="D655" s="60" t="s">
        <v>7572</v>
      </c>
      <c r="E655" s="60" t="s">
        <v>7573</v>
      </c>
      <c r="F655" s="62"/>
      <c r="G655" s="57" t="s">
        <v>7574</v>
      </c>
      <c r="H655" s="57" t="s">
        <v>3792</v>
      </c>
      <c r="I655" s="39"/>
      <c r="J655" s="57" t="s">
        <v>3792</v>
      </c>
      <c r="K655" s="57" t="s">
        <v>3792</v>
      </c>
    </row>
    <row r="656" customFormat="false" ht="46.25" hidden="false" customHeight="false" outlineLevel="0" collapsed="false">
      <c r="F656" s="0" t="s">
        <v>5342</v>
      </c>
      <c r="G656" s="57" t="s">
        <v>7575</v>
      </c>
      <c r="H656" s="57" t="s">
        <v>7572</v>
      </c>
      <c r="I656" s="34" t="s">
        <v>40</v>
      </c>
      <c r="J656" s="57" t="s">
        <v>7576</v>
      </c>
      <c r="K656" s="57" t="s">
        <v>7577</v>
      </c>
    </row>
    <row r="657" customFormat="false" ht="35.05" hidden="false" customHeight="false" outlineLevel="0" collapsed="false">
      <c r="D657" s="60" t="s">
        <v>7578</v>
      </c>
      <c r="E657" s="60" t="s">
        <v>7579</v>
      </c>
      <c r="F657" s="62"/>
      <c r="G657" s="57" t="s">
        <v>7580</v>
      </c>
      <c r="H657" s="57" t="s">
        <v>3792</v>
      </c>
      <c r="I657" s="34"/>
      <c r="J657" s="57" t="s">
        <v>3792</v>
      </c>
      <c r="K657" s="57" t="s">
        <v>3792</v>
      </c>
    </row>
    <row r="658" customFormat="false" ht="46.25" hidden="false" customHeight="false" outlineLevel="0" collapsed="false">
      <c r="F658" s="0" t="s">
        <v>5334</v>
      </c>
      <c r="G658" s="57" t="s">
        <v>7581</v>
      </c>
      <c r="H658" s="57" t="s">
        <v>7578</v>
      </c>
      <c r="I658" s="39" t="s">
        <v>67</v>
      </c>
      <c r="J658" s="57" t="s">
        <v>7582</v>
      </c>
      <c r="K658" s="57" t="s">
        <v>7583</v>
      </c>
    </row>
    <row r="659" customFormat="false" ht="46.25" hidden="false" customHeight="false" outlineLevel="0" collapsed="false">
      <c r="D659" s="60" t="s">
        <v>7584</v>
      </c>
      <c r="E659" s="60" t="s">
        <v>7585</v>
      </c>
      <c r="F659" s="62"/>
      <c r="G659" s="57" t="s">
        <v>7586</v>
      </c>
      <c r="H659" s="57" t="s">
        <v>3792</v>
      </c>
      <c r="I659" s="39"/>
      <c r="J659" s="57" t="s">
        <v>3792</v>
      </c>
      <c r="K659" s="57" t="s">
        <v>3792</v>
      </c>
    </row>
    <row r="660" customFormat="false" ht="46.25" hidden="false" customHeight="false" outlineLevel="0" collapsed="false">
      <c r="F660" s="0" t="s">
        <v>5334</v>
      </c>
      <c r="G660" s="57" t="s">
        <v>7587</v>
      </c>
      <c r="H660" s="57" t="s">
        <v>7584</v>
      </c>
      <c r="I660" s="37" t="s">
        <v>50</v>
      </c>
      <c r="J660" s="57" t="s">
        <v>7588</v>
      </c>
      <c r="K660" s="57" t="s">
        <v>7589</v>
      </c>
    </row>
    <row r="661" customFormat="false" ht="46.25" hidden="false" customHeight="false" outlineLevel="0" collapsed="false">
      <c r="C661" s="64" t="s">
        <v>7310</v>
      </c>
      <c r="D661" s="66" t="s">
        <v>7590</v>
      </c>
      <c r="E661" s="66" t="s">
        <v>7591</v>
      </c>
      <c r="F661" s="65"/>
      <c r="G661" s="57" t="s">
        <v>7592</v>
      </c>
      <c r="H661" s="57" t="s">
        <v>3792</v>
      </c>
      <c r="I661" s="37"/>
      <c r="J661" s="57" t="s">
        <v>3792</v>
      </c>
      <c r="K661" s="57" t="s">
        <v>3792</v>
      </c>
    </row>
    <row r="662" customFormat="false" ht="57.45" hidden="false" customHeight="false" outlineLevel="0" collapsed="false">
      <c r="F662" s="0" t="s">
        <v>5334</v>
      </c>
      <c r="G662" s="57" t="s">
        <v>7593</v>
      </c>
      <c r="H662" s="57" t="s">
        <v>7590</v>
      </c>
      <c r="I662" s="37" t="s">
        <v>50</v>
      </c>
      <c r="J662" s="57" t="s">
        <v>7594</v>
      </c>
      <c r="K662" s="57" t="s">
        <v>7595</v>
      </c>
    </row>
    <row r="663" customFormat="false" ht="46.25" hidden="false" customHeight="false" outlineLevel="0" collapsed="false">
      <c r="D663" s="60" t="s">
        <v>7596</v>
      </c>
      <c r="E663" s="60" t="s">
        <v>7597</v>
      </c>
      <c r="F663" s="62"/>
      <c r="G663" s="57" t="s">
        <v>7598</v>
      </c>
      <c r="H663" s="57" t="s">
        <v>3792</v>
      </c>
      <c r="I663" s="37"/>
      <c r="J663" s="57" t="s">
        <v>3792</v>
      </c>
      <c r="K663" s="57" t="s">
        <v>3792</v>
      </c>
    </row>
    <row r="664" customFormat="false" ht="46.25" hidden="false" customHeight="false" outlineLevel="0" collapsed="false">
      <c r="F664" s="0" t="s">
        <v>5342</v>
      </c>
      <c r="G664" s="57" t="s">
        <v>7599</v>
      </c>
      <c r="H664" s="57" t="s">
        <v>7596</v>
      </c>
      <c r="I664" s="39" t="s">
        <v>67</v>
      </c>
      <c r="J664" s="57" t="s">
        <v>7600</v>
      </c>
      <c r="K664" s="57" t="s">
        <v>7601</v>
      </c>
    </row>
    <row r="665" customFormat="false" ht="35.05" hidden="false" customHeight="false" outlineLevel="0" collapsed="false">
      <c r="D665" s="60" t="s">
        <v>7335</v>
      </c>
      <c r="E665" s="60" t="s">
        <v>7602</v>
      </c>
      <c r="F665" s="62"/>
      <c r="G665" s="57" t="s">
        <v>7603</v>
      </c>
      <c r="H665" s="57" t="s">
        <v>3792</v>
      </c>
      <c r="I665" s="39"/>
      <c r="J665" s="57" t="s">
        <v>3792</v>
      </c>
      <c r="K665" s="57" t="s">
        <v>3792</v>
      </c>
    </row>
    <row r="666" customFormat="false" ht="35.05" hidden="false" customHeight="false" outlineLevel="0" collapsed="false">
      <c r="F666" s="0" t="s">
        <v>5342</v>
      </c>
      <c r="G666" s="57" t="s">
        <v>7338</v>
      </c>
      <c r="H666" s="57" t="s">
        <v>7335</v>
      </c>
      <c r="I666" s="34" t="s">
        <v>40</v>
      </c>
      <c r="J666" s="57" t="s">
        <v>7604</v>
      </c>
      <c r="K666" s="57" t="s">
        <v>7605</v>
      </c>
    </row>
    <row r="667" customFormat="false" ht="35.05" hidden="false" customHeight="false" outlineLevel="0" collapsed="false">
      <c r="D667" s="60" t="s">
        <v>7606</v>
      </c>
      <c r="E667" s="60" t="s">
        <v>7607</v>
      </c>
      <c r="F667" s="62"/>
      <c r="G667" s="57" t="s">
        <v>7608</v>
      </c>
      <c r="H667" s="57" t="s">
        <v>3792</v>
      </c>
      <c r="I667" s="34"/>
      <c r="J667" s="57" t="s">
        <v>3792</v>
      </c>
      <c r="K667" s="57" t="s">
        <v>3792</v>
      </c>
    </row>
    <row r="668" customFormat="false" ht="46.25" hidden="false" customHeight="false" outlineLevel="0" collapsed="false">
      <c r="F668" s="0" t="s">
        <v>5342</v>
      </c>
      <c r="G668" s="57" t="s">
        <v>7609</v>
      </c>
      <c r="H668" s="57" t="s">
        <v>7606</v>
      </c>
      <c r="I668" s="39" t="s">
        <v>67</v>
      </c>
      <c r="J668" s="57" t="s">
        <v>7610</v>
      </c>
      <c r="K668" s="57" t="s">
        <v>7611</v>
      </c>
    </row>
    <row r="669" customFormat="false" ht="46.25" hidden="false" customHeight="false" outlineLevel="0" collapsed="false">
      <c r="D669" s="60" t="s">
        <v>7612</v>
      </c>
      <c r="E669" s="60" t="s">
        <v>7613</v>
      </c>
      <c r="F669" s="62"/>
      <c r="G669" s="57" t="s">
        <v>7614</v>
      </c>
      <c r="H669" s="57" t="s">
        <v>3792</v>
      </c>
      <c r="I669" s="39"/>
      <c r="J669" s="57" t="s">
        <v>3792</v>
      </c>
      <c r="K669" s="57" t="s">
        <v>3792</v>
      </c>
    </row>
    <row r="670" customFormat="false" ht="46.25" hidden="false" customHeight="false" outlineLevel="0" collapsed="false">
      <c r="F670" s="0" t="s">
        <v>5342</v>
      </c>
      <c r="G670" s="57" t="s">
        <v>7615</v>
      </c>
      <c r="H670" s="57" t="s">
        <v>7612</v>
      </c>
      <c r="I670" s="37" t="s">
        <v>50</v>
      </c>
      <c r="J670" s="57" t="s">
        <v>7616</v>
      </c>
      <c r="K670" s="57" t="s">
        <v>7617</v>
      </c>
    </row>
    <row r="671" customFormat="false" ht="35.05" hidden="false" customHeight="false" outlineLevel="0" collapsed="false">
      <c r="C671" s="70" t="s">
        <v>7618</v>
      </c>
      <c r="D671" s="66" t="s">
        <v>7619</v>
      </c>
      <c r="E671" s="66" t="s">
        <v>7620</v>
      </c>
      <c r="F671" s="65"/>
      <c r="G671" s="57" t="s">
        <v>7621</v>
      </c>
      <c r="H671" s="57" t="s">
        <v>3792</v>
      </c>
      <c r="I671" s="37"/>
      <c r="J671" s="57" t="s">
        <v>3792</v>
      </c>
      <c r="K671" s="57" t="s">
        <v>3792</v>
      </c>
    </row>
    <row r="672" customFormat="false" ht="46.25" hidden="false" customHeight="false" outlineLevel="0" collapsed="false">
      <c r="F672" s="0" t="s">
        <v>5334</v>
      </c>
      <c r="G672" s="57" t="s">
        <v>7622</v>
      </c>
      <c r="H672" s="57" t="s">
        <v>7619</v>
      </c>
      <c r="I672" s="37" t="s">
        <v>50</v>
      </c>
      <c r="J672" s="57" t="s">
        <v>7623</v>
      </c>
      <c r="K672" s="57" t="s">
        <v>7624</v>
      </c>
    </row>
    <row r="673" customFormat="false" ht="46.25" hidden="false" customHeight="false" outlineLevel="0" collapsed="false">
      <c r="D673" s="60" t="s">
        <v>7625</v>
      </c>
      <c r="E673" s="60" t="s">
        <v>7626</v>
      </c>
      <c r="F673" s="62"/>
      <c r="G673" s="57" t="s">
        <v>7350</v>
      </c>
      <c r="H673" s="57" t="s">
        <v>3792</v>
      </c>
      <c r="I673" s="37"/>
      <c r="J673" s="57" t="s">
        <v>3792</v>
      </c>
      <c r="K673" s="57" t="s">
        <v>3792</v>
      </c>
    </row>
    <row r="674" customFormat="false" ht="46.25" hidden="false" customHeight="false" outlineLevel="0" collapsed="false">
      <c r="F674" s="0" t="s">
        <v>5342</v>
      </c>
      <c r="G674" s="57" t="s">
        <v>7627</v>
      </c>
      <c r="H674" s="57" t="s">
        <v>7625</v>
      </c>
      <c r="I674" s="39" t="s">
        <v>67</v>
      </c>
      <c r="J674" s="57" t="s">
        <v>7628</v>
      </c>
      <c r="K674" s="57" t="s">
        <v>7629</v>
      </c>
    </row>
    <row r="675" customFormat="false" ht="46.25" hidden="false" customHeight="false" outlineLevel="0" collapsed="false">
      <c r="D675" s="60" t="s">
        <v>7630</v>
      </c>
      <c r="E675" s="60" t="s">
        <v>7631</v>
      </c>
      <c r="F675" s="62"/>
      <c r="G675" s="57" t="s">
        <v>7632</v>
      </c>
      <c r="H675" s="57" t="s">
        <v>3792</v>
      </c>
      <c r="I675" s="39"/>
      <c r="J675" s="57" t="s">
        <v>3792</v>
      </c>
      <c r="K675" s="57" t="s">
        <v>3792</v>
      </c>
    </row>
    <row r="676" customFormat="false" ht="46.25" hidden="false" customHeight="false" outlineLevel="0" collapsed="false">
      <c r="F676" s="0" t="s">
        <v>5342</v>
      </c>
      <c r="G676" s="57" t="s">
        <v>7633</v>
      </c>
      <c r="H676" s="57" t="s">
        <v>7630</v>
      </c>
      <c r="I676" s="34" t="s">
        <v>40</v>
      </c>
      <c r="J676" s="57" t="s">
        <v>7634</v>
      </c>
      <c r="K676" s="57" t="s">
        <v>7635</v>
      </c>
    </row>
    <row r="677" customFormat="false" ht="46.25" hidden="false" customHeight="false" outlineLevel="0" collapsed="false">
      <c r="D677" s="60" t="s">
        <v>7636</v>
      </c>
      <c r="E677" s="60" t="s">
        <v>7637</v>
      </c>
      <c r="F677" s="62"/>
      <c r="G677" s="57" t="s">
        <v>7638</v>
      </c>
      <c r="H677" s="57" t="s">
        <v>3792</v>
      </c>
      <c r="I677" s="34"/>
      <c r="J677" s="57" t="s">
        <v>3792</v>
      </c>
      <c r="K677" s="57" t="s">
        <v>3792</v>
      </c>
    </row>
    <row r="678" customFormat="false" ht="46.25" hidden="false" customHeight="false" outlineLevel="0" collapsed="false">
      <c r="F678" s="0" t="s">
        <v>5334</v>
      </c>
      <c r="G678" s="57" t="s">
        <v>7639</v>
      </c>
      <c r="H678" s="57" t="s">
        <v>7636</v>
      </c>
      <c r="I678" s="39" t="s">
        <v>67</v>
      </c>
      <c r="J678" s="57" t="s">
        <v>7640</v>
      </c>
      <c r="K678" s="57" t="s">
        <v>7641</v>
      </c>
    </row>
    <row r="679" customFormat="false" ht="46.25" hidden="false" customHeight="false" outlineLevel="0" collapsed="false">
      <c r="D679" s="60" t="s">
        <v>7642</v>
      </c>
      <c r="E679" s="60" t="s">
        <v>7643</v>
      </c>
      <c r="F679" s="62"/>
      <c r="G679" s="57" t="s">
        <v>7644</v>
      </c>
      <c r="H679" s="57" t="s">
        <v>3792</v>
      </c>
      <c r="I679" s="39"/>
      <c r="J679" s="57" t="s">
        <v>3792</v>
      </c>
      <c r="K679" s="57" t="s">
        <v>3792</v>
      </c>
    </row>
    <row r="680" customFormat="false" ht="46.25" hidden="false" customHeight="false" outlineLevel="0" collapsed="false">
      <c r="F680" s="0" t="s">
        <v>5334</v>
      </c>
      <c r="G680" s="57" t="s">
        <v>7645</v>
      </c>
      <c r="H680" s="57" t="s">
        <v>7642</v>
      </c>
      <c r="I680" s="37" t="s">
        <v>50</v>
      </c>
      <c r="J680" s="57" t="s">
        <v>7646</v>
      </c>
      <c r="K680" s="57" t="s">
        <v>7647</v>
      </c>
    </row>
    <row r="681" customFormat="false" ht="46.25" hidden="false" customHeight="false" outlineLevel="0" collapsed="false">
      <c r="C681" s="64" t="s">
        <v>7648</v>
      </c>
      <c r="D681" s="66" t="s">
        <v>7649</v>
      </c>
      <c r="E681" s="66" t="s">
        <v>7650</v>
      </c>
      <c r="F681" s="65"/>
      <c r="G681" s="57" t="s">
        <v>7651</v>
      </c>
      <c r="H681" s="57" t="s">
        <v>3792</v>
      </c>
      <c r="I681" s="37"/>
      <c r="J681" s="57" t="s">
        <v>3792</v>
      </c>
      <c r="K681" s="57" t="s">
        <v>3792</v>
      </c>
    </row>
    <row r="682" customFormat="false" ht="46.25" hidden="false" customHeight="false" outlineLevel="0" collapsed="false">
      <c r="F682" s="0" t="s">
        <v>5342</v>
      </c>
      <c r="G682" s="57" t="s">
        <v>7652</v>
      </c>
      <c r="H682" s="57" t="s">
        <v>7649</v>
      </c>
      <c r="I682" s="37" t="s">
        <v>50</v>
      </c>
      <c r="J682" s="57" t="s">
        <v>7653</v>
      </c>
      <c r="K682" s="57" t="s">
        <v>7654</v>
      </c>
    </row>
    <row r="683" customFormat="false" ht="46.25" hidden="false" customHeight="false" outlineLevel="0" collapsed="false">
      <c r="D683" s="60" t="s">
        <v>7655</v>
      </c>
      <c r="E683" s="60" t="s">
        <v>7656</v>
      </c>
      <c r="F683" s="62"/>
      <c r="G683" s="57" t="s">
        <v>7657</v>
      </c>
      <c r="H683" s="57" t="s">
        <v>3792</v>
      </c>
      <c r="I683" s="37"/>
      <c r="J683" s="57" t="s">
        <v>3792</v>
      </c>
      <c r="K683" s="57" t="s">
        <v>3792</v>
      </c>
    </row>
    <row r="684" customFormat="false" ht="46.25" hidden="false" customHeight="false" outlineLevel="0" collapsed="false">
      <c r="F684" s="0" t="s">
        <v>5334</v>
      </c>
      <c r="G684" s="57" t="s">
        <v>7658</v>
      </c>
      <c r="H684" s="57" t="s">
        <v>7655</v>
      </c>
      <c r="I684" s="39" t="s">
        <v>67</v>
      </c>
      <c r="J684" s="57" t="s">
        <v>7659</v>
      </c>
      <c r="K684" s="57" t="s">
        <v>5970</v>
      </c>
    </row>
    <row r="685" customFormat="false" ht="57.45" hidden="false" customHeight="false" outlineLevel="0" collapsed="false">
      <c r="D685" s="60" t="s">
        <v>7660</v>
      </c>
      <c r="E685" s="60" t="s">
        <v>7661</v>
      </c>
      <c r="F685" s="62"/>
      <c r="G685" s="57" t="s">
        <v>7662</v>
      </c>
      <c r="H685" s="57" t="s">
        <v>3792</v>
      </c>
      <c r="I685" s="39"/>
      <c r="J685" s="57" t="s">
        <v>3792</v>
      </c>
      <c r="K685" s="57" t="s">
        <v>3792</v>
      </c>
    </row>
    <row r="686" customFormat="false" ht="57.45" hidden="false" customHeight="false" outlineLevel="0" collapsed="false">
      <c r="F686" s="0" t="s">
        <v>5334</v>
      </c>
      <c r="G686" s="57" t="s">
        <v>7663</v>
      </c>
      <c r="H686" s="57" t="s">
        <v>7660</v>
      </c>
      <c r="I686" s="34" t="s">
        <v>40</v>
      </c>
      <c r="J686" s="57" t="s">
        <v>7664</v>
      </c>
      <c r="K686" s="57" t="s">
        <v>7665</v>
      </c>
    </row>
    <row r="687" customFormat="false" ht="35.05" hidden="false" customHeight="false" outlineLevel="0" collapsed="false">
      <c r="D687" s="60" t="s">
        <v>7666</v>
      </c>
      <c r="E687" s="60" t="s">
        <v>7667</v>
      </c>
      <c r="F687" s="62"/>
      <c r="G687" s="57" t="s">
        <v>7668</v>
      </c>
      <c r="H687" s="57" t="s">
        <v>3792</v>
      </c>
      <c r="I687" s="34"/>
      <c r="J687" s="57" t="s">
        <v>3792</v>
      </c>
      <c r="K687" s="57" t="s">
        <v>3792</v>
      </c>
    </row>
    <row r="688" customFormat="false" ht="46.25" hidden="false" customHeight="false" outlineLevel="0" collapsed="false">
      <c r="F688" s="0" t="s">
        <v>5342</v>
      </c>
      <c r="G688" s="57" t="s">
        <v>7669</v>
      </c>
      <c r="H688" s="57" t="s">
        <v>7666</v>
      </c>
      <c r="I688" s="39" t="s">
        <v>67</v>
      </c>
      <c r="J688" s="57" t="s">
        <v>7670</v>
      </c>
      <c r="K688" s="57" t="s">
        <v>7671</v>
      </c>
    </row>
    <row r="689" customFormat="false" ht="35.05" hidden="false" customHeight="false" outlineLevel="0" collapsed="false">
      <c r="D689" s="60" t="s">
        <v>7672</v>
      </c>
      <c r="E689" s="60" t="s">
        <v>7673</v>
      </c>
      <c r="F689" s="62"/>
      <c r="G689" s="57" t="s">
        <v>7674</v>
      </c>
      <c r="H689" s="57" t="s">
        <v>3792</v>
      </c>
      <c r="I689" s="39"/>
      <c r="J689" s="57" t="s">
        <v>3792</v>
      </c>
      <c r="K689" s="60"/>
    </row>
    <row r="690" customFormat="false" ht="55.6" hidden="false" customHeight="false" outlineLevel="0" collapsed="false">
      <c r="F690" s="0" t="s">
        <v>5334</v>
      </c>
      <c r="G690" s="57" t="s">
        <v>7675</v>
      </c>
      <c r="H690" s="57" t="s">
        <v>7672</v>
      </c>
      <c r="I690" s="37" t="s">
        <v>50</v>
      </c>
      <c r="J690" s="57" t="s">
        <v>7676</v>
      </c>
      <c r="K690" s="57" t="s">
        <v>5338</v>
      </c>
    </row>
    <row r="691" customFormat="false" ht="23.05" hidden="false" customHeight="false" outlineLevel="0" collapsed="false">
      <c r="C691" s="70" t="s">
        <v>7677</v>
      </c>
      <c r="D691" s="66" t="s">
        <v>7678</v>
      </c>
      <c r="E691" s="66" t="s">
        <v>7679</v>
      </c>
      <c r="F691" s="65"/>
      <c r="G691" s="57" t="s">
        <v>7680</v>
      </c>
      <c r="H691" s="57" t="s">
        <v>3792</v>
      </c>
      <c r="I691" s="37"/>
      <c r="J691" s="57" t="s">
        <v>3792</v>
      </c>
      <c r="K691" s="57" t="s">
        <v>3792</v>
      </c>
    </row>
    <row r="692" customFormat="false" ht="55.6" hidden="false" customHeight="false" outlineLevel="0" collapsed="false">
      <c r="F692" s="0" t="s">
        <v>5342</v>
      </c>
      <c r="G692" s="57" t="s">
        <v>7681</v>
      </c>
      <c r="H692" s="57" t="s">
        <v>7678</v>
      </c>
      <c r="I692" s="37" t="s">
        <v>50</v>
      </c>
      <c r="J692" s="57" t="s">
        <v>7328</v>
      </c>
      <c r="K692" s="57" t="s">
        <v>5346</v>
      </c>
    </row>
    <row r="693" customFormat="false" ht="23.05" hidden="false" customHeight="false" outlineLevel="0" collapsed="false">
      <c r="D693" s="60" t="s">
        <v>7682</v>
      </c>
      <c r="E693" s="60" t="s">
        <v>7683</v>
      </c>
      <c r="F693" s="62"/>
      <c r="G693" s="57" t="s">
        <v>7684</v>
      </c>
      <c r="H693" s="57" t="s">
        <v>3792</v>
      </c>
      <c r="I693" s="37"/>
      <c r="J693" s="57" t="s">
        <v>3792</v>
      </c>
      <c r="K693" s="57" t="s">
        <v>3792</v>
      </c>
    </row>
    <row r="694" customFormat="false" ht="78.65" hidden="false" customHeight="false" outlineLevel="0" collapsed="false">
      <c r="F694" s="0" t="s">
        <v>5334</v>
      </c>
      <c r="G694" s="57" t="s">
        <v>7685</v>
      </c>
      <c r="H694" s="57" t="s">
        <v>7682</v>
      </c>
      <c r="I694" s="39" t="s">
        <v>67</v>
      </c>
      <c r="J694" s="57" t="s">
        <v>7686</v>
      </c>
      <c r="K694" s="57" t="s">
        <v>5353</v>
      </c>
    </row>
    <row r="695" customFormat="false" ht="23.05" hidden="false" customHeight="false" outlineLevel="0" collapsed="false">
      <c r="D695" s="60" t="s">
        <v>7687</v>
      </c>
      <c r="E695" s="60" t="s">
        <v>7688</v>
      </c>
      <c r="F695" s="62"/>
      <c r="G695" s="57" t="s">
        <v>7689</v>
      </c>
      <c r="H695" s="57" t="s">
        <v>3792</v>
      </c>
      <c r="I695" s="39"/>
      <c r="J695" s="57" t="s">
        <v>3792</v>
      </c>
      <c r="K695" s="57" t="s">
        <v>3792</v>
      </c>
    </row>
    <row r="696" customFormat="false" ht="44.75" hidden="false" customHeight="false" outlineLevel="0" collapsed="false">
      <c r="F696" s="0" t="s">
        <v>5342</v>
      </c>
      <c r="G696" s="57" t="s">
        <v>7690</v>
      </c>
      <c r="H696" s="57" t="s">
        <v>7687</v>
      </c>
      <c r="I696" s="34" t="s">
        <v>40</v>
      </c>
      <c r="J696" s="57" t="s">
        <v>7691</v>
      </c>
      <c r="K696" s="57" t="s">
        <v>5360</v>
      </c>
    </row>
    <row r="697" customFormat="false" ht="23.05" hidden="false" customHeight="false" outlineLevel="0" collapsed="false">
      <c r="D697" s="60" t="s">
        <v>7692</v>
      </c>
      <c r="E697" s="60" t="s">
        <v>7693</v>
      </c>
      <c r="F697" s="62"/>
      <c r="G697" s="57" t="s">
        <v>7694</v>
      </c>
      <c r="H697" s="57" t="s">
        <v>3792</v>
      </c>
      <c r="I697" s="34"/>
      <c r="J697" s="57" t="s">
        <v>3792</v>
      </c>
      <c r="K697" s="57" t="s">
        <v>3792</v>
      </c>
    </row>
    <row r="698" customFormat="false" ht="55.6" hidden="false" customHeight="false" outlineLevel="0" collapsed="false">
      <c r="F698" s="0" t="s">
        <v>5334</v>
      </c>
      <c r="G698" s="57" t="s">
        <v>7695</v>
      </c>
      <c r="H698" s="57" t="s">
        <v>7692</v>
      </c>
      <c r="I698" s="39" t="s">
        <v>67</v>
      </c>
      <c r="J698" s="57" t="s">
        <v>7696</v>
      </c>
      <c r="K698" s="57" t="s">
        <v>5367</v>
      </c>
    </row>
    <row r="699" customFormat="false" ht="23.05" hidden="false" customHeight="false" outlineLevel="0" collapsed="false">
      <c r="D699" s="60" t="s">
        <v>7697</v>
      </c>
      <c r="E699" s="60" t="s">
        <v>7698</v>
      </c>
      <c r="F699" s="62"/>
      <c r="G699" s="57" t="s">
        <v>7699</v>
      </c>
      <c r="H699" s="57" t="s">
        <v>3792</v>
      </c>
      <c r="I699" s="39"/>
      <c r="J699" s="57" t="s">
        <v>3792</v>
      </c>
      <c r="K699" s="57" t="s">
        <v>3792</v>
      </c>
    </row>
    <row r="700" customFormat="false" ht="44.75" hidden="false" customHeight="false" outlineLevel="0" collapsed="false">
      <c r="F700" s="0" t="s">
        <v>5342</v>
      </c>
      <c r="G700" s="57" t="s">
        <v>7700</v>
      </c>
      <c r="H700" s="57" t="s">
        <v>7697</v>
      </c>
      <c r="I700" s="37" t="s">
        <v>50</v>
      </c>
      <c r="J700" s="57" t="s">
        <v>7701</v>
      </c>
      <c r="K700" s="57" t="s">
        <v>5375</v>
      </c>
    </row>
    <row r="701" customFormat="false" ht="23.05" hidden="false" customHeight="false" outlineLevel="0" collapsed="false">
      <c r="C701" s="64" t="s">
        <v>7702</v>
      </c>
      <c r="D701" s="66" t="s">
        <v>7703</v>
      </c>
      <c r="E701" s="66" t="s">
        <v>7704</v>
      </c>
      <c r="F701" s="65"/>
      <c r="G701" s="57" t="s">
        <v>7705</v>
      </c>
      <c r="I701" s="37"/>
      <c r="J701" s="57" t="s">
        <v>3792</v>
      </c>
      <c r="K701" s="57" t="s">
        <v>3792</v>
      </c>
    </row>
    <row r="702" customFormat="false" ht="55.6" hidden="false" customHeight="false" outlineLevel="0" collapsed="false">
      <c r="F702" s="0" t="s">
        <v>5334</v>
      </c>
      <c r="G702" s="57" t="s">
        <v>7706</v>
      </c>
      <c r="H702" s="57" t="s">
        <v>7703</v>
      </c>
      <c r="I702" s="37" t="s">
        <v>50</v>
      </c>
      <c r="J702" s="57" t="s">
        <v>7707</v>
      </c>
      <c r="K702" s="57" t="s">
        <v>5380</v>
      </c>
    </row>
    <row r="703" customFormat="false" ht="23.05" hidden="false" customHeight="false" outlineLevel="0" collapsed="false">
      <c r="D703" s="60" t="s">
        <v>7708</v>
      </c>
      <c r="E703" s="60" t="s">
        <v>7709</v>
      </c>
      <c r="F703" s="62"/>
      <c r="G703" s="57" t="s">
        <v>7710</v>
      </c>
      <c r="H703" s="57" t="s">
        <v>3792</v>
      </c>
      <c r="I703" s="37"/>
      <c r="J703" s="57" t="s">
        <v>3792</v>
      </c>
      <c r="K703" s="57" t="s">
        <v>3792</v>
      </c>
    </row>
    <row r="704" customFormat="false" ht="67.8" hidden="false" customHeight="false" outlineLevel="0" collapsed="false">
      <c r="F704" s="0" t="s">
        <v>5342</v>
      </c>
      <c r="G704" s="57" t="s">
        <v>7711</v>
      </c>
      <c r="H704" s="57" t="s">
        <v>7708</v>
      </c>
      <c r="I704" s="39" t="s">
        <v>67</v>
      </c>
      <c r="J704" s="57" t="s">
        <v>7712</v>
      </c>
      <c r="K704" s="57" t="s">
        <v>5387</v>
      </c>
    </row>
    <row r="705" customFormat="false" ht="23.05" hidden="false" customHeight="false" outlineLevel="0" collapsed="false">
      <c r="D705" s="60" t="s">
        <v>7713</v>
      </c>
      <c r="E705" s="60" t="s">
        <v>7714</v>
      </c>
      <c r="F705" s="62"/>
      <c r="G705" s="57" t="s">
        <v>7715</v>
      </c>
      <c r="H705" s="57" t="s">
        <v>3792</v>
      </c>
      <c r="I705" s="39"/>
      <c r="J705" s="57" t="s">
        <v>3792</v>
      </c>
      <c r="K705" s="57" t="s">
        <v>3792</v>
      </c>
    </row>
    <row r="706" customFormat="false" ht="55.6" hidden="false" customHeight="false" outlineLevel="0" collapsed="false">
      <c r="F706" s="0" t="s">
        <v>5342</v>
      </c>
      <c r="G706" s="57" t="s">
        <v>7716</v>
      </c>
      <c r="H706" s="57" t="s">
        <v>7713</v>
      </c>
      <c r="I706" s="34" t="s">
        <v>40</v>
      </c>
      <c r="J706" s="57" t="s">
        <v>7717</v>
      </c>
      <c r="K706" s="57" t="s">
        <v>5394</v>
      </c>
    </row>
    <row r="707" customFormat="false" ht="23.05" hidden="false" customHeight="false" outlineLevel="0" collapsed="false">
      <c r="D707" s="60" t="s">
        <v>7718</v>
      </c>
      <c r="E707" s="60" t="s">
        <v>7719</v>
      </c>
      <c r="F707" s="62"/>
      <c r="G707" s="57" t="s">
        <v>7720</v>
      </c>
      <c r="H707" s="57" t="s">
        <v>3792</v>
      </c>
      <c r="I707" s="34"/>
      <c r="J707" s="57" t="s">
        <v>3792</v>
      </c>
      <c r="K707" s="57" t="s">
        <v>3792</v>
      </c>
    </row>
    <row r="708" customFormat="false" ht="55.6" hidden="false" customHeight="false" outlineLevel="0" collapsed="false">
      <c r="F708" s="0" t="s">
        <v>5334</v>
      </c>
      <c r="G708" s="57" t="s">
        <v>7721</v>
      </c>
      <c r="H708" s="57" t="s">
        <v>7718</v>
      </c>
      <c r="I708" s="39" t="s">
        <v>67</v>
      </c>
      <c r="J708" s="57" t="s">
        <v>7722</v>
      </c>
      <c r="K708" s="57" t="s">
        <v>5401</v>
      </c>
    </row>
    <row r="709" customFormat="false" ht="23.05" hidden="false" customHeight="false" outlineLevel="0" collapsed="false">
      <c r="D709" s="60" t="s">
        <v>7723</v>
      </c>
      <c r="E709" s="60" t="s">
        <v>7724</v>
      </c>
      <c r="F709" s="62"/>
      <c r="G709" s="57" t="s">
        <v>7725</v>
      </c>
      <c r="H709" s="57" t="s">
        <v>3792</v>
      </c>
      <c r="I709" s="39"/>
      <c r="J709" s="57" t="s">
        <v>3792</v>
      </c>
      <c r="K709" s="57" t="s">
        <v>3792</v>
      </c>
    </row>
    <row r="710" customFormat="false" ht="67.8" hidden="false" customHeight="false" outlineLevel="0" collapsed="false">
      <c r="F710" s="0" t="s">
        <v>5334</v>
      </c>
      <c r="G710" s="57" t="s">
        <v>7726</v>
      </c>
      <c r="H710" s="57" t="s">
        <v>7723</v>
      </c>
      <c r="I710" s="37" t="s">
        <v>50</v>
      </c>
      <c r="J710" s="57" t="s">
        <v>7727</v>
      </c>
      <c r="K710" s="57" t="s">
        <v>5411</v>
      </c>
    </row>
    <row r="711" customFormat="false" ht="23.05" hidden="false" customHeight="false" outlineLevel="0" collapsed="false">
      <c r="C711" s="70" t="s">
        <v>7728</v>
      </c>
      <c r="D711" s="66" t="s">
        <v>7729</v>
      </c>
      <c r="E711" s="66" t="s">
        <v>7730</v>
      </c>
      <c r="F711" s="65"/>
      <c r="G711" s="57" t="s">
        <v>7731</v>
      </c>
      <c r="H711" s="57" t="s">
        <v>3792</v>
      </c>
      <c r="I711" s="37"/>
      <c r="J711" s="57" t="s">
        <v>3792</v>
      </c>
      <c r="K711" s="57" t="s">
        <v>3792</v>
      </c>
    </row>
    <row r="712" customFormat="false" ht="44.75" hidden="false" customHeight="false" outlineLevel="0" collapsed="false">
      <c r="F712" s="0" t="s">
        <v>5342</v>
      </c>
      <c r="G712" s="57" t="s">
        <v>7732</v>
      </c>
      <c r="H712" s="57" t="s">
        <v>7729</v>
      </c>
      <c r="I712" s="37" t="s">
        <v>50</v>
      </c>
      <c r="J712" s="57" t="s">
        <v>7733</v>
      </c>
      <c r="K712" s="57" t="s">
        <v>5418</v>
      </c>
    </row>
    <row r="713" customFormat="false" ht="23.05" hidden="false" customHeight="false" outlineLevel="0" collapsed="false">
      <c r="D713" s="60" t="s">
        <v>7734</v>
      </c>
      <c r="E713" s="60" t="s">
        <v>7735</v>
      </c>
      <c r="F713" s="62"/>
      <c r="G713" s="57" t="s">
        <v>7736</v>
      </c>
      <c r="H713" s="57" t="s">
        <v>3792</v>
      </c>
      <c r="I713" s="37"/>
      <c r="J713" s="57" t="s">
        <v>3792</v>
      </c>
      <c r="K713" s="57" t="s">
        <v>3792</v>
      </c>
    </row>
    <row r="714" customFormat="false" ht="55.6" hidden="false" customHeight="false" outlineLevel="0" collapsed="false">
      <c r="F714" s="0" t="s">
        <v>5342</v>
      </c>
      <c r="G714" s="57" t="s">
        <v>7737</v>
      </c>
      <c r="H714" s="57" t="s">
        <v>7734</v>
      </c>
      <c r="I714" s="39" t="s">
        <v>67</v>
      </c>
      <c r="J714" s="57" t="s">
        <v>7738</v>
      </c>
      <c r="K714" s="57" t="s">
        <v>5425</v>
      </c>
    </row>
    <row r="715" customFormat="false" ht="23.05" hidden="false" customHeight="false" outlineLevel="0" collapsed="false">
      <c r="D715" s="60" t="s">
        <v>7739</v>
      </c>
      <c r="E715" s="60" t="s">
        <v>7740</v>
      </c>
      <c r="F715" s="62"/>
      <c r="G715" s="57" t="s">
        <v>7741</v>
      </c>
      <c r="H715" s="57" t="s">
        <v>3792</v>
      </c>
      <c r="I715" s="39"/>
      <c r="J715" s="57" t="s">
        <v>3792</v>
      </c>
      <c r="K715" s="57" t="s">
        <v>3792</v>
      </c>
    </row>
    <row r="716" customFormat="false" ht="55.6" hidden="false" customHeight="false" outlineLevel="0" collapsed="false">
      <c r="F716" s="0" t="s">
        <v>5334</v>
      </c>
      <c r="G716" s="57" t="s">
        <v>7742</v>
      </c>
      <c r="H716" s="57" t="s">
        <v>7739</v>
      </c>
      <c r="I716" s="34" t="s">
        <v>40</v>
      </c>
      <c r="J716" s="57" t="s">
        <v>7743</v>
      </c>
      <c r="K716" s="57" t="s">
        <v>5432</v>
      </c>
    </row>
    <row r="717" customFormat="false" ht="33.9" hidden="false" customHeight="false" outlineLevel="0" collapsed="false">
      <c r="D717" s="60" t="s">
        <v>7744</v>
      </c>
      <c r="E717" s="60" t="s">
        <v>7745</v>
      </c>
      <c r="F717" s="62"/>
      <c r="G717" s="57" t="s">
        <v>7746</v>
      </c>
      <c r="H717" s="57" t="s">
        <v>3792</v>
      </c>
      <c r="I717" s="34"/>
      <c r="J717" s="57" t="s">
        <v>3792</v>
      </c>
      <c r="K717" s="57" t="s">
        <v>3792</v>
      </c>
    </row>
    <row r="718" customFormat="false" ht="55.6" hidden="false" customHeight="false" outlineLevel="0" collapsed="false">
      <c r="F718" s="0" t="s">
        <v>5334</v>
      </c>
      <c r="G718" s="57" t="s">
        <v>7747</v>
      </c>
      <c r="H718" s="57" t="s">
        <v>7744</v>
      </c>
      <c r="I718" s="39" t="s">
        <v>67</v>
      </c>
      <c r="J718" s="57" t="s">
        <v>7748</v>
      </c>
      <c r="K718" s="57" t="s">
        <v>5438</v>
      </c>
    </row>
    <row r="719" customFormat="false" ht="23.05" hidden="false" customHeight="false" outlineLevel="0" collapsed="false">
      <c r="D719" s="60" t="s">
        <v>7749</v>
      </c>
      <c r="E719" s="60" t="s">
        <v>7750</v>
      </c>
      <c r="F719" s="62"/>
      <c r="G719" s="57" t="s">
        <v>7751</v>
      </c>
      <c r="H719" s="57" t="s">
        <v>3792</v>
      </c>
      <c r="I719" s="39"/>
      <c r="J719" s="57" t="s">
        <v>3792</v>
      </c>
      <c r="K719" s="57" t="s">
        <v>3792</v>
      </c>
    </row>
    <row r="720" customFormat="false" ht="44.75" hidden="false" customHeight="false" outlineLevel="0" collapsed="false">
      <c r="F720" s="0" t="s">
        <v>5334</v>
      </c>
      <c r="G720" s="57" t="s">
        <v>7752</v>
      </c>
      <c r="H720" s="57" t="s">
        <v>7749</v>
      </c>
      <c r="I720" s="37" t="s">
        <v>50</v>
      </c>
      <c r="J720" s="57" t="s">
        <v>7753</v>
      </c>
      <c r="K720" s="57" t="s">
        <v>5446</v>
      </c>
    </row>
    <row r="721" customFormat="false" ht="23.05" hidden="false" customHeight="false" outlineLevel="0" collapsed="false">
      <c r="C721" s="64" t="s">
        <v>7754</v>
      </c>
      <c r="D721" s="66" t="s">
        <v>7755</v>
      </c>
      <c r="E721" s="66" t="s">
        <v>7756</v>
      </c>
      <c r="F721" s="65"/>
      <c r="G721" s="57" t="s">
        <v>7757</v>
      </c>
      <c r="H721" s="57" t="s">
        <v>3792</v>
      </c>
      <c r="I721" s="37"/>
      <c r="J721" s="57" t="s">
        <v>3792</v>
      </c>
      <c r="K721" s="57" t="s">
        <v>3792</v>
      </c>
    </row>
    <row r="722" customFormat="false" ht="67.8" hidden="false" customHeight="false" outlineLevel="0" collapsed="false">
      <c r="F722" s="0" t="s">
        <v>5342</v>
      </c>
      <c r="G722" s="57" t="s">
        <v>7758</v>
      </c>
      <c r="H722" s="57" t="s">
        <v>7755</v>
      </c>
      <c r="I722" s="37" t="s">
        <v>50</v>
      </c>
      <c r="J722" s="57" t="s">
        <v>7759</v>
      </c>
      <c r="K722" s="57" t="s">
        <v>5453</v>
      </c>
    </row>
    <row r="723" customFormat="false" ht="23.05" hidden="false" customHeight="false" outlineLevel="0" collapsed="false">
      <c r="D723" s="60" t="s">
        <v>7760</v>
      </c>
      <c r="E723" s="60" t="s">
        <v>7761</v>
      </c>
      <c r="F723" s="62"/>
      <c r="G723" s="57" t="s">
        <v>7762</v>
      </c>
      <c r="H723" s="57" t="s">
        <v>3792</v>
      </c>
      <c r="I723" s="37"/>
      <c r="J723" s="57" t="s">
        <v>3792</v>
      </c>
      <c r="K723" s="57" t="s">
        <v>3792</v>
      </c>
    </row>
    <row r="724" customFormat="false" ht="55.6" hidden="false" customHeight="false" outlineLevel="0" collapsed="false">
      <c r="F724" s="0" t="s">
        <v>5334</v>
      </c>
      <c r="G724" s="57" t="s">
        <v>7763</v>
      </c>
      <c r="H724" s="57" t="s">
        <v>7760</v>
      </c>
      <c r="I724" s="39" t="s">
        <v>67</v>
      </c>
      <c r="J724" s="57" t="s">
        <v>7764</v>
      </c>
      <c r="K724" s="57" t="s">
        <v>5460</v>
      </c>
    </row>
    <row r="725" customFormat="false" ht="23.05" hidden="false" customHeight="false" outlineLevel="0" collapsed="false">
      <c r="D725" s="60" t="s">
        <v>7765</v>
      </c>
      <c r="E725" s="60" t="s">
        <v>7766</v>
      </c>
      <c r="F725" s="62"/>
      <c r="G725" s="57" t="s">
        <v>7767</v>
      </c>
      <c r="H725" s="57" t="s">
        <v>3792</v>
      </c>
      <c r="I725" s="39"/>
      <c r="J725" s="57" t="s">
        <v>3792</v>
      </c>
      <c r="K725" s="57" t="s">
        <v>3792</v>
      </c>
    </row>
    <row r="726" customFormat="false" ht="55.6" hidden="false" customHeight="false" outlineLevel="0" collapsed="false">
      <c r="F726" s="0" t="s">
        <v>5342</v>
      </c>
      <c r="G726" s="57" t="s">
        <v>7768</v>
      </c>
      <c r="H726" s="57" t="s">
        <v>7765</v>
      </c>
      <c r="I726" s="34" t="s">
        <v>40</v>
      </c>
      <c r="J726" s="57" t="s">
        <v>7769</v>
      </c>
      <c r="K726" s="57" t="s">
        <v>5467</v>
      </c>
    </row>
    <row r="727" customFormat="false" ht="33.9" hidden="false" customHeight="false" outlineLevel="0" collapsed="false">
      <c r="D727" s="60" t="s">
        <v>7770</v>
      </c>
      <c r="E727" s="60" t="s">
        <v>7771</v>
      </c>
      <c r="F727" s="62"/>
      <c r="G727" s="57" t="s">
        <v>7772</v>
      </c>
      <c r="H727" s="57" t="s">
        <v>3792</v>
      </c>
      <c r="I727" s="34"/>
      <c r="J727" s="57" t="s">
        <v>3792</v>
      </c>
      <c r="K727" s="57" t="s">
        <v>3792</v>
      </c>
    </row>
    <row r="728" customFormat="false" ht="44.75" hidden="false" customHeight="false" outlineLevel="0" collapsed="false">
      <c r="F728" s="0" t="s">
        <v>5334</v>
      </c>
      <c r="G728" s="57" t="s">
        <v>7773</v>
      </c>
      <c r="H728" s="57" t="s">
        <v>7770</v>
      </c>
      <c r="I728" s="39" t="s">
        <v>67</v>
      </c>
      <c r="J728" s="57" t="s">
        <v>7774</v>
      </c>
      <c r="K728" s="57" t="s">
        <v>5474</v>
      </c>
    </row>
    <row r="729" customFormat="false" ht="23.05" hidden="false" customHeight="false" outlineLevel="0" collapsed="false">
      <c r="D729" s="60" t="s">
        <v>7775</v>
      </c>
      <c r="E729" s="60" t="s">
        <v>7776</v>
      </c>
      <c r="F729" s="62"/>
      <c r="G729" s="57" t="s">
        <v>7777</v>
      </c>
      <c r="H729" s="57" t="s">
        <v>3792</v>
      </c>
      <c r="I729" s="39"/>
      <c r="J729" s="57" t="s">
        <v>3792</v>
      </c>
      <c r="K729" s="57" t="s">
        <v>3792</v>
      </c>
    </row>
    <row r="730" customFormat="false" ht="67.8" hidden="false" customHeight="false" outlineLevel="0" collapsed="false">
      <c r="F730" s="0" t="s">
        <v>5342</v>
      </c>
      <c r="G730" s="57" t="s">
        <v>7778</v>
      </c>
      <c r="H730" s="57" t="s">
        <v>7775</v>
      </c>
      <c r="I730" s="37" t="s">
        <v>50</v>
      </c>
      <c r="J730" s="57" t="s">
        <v>7779</v>
      </c>
      <c r="K730" s="57" t="s">
        <v>5482</v>
      </c>
    </row>
    <row r="731" customFormat="false" ht="12.8" hidden="false" customHeight="false" outlineLevel="0" collapsed="false">
      <c r="C731" s="64" t="s">
        <v>7780</v>
      </c>
      <c r="D731" s="66" t="s">
        <v>7781</v>
      </c>
      <c r="E731" s="66" t="s">
        <v>7782</v>
      </c>
      <c r="F731" s="69"/>
      <c r="G731" s="57" t="s">
        <v>7783</v>
      </c>
      <c r="H731" s="57" t="s">
        <v>3792</v>
      </c>
      <c r="I731" s="37"/>
      <c r="J731" s="57" t="s">
        <v>3792</v>
      </c>
      <c r="K731" s="57" t="s">
        <v>3792</v>
      </c>
    </row>
    <row r="732" customFormat="false" ht="55.6" hidden="false" customHeight="false" outlineLevel="0" collapsed="false">
      <c r="F732" s="0" t="s">
        <v>5334</v>
      </c>
      <c r="G732" s="57" t="s">
        <v>7784</v>
      </c>
      <c r="H732" s="57" t="s">
        <v>7781</v>
      </c>
      <c r="I732" s="37" t="s">
        <v>50</v>
      </c>
      <c r="J732" s="57" t="s">
        <v>7785</v>
      </c>
      <c r="K732" s="57" t="s">
        <v>5489</v>
      </c>
    </row>
    <row r="733" customFormat="false" ht="23.05" hidden="false" customHeight="false" outlineLevel="0" collapsed="false">
      <c r="D733" s="60" t="s">
        <v>7786</v>
      </c>
      <c r="E733" s="60" t="s">
        <v>7787</v>
      </c>
      <c r="F733" s="62"/>
      <c r="G733" s="57" t="s">
        <v>7788</v>
      </c>
      <c r="H733" s="57" t="s">
        <v>3792</v>
      </c>
      <c r="I733" s="37"/>
      <c r="J733" s="57" t="s">
        <v>3792</v>
      </c>
      <c r="K733" s="57" t="s">
        <v>3792</v>
      </c>
    </row>
    <row r="734" customFormat="false" ht="44.75" hidden="false" customHeight="false" outlineLevel="0" collapsed="false">
      <c r="F734" s="0" t="s">
        <v>5334</v>
      </c>
      <c r="G734" s="57" t="s">
        <v>7789</v>
      </c>
      <c r="H734" s="57" t="s">
        <v>7786</v>
      </c>
      <c r="I734" s="39" t="s">
        <v>67</v>
      </c>
      <c r="J734" s="57" t="s">
        <v>7790</v>
      </c>
      <c r="K734" s="57" t="s">
        <v>5496</v>
      </c>
    </row>
    <row r="735" customFormat="false" ht="23.05" hidden="false" customHeight="false" outlineLevel="0" collapsed="false">
      <c r="D735" s="60" t="s">
        <v>7791</v>
      </c>
      <c r="E735" s="60" t="s">
        <v>7792</v>
      </c>
      <c r="F735" s="62"/>
      <c r="G735" s="57" t="s">
        <v>7793</v>
      </c>
      <c r="H735" s="57" t="s">
        <v>3792</v>
      </c>
      <c r="I735" s="39"/>
      <c r="J735" s="57" t="s">
        <v>3792</v>
      </c>
      <c r="K735" s="57" t="s">
        <v>3792</v>
      </c>
    </row>
    <row r="736" customFormat="false" ht="44.75" hidden="false" customHeight="false" outlineLevel="0" collapsed="false">
      <c r="F736" s="0" t="s">
        <v>5334</v>
      </c>
      <c r="G736" s="57" t="s">
        <v>7794</v>
      </c>
      <c r="H736" s="57" t="s">
        <v>7791</v>
      </c>
      <c r="I736" s="34" t="s">
        <v>40</v>
      </c>
      <c r="J736" s="57" t="s">
        <v>7795</v>
      </c>
      <c r="K736" s="57" t="s">
        <v>5503</v>
      </c>
    </row>
    <row r="737" customFormat="false" ht="23.05" hidden="false" customHeight="false" outlineLevel="0" collapsed="false">
      <c r="D737" s="60" t="s">
        <v>7796</v>
      </c>
      <c r="E737" s="60" t="s">
        <v>7797</v>
      </c>
      <c r="F737" s="62"/>
      <c r="G737" s="57" t="s">
        <v>7798</v>
      </c>
      <c r="H737" s="57" t="s">
        <v>3792</v>
      </c>
      <c r="I737" s="34"/>
      <c r="J737" s="57" t="s">
        <v>3792</v>
      </c>
      <c r="K737" s="57" t="s">
        <v>3792</v>
      </c>
    </row>
    <row r="738" customFormat="false" ht="67.8" hidden="false" customHeight="false" outlineLevel="0" collapsed="false">
      <c r="F738" s="0" t="s">
        <v>5342</v>
      </c>
      <c r="G738" s="57" t="s">
        <v>7799</v>
      </c>
      <c r="H738" s="57" t="s">
        <v>7796</v>
      </c>
      <c r="I738" s="39" t="s">
        <v>67</v>
      </c>
      <c r="J738" s="57" t="s">
        <v>7800</v>
      </c>
      <c r="K738" s="57" t="s">
        <v>5510</v>
      </c>
    </row>
    <row r="739" customFormat="false" ht="23.05" hidden="false" customHeight="false" outlineLevel="0" collapsed="false">
      <c r="D739" s="60" t="s">
        <v>7801</v>
      </c>
      <c r="E739" s="60" t="s">
        <v>7802</v>
      </c>
      <c r="F739" s="62"/>
      <c r="G739" s="57" t="s">
        <v>7803</v>
      </c>
      <c r="H739" s="57" t="s">
        <v>3792</v>
      </c>
      <c r="I739" s="39"/>
      <c r="J739" s="57" t="s">
        <v>3792</v>
      </c>
      <c r="K739" s="57" t="s">
        <v>3792</v>
      </c>
    </row>
    <row r="740" customFormat="false" ht="55.6" hidden="false" customHeight="false" outlineLevel="0" collapsed="false">
      <c r="F740" s="0" t="s">
        <v>5342</v>
      </c>
      <c r="G740" s="57" t="s">
        <v>7804</v>
      </c>
      <c r="H740" s="57" t="s">
        <v>7801</v>
      </c>
      <c r="I740" s="37" t="s">
        <v>50</v>
      </c>
      <c r="J740" s="57" t="s">
        <v>7805</v>
      </c>
      <c r="K740" s="57" t="s">
        <v>5518</v>
      </c>
    </row>
    <row r="741" customFormat="false" ht="23.05" hidden="false" customHeight="false" outlineLevel="0" collapsed="false">
      <c r="B741" s="67" t="s">
        <v>7806</v>
      </c>
      <c r="C741" s="68" t="s">
        <v>7807</v>
      </c>
      <c r="D741" s="68" t="s">
        <v>7808</v>
      </c>
      <c r="E741" s="68" t="s">
        <v>7809</v>
      </c>
      <c r="F741" s="65"/>
      <c r="G741" s="57" t="s">
        <v>7810</v>
      </c>
      <c r="H741" s="57" t="s">
        <v>3792</v>
      </c>
      <c r="I741" s="37"/>
      <c r="J741" s="57" t="s">
        <v>3792</v>
      </c>
      <c r="K741" s="57" t="s">
        <v>3792</v>
      </c>
    </row>
    <row r="742" customFormat="false" ht="55.6" hidden="false" customHeight="false" outlineLevel="0" collapsed="false">
      <c r="F742" s="0" t="s">
        <v>5334</v>
      </c>
      <c r="G742" s="57" t="s">
        <v>7811</v>
      </c>
      <c r="H742" s="57" t="s">
        <v>7808</v>
      </c>
      <c r="I742" s="37" t="s">
        <v>50</v>
      </c>
      <c r="J742" s="57" t="s">
        <v>7812</v>
      </c>
      <c r="K742" s="57" t="s">
        <v>5525</v>
      </c>
    </row>
    <row r="743" customFormat="false" ht="23.05" hidden="false" customHeight="false" outlineLevel="0" collapsed="false">
      <c r="D743" s="60" t="s">
        <v>7813</v>
      </c>
      <c r="E743" s="60" t="s">
        <v>7814</v>
      </c>
      <c r="F743" s="62"/>
      <c r="G743" s="57" t="s">
        <v>7815</v>
      </c>
      <c r="H743" s="57" t="s">
        <v>3792</v>
      </c>
      <c r="I743" s="37"/>
      <c r="J743" s="57" t="s">
        <v>3792</v>
      </c>
      <c r="K743" s="57" t="s">
        <v>3792</v>
      </c>
    </row>
    <row r="744" customFormat="false" ht="44.75" hidden="false" customHeight="false" outlineLevel="0" collapsed="false">
      <c r="F744" s="0" t="s">
        <v>5342</v>
      </c>
      <c r="G744" s="57" t="s">
        <v>7816</v>
      </c>
      <c r="H744" s="57" t="s">
        <v>7813</v>
      </c>
      <c r="I744" s="39" t="s">
        <v>67</v>
      </c>
      <c r="J744" s="57" t="s">
        <v>7817</v>
      </c>
      <c r="K744" s="57" t="s">
        <v>5532</v>
      </c>
    </row>
    <row r="745" customFormat="false" ht="23.05" hidden="false" customHeight="false" outlineLevel="0" collapsed="false">
      <c r="D745" s="60" t="s">
        <v>7818</v>
      </c>
      <c r="E745" s="60" t="s">
        <v>7819</v>
      </c>
      <c r="F745" s="62"/>
      <c r="G745" s="57" t="s">
        <v>7820</v>
      </c>
      <c r="H745" s="57" t="s">
        <v>3792</v>
      </c>
      <c r="I745" s="39"/>
      <c r="J745" s="57" t="s">
        <v>3792</v>
      </c>
      <c r="K745" s="57" t="s">
        <v>3792</v>
      </c>
    </row>
    <row r="746" customFormat="false" ht="67.8" hidden="false" customHeight="false" outlineLevel="0" collapsed="false">
      <c r="F746" s="0" t="s">
        <v>5342</v>
      </c>
      <c r="G746" s="57" t="s">
        <v>7821</v>
      </c>
      <c r="H746" s="57" t="s">
        <v>7818</v>
      </c>
      <c r="I746" s="34" t="s">
        <v>40</v>
      </c>
      <c r="J746" s="57" t="s">
        <v>7822</v>
      </c>
      <c r="K746" s="57" t="s">
        <v>5539</v>
      </c>
    </row>
    <row r="747" customFormat="false" ht="23.05" hidden="false" customHeight="false" outlineLevel="0" collapsed="false">
      <c r="D747" s="60" t="s">
        <v>7823</v>
      </c>
      <c r="E747" s="60" t="s">
        <v>7824</v>
      </c>
      <c r="F747" s="62"/>
      <c r="G747" s="57" t="s">
        <v>7825</v>
      </c>
      <c r="H747" s="57" t="s">
        <v>3792</v>
      </c>
      <c r="I747" s="34"/>
      <c r="J747" s="57" t="s">
        <v>3792</v>
      </c>
      <c r="K747" s="57" t="s">
        <v>3792</v>
      </c>
    </row>
    <row r="748" customFormat="false" ht="55.6" hidden="false" customHeight="false" outlineLevel="0" collapsed="false">
      <c r="F748" s="0" t="s">
        <v>5334</v>
      </c>
      <c r="G748" s="57" t="s">
        <v>7826</v>
      </c>
      <c r="H748" s="57" t="s">
        <v>7823</v>
      </c>
      <c r="I748" s="39" t="s">
        <v>67</v>
      </c>
      <c r="J748" s="57" t="s">
        <v>7827</v>
      </c>
      <c r="K748" s="57" t="s">
        <v>5546</v>
      </c>
    </row>
    <row r="749" customFormat="false" ht="33.9" hidden="false" customHeight="false" outlineLevel="0" collapsed="false">
      <c r="D749" s="60" t="s">
        <v>7828</v>
      </c>
      <c r="E749" s="60" t="s">
        <v>7829</v>
      </c>
      <c r="F749" s="62"/>
      <c r="G749" s="57" t="s">
        <v>7830</v>
      </c>
      <c r="H749" s="57" t="s">
        <v>3792</v>
      </c>
      <c r="I749" s="39"/>
      <c r="J749" s="57" t="s">
        <v>3792</v>
      </c>
      <c r="K749" s="57" t="s">
        <v>3792</v>
      </c>
    </row>
    <row r="750" customFormat="false" ht="55.6" hidden="false" customHeight="false" outlineLevel="0" collapsed="false">
      <c r="F750" s="0" t="s">
        <v>5342</v>
      </c>
      <c r="G750" s="57" t="s">
        <v>7831</v>
      </c>
      <c r="H750" s="57" t="s">
        <v>7828</v>
      </c>
      <c r="I750" s="37" t="s">
        <v>50</v>
      </c>
      <c r="J750" s="57" t="s">
        <v>7832</v>
      </c>
      <c r="K750" s="57" t="s">
        <v>5555</v>
      </c>
    </row>
    <row r="751" customFormat="false" ht="33.9" hidden="false" customHeight="false" outlineLevel="0" collapsed="false">
      <c r="C751" s="70" t="s">
        <v>7833</v>
      </c>
      <c r="D751" s="66" t="s">
        <v>7834</v>
      </c>
      <c r="E751" s="66" t="s">
        <v>7835</v>
      </c>
      <c r="F751" s="65"/>
      <c r="G751" s="57" t="s">
        <v>7836</v>
      </c>
      <c r="H751" s="57" t="s">
        <v>3792</v>
      </c>
      <c r="I751" s="37"/>
      <c r="J751" s="57" t="s">
        <v>3792</v>
      </c>
      <c r="K751" s="57" t="s">
        <v>3792</v>
      </c>
    </row>
    <row r="752" customFormat="false" ht="44.75" hidden="false" customHeight="false" outlineLevel="0" collapsed="false">
      <c r="F752" s="0" t="s">
        <v>5342</v>
      </c>
      <c r="G752" s="57" t="s">
        <v>7837</v>
      </c>
      <c r="H752" s="57" t="s">
        <v>7834</v>
      </c>
      <c r="I752" s="37" t="s">
        <v>50</v>
      </c>
      <c r="J752" s="57" t="s">
        <v>7838</v>
      </c>
      <c r="K752" s="57" t="s">
        <v>5562</v>
      </c>
    </row>
    <row r="753" customFormat="false" ht="12.8" hidden="false" customHeight="false" outlineLevel="0" collapsed="false">
      <c r="D753" s="60" t="s">
        <v>7839</v>
      </c>
      <c r="E753" s="60" t="s">
        <v>7840</v>
      </c>
      <c r="F753" s="62"/>
      <c r="G753" s="57" t="s">
        <v>7841</v>
      </c>
      <c r="H753" s="57" t="s">
        <v>3792</v>
      </c>
      <c r="I753" s="37"/>
      <c r="J753" s="57" t="s">
        <v>3792</v>
      </c>
      <c r="K753" s="57" t="s">
        <v>3792</v>
      </c>
    </row>
    <row r="754" customFormat="false" ht="44.75" hidden="false" customHeight="false" outlineLevel="0" collapsed="false">
      <c r="F754" s="0" t="s">
        <v>5334</v>
      </c>
      <c r="G754" s="57" t="s">
        <v>7842</v>
      </c>
      <c r="H754" s="57" t="s">
        <v>7839</v>
      </c>
      <c r="I754" s="39" t="s">
        <v>67</v>
      </c>
      <c r="J754" s="57" t="s">
        <v>7843</v>
      </c>
      <c r="K754" s="57" t="s">
        <v>5568</v>
      </c>
    </row>
    <row r="755" customFormat="false" ht="23.05" hidden="false" customHeight="false" outlineLevel="0" collapsed="false">
      <c r="D755" s="60" t="s">
        <v>7844</v>
      </c>
      <c r="E755" s="60" t="s">
        <v>7845</v>
      </c>
      <c r="F755" s="62"/>
      <c r="G755" s="57" t="s">
        <v>7846</v>
      </c>
      <c r="H755" s="57" t="s">
        <v>3792</v>
      </c>
      <c r="I755" s="39"/>
      <c r="J755" s="57" t="s">
        <v>3792</v>
      </c>
      <c r="K755" s="57" t="s">
        <v>3792</v>
      </c>
    </row>
    <row r="756" customFormat="false" ht="44.75" hidden="false" customHeight="false" outlineLevel="0" collapsed="false">
      <c r="F756" s="0" t="s">
        <v>5334</v>
      </c>
      <c r="G756" s="57" t="s">
        <v>7847</v>
      </c>
      <c r="H756" s="57" t="s">
        <v>7844</v>
      </c>
      <c r="I756" s="34" t="s">
        <v>40</v>
      </c>
      <c r="J756" s="57" t="s">
        <v>7848</v>
      </c>
      <c r="K756" s="57" t="s">
        <v>5573</v>
      </c>
    </row>
    <row r="757" customFormat="false" ht="23.05" hidden="false" customHeight="false" outlineLevel="0" collapsed="false">
      <c r="D757" s="60" t="s">
        <v>7849</v>
      </c>
      <c r="E757" s="60" t="s">
        <v>7850</v>
      </c>
      <c r="F757" s="62"/>
      <c r="G757" s="57" t="s">
        <v>7851</v>
      </c>
      <c r="H757" s="57" t="s">
        <v>3792</v>
      </c>
      <c r="I757" s="34"/>
      <c r="J757" s="57" t="s">
        <v>3792</v>
      </c>
      <c r="K757" s="57" t="s">
        <v>3792</v>
      </c>
    </row>
    <row r="758" customFormat="false" ht="67.8" hidden="false" customHeight="false" outlineLevel="0" collapsed="false">
      <c r="F758" s="0" t="s">
        <v>5334</v>
      </c>
      <c r="G758" s="57" t="s">
        <v>7852</v>
      </c>
      <c r="H758" s="57" t="s">
        <v>7849</v>
      </c>
      <c r="I758" s="39" t="s">
        <v>67</v>
      </c>
      <c r="J758" s="57" t="s">
        <v>7853</v>
      </c>
      <c r="K758" s="57" t="s">
        <v>5578</v>
      </c>
    </row>
    <row r="759" customFormat="false" ht="23.05" hidden="false" customHeight="false" outlineLevel="0" collapsed="false">
      <c r="D759" s="60" t="s">
        <v>7854</v>
      </c>
      <c r="E759" s="60" t="s">
        <v>7855</v>
      </c>
      <c r="F759" s="62"/>
      <c r="G759" s="57" t="s">
        <v>7856</v>
      </c>
      <c r="H759" s="57" t="s">
        <v>3792</v>
      </c>
      <c r="I759" s="39"/>
      <c r="J759" s="57" t="s">
        <v>3792</v>
      </c>
      <c r="K759" s="57" t="s">
        <v>3792</v>
      </c>
    </row>
    <row r="760" customFormat="false" ht="55.6" hidden="false" customHeight="false" outlineLevel="0" collapsed="false">
      <c r="F760" s="0" t="s">
        <v>5342</v>
      </c>
      <c r="G760" s="57" t="s">
        <v>7857</v>
      </c>
      <c r="H760" s="57" t="s">
        <v>7854</v>
      </c>
      <c r="I760" s="37" t="s">
        <v>50</v>
      </c>
      <c r="J760" s="57" t="s">
        <v>7858</v>
      </c>
      <c r="K760" s="57" t="s">
        <v>5584</v>
      </c>
    </row>
    <row r="761" customFormat="false" ht="23.05" hidden="false" customHeight="false" outlineLevel="0" collapsed="false">
      <c r="C761" s="70" t="s">
        <v>7859</v>
      </c>
      <c r="D761" s="66" t="s">
        <v>7860</v>
      </c>
      <c r="E761" s="66" t="s">
        <v>7861</v>
      </c>
      <c r="F761" s="65"/>
      <c r="G761" s="57" t="s">
        <v>7862</v>
      </c>
      <c r="H761" s="57" t="s">
        <v>3792</v>
      </c>
      <c r="I761" s="37"/>
      <c r="J761" s="57" t="s">
        <v>3792</v>
      </c>
      <c r="K761" s="57" t="s">
        <v>3792</v>
      </c>
    </row>
    <row r="762" customFormat="false" ht="55.6" hidden="false" customHeight="false" outlineLevel="0" collapsed="false">
      <c r="F762" s="0" t="s">
        <v>5334</v>
      </c>
      <c r="G762" s="57" t="s">
        <v>7863</v>
      </c>
      <c r="H762" s="57" t="s">
        <v>7860</v>
      </c>
      <c r="I762" s="37" t="s">
        <v>50</v>
      </c>
      <c r="J762" s="57" t="s">
        <v>7864</v>
      </c>
      <c r="K762" s="57" t="s">
        <v>5589</v>
      </c>
    </row>
    <row r="763" customFormat="false" ht="23.05" hidden="false" customHeight="false" outlineLevel="0" collapsed="false">
      <c r="D763" s="60" t="s">
        <v>7865</v>
      </c>
      <c r="E763" s="60" t="s">
        <v>7866</v>
      </c>
      <c r="F763" s="62"/>
      <c r="G763" s="57" t="s">
        <v>7867</v>
      </c>
      <c r="H763" s="57" t="s">
        <v>3792</v>
      </c>
      <c r="I763" s="37"/>
      <c r="J763" s="57" t="s">
        <v>3792</v>
      </c>
      <c r="K763" s="57" t="s">
        <v>3792</v>
      </c>
    </row>
    <row r="764" customFormat="false" ht="44.75" hidden="false" customHeight="false" outlineLevel="0" collapsed="false">
      <c r="F764" s="0" t="s">
        <v>5342</v>
      </c>
      <c r="G764" s="57" t="s">
        <v>7868</v>
      </c>
      <c r="H764" s="57" t="s">
        <v>7865</v>
      </c>
      <c r="I764" s="39" t="s">
        <v>67</v>
      </c>
      <c r="J764" s="57" t="s">
        <v>7869</v>
      </c>
      <c r="K764" s="57" t="s">
        <v>5594</v>
      </c>
    </row>
    <row r="765" customFormat="false" ht="23.05" hidden="false" customHeight="false" outlineLevel="0" collapsed="false">
      <c r="D765" s="60" t="s">
        <v>7870</v>
      </c>
      <c r="E765" s="60" t="s">
        <v>7871</v>
      </c>
      <c r="F765" s="62"/>
      <c r="G765" s="57" t="s">
        <v>7872</v>
      </c>
      <c r="H765" s="57" t="s">
        <v>3792</v>
      </c>
      <c r="I765" s="39"/>
      <c r="J765" s="57" t="s">
        <v>3792</v>
      </c>
      <c r="K765" s="57" t="s">
        <v>3792</v>
      </c>
    </row>
    <row r="766" customFormat="false" ht="55.6" hidden="false" customHeight="false" outlineLevel="0" collapsed="false">
      <c r="F766" s="0" t="s">
        <v>5342</v>
      </c>
      <c r="G766" s="57" t="s">
        <v>7873</v>
      </c>
      <c r="H766" s="57" t="s">
        <v>7870</v>
      </c>
      <c r="I766" s="34" t="s">
        <v>40</v>
      </c>
      <c r="J766" s="57" t="s">
        <v>7874</v>
      </c>
      <c r="K766" s="57" t="s">
        <v>5599</v>
      </c>
    </row>
    <row r="767" customFormat="false" ht="23.05" hidden="false" customHeight="false" outlineLevel="0" collapsed="false">
      <c r="D767" s="60" t="s">
        <v>7875</v>
      </c>
      <c r="E767" s="60" t="s">
        <v>7876</v>
      </c>
      <c r="F767" s="62"/>
      <c r="G767" s="57" t="s">
        <v>7877</v>
      </c>
      <c r="H767" s="57" t="s">
        <v>3792</v>
      </c>
      <c r="I767" s="34"/>
      <c r="J767" s="57" t="s">
        <v>3792</v>
      </c>
      <c r="K767" s="57" t="s">
        <v>3792</v>
      </c>
    </row>
    <row r="768" customFormat="false" ht="44.75" hidden="false" customHeight="false" outlineLevel="0" collapsed="false">
      <c r="F768" s="0" t="s">
        <v>5334</v>
      </c>
      <c r="G768" s="57" t="s">
        <v>7878</v>
      </c>
      <c r="H768" s="57" t="s">
        <v>7875</v>
      </c>
      <c r="I768" s="39" t="s">
        <v>67</v>
      </c>
      <c r="J768" s="57" t="s">
        <v>7879</v>
      </c>
      <c r="K768" s="57" t="s">
        <v>5604</v>
      </c>
    </row>
    <row r="769" customFormat="false" ht="23.05" hidden="false" customHeight="false" outlineLevel="0" collapsed="false">
      <c r="D769" s="60" t="s">
        <v>7880</v>
      </c>
      <c r="E769" s="60" t="s">
        <v>7881</v>
      </c>
      <c r="F769" s="62"/>
      <c r="G769" s="57" t="s">
        <v>7882</v>
      </c>
      <c r="H769" s="57" t="s">
        <v>3792</v>
      </c>
      <c r="I769" s="39"/>
      <c r="J769" s="57" t="s">
        <v>3792</v>
      </c>
      <c r="K769" s="57" t="s">
        <v>3792</v>
      </c>
    </row>
    <row r="770" customFormat="false" ht="55.6" hidden="false" customHeight="false" outlineLevel="0" collapsed="false">
      <c r="F770" s="0" t="s">
        <v>5334</v>
      </c>
      <c r="G770" s="57" t="s">
        <v>7883</v>
      </c>
      <c r="H770" s="57" t="s">
        <v>7880</v>
      </c>
      <c r="I770" s="37" t="s">
        <v>50</v>
      </c>
      <c r="J770" s="57" t="s">
        <v>7884</v>
      </c>
      <c r="K770" s="57" t="s">
        <v>5610</v>
      </c>
    </row>
    <row r="771" customFormat="false" ht="23.05" hidden="false" customHeight="false" outlineLevel="0" collapsed="false">
      <c r="C771" s="70" t="s">
        <v>7885</v>
      </c>
      <c r="D771" s="66" t="s">
        <v>7886</v>
      </c>
      <c r="E771" s="66" t="s">
        <v>7887</v>
      </c>
      <c r="F771" s="65"/>
      <c r="G771" s="57" t="s">
        <v>7888</v>
      </c>
      <c r="H771" s="57" t="s">
        <v>3792</v>
      </c>
      <c r="I771" s="37"/>
      <c r="J771" s="57" t="s">
        <v>3792</v>
      </c>
      <c r="K771" s="57" t="s">
        <v>3792</v>
      </c>
    </row>
    <row r="772" customFormat="false" ht="44.75" hidden="false" customHeight="false" outlineLevel="0" collapsed="false">
      <c r="F772" s="0" t="s">
        <v>5342</v>
      </c>
      <c r="G772" s="57" t="s">
        <v>7889</v>
      </c>
      <c r="H772" s="57" t="s">
        <v>7886</v>
      </c>
      <c r="I772" s="37" t="s">
        <v>50</v>
      </c>
      <c r="J772" s="57" t="s">
        <v>7890</v>
      </c>
      <c r="K772" s="57" t="s">
        <v>5615</v>
      </c>
    </row>
    <row r="773" customFormat="false" ht="12.8" hidden="false" customHeight="false" outlineLevel="0" collapsed="false">
      <c r="D773" s="60" t="s">
        <v>7891</v>
      </c>
      <c r="E773" s="60" t="s">
        <v>7892</v>
      </c>
      <c r="F773" s="62"/>
      <c r="G773" s="57" t="s">
        <v>7893</v>
      </c>
      <c r="H773" s="57" t="s">
        <v>3792</v>
      </c>
      <c r="I773" s="37"/>
      <c r="J773" s="57" t="s">
        <v>3792</v>
      </c>
      <c r="K773" s="57" t="s">
        <v>3792</v>
      </c>
    </row>
    <row r="774" customFormat="false" ht="55.6" hidden="false" customHeight="false" outlineLevel="0" collapsed="false">
      <c r="F774" s="0" t="s">
        <v>5342</v>
      </c>
      <c r="G774" s="57" t="s">
        <v>7894</v>
      </c>
      <c r="H774" s="57" t="s">
        <v>7891</v>
      </c>
      <c r="I774" s="39" t="s">
        <v>67</v>
      </c>
      <c r="J774" s="57" t="s">
        <v>7895</v>
      </c>
      <c r="K774" s="57" t="s">
        <v>5620</v>
      </c>
    </row>
    <row r="775" customFormat="false" ht="23.05" hidden="false" customHeight="false" outlineLevel="0" collapsed="false">
      <c r="D775" s="60" t="s">
        <v>7896</v>
      </c>
      <c r="E775" s="60" t="s">
        <v>7897</v>
      </c>
      <c r="F775" s="62"/>
      <c r="G775" s="57" t="s">
        <v>7898</v>
      </c>
      <c r="H775" s="57" t="s">
        <v>3792</v>
      </c>
      <c r="I775" s="39"/>
      <c r="J775" s="57" t="s">
        <v>3792</v>
      </c>
      <c r="K775" s="57" t="s">
        <v>3792</v>
      </c>
    </row>
    <row r="776" customFormat="false" ht="55.6" hidden="false" customHeight="false" outlineLevel="0" collapsed="false">
      <c r="F776" s="0" t="s">
        <v>5334</v>
      </c>
      <c r="G776" s="57" t="s">
        <v>7899</v>
      </c>
      <c r="H776" s="57" t="s">
        <v>7896</v>
      </c>
      <c r="I776" s="34" t="s">
        <v>40</v>
      </c>
      <c r="J776" s="57" t="s">
        <v>7900</v>
      </c>
      <c r="K776" s="57" t="s">
        <v>5625</v>
      </c>
    </row>
    <row r="777" customFormat="false" ht="23.05" hidden="false" customHeight="false" outlineLevel="0" collapsed="false">
      <c r="D777" s="60" t="s">
        <v>7901</v>
      </c>
      <c r="E777" s="60" t="s">
        <v>7902</v>
      </c>
      <c r="F777" s="62"/>
      <c r="G777" s="57" t="s">
        <v>7903</v>
      </c>
      <c r="H777" s="57" t="s">
        <v>3792</v>
      </c>
      <c r="I777" s="34"/>
      <c r="J777" s="57" t="s">
        <v>3792</v>
      </c>
      <c r="K777" s="57" t="s">
        <v>3792</v>
      </c>
    </row>
    <row r="778" customFormat="false" ht="55.6" hidden="false" customHeight="false" outlineLevel="0" collapsed="false">
      <c r="F778" s="0" t="s">
        <v>5334</v>
      </c>
      <c r="G778" s="57" t="s">
        <v>7904</v>
      </c>
      <c r="H778" s="57" t="s">
        <v>7901</v>
      </c>
      <c r="I778" s="39" t="s">
        <v>67</v>
      </c>
      <c r="J778" s="57" t="s">
        <v>7905</v>
      </c>
      <c r="K778" s="57" t="s">
        <v>5630</v>
      </c>
    </row>
    <row r="779" customFormat="false" ht="23.05" hidden="false" customHeight="false" outlineLevel="0" collapsed="false">
      <c r="D779" s="60" t="s">
        <v>7906</v>
      </c>
      <c r="E779" s="60" t="s">
        <v>7907</v>
      </c>
      <c r="F779" s="62"/>
      <c r="G779" s="57" t="s">
        <v>7908</v>
      </c>
      <c r="H779" s="57" t="s">
        <v>3792</v>
      </c>
      <c r="I779" s="39"/>
      <c r="J779" s="57" t="s">
        <v>3792</v>
      </c>
      <c r="K779" s="57" t="s">
        <v>3792</v>
      </c>
    </row>
    <row r="780" customFormat="false" ht="44.75" hidden="false" customHeight="false" outlineLevel="0" collapsed="false">
      <c r="F780" s="0" t="s">
        <v>5342</v>
      </c>
      <c r="G780" s="57" t="s">
        <v>7909</v>
      </c>
      <c r="H780" s="57" t="s">
        <v>7906</v>
      </c>
      <c r="I780" s="37" t="s">
        <v>50</v>
      </c>
      <c r="J780" s="57" t="s">
        <v>7910</v>
      </c>
      <c r="K780" s="57" t="s">
        <v>5636</v>
      </c>
    </row>
    <row r="781" customFormat="false" ht="23.05" hidden="false" customHeight="false" outlineLevel="0" collapsed="false">
      <c r="C781" s="64" t="s">
        <v>7911</v>
      </c>
      <c r="D781" s="66" t="s">
        <v>7912</v>
      </c>
      <c r="E781" s="66" t="s">
        <v>7913</v>
      </c>
      <c r="F781" s="65"/>
      <c r="G781" s="57" t="s">
        <v>7914</v>
      </c>
      <c r="H781" s="57" t="s">
        <v>3792</v>
      </c>
      <c r="I781" s="37"/>
      <c r="J781" s="57" t="s">
        <v>3792</v>
      </c>
      <c r="K781" s="57" t="s">
        <v>3792</v>
      </c>
    </row>
    <row r="782" customFormat="false" ht="44.75" hidden="false" customHeight="false" outlineLevel="0" collapsed="false">
      <c r="F782" s="0" t="s">
        <v>5342</v>
      </c>
      <c r="G782" s="57" t="s">
        <v>7915</v>
      </c>
      <c r="H782" s="57" t="s">
        <v>7912</v>
      </c>
      <c r="I782" s="37" t="s">
        <v>50</v>
      </c>
      <c r="J782" s="57" t="s">
        <v>7916</v>
      </c>
      <c r="K782" s="57" t="s">
        <v>5641</v>
      </c>
    </row>
    <row r="783" customFormat="false" ht="23.05" hidden="false" customHeight="false" outlineLevel="0" collapsed="false">
      <c r="D783" s="60" t="s">
        <v>7917</v>
      </c>
      <c r="E783" s="60" t="s">
        <v>7918</v>
      </c>
      <c r="F783" s="62"/>
      <c r="G783" s="57" t="s">
        <v>7919</v>
      </c>
      <c r="H783" s="57" t="s">
        <v>3792</v>
      </c>
      <c r="I783" s="37"/>
      <c r="J783" s="57" t="s">
        <v>3792</v>
      </c>
      <c r="K783" s="57" t="s">
        <v>3792</v>
      </c>
    </row>
    <row r="784" customFormat="false" ht="55.6" hidden="false" customHeight="false" outlineLevel="0" collapsed="false">
      <c r="F784" s="0" t="s">
        <v>5334</v>
      </c>
      <c r="G784" s="57" t="s">
        <v>7920</v>
      </c>
      <c r="H784" s="57" t="s">
        <v>7917</v>
      </c>
      <c r="I784" s="39" t="s">
        <v>67</v>
      </c>
      <c r="J784" s="57" t="s">
        <v>7921</v>
      </c>
      <c r="K784" s="57" t="s">
        <v>5646</v>
      </c>
    </row>
    <row r="785" customFormat="false" ht="23.05" hidden="false" customHeight="false" outlineLevel="0" collapsed="false">
      <c r="D785" s="60" t="s">
        <v>7922</v>
      </c>
      <c r="E785" s="60" t="s">
        <v>7923</v>
      </c>
      <c r="F785" s="62"/>
      <c r="G785" s="57" t="s">
        <v>7924</v>
      </c>
      <c r="H785" s="57" t="s">
        <v>3792</v>
      </c>
      <c r="I785" s="39"/>
      <c r="J785" s="57" t="s">
        <v>3792</v>
      </c>
      <c r="K785" s="57" t="s">
        <v>3792</v>
      </c>
    </row>
    <row r="786" customFormat="false" ht="44.75" hidden="false" customHeight="false" outlineLevel="0" collapsed="false">
      <c r="F786" s="0" t="s">
        <v>5342</v>
      </c>
      <c r="G786" s="57" t="s">
        <v>7925</v>
      </c>
      <c r="H786" s="57" t="s">
        <v>7922</v>
      </c>
      <c r="I786" s="34" t="s">
        <v>40</v>
      </c>
      <c r="J786" s="57" t="s">
        <v>7926</v>
      </c>
      <c r="K786" s="57" t="s">
        <v>5651</v>
      </c>
    </row>
    <row r="787" customFormat="false" ht="23.05" hidden="false" customHeight="false" outlineLevel="0" collapsed="false">
      <c r="D787" s="60" t="s">
        <v>7927</v>
      </c>
      <c r="E787" s="60" t="s">
        <v>7928</v>
      </c>
      <c r="F787" s="62"/>
      <c r="G787" s="57" t="s">
        <v>7929</v>
      </c>
      <c r="H787" s="57" t="s">
        <v>3792</v>
      </c>
      <c r="I787" s="34"/>
      <c r="J787" s="57" t="s">
        <v>3792</v>
      </c>
      <c r="K787" s="57" t="s">
        <v>3792</v>
      </c>
    </row>
    <row r="788" customFormat="false" ht="44.75" hidden="false" customHeight="false" outlineLevel="0" collapsed="false">
      <c r="F788" s="0" t="s">
        <v>5334</v>
      </c>
      <c r="G788" s="57" t="s">
        <v>7930</v>
      </c>
      <c r="H788" s="57" t="s">
        <v>7927</v>
      </c>
      <c r="I788" s="39" t="s">
        <v>67</v>
      </c>
      <c r="J788" s="57" t="s">
        <v>7931</v>
      </c>
      <c r="K788" s="57" t="s">
        <v>5656</v>
      </c>
    </row>
    <row r="789" customFormat="false" ht="23.05" hidden="false" customHeight="false" outlineLevel="0" collapsed="false">
      <c r="D789" s="60" t="s">
        <v>7932</v>
      </c>
      <c r="E789" s="60" t="s">
        <v>7933</v>
      </c>
      <c r="F789" s="62"/>
      <c r="G789" s="57" t="s">
        <v>7934</v>
      </c>
      <c r="H789" s="57" t="s">
        <v>3792</v>
      </c>
      <c r="I789" s="39"/>
      <c r="J789" s="57" t="s">
        <v>3792</v>
      </c>
      <c r="K789" s="57" t="s">
        <v>3792</v>
      </c>
    </row>
    <row r="790" customFormat="false" ht="44.75" hidden="false" customHeight="false" outlineLevel="0" collapsed="false">
      <c r="F790" s="0" t="s">
        <v>5342</v>
      </c>
      <c r="G790" s="57" t="s">
        <v>7935</v>
      </c>
      <c r="H790" s="57" t="s">
        <v>7932</v>
      </c>
      <c r="I790" s="37" t="s">
        <v>50</v>
      </c>
      <c r="J790" s="57" t="s">
        <v>7936</v>
      </c>
      <c r="K790" s="57" t="s">
        <v>5662</v>
      </c>
    </row>
    <row r="791" customFormat="false" ht="23.05" hidden="false" customHeight="false" outlineLevel="0" collapsed="false">
      <c r="C791" s="70" t="s">
        <v>7937</v>
      </c>
      <c r="D791" s="66" t="s">
        <v>7938</v>
      </c>
      <c r="E791" s="66" t="s">
        <v>7939</v>
      </c>
      <c r="F791" s="65"/>
      <c r="G791" s="57" t="s">
        <v>7940</v>
      </c>
      <c r="H791" s="57" t="s">
        <v>3792</v>
      </c>
      <c r="I791" s="37"/>
      <c r="J791" s="57" t="s">
        <v>3792</v>
      </c>
      <c r="K791" s="57" t="s">
        <v>3792</v>
      </c>
    </row>
    <row r="792" customFormat="false" ht="44.75" hidden="false" customHeight="false" outlineLevel="0" collapsed="false">
      <c r="F792" s="0" t="s">
        <v>5334</v>
      </c>
      <c r="G792" s="57" t="s">
        <v>7941</v>
      </c>
      <c r="H792" s="57" t="s">
        <v>7938</v>
      </c>
      <c r="I792" s="37" t="s">
        <v>50</v>
      </c>
      <c r="J792" s="57" t="s">
        <v>7942</v>
      </c>
      <c r="K792" s="57" t="s">
        <v>5667</v>
      </c>
    </row>
    <row r="793" customFormat="false" ht="23.05" hidden="false" customHeight="false" outlineLevel="0" collapsed="false">
      <c r="D793" s="60" t="s">
        <v>7943</v>
      </c>
      <c r="E793" s="60" t="s">
        <v>7944</v>
      </c>
      <c r="F793" s="62"/>
      <c r="G793" s="57" t="s">
        <v>7945</v>
      </c>
      <c r="H793" s="57" t="s">
        <v>3792</v>
      </c>
      <c r="I793" s="37"/>
      <c r="J793" s="57" t="s">
        <v>3792</v>
      </c>
      <c r="K793" s="57" t="s">
        <v>3792</v>
      </c>
    </row>
    <row r="794" customFormat="false" ht="44.75" hidden="false" customHeight="false" outlineLevel="0" collapsed="false">
      <c r="F794" s="0" t="s">
        <v>5334</v>
      </c>
      <c r="G794" s="57" t="s">
        <v>7946</v>
      </c>
      <c r="H794" s="57" t="s">
        <v>7943</v>
      </c>
      <c r="I794" s="39" t="s">
        <v>67</v>
      </c>
      <c r="J794" s="57" t="s">
        <v>7947</v>
      </c>
      <c r="K794" s="57" t="s">
        <v>5672</v>
      </c>
    </row>
    <row r="795" customFormat="false" ht="12.8" hidden="false" customHeight="false" outlineLevel="0" collapsed="false">
      <c r="D795" s="60" t="s">
        <v>7948</v>
      </c>
      <c r="E795" s="60" t="s">
        <v>7949</v>
      </c>
      <c r="F795" s="62"/>
      <c r="G795" s="57" t="s">
        <v>7950</v>
      </c>
      <c r="H795" s="57" t="s">
        <v>3792</v>
      </c>
      <c r="I795" s="39"/>
      <c r="J795" s="57" t="s">
        <v>3792</v>
      </c>
      <c r="K795" s="57" t="s">
        <v>3792</v>
      </c>
    </row>
    <row r="796" customFormat="false" ht="44.75" hidden="false" customHeight="false" outlineLevel="0" collapsed="false">
      <c r="F796" s="0" t="s">
        <v>5342</v>
      </c>
      <c r="G796" s="57" t="s">
        <v>7951</v>
      </c>
      <c r="H796" s="57" t="s">
        <v>7948</v>
      </c>
      <c r="I796" s="34" t="s">
        <v>40</v>
      </c>
      <c r="J796" s="57" t="s">
        <v>7952</v>
      </c>
      <c r="K796" s="57" t="s">
        <v>5677</v>
      </c>
    </row>
    <row r="797" customFormat="false" ht="23.05" hidden="false" customHeight="false" outlineLevel="0" collapsed="false">
      <c r="D797" s="60" t="s">
        <v>7953</v>
      </c>
      <c r="E797" s="60" t="s">
        <v>7954</v>
      </c>
      <c r="F797" s="62"/>
      <c r="G797" s="57" t="s">
        <v>7955</v>
      </c>
      <c r="H797" s="57" t="s">
        <v>3792</v>
      </c>
      <c r="I797" s="34"/>
      <c r="J797" s="57" t="s">
        <v>3792</v>
      </c>
      <c r="K797" s="57" t="s">
        <v>3792</v>
      </c>
    </row>
    <row r="798" customFormat="false" ht="55.6" hidden="false" customHeight="false" outlineLevel="0" collapsed="false">
      <c r="F798" s="0" t="s">
        <v>5334</v>
      </c>
      <c r="G798" s="57" t="s">
        <v>7956</v>
      </c>
      <c r="H798" s="57" t="s">
        <v>7953</v>
      </c>
      <c r="I798" s="39" t="s">
        <v>67</v>
      </c>
      <c r="J798" s="57" t="s">
        <v>7957</v>
      </c>
      <c r="K798" s="57" t="s">
        <v>5682</v>
      </c>
    </row>
    <row r="799" customFormat="false" ht="23.05" hidden="false" customHeight="false" outlineLevel="0" collapsed="false">
      <c r="D799" s="60" t="s">
        <v>7958</v>
      </c>
      <c r="E799" s="60" t="s">
        <v>7959</v>
      </c>
      <c r="F799" s="62"/>
      <c r="G799" s="57" t="s">
        <v>7960</v>
      </c>
      <c r="H799" s="57" t="s">
        <v>3792</v>
      </c>
      <c r="I799" s="39"/>
      <c r="J799" s="57" t="s">
        <v>3792</v>
      </c>
      <c r="K799" s="57" t="s">
        <v>3792</v>
      </c>
    </row>
    <row r="800" customFormat="false" ht="44.75" hidden="false" customHeight="false" outlineLevel="0" collapsed="false">
      <c r="F800" s="0" t="s">
        <v>5334</v>
      </c>
      <c r="G800" s="57" t="s">
        <v>7961</v>
      </c>
      <c r="H800" s="57" t="s">
        <v>7958</v>
      </c>
      <c r="I800" s="37" t="s">
        <v>50</v>
      </c>
      <c r="J800" s="57" t="s">
        <v>7962</v>
      </c>
      <c r="K800" s="57" t="s">
        <v>5689</v>
      </c>
    </row>
    <row r="801" customFormat="false" ht="23.05" hidden="false" customHeight="false" outlineLevel="0" collapsed="false">
      <c r="C801" s="70" t="s">
        <v>7963</v>
      </c>
      <c r="D801" s="66" t="s">
        <v>7964</v>
      </c>
      <c r="E801" s="66" t="s">
        <v>7965</v>
      </c>
      <c r="F801" s="65"/>
      <c r="G801" s="57" t="s">
        <v>7966</v>
      </c>
      <c r="H801" s="57" t="s">
        <v>3792</v>
      </c>
      <c r="I801" s="37"/>
      <c r="K801" s="57" t="s">
        <v>3792</v>
      </c>
    </row>
    <row r="802" customFormat="false" ht="67.8" hidden="false" customHeight="false" outlineLevel="0" collapsed="false">
      <c r="F802" s="0" t="s">
        <v>5342</v>
      </c>
      <c r="G802" s="57" t="s">
        <v>7967</v>
      </c>
      <c r="H802" s="57" t="s">
        <v>7964</v>
      </c>
      <c r="I802" s="37" t="s">
        <v>50</v>
      </c>
      <c r="J802" s="57" t="s">
        <v>7968</v>
      </c>
      <c r="K802" s="57" t="s">
        <v>5694</v>
      </c>
    </row>
    <row r="803" customFormat="false" ht="33.9" hidden="false" customHeight="false" outlineLevel="0" collapsed="false">
      <c r="D803" s="60" t="s">
        <v>7969</v>
      </c>
      <c r="E803" s="60" t="s">
        <v>7970</v>
      </c>
      <c r="F803" s="62"/>
      <c r="G803" s="57" t="s">
        <v>7971</v>
      </c>
      <c r="H803" s="57" t="s">
        <v>3792</v>
      </c>
      <c r="I803" s="37"/>
      <c r="J803" s="57" t="s">
        <v>3792</v>
      </c>
      <c r="K803" s="57" t="s">
        <v>3792</v>
      </c>
    </row>
    <row r="804" customFormat="false" ht="55.6" hidden="false" customHeight="false" outlineLevel="0" collapsed="false">
      <c r="F804" s="0" t="s">
        <v>5342</v>
      </c>
      <c r="G804" s="57" t="s">
        <v>7972</v>
      </c>
      <c r="H804" s="57" t="s">
        <v>7969</v>
      </c>
      <c r="I804" s="39" t="s">
        <v>67</v>
      </c>
      <c r="J804" s="57" t="s">
        <v>7973</v>
      </c>
      <c r="K804" s="57" t="s">
        <v>5699</v>
      </c>
    </row>
    <row r="805" customFormat="false" ht="33.9" hidden="false" customHeight="false" outlineLevel="0" collapsed="false">
      <c r="D805" s="60" t="s">
        <v>7974</v>
      </c>
      <c r="E805" s="60" t="s">
        <v>7975</v>
      </c>
      <c r="F805" s="62"/>
      <c r="G805" s="57" t="s">
        <v>7976</v>
      </c>
      <c r="H805" s="57" t="s">
        <v>3792</v>
      </c>
      <c r="I805" s="39"/>
      <c r="J805" s="57" t="s">
        <v>3792</v>
      </c>
      <c r="K805" s="57" t="s">
        <v>3792</v>
      </c>
    </row>
    <row r="806" customFormat="false" ht="55.6" hidden="false" customHeight="false" outlineLevel="0" collapsed="false">
      <c r="F806" s="0" t="s">
        <v>5342</v>
      </c>
      <c r="G806" s="57" t="s">
        <v>7977</v>
      </c>
      <c r="H806" s="57" t="s">
        <v>7974</v>
      </c>
      <c r="I806" s="34" t="s">
        <v>40</v>
      </c>
      <c r="J806" s="57" t="s">
        <v>7978</v>
      </c>
      <c r="K806" s="57" t="s">
        <v>5704</v>
      </c>
    </row>
    <row r="807" customFormat="false" ht="23.05" hidden="false" customHeight="false" outlineLevel="0" collapsed="false">
      <c r="D807" s="60" t="s">
        <v>7979</v>
      </c>
      <c r="E807" s="60" t="s">
        <v>7980</v>
      </c>
      <c r="F807" s="62"/>
      <c r="G807" s="57" t="s">
        <v>7981</v>
      </c>
      <c r="H807" s="57" t="s">
        <v>3792</v>
      </c>
      <c r="I807" s="34"/>
      <c r="J807" s="57" t="s">
        <v>3792</v>
      </c>
      <c r="K807" s="57" t="s">
        <v>3792</v>
      </c>
    </row>
    <row r="808" customFormat="false" ht="44.75" hidden="false" customHeight="false" outlineLevel="0" collapsed="false">
      <c r="F808" s="0" t="s">
        <v>5334</v>
      </c>
      <c r="G808" s="57" t="s">
        <v>7982</v>
      </c>
      <c r="H808" s="57" t="s">
        <v>7979</v>
      </c>
      <c r="I808" s="39" t="s">
        <v>67</v>
      </c>
      <c r="J808" s="57" t="s">
        <v>7983</v>
      </c>
      <c r="K808" s="57" t="s">
        <v>5709</v>
      </c>
    </row>
    <row r="809" customFormat="false" ht="23.05" hidden="false" customHeight="false" outlineLevel="0" collapsed="false">
      <c r="D809" s="60" t="s">
        <v>7984</v>
      </c>
      <c r="E809" s="60" t="s">
        <v>7985</v>
      </c>
      <c r="F809" s="62"/>
      <c r="G809" s="57" t="s">
        <v>7986</v>
      </c>
      <c r="H809" s="57" t="s">
        <v>3792</v>
      </c>
      <c r="I809" s="39"/>
      <c r="J809" s="57" t="s">
        <v>3792</v>
      </c>
      <c r="K809" s="57" t="s">
        <v>3792</v>
      </c>
    </row>
    <row r="810" customFormat="false" ht="44.75" hidden="false" customHeight="false" outlineLevel="0" collapsed="false">
      <c r="F810" s="0" t="s">
        <v>5342</v>
      </c>
      <c r="G810" s="57" t="s">
        <v>7987</v>
      </c>
      <c r="H810" s="57" t="s">
        <v>7984</v>
      </c>
      <c r="I810" s="37" t="s">
        <v>50</v>
      </c>
      <c r="J810" s="57" t="s">
        <v>7988</v>
      </c>
      <c r="K810" s="57" t="s">
        <v>5715</v>
      </c>
    </row>
    <row r="811" customFormat="false" ht="23.05" hidden="false" customHeight="false" outlineLevel="0" collapsed="false">
      <c r="C811" s="64" t="s">
        <v>7989</v>
      </c>
      <c r="D811" s="66" t="s">
        <v>7990</v>
      </c>
      <c r="E811" s="66" t="s">
        <v>7991</v>
      </c>
      <c r="F811" s="65"/>
      <c r="G811" s="57" t="s">
        <v>7992</v>
      </c>
      <c r="H811" s="57" t="s">
        <v>3792</v>
      </c>
      <c r="I811" s="37"/>
      <c r="J811" s="57" t="s">
        <v>3792</v>
      </c>
      <c r="K811" s="57" t="s">
        <v>3792</v>
      </c>
    </row>
    <row r="812" customFormat="false" ht="44.75" hidden="false" customHeight="false" outlineLevel="0" collapsed="false">
      <c r="F812" s="0" t="s">
        <v>5334</v>
      </c>
      <c r="G812" s="57" t="s">
        <v>7993</v>
      </c>
      <c r="H812" s="57" t="s">
        <v>7990</v>
      </c>
      <c r="I812" s="37" t="s">
        <v>50</v>
      </c>
      <c r="J812" s="57" t="s">
        <v>7994</v>
      </c>
      <c r="K812" s="57" t="s">
        <v>5720</v>
      </c>
    </row>
    <row r="813" customFormat="false" ht="23.05" hidden="false" customHeight="false" outlineLevel="0" collapsed="false">
      <c r="D813" s="60" t="s">
        <v>7995</v>
      </c>
      <c r="E813" s="60" t="s">
        <v>7996</v>
      </c>
      <c r="F813" s="62"/>
      <c r="G813" s="57" t="s">
        <v>7997</v>
      </c>
      <c r="H813" s="57" t="s">
        <v>3792</v>
      </c>
      <c r="I813" s="37"/>
      <c r="J813" s="57" t="s">
        <v>3792</v>
      </c>
      <c r="K813" s="57" t="s">
        <v>3792</v>
      </c>
    </row>
    <row r="814" customFormat="false" ht="55.6" hidden="false" customHeight="false" outlineLevel="0" collapsed="false">
      <c r="F814" s="0" t="s">
        <v>5342</v>
      </c>
      <c r="G814" s="57" t="s">
        <v>7998</v>
      </c>
      <c r="H814" s="57" t="s">
        <v>7995</v>
      </c>
      <c r="I814" s="39" t="s">
        <v>67</v>
      </c>
      <c r="J814" s="57" t="s">
        <v>7999</v>
      </c>
      <c r="K814" s="57" t="s">
        <v>5725</v>
      </c>
    </row>
    <row r="815" customFormat="false" ht="23.05" hidden="false" customHeight="false" outlineLevel="0" collapsed="false">
      <c r="D815" s="60" t="s">
        <v>8000</v>
      </c>
      <c r="E815" s="60" t="s">
        <v>8001</v>
      </c>
      <c r="F815" s="62"/>
      <c r="G815" s="57" t="s">
        <v>8002</v>
      </c>
      <c r="H815" s="57" t="s">
        <v>3792</v>
      </c>
      <c r="I815" s="39"/>
      <c r="J815" s="57" t="s">
        <v>3792</v>
      </c>
      <c r="K815" s="57" t="s">
        <v>3792</v>
      </c>
    </row>
    <row r="816" customFormat="false" ht="55.6" hidden="false" customHeight="false" outlineLevel="0" collapsed="false">
      <c r="F816" s="0" t="s">
        <v>5334</v>
      </c>
      <c r="G816" s="57" t="s">
        <v>8003</v>
      </c>
      <c r="H816" s="57" t="s">
        <v>8000</v>
      </c>
      <c r="I816" s="34" t="s">
        <v>40</v>
      </c>
      <c r="J816" s="57" t="s">
        <v>8004</v>
      </c>
      <c r="K816" s="57" t="s">
        <v>5730</v>
      </c>
    </row>
    <row r="817" customFormat="false" ht="12.8" hidden="false" customHeight="false" outlineLevel="0" collapsed="false">
      <c r="D817" s="60" t="s">
        <v>8005</v>
      </c>
      <c r="E817" s="60" t="s">
        <v>8006</v>
      </c>
      <c r="F817" s="62"/>
      <c r="G817" s="57" t="s">
        <v>8007</v>
      </c>
      <c r="H817" s="57" t="s">
        <v>3792</v>
      </c>
      <c r="I817" s="34"/>
      <c r="J817" s="57" t="s">
        <v>3792</v>
      </c>
      <c r="K817" s="57" t="s">
        <v>3792</v>
      </c>
    </row>
    <row r="818" customFormat="false" ht="55.6" hidden="false" customHeight="false" outlineLevel="0" collapsed="false">
      <c r="F818" s="0" t="s">
        <v>5334</v>
      </c>
      <c r="G818" s="57" t="s">
        <v>8008</v>
      </c>
      <c r="H818" s="57" t="s">
        <v>8005</v>
      </c>
      <c r="I818" s="39" t="s">
        <v>67</v>
      </c>
      <c r="J818" s="57" t="s">
        <v>8009</v>
      </c>
      <c r="K818" s="57" t="s">
        <v>5736</v>
      </c>
    </row>
    <row r="819" customFormat="false" ht="23.05" hidden="false" customHeight="false" outlineLevel="0" collapsed="false">
      <c r="D819" s="60" t="s">
        <v>8010</v>
      </c>
      <c r="E819" s="60" t="s">
        <v>8011</v>
      </c>
      <c r="F819" s="62"/>
      <c r="G819" s="57" t="s">
        <v>8012</v>
      </c>
      <c r="H819" s="57" t="s">
        <v>3792</v>
      </c>
      <c r="I819" s="39"/>
      <c r="J819" s="57" t="s">
        <v>3792</v>
      </c>
      <c r="K819" s="57" t="s">
        <v>3792</v>
      </c>
    </row>
    <row r="820" customFormat="false" ht="44.75" hidden="false" customHeight="false" outlineLevel="0" collapsed="false">
      <c r="F820" s="0" t="s">
        <v>5334</v>
      </c>
      <c r="G820" s="57" t="s">
        <v>8013</v>
      </c>
      <c r="H820" s="57" t="s">
        <v>8010</v>
      </c>
      <c r="I820" s="37" t="s">
        <v>50</v>
      </c>
      <c r="J820" s="57" t="s">
        <v>8014</v>
      </c>
      <c r="K820" s="57" t="s">
        <v>5744</v>
      </c>
    </row>
    <row r="821" customFormat="false" ht="33.9" hidden="false" customHeight="false" outlineLevel="0" collapsed="false">
      <c r="C821" s="70" t="s">
        <v>8015</v>
      </c>
      <c r="D821" s="66" t="s">
        <v>8016</v>
      </c>
      <c r="E821" s="66" t="s">
        <v>8017</v>
      </c>
      <c r="F821" s="65"/>
      <c r="G821" s="57" t="s">
        <v>8018</v>
      </c>
      <c r="H821" s="57" t="s">
        <v>3792</v>
      </c>
      <c r="I821" s="37"/>
      <c r="J821" s="57" t="s">
        <v>3792</v>
      </c>
      <c r="K821" s="57" t="s">
        <v>3792</v>
      </c>
    </row>
    <row r="822" customFormat="false" ht="44.75" hidden="false" customHeight="false" outlineLevel="0" collapsed="false">
      <c r="F822" s="0" t="s">
        <v>5342</v>
      </c>
      <c r="G822" s="57" t="s">
        <v>8019</v>
      </c>
      <c r="H822" s="57" t="s">
        <v>8016</v>
      </c>
      <c r="I822" s="37" t="s">
        <v>50</v>
      </c>
      <c r="J822" s="57" t="s">
        <v>8020</v>
      </c>
      <c r="K822" s="57" t="s">
        <v>5751</v>
      </c>
    </row>
    <row r="823" customFormat="false" ht="23.05" hidden="false" customHeight="false" outlineLevel="0" collapsed="false">
      <c r="D823" s="60" t="s">
        <v>8021</v>
      </c>
      <c r="E823" s="60" t="s">
        <v>8022</v>
      </c>
      <c r="F823" s="62"/>
      <c r="G823" s="57" t="s">
        <v>8023</v>
      </c>
      <c r="H823" s="57" t="s">
        <v>3792</v>
      </c>
      <c r="I823" s="37"/>
      <c r="J823" s="57" t="s">
        <v>3792</v>
      </c>
      <c r="K823" s="57" t="s">
        <v>3792</v>
      </c>
    </row>
    <row r="824" customFormat="false" ht="44.75" hidden="false" customHeight="false" outlineLevel="0" collapsed="false">
      <c r="F824" s="0" t="s">
        <v>5334</v>
      </c>
      <c r="G824" s="57" t="s">
        <v>8024</v>
      </c>
      <c r="H824" s="57" t="s">
        <v>8021</v>
      </c>
      <c r="I824" s="39" t="s">
        <v>67</v>
      </c>
      <c r="J824" s="57" t="s">
        <v>8025</v>
      </c>
      <c r="K824" s="57" t="s">
        <v>5758</v>
      </c>
    </row>
    <row r="825" customFormat="false" ht="23.05" hidden="false" customHeight="false" outlineLevel="0" collapsed="false">
      <c r="D825" s="60" t="s">
        <v>8026</v>
      </c>
      <c r="E825" s="60" t="s">
        <v>8027</v>
      </c>
      <c r="F825" s="62"/>
      <c r="G825" s="57" t="s">
        <v>8028</v>
      </c>
      <c r="H825" s="57" t="s">
        <v>3792</v>
      </c>
      <c r="I825" s="39"/>
      <c r="J825" s="57" t="s">
        <v>3792</v>
      </c>
      <c r="K825" s="57" t="s">
        <v>3792</v>
      </c>
    </row>
    <row r="826" customFormat="false" ht="55.6" hidden="false" customHeight="false" outlineLevel="0" collapsed="false">
      <c r="F826" s="0" t="s">
        <v>5334</v>
      </c>
      <c r="G826" s="57" t="s">
        <v>8029</v>
      </c>
      <c r="H826" s="57" t="s">
        <v>8026</v>
      </c>
      <c r="I826" s="34" t="s">
        <v>40</v>
      </c>
      <c r="J826" s="57" t="s">
        <v>8030</v>
      </c>
      <c r="K826" s="57" t="s">
        <v>5765</v>
      </c>
    </row>
    <row r="827" customFormat="false" ht="23.05" hidden="false" customHeight="false" outlineLevel="0" collapsed="false">
      <c r="D827" s="60" t="s">
        <v>8031</v>
      </c>
      <c r="E827" s="60" t="s">
        <v>8032</v>
      </c>
      <c r="F827" s="62"/>
      <c r="G827" s="57" t="s">
        <v>8033</v>
      </c>
      <c r="H827" s="57" t="s">
        <v>3792</v>
      </c>
      <c r="I827" s="34"/>
      <c r="J827" s="57" t="s">
        <v>3792</v>
      </c>
      <c r="K827" s="57" t="s">
        <v>3792</v>
      </c>
    </row>
    <row r="828" customFormat="false" ht="55.6" hidden="false" customHeight="false" outlineLevel="0" collapsed="false">
      <c r="F828" s="0" t="s">
        <v>5342</v>
      </c>
      <c r="G828" s="57" t="s">
        <v>8034</v>
      </c>
      <c r="H828" s="57" t="s">
        <v>8031</v>
      </c>
      <c r="I828" s="39" t="s">
        <v>67</v>
      </c>
      <c r="J828" s="57" t="s">
        <v>8035</v>
      </c>
      <c r="K828" s="57" t="s">
        <v>5772</v>
      </c>
    </row>
    <row r="829" customFormat="false" ht="23.05" hidden="false" customHeight="false" outlineLevel="0" collapsed="false">
      <c r="D829" s="60" t="s">
        <v>8036</v>
      </c>
      <c r="E829" s="60" t="s">
        <v>8037</v>
      </c>
      <c r="F829" s="62"/>
      <c r="G829" s="57" t="s">
        <v>8038</v>
      </c>
      <c r="H829" s="57" t="s">
        <v>3792</v>
      </c>
      <c r="I829" s="39"/>
      <c r="J829" s="57" t="s">
        <v>3792</v>
      </c>
      <c r="K829" s="57" t="s">
        <v>3792</v>
      </c>
    </row>
    <row r="830" customFormat="false" ht="44.75" hidden="false" customHeight="false" outlineLevel="0" collapsed="false">
      <c r="F830" s="0" t="s">
        <v>5334</v>
      </c>
      <c r="G830" s="57" t="s">
        <v>8039</v>
      </c>
      <c r="H830" s="57" t="s">
        <v>8036</v>
      </c>
      <c r="I830" s="37" t="s">
        <v>50</v>
      </c>
      <c r="J830" s="57" t="s">
        <v>8040</v>
      </c>
      <c r="K830" s="57" t="s">
        <v>5780</v>
      </c>
    </row>
    <row r="831" customFormat="false" ht="33.9" hidden="false" customHeight="false" outlineLevel="0" collapsed="false">
      <c r="B831" s="67" t="s">
        <v>8041</v>
      </c>
      <c r="C831" s="71" t="s">
        <v>8042</v>
      </c>
      <c r="D831" s="68" t="s">
        <v>8043</v>
      </c>
      <c r="E831" s="68" t="s">
        <v>8044</v>
      </c>
      <c r="F831" s="69"/>
      <c r="G831" s="57" t="s">
        <v>8045</v>
      </c>
      <c r="H831" s="57" t="s">
        <v>3792</v>
      </c>
      <c r="I831" s="37"/>
      <c r="J831" s="57" t="s">
        <v>3792</v>
      </c>
      <c r="K831" s="57" t="s">
        <v>3792</v>
      </c>
    </row>
    <row r="832" customFormat="false" ht="55.6" hidden="false" customHeight="false" outlineLevel="0" collapsed="false">
      <c r="F832" s="0" t="s">
        <v>5342</v>
      </c>
      <c r="G832" s="57" t="s">
        <v>8046</v>
      </c>
      <c r="H832" s="57" t="s">
        <v>8043</v>
      </c>
      <c r="I832" s="37" t="s">
        <v>50</v>
      </c>
      <c r="J832" s="57" t="s">
        <v>8047</v>
      </c>
      <c r="K832" s="57" t="s">
        <v>5786</v>
      </c>
    </row>
    <row r="833" customFormat="false" ht="23.05" hidden="false" customHeight="false" outlineLevel="0" collapsed="false">
      <c r="D833" s="60" t="s">
        <v>8048</v>
      </c>
      <c r="E833" s="60" t="s">
        <v>8049</v>
      </c>
      <c r="F833" s="62"/>
      <c r="G833" s="57" t="s">
        <v>8050</v>
      </c>
      <c r="H833" s="57" t="s">
        <v>3792</v>
      </c>
      <c r="I833" s="37"/>
      <c r="J833" s="57" t="s">
        <v>3792</v>
      </c>
      <c r="K833" s="57" t="s">
        <v>3792</v>
      </c>
    </row>
    <row r="834" customFormat="false" ht="44.75" hidden="false" customHeight="false" outlineLevel="0" collapsed="false">
      <c r="F834" s="0" t="s">
        <v>5334</v>
      </c>
      <c r="G834" s="57" t="s">
        <v>8051</v>
      </c>
      <c r="H834" s="57" t="s">
        <v>8048</v>
      </c>
      <c r="I834" s="39" t="s">
        <v>67</v>
      </c>
      <c r="J834" s="57" t="s">
        <v>8052</v>
      </c>
      <c r="K834" s="57" t="s">
        <v>5793</v>
      </c>
    </row>
    <row r="835" customFormat="false" ht="23.05" hidden="false" customHeight="false" outlineLevel="0" collapsed="false">
      <c r="D835" s="60" t="s">
        <v>8053</v>
      </c>
      <c r="E835" s="60" t="s">
        <v>8054</v>
      </c>
      <c r="F835" s="62"/>
      <c r="G835" s="57" t="s">
        <v>8055</v>
      </c>
      <c r="H835" s="57" t="s">
        <v>3792</v>
      </c>
      <c r="I835" s="39"/>
      <c r="J835" s="57" t="s">
        <v>3792</v>
      </c>
      <c r="K835" s="57" t="s">
        <v>3792</v>
      </c>
    </row>
    <row r="836" customFormat="false" ht="55.6" hidden="false" customHeight="false" outlineLevel="0" collapsed="false">
      <c r="F836" s="0" t="s">
        <v>5334</v>
      </c>
      <c r="G836" s="57" t="s">
        <v>8056</v>
      </c>
      <c r="H836" s="57" t="s">
        <v>8053</v>
      </c>
      <c r="I836" s="34" t="s">
        <v>40</v>
      </c>
      <c r="J836" s="57" t="s">
        <v>8057</v>
      </c>
      <c r="K836" s="57" t="s">
        <v>5800</v>
      </c>
    </row>
    <row r="837" customFormat="false" ht="23.05" hidden="false" customHeight="false" outlineLevel="0" collapsed="false">
      <c r="D837" s="60" t="s">
        <v>8058</v>
      </c>
      <c r="E837" s="60" t="s">
        <v>8059</v>
      </c>
      <c r="F837" s="62"/>
      <c r="G837" s="57" t="s">
        <v>8060</v>
      </c>
      <c r="H837" s="57" t="s">
        <v>3792</v>
      </c>
      <c r="I837" s="34"/>
      <c r="J837" s="57" t="s">
        <v>3792</v>
      </c>
      <c r="K837" s="57" t="s">
        <v>3792</v>
      </c>
    </row>
    <row r="838" customFormat="false" ht="55.6" hidden="false" customHeight="false" outlineLevel="0" collapsed="false">
      <c r="F838" s="0" t="s">
        <v>5342</v>
      </c>
      <c r="G838" s="57" t="s">
        <v>8061</v>
      </c>
      <c r="H838" s="57" t="s">
        <v>8058</v>
      </c>
      <c r="I838" s="39" t="s">
        <v>67</v>
      </c>
      <c r="J838" s="57" t="s">
        <v>8062</v>
      </c>
      <c r="K838" s="57" t="s">
        <v>5807</v>
      </c>
    </row>
    <row r="839" customFormat="false" ht="23.05" hidden="false" customHeight="false" outlineLevel="0" collapsed="false">
      <c r="D839" s="60" t="s">
        <v>8063</v>
      </c>
      <c r="E839" s="60" t="s">
        <v>8064</v>
      </c>
      <c r="F839" s="62"/>
      <c r="G839" s="57" t="s">
        <v>8065</v>
      </c>
      <c r="H839" s="57" t="s">
        <v>3792</v>
      </c>
      <c r="I839" s="39"/>
      <c r="J839" s="57" t="s">
        <v>3792</v>
      </c>
      <c r="K839" s="57" t="s">
        <v>3792</v>
      </c>
    </row>
    <row r="840" customFormat="false" ht="44.75" hidden="false" customHeight="false" outlineLevel="0" collapsed="false">
      <c r="F840" s="0" t="s">
        <v>5342</v>
      </c>
      <c r="G840" s="57" t="s">
        <v>8066</v>
      </c>
      <c r="H840" s="57" t="s">
        <v>8063</v>
      </c>
      <c r="I840" s="37" t="s">
        <v>50</v>
      </c>
      <c r="J840" s="57" t="s">
        <v>8067</v>
      </c>
      <c r="K840" s="57" t="s">
        <v>5815</v>
      </c>
    </row>
    <row r="841" customFormat="false" ht="33.9" hidden="false" customHeight="false" outlineLevel="0" collapsed="false">
      <c r="C841" s="64" t="s">
        <v>8068</v>
      </c>
      <c r="D841" s="66" t="s">
        <v>8069</v>
      </c>
      <c r="E841" s="66" t="s">
        <v>8070</v>
      </c>
      <c r="F841" s="65"/>
      <c r="G841" s="57" t="s">
        <v>8071</v>
      </c>
      <c r="H841" s="57" t="s">
        <v>3792</v>
      </c>
      <c r="I841" s="37"/>
      <c r="J841" s="57" t="s">
        <v>3792</v>
      </c>
      <c r="K841" s="57" t="s">
        <v>3792</v>
      </c>
    </row>
    <row r="842" customFormat="false" ht="55.6" hidden="false" customHeight="false" outlineLevel="0" collapsed="false">
      <c r="F842" s="0" t="s">
        <v>5342</v>
      </c>
      <c r="G842" s="57" t="s">
        <v>8072</v>
      </c>
      <c r="H842" s="57" t="s">
        <v>8069</v>
      </c>
      <c r="I842" s="37" t="s">
        <v>50</v>
      </c>
      <c r="J842" s="57" t="s">
        <v>8073</v>
      </c>
      <c r="K842" s="57" t="s">
        <v>5822</v>
      </c>
    </row>
    <row r="843" customFormat="false" ht="33.9" hidden="false" customHeight="false" outlineLevel="0" collapsed="false">
      <c r="D843" s="60" t="s">
        <v>8074</v>
      </c>
      <c r="E843" s="60" t="s">
        <v>8075</v>
      </c>
      <c r="F843" s="62"/>
      <c r="G843" s="57" t="s">
        <v>8076</v>
      </c>
      <c r="H843" s="57" t="s">
        <v>3792</v>
      </c>
      <c r="I843" s="37"/>
      <c r="J843" s="57" t="s">
        <v>3792</v>
      </c>
      <c r="K843" s="57" t="s">
        <v>3792</v>
      </c>
    </row>
    <row r="844" customFormat="false" ht="44.75" hidden="false" customHeight="false" outlineLevel="0" collapsed="false">
      <c r="F844" s="0" t="s">
        <v>5334</v>
      </c>
      <c r="G844" s="57" t="s">
        <v>8077</v>
      </c>
      <c r="H844" s="57" t="s">
        <v>8074</v>
      </c>
      <c r="I844" s="39" t="s">
        <v>67</v>
      </c>
      <c r="J844" s="57" t="s">
        <v>8078</v>
      </c>
      <c r="K844" s="57" t="s">
        <v>5829</v>
      </c>
    </row>
    <row r="845" customFormat="false" ht="23.05" hidden="false" customHeight="false" outlineLevel="0" collapsed="false">
      <c r="D845" s="60" t="s">
        <v>8079</v>
      </c>
      <c r="E845" s="60" t="s">
        <v>8080</v>
      </c>
      <c r="F845" s="62"/>
      <c r="G845" s="57" t="s">
        <v>8081</v>
      </c>
      <c r="H845" s="57" t="s">
        <v>3792</v>
      </c>
      <c r="I845" s="39"/>
      <c r="J845" s="57" t="s">
        <v>3792</v>
      </c>
      <c r="K845" s="57" t="s">
        <v>3792</v>
      </c>
    </row>
    <row r="846" customFormat="false" ht="44.75" hidden="false" customHeight="false" outlineLevel="0" collapsed="false">
      <c r="F846" s="0" t="s">
        <v>5342</v>
      </c>
      <c r="G846" s="57" t="s">
        <v>8082</v>
      </c>
      <c r="H846" s="57" t="s">
        <v>8079</v>
      </c>
      <c r="I846" s="34" t="s">
        <v>40</v>
      </c>
      <c r="J846" s="57" t="s">
        <v>8083</v>
      </c>
      <c r="K846" s="57" t="s">
        <v>5836</v>
      </c>
    </row>
    <row r="847" customFormat="false" ht="23.05" hidden="false" customHeight="false" outlineLevel="0" collapsed="false">
      <c r="D847" s="60" t="s">
        <v>8084</v>
      </c>
      <c r="E847" s="60" t="s">
        <v>8085</v>
      </c>
      <c r="F847" s="62"/>
      <c r="G847" s="57" t="s">
        <v>8086</v>
      </c>
      <c r="H847" s="57" t="s">
        <v>3792</v>
      </c>
      <c r="I847" s="34"/>
      <c r="J847" s="57" t="s">
        <v>3792</v>
      </c>
      <c r="K847" s="57" t="s">
        <v>3792</v>
      </c>
    </row>
    <row r="848" customFormat="false" ht="44.75" hidden="false" customHeight="false" outlineLevel="0" collapsed="false">
      <c r="F848" s="0" t="s">
        <v>5334</v>
      </c>
      <c r="G848" s="57" t="s">
        <v>8087</v>
      </c>
      <c r="H848" s="57" t="s">
        <v>8084</v>
      </c>
      <c r="I848" s="39" t="s">
        <v>67</v>
      </c>
      <c r="J848" s="57" t="s">
        <v>8088</v>
      </c>
      <c r="K848" s="57" t="s">
        <v>5843</v>
      </c>
    </row>
    <row r="849" customFormat="false" ht="23.05" hidden="false" customHeight="false" outlineLevel="0" collapsed="false">
      <c r="D849" s="60" t="s">
        <v>8089</v>
      </c>
      <c r="E849" s="60" t="s">
        <v>8090</v>
      </c>
      <c r="F849" s="62"/>
      <c r="G849" s="57" t="s">
        <v>8091</v>
      </c>
      <c r="H849" s="57" t="s">
        <v>3792</v>
      </c>
      <c r="I849" s="39"/>
      <c r="J849" s="57" t="s">
        <v>3792</v>
      </c>
      <c r="K849" s="57" t="s">
        <v>3792</v>
      </c>
    </row>
    <row r="850" customFormat="false" ht="55.6" hidden="false" customHeight="false" outlineLevel="0" collapsed="false">
      <c r="F850" s="0" t="s">
        <v>5342</v>
      </c>
      <c r="G850" s="57" t="s">
        <v>8092</v>
      </c>
      <c r="H850" s="57" t="s">
        <v>8089</v>
      </c>
      <c r="I850" s="37" t="s">
        <v>50</v>
      </c>
      <c r="J850" s="57" t="s">
        <v>8093</v>
      </c>
      <c r="K850" s="57" t="s">
        <v>5851</v>
      </c>
    </row>
    <row r="851" customFormat="false" ht="33.9" hidden="false" customHeight="false" outlineLevel="0" collapsed="false">
      <c r="C851" s="64" t="s">
        <v>8094</v>
      </c>
      <c r="D851" s="66" t="s">
        <v>8095</v>
      </c>
      <c r="E851" s="66" t="s">
        <v>8096</v>
      </c>
      <c r="F851" s="65"/>
      <c r="G851" s="57" t="s">
        <v>8097</v>
      </c>
      <c r="I851" s="37"/>
      <c r="J851" s="57" t="s">
        <v>3792</v>
      </c>
      <c r="K851" s="57" t="s">
        <v>3792</v>
      </c>
    </row>
    <row r="852" customFormat="false" ht="44.75" hidden="false" customHeight="false" outlineLevel="0" collapsed="false">
      <c r="F852" s="0" t="s">
        <v>5334</v>
      </c>
      <c r="G852" s="57" t="s">
        <v>8098</v>
      </c>
      <c r="H852" s="57" t="s">
        <v>8095</v>
      </c>
      <c r="I852" s="37" t="s">
        <v>50</v>
      </c>
      <c r="J852" s="57" t="s">
        <v>8099</v>
      </c>
      <c r="K852" s="57" t="s">
        <v>5857</v>
      </c>
    </row>
    <row r="853" customFormat="false" ht="23.05" hidden="false" customHeight="false" outlineLevel="0" collapsed="false">
      <c r="D853" s="60" t="s">
        <v>8100</v>
      </c>
      <c r="E853" s="60" t="s">
        <v>8101</v>
      </c>
      <c r="F853" s="62"/>
      <c r="G853" s="57" t="s">
        <v>8102</v>
      </c>
      <c r="H853" s="57" t="s">
        <v>3792</v>
      </c>
      <c r="I853" s="37"/>
      <c r="J853" s="57" t="s">
        <v>3792</v>
      </c>
      <c r="K853" s="57" t="s">
        <v>3792</v>
      </c>
    </row>
    <row r="854" customFormat="false" ht="44.75" hidden="false" customHeight="false" outlineLevel="0" collapsed="false">
      <c r="F854" s="0" t="s">
        <v>5334</v>
      </c>
      <c r="G854" s="57" t="s">
        <v>8103</v>
      </c>
      <c r="H854" s="57" t="s">
        <v>8100</v>
      </c>
      <c r="I854" s="39" t="s">
        <v>67</v>
      </c>
      <c r="J854" s="57" t="s">
        <v>8104</v>
      </c>
      <c r="K854" s="57" t="s">
        <v>5863</v>
      </c>
    </row>
    <row r="855" customFormat="false" ht="12.8" hidden="false" customHeight="false" outlineLevel="0" collapsed="false">
      <c r="D855" s="60" t="s">
        <v>8105</v>
      </c>
      <c r="E855" s="60" t="s">
        <v>8106</v>
      </c>
      <c r="F855" s="62"/>
      <c r="G855" s="57" t="s">
        <v>8107</v>
      </c>
      <c r="H855" s="57" t="s">
        <v>3792</v>
      </c>
      <c r="I855" s="39"/>
      <c r="J855" s="57" t="s">
        <v>3792</v>
      </c>
      <c r="K855" s="57" t="s">
        <v>3792</v>
      </c>
    </row>
    <row r="856" customFormat="false" ht="44.75" hidden="false" customHeight="false" outlineLevel="0" collapsed="false">
      <c r="F856" s="0" t="s">
        <v>5342</v>
      </c>
      <c r="G856" s="57" t="s">
        <v>8108</v>
      </c>
      <c r="H856" s="57" t="s">
        <v>8105</v>
      </c>
      <c r="I856" s="34" t="s">
        <v>40</v>
      </c>
      <c r="J856" s="57" t="s">
        <v>8109</v>
      </c>
      <c r="K856" s="57" t="s">
        <v>5870</v>
      </c>
    </row>
    <row r="857" customFormat="false" ht="12.8" hidden="false" customHeight="false" outlineLevel="0" collapsed="false">
      <c r="D857" s="60" t="s">
        <v>8110</v>
      </c>
      <c r="E857" s="60" t="s">
        <v>8111</v>
      </c>
      <c r="F857" s="62"/>
      <c r="G857" s="57" t="s">
        <v>8112</v>
      </c>
      <c r="H857" s="57" t="s">
        <v>3792</v>
      </c>
      <c r="I857" s="34"/>
      <c r="J857" s="57" t="s">
        <v>3792</v>
      </c>
      <c r="K857" s="57" t="s">
        <v>3792</v>
      </c>
    </row>
    <row r="858" customFormat="false" ht="44.75" hidden="false" customHeight="false" outlineLevel="0" collapsed="false">
      <c r="F858" s="0" t="s">
        <v>5342</v>
      </c>
      <c r="G858" s="57" t="s">
        <v>8113</v>
      </c>
      <c r="H858" s="57" t="s">
        <v>8110</v>
      </c>
      <c r="I858" s="39" t="s">
        <v>67</v>
      </c>
      <c r="J858" s="57" t="s">
        <v>8114</v>
      </c>
      <c r="K858" s="57" t="s">
        <v>5877</v>
      </c>
    </row>
    <row r="859" customFormat="false" ht="23.05" hidden="false" customHeight="false" outlineLevel="0" collapsed="false">
      <c r="D859" s="60" t="s">
        <v>8115</v>
      </c>
      <c r="E859" s="60" t="s">
        <v>8116</v>
      </c>
      <c r="F859" s="62"/>
      <c r="G859" s="57" t="s">
        <v>8117</v>
      </c>
      <c r="H859" s="57" t="s">
        <v>3792</v>
      </c>
      <c r="I859" s="39"/>
      <c r="J859" s="57" t="s">
        <v>3792</v>
      </c>
      <c r="K859" s="57" t="s">
        <v>3792</v>
      </c>
    </row>
    <row r="860" customFormat="false" ht="44.75" hidden="false" customHeight="false" outlineLevel="0" collapsed="false">
      <c r="F860" s="0" t="s">
        <v>5342</v>
      </c>
      <c r="G860" s="57" t="s">
        <v>8118</v>
      </c>
      <c r="H860" s="57" t="s">
        <v>8115</v>
      </c>
      <c r="I860" s="37" t="s">
        <v>50</v>
      </c>
      <c r="J860" s="57" t="s">
        <v>8119</v>
      </c>
      <c r="K860" s="57" t="s">
        <v>5885</v>
      </c>
    </row>
    <row r="861" customFormat="false" ht="23.05" hidden="false" customHeight="false" outlineLevel="0" collapsed="false">
      <c r="C861" s="70" t="s">
        <v>8120</v>
      </c>
      <c r="D861" s="66" t="s">
        <v>8121</v>
      </c>
      <c r="E861" s="66" t="s">
        <v>8122</v>
      </c>
      <c r="F861" s="65"/>
      <c r="G861" s="57" t="s">
        <v>8123</v>
      </c>
      <c r="H861" s="57" t="s">
        <v>3792</v>
      </c>
      <c r="I861" s="37"/>
      <c r="J861" s="57" t="s">
        <v>3792</v>
      </c>
      <c r="K861" s="57" t="s">
        <v>3792</v>
      </c>
    </row>
    <row r="862" customFormat="false" ht="44.75" hidden="false" customHeight="false" outlineLevel="0" collapsed="false">
      <c r="F862" s="0" t="s">
        <v>5334</v>
      </c>
      <c r="G862" s="57" t="s">
        <v>8124</v>
      </c>
      <c r="H862" s="57" t="s">
        <v>8121</v>
      </c>
      <c r="I862" s="37" t="s">
        <v>50</v>
      </c>
      <c r="J862" s="57" t="s">
        <v>8125</v>
      </c>
      <c r="K862" s="57" t="s">
        <v>5892</v>
      </c>
    </row>
    <row r="863" customFormat="false" ht="33.9" hidden="false" customHeight="false" outlineLevel="0" collapsed="false">
      <c r="D863" s="60" t="s">
        <v>8126</v>
      </c>
      <c r="E863" s="60" t="s">
        <v>8127</v>
      </c>
      <c r="F863" s="62"/>
      <c r="G863" s="57" t="s">
        <v>8128</v>
      </c>
      <c r="H863" s="57" t="s">
        <v>3792</v>
      </c>
      <c r="I863" s="37"/>
      <c r="J863" s="57" t="s">
        <v>3792</v>
      </c>
      <c r="K863" s="57" t="s">
        <v>3792</v>
      </c>
    </row>
    <row r="864" customFormat="false" ht="44.75" hidden="false" customHeight="false" outlineLevel="0" collapsed="false">
      <c r="F864" s="0" t="s">
        <v>5342</v>
      </c>
      <c r="G864" s="57" t="s">
        <v>8129</v>
      </c>
      <c r="H864" s="57" t="s">
        <v>8126</v>
      </c>
      <c r="I864" s="39" t="s">
        <v>67</v>
      </c>
      <c r="J864" s="57" t="s">
        <v>8130</v>
      </c>
      <c r="K864" s="57" t="s">
        <v>5899</v>
      </c>
    </row>
    <row r="865" customFormat="false" ht="23.05" hidden="false" customHeight="false" outlineLevel="0" collapsed="false">
      <c r="D865" s="60" t="s">
        <v>8131</v>
      </c>
      <c r="E865" s="60" t="s">
        <v>8132</v>
      </c>
      <c r="F865" s="62"/>
      <c r="G865" s="57" t="s">
        <v>8133</v>
      </c>
      <c r="H865" s="57" t="s">
        <v>3792</v>
      </c>
      <c r="I865" s="39"/>
      <c r="J865" s="57" t="s">
        <v>3792</v>
      </c>
      <c r="K865" s="57" t="s">
        <v>3792</v>
      </c>
    </row>
    <row r="866" customFormat="false" ht="44.75" hidden="false" customHeight="false" outlineLevel="0" collapsed="false">
      <c r="F866" s="0" t="s">
        <v>5334</v>
      </c>
      <c r="G866" s="57" t="s">
        <v>8134</v>
      </c>
      <c r="H866" s="57" t="s">
        <v>8131</v>
      </c>
      <c r="I866" s="34" t="s">
        <v>40</v>
      </c>
      <c r="J866" s="57" t="s">
        <v>8135</v>
      </c>
      <c r="K866" s="57" t="s">
        <v>5906</v>
      </c>
    </row>
    <row r="867" customFormat="false" ht="23.05" hidden="false" customHeight="false" outlineLevel="0" collapsed="false">
      <c r="D867" s="60" t="s">
        <v>8136</v>
      </c>
      <c r="E867" s="60" t="s">
        <v>8137</v>
      </c>
      <c r="F867" s="62"/>
      <c r="G867" s="57" t="s">
        <v>8138</v>
      </c>
      <c r="H867" s="57" t="s">
        <v>3792</v>
      </c>
      <c r="I867" s="34"/>
      <c r="J867" s="57" t="s">
        <v>3792</v>
      </c>
      <c r="K867" s="57" t="s">
        <v>3792</v>
      </c>
    </row>
    <row r="868" customFormat="false" ht="44.75" hidden="false" customHeight="false" outlineLevel="0" collapsed="false">
      <c r="F868" s="0" t="s">
        <v>5342</v>
      </c>
      <c r="G868" s="57" t="s">
        <v>8139</v>
      </c>
      <c r="H868" s="57" t="s">
        <v>8136</v>
      </c>
      <c r="I868" s="39" t="s">
        <v>67</v>
      </c>
      <c r="J868" s="57" t="s">
        <v>8140</v>
      </c>
      <c r="K868" s="57" t="s">
        <v>5913</v>
      </c>
    </row>
    <row r="869" customFormat="false" ht="12.8" hidden="false" customHeight="false" outlineLevel="0" collapsed="false">
      <c r="D869" s="60" t="s">
        <v>8141</v>
      </c>
      <c r="E869" s="60" t="s">
        <v>8142</v>
      </c>
      <c r="F869" s="62"/>
      <c r="G869" s="57" t="s">
        <v>8143</v>
      </c>
      <c r="H869" s="57" t="s">
        <v>3792</v>
      </c>
      <c r="I869" s="39"/>
      <c r="J869" s="57" t="s">
        <v>3792</v>
      </c>
      <c r="K869" s="57" t="s">
        <v>3792</v>
      </c>
    </row>
    <row r="870" customFormat="false" ht="55.6" hidden="false" customHeight="false" outlineLevel="0" collapsed="false">
      <c r="F870" s="0" t="s">
        <v>5342</v>
      </c>
      <c r="G870" s="57" t="s">
        <v>8144</v>
      </c>
      <c r="H870" s="57" t="s">
        <v>8141</v>
      </c>
      <c r="I870" s="37" t="s">
        <v>50</v>
      </c>
      <c r="J870" s="57" t="s">
        <v>8145</v>
      </c>
      <c r="K870" s="57" t="s">
        <v>5921</v>
      </c>
    </row>
    <row r="871" customFormat="false" ht="12.8" hidden="false" customHeight="false" outlineLevel="0" collapsed="false">
      <c r="C871" s="64" t="s">
        <v>8146</v>
      </c>
      <c r="D871" s="66" t="s">
        <v>8147</v>
      </c>
      <c r="E871" s="66" t="s">
        <v>8148</v>
      </c>
      <c r="F871" s="65"/>
      <c r="G871" s="57" t="s">
        <v>8149</v>
      </c>
      <c r="H871" s="57" t="s">
        <v>3792</v>
      </c>
      <c r="I871" s="37"/>
      <c r="J871" s="57" t="s">
        <v>3792</v>
      </c>
      <c r="K871" s="57" t="s">
        <v>3792</v>
      </c>
    </row>
    <row r="872" customFormat="false" ht="44.75" hidden="false" customHeight="false" outlineLevel="0" collapsed="false">
      <c r="F872" s="0" t="s">
        <v>5342</v>
      </c>
      <c r="G872" s="57" t="s">
        <v>8150</v>
      </c>
      <c r="H872" s="57" t="s">
        <v>8147</v>
      </c>
      <c r="I872" s="37" t="s">
        <v>50</v>
      </c>
      <c r="J872" s="57" t="s">
        <v>8151</v>
      </c>
      <c r="K872" s="57" t="s">
        <v>5928</v>
      </c>
    </row>
    <row r="873" customFormat="false" ht="12.8" hidden="false" customHeight="false" outlineLevel="0" collapsed="false">
      <c r="D873" s="60" t="s">
        <v>8152</v>
      </c>
      <c r="E873" s="60" t="s">
        <v>8153</v>
      </c>
      <c r="F873" s="62"/>
      <c r="G873" s="57" t="s">
        <v>8154</v>
      </c>
      <c r="H873" s="57" t="s">
        <v>3792</v>
      </c>
      <c r="I873" s="37"/>
      <c r="J873" s="57" t="s">
        <v>3792</v>
      </c>
      <c r="K873" s="57" t="s">
        <v>3792</v>
      </c>
    </row>
    <row r="874" customFormat="false" ht="44.75" hidden="false" customHeight="false" outlineLevel="0" collapsed="false">
      <c r="F874" s="0" t="s">
        <v>5334</v>
      </c>
      <c r="G874" s="57" t="s">
        <v>8155</v>
      </c>
      <c r="H874" s="57" t="s">
        <v>8152</v>
      </c>
      <c r="I874" s="39" t="s">
        <v>67</v>
      </c>
      <c r="J874" s="57" t="s">
        <v>8156</v>
      </c>
      <c r="K874" s="57" t="s">
        <v>5935</v>
      </c>
    </row>
    <row r="875" customFormat="false" ht="12.8" hidden="false" customHeight="false" outlineLevel="0" collapsed="false">
      <c r="D875" s="60" t="s">
        <v>8157</v>
      </c>
      <c r="E875" s="60" t="s">
        <v>8158</v>
      </c>
      <c r="F875" s="62"/>
      <c r="G875" s="57" t="s">
        <v>8159</v>
      </c>
      <c r="H875" s="57" t="s">
        <v>3792</v>
      </c>
      <c r="I875" s="39"/>
      <c r="J875" s="57" t="s">
        <v>3792</v>
      </c>
      <c r="K875" s="57" t="s">
        <v>3792</v>
      </c>
    </row>
    <row r="876" customFormat="false" ht="44.75" hidden="false" customHeight="false" outlineLevel="0" collapsed="false">
      <c r="F876" s="0" t="s">
        <v>5334</v>
      </c>
      <c r="G876" s="57" t="s">
        <v>8160</v>
      </c>
      <c r="H876" s="57" t="s">
        <v>8157</v>
      </c>
      <c r="I876" s="34" t="s">
        <v>40</v>
      </c>
      <c r="J876" s="57" t="s">
        <v>8161</v>
      </c>
      <c r="K876" s="57" t="s">
        <v>5942</v>
      </c>
    </row>
    <row r="877" customFormat="false" ht="23.05" hidden="false" customHeight="false" outlineLevel="0" collapsed="false">
      <c r="D877" s="60" t="s">
        <v>8162</v>
      </c>
      <c r="E877" s="60" t="s">
        <v>8163</v>
      </c>
      <c r="F877" s="62"/>
      <c r="G877" s="57" t="s">
        <v>8164</v>
      </c>
      <c r="H877" s="57" t="s">
        <v>3792</v>
      </c>
      <c r="I877" s="34"/>
      <c r="J877" s="57" t="s">
        <v>3792</v>
      </c>
      <c r="K877" s="57" t="s">
        <v>3792</v>
      </c>
    </row>
    <row r="878" customFormat="false" ht="44.75" hidden="false" customHeight="false" outlineLevel="0" collapsed="false">
      <c r="F878" s="0" t="s">
        <v>5342</v>
      </c>
      <c r="G878" s="57" t="s">
        <v>8165</v>
      </c>
      <c r="H878" s="57" t="s">
        <v>8162</v>
      </c>
      <c r="I878" s="39" t="s">
        <v>67</v>
      </c>
      <c r="J878" s="57" t="s">
        <v>8166</v>
      </c>
      <c r="K878" s="57" t="s">
        <v>5949</v>
      </c>
    </row>
    <row r="879" customFormat="false" ht="33.9" hidden="false" customHeight="false" outlineLevel="0" collapsed="false">
      <c r="D879" s="60" t="s">
        <v>8167</v>
      </c>
      <c r="E879" s="60" t="s">
        <v>8168</v>
      </c>
      <c r="F879" s="62"/>
      <c r="G879" s="57" t="s">
        <v>8169</v>
      </c>
      <c r="H879" s="57" t="s">
        <v>3792</v>
      </c>
      <c r="I879" s="39"/>
      <c r="J879" s="57" t="s">
        <v>3792</v>
      </c>
      <c r="K879" s="57" t="s">
        <v>3792</v>
      </c>
    </row>
    <row r="880" customFormat="false" ht="44.75" hidden="false" customHeight="false" outlineLevel="0" collapsed="false">
      <c r="F880" s="0" t="s">
        <v>5334</v>
      </c>
      <c r="G880" s="57" t="s">
        <v>8170</v>
      </c>
      <c r="H880" s="57" t="s">
        <v>8167</v>
      </c>
      <c r="I880" s="37" t="s">
        <v>50</v>
      </c>
      <c r="J880" s="57" t="s">
        <v>8171</v>
      </c>
      <c r="K880" s="57" t="s">
        <v>5957</v>
      </c>
    </row>
    <row r="881" customFormat="false" ht="23.05" hidden="false" customHeight="false" outlineLevel="0" collapsed="false">
      <c r="C881" s="64" t="s">
        <v>8172</v>
      </c>
      <c r="D881" s="66" t="s">
        <v>8173</v>
      </c>
      <c r="E881" s="66" t="s">
        <v>8174</v>
      </c>
      <c r="F881" s="65"/>
      <c r="G881" s="57" t="s">
        <v>8175</v>
      </c>
      <c r="H881" s="57" t="s">
        <v>3792</v>
      </c>
      <c r="I881" s="37"/>
      <c r="J881" s="57" t="s">
        <v>3792</v>
      </c>
      <c r="K881" s="57" t="s">
        <v>3792</v>
      </c>
    </row>
    <row r="882" customFormat="false" ht="44.75" hidden="false" customHeight="false" outlineLevel="0" collapsed="false">
      <c r="F882" s="0" t="s">
        <v>5334</v>
      </c>
      <c r="G882" s="57" t="s">
        <v>8176</v>
      </c>
      <c r="H882" s="57" t="s">
        <v>8173</v>
      </c>
      <c r="I882" s="37" t="s">
        <v>50</v>
      </c>
      <c r="J882" s="57" t="s">
        <v>8177</v>
      </c>
      <c r="K882" s="57" t="s">
        <v>5963</v>
      </c>
    </row>
    <row r="883" customFormat="false" ht="12.8" hidden="false" customHeight="false" outlineLevel="0" collapsed="false">
      <c r="D883" s="60" t="s">
        <v>8178</v>
      </c>
      <c r="E883" s="60" t="s">
        <v>8179</v>
      </c>
      <c r="F883" s="62"/>
      <c r="G883" s="57" t="s">
        <v>8180</v>
      </c>
      <c r="H883" s="57" t="s">
        <v>3792</v>
      </c>
      <c r="I883" s="37"/>
      <c r="J883" s="57" t="s">
        <v>3792</v>
      </c>
      <c r="K883" s="57" t="s">
        <v>3792</v>
      </c>
    </row>
    <row r="884" customFormat="false" ht="33.9" hidden="false" customHeight="false" outlineLevel="0" collapsed="false">
      <c r="F884" s="0" t="s">
        <v>5342</v>
      </c>
      <c r="G884" s="57" t="s">
        <v>8181</v>
      </c>
      <c r="H884" s="57" t="s">
        <v>8178</v>
      </c>
      <c r="I884" s="39" t="s">
        <v>67</v>
      </c>
      <c r="J884" s="57" t="s">
        <v>8182</v>
      </c>
      <c r="K884" s="57" t="s">
        <v>5970</v>
      </c>
    </row>
    <row r="885" customFormat="false" ht="23.05" hidden="false" customHeight="false" outlineLevel="0" collapsed="false">
      <c r="D885" s="60" t="s">
        <v>8183</v>
      </c>
      <c r="E885" s="60" t="s">
        <v>8184</v>
      </c>
      <c r="F885" s="62"/>
      <c r="G885" s="57" t="s">
        <v>8185</v>
      </c>
      <c r="H885" s="57" t="s">
        <v>3792</v>
      </c>
      <c r="I885" s="39"/>
      <c r="J885" s="57" t="s">
        <v>3792</v>
      </c>
      <c r="K885" s="57" t="s">
        <v>3792</v>
      </c>
    </row>
    <row r="886" customFormat="false" ht="33.9" hidden="false" customHeight="false" outlineLevel="0" collapsed="false">
      <c r="F886" s="0" t="s">
        <v>5342</v>
      </c>
      <c r="G886" s="57" t="s">
        <v>8186</v>
      </c>
      <c r="H886" s="57" t="s">
        <v>8183</v>
      </c>
      <c r="I886" s="34" t="s">
        <v>40</v>
      </c>
      <c r="J886" s="57" t="s">
        <v>8187</v>
      </c>
      <c r="K886" s="57" t="s">
        <v>5977</v>
      </c>
    </row>
    <row r="887" customFormat="false" ht="33.9" hidden="false" customHeight="false" outlineLevel="0" collapsed="false">
      <c r="D887" s="60" t="s">
        <v>8188</v>
      </c>
      <c r="E887" s="60" t="s">
        <v>8189</v>
      </c>
      <c r="F887" s="62"/>
      <c r="G887" s="57" t="s">
        <v>8190</v>
      </c>
      <c r="H887" s="57" t="s">
        <v>3792</v>
      </c>
      <c r="I887" s="34"/>
      <c r="J887" s="57" t="s">
        <v>3792</v>
      </c>
      <c r="K887" s="57" t="s">
        <v>3792</v>
      </c>
    </row>
    <row r="888" customFormat="false" ht="44.75" hidden="false" customHeight="false" outlineLevel="0" collapsed="false">
      <c r="F888" s="0" t="s">
        <v>5334</v>
      </c>
      <c r="G888" s="57" t="s">
        <v>8191</v>
      </c>
      <c r="H888" s="57" t="s">
        <v>8188</v>
      </c>
      <c r="I888" s="39" t="s">
        <v>67</v>
      </c>
      <c r="J888" s="57" t="s">
        <v>8192</v>
      </c>
      <c r="K888" s="57" t="s">
        <v>5984</v>
      </c>
    </row>
    <row r="889" customFormat="false" ht="23.05" hidden="false" customHeight="false" outlineLevel="0" collapsed="false">
      <c r="D889" s="60" t="s">
        <v>8193</v>
      </c>
      <c r="E889" s="60" t="s">
        <v>8194</v>
      </c>
      <c r="F889" s="62"/>
      <c r="G889" s="57" t="s">
        <v>8195</v>
      </c>
      <c r="H889" s="57" t="s">
        <v>3792</v>
      </c>
      <c r="I889" s="39"/>
      <c r="J889" s="57" t="s">
        <v>3792</v>
      </c>
      <c r="K889" s="57" t="s">
        <v>3792</v>
      </c>
    </row>
    <row r="890" customFormat="false" ht="44.75" hidden="false" customHeight="false" outlineLevel="0" collapsed="false">
      <c r="F890" s="0" t="s">
        <v>5342</v>
      </c>
      <c r="G890" s="57" t="s">
        <v>8196</v>
      </c>
      <c r="H890" s="57" t="s">
        <v>8193</v>
      </c>
      <c r="I890" s="37" t="s">
        <v>50</v>
      </c>
      <c r="J890" s="57" t="s">
        <v>8197</v>
      </c>
      <c r="K890" s="57" t="s">
        <v>5993</v>
      </c>
    </row>
    <row r="891" customFormat="false" ht="23.05" hidden="false" customHeight="false" outlineLevel="0" collapsed="false">
      <c r="C891" s="70" t="s">
        <v>8198</v>
      </c>
      <c r="D891" s="66" t="s">
        <v>8199</v>
      </c>
      <c r="E891" s="66" t="s">
        <v>8200</v>
      </c>
      <c r="F891" s="65"/>
      <c r="G891" s="57" t="s">
        <v>8201</v>
      </c>
      <c r="H891" s="57" t="s">
        <v>3792</v>
      </c>
      <c r="I891" s="37"/>
      <c r="J891" s="57" t="s">
        <v>3792</v>
      </c>
      <c r="K891" s="57" t="s">
        <v>3792</v>
      </c>
    </row>
    <row r="892" customFormat="false" ht="55.6" hidden="false" customHeight="false" outlineLevel="0" collapsed="false">
      <c r="F892" s="0" t="s">
        <v>5342</v>
      </c>
      <c r="G892" s="57" t="s">
        <v>8202</v>
      </c>
      <c r="H892" s="57" t="s">
        <v>8199</v>
      </c>
      <c r="I892" s="37" t="s">
        <v>50</v>
      </c>
      <c r="J892" s="57" t="s">
        <v>8203</v>
      </c>
      <c r="K892" s="57" t="s">
        <v>6001</v>
      </c>
    </row>
    <row r="893" customFormat="false" ht="23.05" hidden="false" customHeight="false" outlineLevel="0" collapsed="false">
      <c r="D893" s="60" t="s">
        <v>8204</v>
      </c>
      <c r="E893" s="60" t="s">
        <v>8205</v>
      </c>
      <c r="F893" s="62"/>
      <c r="G893" s="57" t="s">
        <v>8206</v>
      </c>
      <c r="H893" s="57" t="s">
        <v>3792</v>
      </c>
      <c r="I893" s="37"/>
      <c r="J893" s="57" t="s">
        <v>3792</v>
      </c>
      <c r="K893" s="57" t="s">
        <v>3792</v>
      </c>
    </row>
    <row r="894" customFormat="false" ht="44.75" hidden="false" customHeight="false" outlineLevel="0" collapsed="false">
      <c r="F894" s="0" t="s">
        <v>5334</v>
      </c>
      <c r="G894" s="57" t="s">
        <v>8207</v>
      </c>
      <c r="H894" s="57" t="s">
        <v>8204</v>
      </c>
      <c r="I894" s="39" t="s">
        <v>67</v>
      </c>
      <c r="J894" s="57" t="s">
        <v>8208</v>
      </c>
      <c r="K894" s="57" t="s">
        <v>6009</v>
      </c>
    </row>
    <row r="895" customFormat="false" ht="23.05" hidden="false" customHeight="false" outlineLevel="0" collapsed="false">
      <c r="D895" s="60" t="s">
        <v>8209</v>
      </c>
      <c r="E895" s="60" t="s">
        <v>8210</v>
      </c>
      <c r="F895" s="62"/>
      <c r="G895" s="57" t="s">
        <v>8211</v>
      </c>
      <c r="H895" s="57" t="s">
        <v>3792</v>
      </c>
      <c r="I895" s="39"/>
      <c r="J895" s="57" t="s">
        <v>3792</v>
      </c>
      <c r="K895" s="57" t="s">
        <v>3792</v>
      </c>
    </row>
    <row r="896" customFormat="false" ht="33.9" hidden="false" customHeight="false" outlineLevel="0" collapsed="false">
      <c r="F896" s="0" t="s">
        <v>5334</v>
      </c>
      <c r="G896" s="57" t="s">
        <v>8212</v>
      </c>
      <c r="H896" s="57" t="s">
        <v>8209</v>
      </c>
      <c r="I896" s="34" t="s">
        <v>40</v>
      </c>
      <c r="J896" s="57" t="s">
        <v>8213</v>
      </c>
      <c r="K896" s="57" t="s">
        <v>6017</v>
      </c>
    </row>
    <row r="897" customFormat="false" ht="23.05" hidden="false" customHeight="false" outlineLevel="0" collapsed="false">
      <c r="D897" s="60" t="s">
        <v>8214</v>
      </c>
      <c r="E897" s="60" t="s">
        <v>8215</v>
      </c>
      <c r="F897" s="62"/>
      <c r="G897" s="57" t="s">
        <v>8216</v>
      </c>
      <c r="H897" s="57" t="s">
        <v>3792</v>
      </c>
      <c r="I897" s="34"/>
      <c r="J897" s="57" t="s">
        <v>3792</v>
      </c>
      <c r="K897" s="57" t="s">
        <v>3792</v>
      </c>
    </row>
    <row r="898" customFormat="false" ht="44.75" hidden="false" customHeight="false" outlineLevel="0" collapsed="false">
      <c r="F898" s="0" t="s">
        <v>5342</v>
      </c>
      <c r="G898" s="57" t="s">
        <v>8217</v>
      </c>
      <c r="H898" s="57" t="s">
        <v>8214</v>
      </c>
      <c r="I898" s="39" t="s">
        <v>67</v>
      </c>
      <c r="J898" s="57" t="s">
        <v>8218</v>
      </c>
      <c r="K898" s="57" t="s">
        <v>6025</v>
      </c>
    </row>
    <row r="899" customFormat="false" ht="23.05" hidden="false" customHeight="false" outlineLevel="0" collapsed="false">
      <c r="D899" s="60" t="s">
        <v>8219</v>
      </c>
      <c r="E899" s="60" t="s">
        <v>8220</v>
      </c>
      <c r="F899" s="62"/>
      <c r="G899" s="57" t="s">
        <v>8221</v>
      </c>
      <c r="H899" s="57" t="s">
        <v>3792</v>
      </c>
      <c r="I899" s="39"/>
      <c r="J899" s="57" t="s">
        <v>3792</v>
      </c>
      <c r="K899" s="57" t="s">
        <v>3792</v>
      </c>
    </row>
    <row r="900" customFormat="false" ht="44.75" hidden="false" customHeight="false" outlineLevel="0" collapsed="false">
      <c r="F900" s="0" t="s">
        <v>5342</v>
      </c>
      <c r="G900" s="57" t="s">
        <v>8222</v>
      </c>
      <c r="H900" s="57" t="s">
        <v>8219</v>
      </c>
      <c r="I900" s="37" t="s">
        <v>50</v>
      </c>
      <c r="J900" s="57" t="s">
        <v>8223</v>
      </c>
      <c r="K900" s="57" t="s">
        <v>6034</v>
      </c>
    </row>
    <row r="901" customFormat="false" ht="23.05" hidden="false" customHeight="false" outlineLevel="0" collapsed="false">
      <c r="C901" s="70" t="s">
        <v>8224</v>
      </c>
      <c r="D901" s="66" t="s">
        <v>8225</v>
      </c>
      <c r="E901" s="66" t="s">
        <v>8226</v>
      </c>
      <c r="F901" s="69"/>
      <c r="G901" s="57" t="s">
        <v>8227</v>
      </c>
      <c r="H901" s="57" t="s">
        <v>3792</v>
      </c>
      <c r="I901" s="37"/>
      <c r="J901" s="57" t="s">
        <v>3792</v>
      </c>
      <c r="K901" s="57" t="s">
        <v>3792</v>
      </c>
    </row>
    <row r="902" customFormat="false" ht="44.75" hidden="false" customHeight="false" outlineLevel="0" collapsed="false">
      <c r="F902" s="57" t="s">
        <v>5334</v>
      </c>
      <c r="G902" s="57" t="s">
        <v>8228</v>
      </c>
      <c r="H902" s="57" t="s">
        <v>8225</v>
      </c>
      <c r="I902" s="37" t="s">
        <v>50</v>
      </c>
      <c r="J902" s="57" t="s">
        <v>8229</v>
      </c>
      <c r="K902" s="57" t="s">
        <v>6042</v>
      </c>
    </row>
    <row r="903" customFormat="false" ht="23.05" hidden="false" customHeight="false" outlineLevel="0" collapsed="false">
      <c r="D903" s="60" t="s">
        <v>8230</v>
      </c>
      <c r="E903" s="60" t="s">
        <v>8231</v>
      </c>
      <c r="F903" s="61"/>
      <c r="G903" s="57" t="s">
        <v>8232</v>
      </c>
      <c r="H903" s="57" t="s">
        <v>3792</v>
      </c>
      <c r="I903" s="37"/>
      <c r="J903" s="57" t="s">
        <v>3792</v>
      </c>
      <c r="K903" s="57" t="s">
        <v>3792</v>
      </c>
    </row>
    <row r="904" customFormat="false" ht="44.75" hidden="false" customHeight="false" outlineLevel="0" collapsed="false">
      <c r="F904" s="57" t="s">
        <v>5342</v>
      </c>
      <c r="G904" s="57" t="s">
        <v>8233</v>
      </c>
      <c r="H904" s="57" t="s">
        <v>8230</v>
      </c>
      <c r="I904" s="39" t="s">
        <v>67</v>
      </c>
      <c r="J904" s="57" t="s">
        <v>8234</v>
      </c>
      <c r="K904" s="57" t="s">
        <v>6050</v>
      </c>
    </row>
    <row r="905" customFormat="false" ht="23.05" hidden="false" customHeight="false" outlineLevel="0" collapsed="false">
      <c r="D905" s="60" t="s">
        <v>8235</v>
      </c>
      <c r="E905" s="60" t="s">
        <v>8236</v>
      </c>
      <c r="F905" s="61"/>
      <c r="G905" s="57" t="s">
        <v>8237</v>
      </c>
      <c r="H905" s="57" t="s">
        <v>3792</v>
      </c>
      <c r="I905" s="39"/>
      <c r="J905" s="57" t="s">
        <v>3792</v>
      </c>
      <c r="K905" s="57" t="s">
        <v>3792</v>
      </c>
    </row>
    <row r="906" customFormat="false" ht="44.75" hidden="false" customHeight="false" outlineLevel="0" collapsed="false">
      <c r="F906" s="0" t="s">
        <v>5334</v>
      </c>
      <c r="G906" s="57" t="s">
        <v>8238</v>
      </c>
      <c r="H906" s="57" t="s">
        <v>8235</v>
      </c>
      <c r="I906" s="34" t="s">
        <v>40</v>
      </c>
      <c r="J906" s="57" t="s">
        <v>8239</v>
      </c>
      <c r="K906" s="57" t="s">
        <v>6058</v>
      </c>
    </row>
    <row r="907" customFormat="false" ht="23.05" hidden="false" customHeight="false" outlineLevel="0" collapsed="false">
      <c r="D907" s="60" t="s">
        <v>8240</v>
      </c>
      <c r="E907" s="60" t="s">
        <v>8241</v>
      </c>
      <c r="F907" s="62"/>
      <c r="G907" s="57" t="s">
        <v>8242</v>
      </c>
      <c r="H907" s="57" t="s">
        <v>3792</v>
      </c>
      <c r="I907" s="34"/>
      <c r="J907" s="57" t="s">
        <v>3792</v>
      </c>
      <c r="K907" s="57" t="s">
        <v>3792</v>
      </c>
    </row>
    <row r="908" customFormat="false" ht="33.9" hidden="false" customHeight="false" outlineLevel="0" collapsed="false">
      <c r="F908" s="0" t="s">
        <v>5334</v>
      </c>
      <c r="G908" s="57" t="s">
        <v>8243</v>
      </c>
      <c r="H908" s="57" t="s">
        <v>8240</v>
      </c>
      <c r="I908" s="39" t="s">
        <v>67</v>
      </c>
      <c r="J908" s="57" t="s">
        <v>8244</v>
      </c>
      <c r="K908" s="57" t="s">
        <v>6066</v>
      </c>
    </row>
    <row r="909" customFormat="false" ht="23.05" hidden="false" customHeight="false" outlineLevel="0" collapsed="false">
      <c r="D909" s="60" t="s">
        <v>8245</v>
      </c>
      <c r="E909" s="60" t="s">
        <v>8246</v>
      </c>
      <c r="F909" s="62"/>
      <c r="G909" s="57" t="s">
        <v>8247</v>
      </c>
      <c r="H909" s="57" t="s">
        <v>3792</v>
      </c>
      <c r="I909" s="39"/>
      <c r="J909" s="57" t="s">
        <v>3792</v>
      </c>
      <c r="K909" s="57" t="s">
        <v>3792</v>
      </c>
    </row>
    <row r="910" customFormat="false" ht="55.6" hidden="false" customHeight="false" outlineLevel="0" collapsed="false">
      <c r="F910" s="0" t="s">
        <v>5342</v>
      </c>
      <c r="G910" s="57" t="s">
        <v>8248</v>
      </c>
      <c r="H910" s="57" t="s">
        <v>8245</v>
      </c>
      <c r="I910" s="37" t="s">
        <v>50</v>
      </c>
      <c r="J910" s="57" t="s">
        <v>8249</v>
      </c>
      <c r="K910" s="57" t="s">
        <v>6075</v>
      </c>
    </row>
    <row r="911" customFormat="false" ht="33.9" hidden="false" customHeight="false" outlineLevel="0" collapsed="false">
      <c r="C911" s="64" t="s">
        <v>8250</v>
      </c>
      <c r="D911" s="66" t="s">
        <v>8251</v>
      </c>
      <c r="E911" s="66" t="s">
        <v>8252</v>
      </c>
      <c r="F911" s="65"/>
      <c r="G911" s="57" t="s">
        <v>8253</v>
      </c>
      <c r="H911" s="57" t="s">
        <v>3792</v>
      </c>
      <c r="I911" s="37"/>
      <c r="J911" s="57" t="s">
        <v>3792</v>
      </c>
      <c r="K911" s="57" t="s">
        <v>3792</v>
      </c>
    </row>
    <row r="912" customFormat="false" ht="44.75" hidden="false" customHeight="false" outlineLevel="0" collapsed="false">
      <c r="F912" s="0" t="s">
        <v>5334</v>
      </c>
      <c r="G912" s="57" t="s">
        <v>8254</v>
      </c>
      <c r="H912" s="57" t="s">
        <v>8251</v>
      </c>
      <c r="I912" s="37" t="s">
        <v>50</v>
      </c>
      <c r="J912" s="57" t="s">
        <v>8255</v>
      </c>
      <c r="K912" s="57" t="s">
        <v>6083</v>
      </c>
    </row>
    <row r="913" customFormat="false" ht="23.05" hidden="false" customHeight="false" outlineLevel="0" collapsed="false">
      <c r="D913" s="60" t="s">
        <v>8256</v>
      </c>
      <c r="E913" s="60" t="s">
        <v>8257</v>
      </c>
      <c r="F913" s="62"/>
      <c r="G913" s="57" t="s">
        <v>8258</v>
      </c>
      <c r="H913" s="57" t="s">
        <v>3792</v>
      </c>
      <c r="I913" s="37"/>
      <c r="J913" s="57" t="s">
        <v>3792</v>
      </c>
      <c r="K913" s="57" t="s">
        <v>3792</v>
      </c>
    </row>
    <row r="914" customFormat="false" ht="44.75" hidden="false" customHeight="false" outlineLevel="0" collapsed="false">
      <c r="F914" s="0" t="s">
        <v>5342</v>
      </c>
      <c r="G914" s="57" t="s">
        <v>8259</v>
      </c>
      <c r="H914" s="57" t="s">
        <v>8256</v>
      </c>
      <c r="I914" s="39" t="s">
        <v>67</v>
      </c>
      <c r="J914" s="57" t="s">
        <v>8260</v>
      </c>
      <c r="K914" s="57" t="s">
        <v>6091</v>
      </c>
    </row>
    <row r="915" customFormat="false" ht="23.05" hidden="false" customHeight="false" outlineLevel="0" collapsed="false">
      <c r="D915" s="60" t="s">
        <v>8261</v>
      </c>
      <c r="E915" s="60" t="s">
        <v>8262</v>
      </c>
      <c r="F915" s="62"/>
      <c r="G915" s="57" t="s">
        <v>8263</v>
      </c>
      <c r="H915" s="57" t="s">
        <v>3792</v>
      </c>
      <c r="I915" s="39"/>
      <c r="J915" s="57" t="s">
        <v>3792</v>
      </c>
      <c r="K915" s="57" t="s">
        <v>3792</v>
      </c>
    </row>
    <row r="916" customFormat="false" ht="44.75" hidden="false" customHeight="false" outlineLevel="0" collapsed="false">
      <c r="F916" s="0" t="s">
        <v>5342</v>
      </c>
      <c r="G916" s="57" t="s">
        <v>8264</v>
      </c>
      <c r="H916" s="57" t="s">
        <v>8261</v>
      </c>
      <c r="I916" s="34" t="s">
        <v>40</v>
      </c>
      <c r="J916" s="57" t="s">
        <v>8265</v>
      </c>
      <c r="K916" s="57" t="s">
        <v>6099</v>
      </c>
    </row>
    <row r="917" customFormat="false" ht="23.05" hidden="false" customHeight="false" outlineLevel="0" collapsed="false">
      <c r="D917" s="60" t="s">
        <v>8266</v>
      </c>
      <c r="E917" s="60" t="s">
        <v>8267</v>
      </c>
      <c r="F917" s="62"/>
      <c r="G917" s="57" t="s">
        <v>8268</v>
      </c>
      <c r="H917" s="57" t="s">
        <v>3792</v>
      </c>
      <c r="I917" s="34"/>
      <c r="J917" s="57" t="s">
        <v>3792</v>
      </c>
      <c r="K917" s="57" t="s">
        <v>3792</v>
      </c>
    </row>
    <row r="918" customFormat="false" ht="44.75" hidden="false" customHeight="false" outlineLevel="0" collapsed="false">
      <c r="F918" s="0" t="s">
        <v>5334</v>
      </c>
      <c r="G918" s="57" t="s">
        <v>8269</v>
      </c>
      <c r="H918" s="57" t="s">
        <v>8266</v>
      </c>
      <c r="I918" s="39" t="s">
        <v>67</v>
      </c>
      <c r="J918" s="57" t="s">
        <v>8270</v>
      </c>
      <c r="K918" s="57" t="s">
        <v>6107</v>
      </c>
    </row>
    <row r="919" customFormat="false" ht="23.05" hidden="false" customHeight="false" outlineLevel="0" collapsed="false">
      <c r="D919" s="60" t="s">
        <v>8271</v>
      </c>
      <c r="E919" s="60" t="s">
        <v>8272</v>
      </c>
      <c r="F919" s="62"/>
      <c r="G919" s="57" t="s">
        <v>8273</v>
      </c>
      <c r="H919" s="57" t="s">
        <v>3792</v>
      </c>
      <c r="I919" s="39"/>
      <c r="J919" s="57" t="s">
        <v>3792</v>
      </c>
      <c r="K919" s="57" t="s">
        <v>3792</v>
      </c>
    </row>
    <row r="920" customFormat="false" ht="55.6" hidden="false" customHeight="false" outlineLevel="0" collapsed="false">
      <c r="F920" s="0" t="s">
        <v>5342</v>
      </c>
      <c r="G920" s="57" t="s">
        <v>8274</v>
      </c>
      <c r="H920" s="57" t="s">
        <v>8271</v>
      </c>
      <c r="I920" s="37" t="s">
        <v>50</v>
      </c>
      <c r="J920" s="57" t="s">
        <v>8275</v>
      </c>
      <c r="K920" s="57" t="s">
        <v>6116</v>
      </c>
    </row>
    <row r="921" customFormat="false" ht="12.8" hidden="false" customHeight="false" outlineLevel="0" collapsed="false">
      <c r="B921" s="67" t="s">
        <v>8276</v>
      </c>
      <c r="C921" s="68" t="s">
        <v>8277</v>
      </c>
      <c r="D921" s="68" t="s">
        <v>8278</v>
      </c>
      <c r="E921" s="68" t="s">
        <v>8279</v>
      </c>
      <c r="F921" s="65"/>
      <c r="G921" s="57" t="s">
        <v>8280</v>
      </c>
      <c r="H921" s="57" t="s">
        <v>3792</v>
      </c>
      <c r="I921" s="37"/>
      <c r="J921" s="57" t="s">
        <v>3792</v>
      </c>
      <c r="K921" s="57" t="s">
        <v>3792</v>
      </c>
    </row>
    <row r="922" customFormat="false" ht="44.75" hidden="false" customHeight="false" outlineLevel="0" collapsed="false">
      <c r="F922" s="0" t="s">
        <v>5334</v>
      </c>
      <c r="G922" s="57" t="s">
        <v>8281</v>
      </c>
      <c r="H922" s="57" t="s">
        <v>8278</v>
      </c>
      <c r="I922" s="37" t="s">
        <v>50</v>
      </c>
      <c r="J922" s="57" t="s">
        <v>8282</v>
      </c>
      <c r="K922" s="57" t="s">
        <v>6124</v>
      </c>
    </row>
    <row r="923" customFormat="false" ht="23.05" hidden="false" customHeight="false" outlineLevel="0" collapsed="false">
      <c r="D923" s="60" t="s">
        <v>8283</v>
      </c>
      <c r="E923" s="60" t="s">
        <v>8284</v>
      </c>
      <c r="F923" s="62"/>
      <c r="G923" s="57" t="s">
        <v>8285</v>
      </c>
      <c r="H923" s="57" t="s">
        <v>3792</v>
      </c>
      <c r="I923" s="37"/>
      <c r="J923" s="57" t="s">
        <v>3792</v>
      </c>
      <c r="K923" s="57" t="s">
        <v>3792</v>
      </c>
    </row>
    <row r="924" customFormat="false" ht="44.75" hidden="false" customHeight="false" outlineLevel="0" collapsed="false">
      <c r="F924" s="0" t="s">
        <v>5342</v>
      </c>
      <c r="G924" s="57" t="s">
        <v>8286</v>
      </c>
      <c r="H924" s="57" t="s">
        <v>8283</v>
      </c>
      <c r="I924" s="39" t="s">
        <v>67</v>
      </c>
      <c r="J924" s="57" t="s">
        <v>8287</v>
      </c>
      <c r="K924" s="57" t="s">
        <v>5970</v>
      </c>
    </row>
    <row r="925" customFormat="false" ht="23.05" hidden="false" customHeight="false" outlineLevel="0" collapsed="false">
      <c r="D925" s="60" t="s">
        <v>8288</v>
      </c>
      <c r="E925" s="60" t="s">
        <v>8289</v>
      </c>
      <c r="F925" s="62"/>
      <c r="G925" s="57" t="s">
        <v>8290</v>
      </c>
      <c r="H925" s="57" t="s">
        <v>3792</v>
      </c>
      <c r="I925" s="39"/>
      <c r="J925" s="57" t="s">
        <v>3792</v>
      </c>
      <c r="K925" s="57" t="s">
        <v>3792</v>
      </c>
    </row>
    <row r="926" customFormat="false" ht="55.6" hidden="false" customHeight="false" outlineLevel="0" collapsed="false">
      <c r="F926" s="0" t="s">
        <v>5334</v>
      </c>
      <c r="G926" s="57" t="s">
        <v>8291</v>
      </c>
      <c r="H926" s="57" t="s">
        <v>8288</v>
      </c>
      <c r="I926" s="34" t="s">
        <v>40</v>
      </c>
      <c r="J926" s="57" t="s">
        <v>8292</v>
      </c>
      <c r="K926" s="57" t="s">
        <v>6139</v>
      </c>
    </row>
    <row r="927" customFormat="false" ht="23.05" hidden="false" customHeight="false" outlineLevel="0" collapsed="false">
      <c r="D927" s="60" t="s">
        <v>8293</v>
      </c>
      <c r="E927" s="60" t="s">
        <v>8294</v>
      </c>
      <c r="F927" s="62"/>
      <c r="G927" s="57" t="s">
        <v>8295</v>
      </c>
      <c r="H927" s="57" t="s">
        <v>3792</v>
      </c>
      <c r="I927" s="34"/>
      <c r="J927" s="57" t="s">
        <v>3792</v>
      </c>
      <c r="K927" s="57" t="s">
        <v>3792</v>
      </c>
    </row>
    <row r="928" customFormat="false" ht="44.75" hidden="false" customHeight="false" outlineLevel="0" collapsed="false">
      <c r="F928" s="0" t="s">
        <v>5334</v>
      </c>
      <c r="G928" s="57" t="s">
        <v>8296</v>
      </c>
      <c r="H928" s="57" t="s">
        <v>8293</v>
      </c>
      <c r="I928" s="39" t="s">
        <v>67</v>
      </c>
      <c r="J928" s="57" t="s">
        <v>8297</v>
      </c>
      <c r="K928" s="57" t="s">
        <v>6147</v>
      </c>
    </row>
    <row r="929" customFormat="false" ht="23.05" hidden="false" customHeight="false" outlineLevel="0" collapsed="false">
      <c r="D929" s="60" t="s">
        <v>8298</v>
      </c>
      <c r="E929" s="60" t="s">
        <v>8299</v>
      </c>
      <c r="F929" s="62"/>
      <c r="G929" s="57" t="s">
        <v>8300</v>
      </c>
      <c r="H929" s="57" t="s">
        <v>3792</v>
      </c>
      <c r="I929" s="39"/>
      <c r="J929" s="57" t="s">
        <v>3792</v>
      </c>
      <c r="K929" s="57" t="s">
        <v>3792</v>
      </c>
    </row>
    <row r="930" customFormat="false" ht="44.75" hidden="false" customHeight="false" outlineLevel="0" collapsed="false">
      <c r="F930" s="0" t="s">
        <v>5342</v>
      </c>
      <c r="G930" s="57" t="s">
        <v>8301</v>
      </c>
      <c r="H930" s="57" t="s">
        <v>8298</v>
      </c>
      <c r="I930" s="37" t="s">
        <v>50</v>
      </c>
      <c r="J930" s="57" t="s">
        <v>8302</v>
      </c>
      <c r="K930" s="57" t="s">
        <v>6156</v>
      </c>
    </row>
    <row r="931" customFormat="false" ht="23.05" hidden="false" customHeight="false" outlineLevel="0" collapsed="false">
      <c r="C931" s="70" t="s">
        <v>8303</v>
      </c>
      <c r="D931" s="66" t="s">
        <v>8304</v>
      </c>
      <c r="E931" s="66" t="s">
        <v>8305</v>
      </c>
      <c r="F931" s="65"/>
      <c r="G931" s="57" t="s">
        <v>8306</v>
      </c>
      <c r="H931" s="57" t="s">
        <v>3792</v>
      </c>
      <c r="I931" s="37"/>
      <c r="J931" s="57" t="s">
        <v>3792</v>
      </c>
      <c r="K931" s="57" t="s">
        <v>3792</v>
      </c>
    </row>
    <row r="932" customFormat="false" ht="44.75" hidden="false" customHeight="false" outlineLevel="0" collapsed="false">
      <c r="F932" s="0" t="s">
        <v>5342</v>
      </c>
      <c r="G932" s="57" t="s">
        <v>8307</v>
      </c>
      <c r="H932" s="57" t="s">
        <v>8304</v>
      </c>
      <c r="I932" s="37" t="s">
        <v>50</v>
      </c>
      <c r="J932" s="57" t="s">
        <v>8308</v>
      </c>
      <c r="K932" s="57" t="s">
        <v>6164</v>
      </c>
    </row>
    <row r="933" customFormat="false" ht="23.05" hidden="false" customHeight="false" outlineLevel="0" collapsed="false">
      <c r="D933" s="60" t="s">
        <v>8309</v>
      </c>
      <c r="E933" s="60" t="s">
        <v>8310</v>
      </c>
      <c r="F933" s="62"/>
      <c r="G933" s="57" t="s">
        <v>8311</v>
      </c>
      <c r="H933" s="57" t="s">
        <v>3792</v>
      </c>
      <c r="I933" s="37"/>
      <c r="J933" s="57" t="s">
        <v>3792</v>
      </c>
      <c r="K933" s="57" t="s">
        <v>3792</v>
      </c>
    </row>
    <row r="934" customFormat="false" ht="44.75" hidden="false" customHeight="false" outlineLevel="0" collapsed="false">
      <c r="F934" s="0" t="s">
        <v>5334</v>
      </c>
      <c r="G934" s="57" t="s">
        <v>8307</v>
      </c>
      <c r="H934" s="57" t="s">
        <v>8309</v>
      </c>
      <c r="I934" s="39" t="s">
        <v>67</v>
      </c>
      <c r="J934" s="57" t="s">
        <v>8312</v>
      </c>
      <c r="K934" s="57" t="s">
        <v>6172</v>
      </c>
    </row>
    <row r="935" customFormat="false" ht="23.05" hidden="false" customHeight="false" outlineLevel="0" collapsed="false">
      <c r="D935" s="60" t="s">
        <v>8313</v>
      </c>
      <c r="E935" s="60" t="s">
        <v>8314</v>
      </c>
      <c r="F935" s="62"/>
      <c r="G935" s="57" t="s">
        <v>8315</v>
      </c>
      <c r="H935" s="57" t="s">
        <v>3792</v>
      </c>
      <c r="I935" s="39"/>
      <c r="J935" s="57" t="s">
        <v>3792</v>
      </c>
      <c r="K935" s="57" t="s">
        <v>3792</v>
      </c>
    </row>
    <row r="936" customFormat="false" ht="44.75" hidden="false" customHeight="false" outlineLevel="0" collapsed="false">
      <c r="F936" s="0" t="s">
        <v>5334</v>
      </c>
      <c r="G936" s="57" t="s">
        <v>8307</v>
      </c>
      <c r="H936" s="57" t="s">
        <v>8313</v>
      </c>
      <c r="I936" s="34" t="s">
        <v>40</v>
      </c>
      <c r="J936" s="57" t="s">
        <v>8316</v>
      </c>
      <c r="K936" s="57" t="s">
        <v>6180</v>
      </c>
    </row>
    <row r="937" customFormat="false" ht="33.9" hidden="false" customHeight="false" outlineLevel="0" collapsed="false">
      <c r="D937" s="60" t="s">
        <v>8317</v>
      </c>
      <c r="E937" s="60" t="s">
        <v>8318</v>
      </c>
      <c r="F937" s="62"/>
      <c r="G937" s="57" t="s">
        <v>8319</v>
      </c>
      <c r="H937" s="57" t="s">
        <v>3792</v>
      </c>
      <c r="I937" s="34"/>
      <c r="J937" s="57" t="s">
        <v>3792</v>
      </c>
      <c r="K937" s="57" t="s">
        <v>3792</v>
      </c>
    </row>
    <row r="938" customFormat="false" ht="55.6" hidden="false" customHeight="false" outlineLevel="0" collapsed="false">
      <c r="F938" s="0" t="s">
        <v>5342</v>
      </c>
      <c r="G938" s="57" t="s">
        <v>8320</v>
      </c>
      <c r="H938" s="57" t="s">
        <v>8317</v>
      </c>
      <c r="I938" s="39" t="s">
        <v>67</v>
      </c>
      <c r="J938" s="57" t="s">
        <v>8321</v>
      </c>
      <c r="K938" s="57" t="s">
        <v>6188</v>
      </c>
    </row>
    <row r="939" customFormat="false" ht="23.05" hidden="false" customHeight="false" outlineLevel="0" collapsed="false">
      <c r="D939" s="60" t="s">
        <v>8322</v>
      </c>
      <c r="E939" s="60" t="s">
        <v>8323</v>
      </c>
      <c r="F939" s="62"/>
      <c r="G939" s="57" t="s">
        <v>8324</v>
      </c>
      <c r="H939" s="57" t="s">
        <v>3792</v>
      </c>
      <c r="I939" s="39"/>
      <c r="J939" s="57" t="s">
        <v>3792</v>
      </c>
      <c r="K939" s="57" t="s">
        <v>3792</v>
      </c>
    </row>
    <row r="940" customFormat="false" ht="44.75" hidden="false" customHeight="false" outlineLevel="0" collapsed="false">
      <c r="F940" s="0" t="s">
        <v>5342</v>
      </c>
      <c r="G940" s="57" t="s">
        <v>8325</v>
      </c>
      <c r="H940" s="57" t="s">
        <v>8322</v>
      </c>
      <c r="I940" s="37" t="s">
        <v>50</v>
      </c>
      <c r="J940" s="57" t="s">
        <v>8326</v>
      </c>
      <c r="K940" s="57" t="s">
        <v>6197</v>
      </c>
    </row>
    <row r="941" customFormat="false" ht="23.05" hidden="false" customHeight="false" outlineLevel="0" collapsed="false">
      <c r="C941" s="70" t="s">
        <v>8327</v>
      </c>
      <c r="D941" s="66" t="s">
        <v>8328</v>
      </c>
      <c r="E941" s="66" t="s">
        <v>8329</v>
      </c>
      <c r="F941" s="65"/>
      <c r="G941" s="57" t="s">
        <v>8330</v>
      </c>
      <c r="H941" s="57" t="s">
        <v>3792</v>
      </c>
      <c r="I941" s="37"/>
      <c r="J941" s="57" t="s">
        <v>3792</v>
      </c>
      <c r="K941" s="57" t="s">
        <v>3792</v>
      </c>
    </row>
    <row r="942" customFormat="false" ht="44.75" hidden="false" customHeight="false" outlineLevel="0" collapsed="false">
      <c r="F942" s="0" t="s">
        <v>5334</v>
      </c>
      <c r="G942" s="57" t="s">
        <v>8331</v>
      </c>
      <c r="H942" s="57" t="s">
        <v>8328</v>
      </c>
      <c r="I942" s="37" t="s">
        <v>50</v>
      </c>
      <c r="J942" s="57" t="s">
        <v>8332</v>
      </c>
      <c r="K942" s="57" t="s">
        <v>6205</v>
      </c>
    </row>
    <row r="943" customFormat="false" ht="23.05" hidden="false" customHeight="false" outlineLevel="0" collapsed="false">
      <c r="D943" s="60" t="s">
        <v>8333</v>
      </c>
      <c r="E943" s="60" t="s">
        <v>8334</v>
      </c>
      <c r="F943" s="62"/>
      <c r="G943" s="57" t="s">
        <v>8335</v>
      </c>
      <c r="H943" s="57" t="s">
        <v>3792</v>
      </c>
      <c r="I943" s="37"/>
      <c r="J943" s="57" t="s">
        <v>3792</v>
      </c>
      <c r="K943" s="57" t="s">
        <v>3792</v>
      </c>
    </row>
    <row r="944" customFormat="false" ht="44.75" hidden="false" customHeight="false" outlineLevel="0" collapsed="false">
      <c r="F944" s="0" t="s">
        <v>5342</v>
      </c>
      <c r="G944" s="57" t="s">
        <v>8336</v>
      </c>
      <c r="H944" s="57" t="s">
        <v>8333</v>
      </c>
      <c r="I944" s="39" t="s">
        <v>67</v>
      </c>
      <c r="J944" s="57" t="s">
        <v>8337</v>
      </c>
      <c r="K944" s="57" t="s">
        <v>6213</v>
      </c>
    </row>
    <row r="945" customFormat="false" ht="23.05" hidden="false" customHeight="false" outlineLevel="0" collapsed="false">
      <c r="D945" s="60" t="s">
        <v>8338</v>
      </c>
      <c r="E945" s="60" t="s">
        <v>8339</v>
      </c>
      <c r="F945" s="62"/>
      <c r="G945" s="57" t="s">
        <v>8263</v>
      </c>
      <c r="H945" s="57" t="s">
        <v>3792</v>
      </c>
      <c r="I945" s="39"/>
      <c r="J945" s="57" t="s">
        <v>3792</v>
      </c>
      <c r="K945" s="57" t="s">
        <v>3792</v>
      </c>
    </row>
    <row r="946" customFormat="false" ht="44.75" hidden="false" customHeight="false" outlineLevel="0" collapsed="false">
      <c r="F946" s="0" t="s">
        <v>5342</v>
      </c>
      <c r="G946" s="57" t="s">
        <v>8340</v>
      </c>
      <c r="H946" s="57" t="s">
        <v>8338</v>
      </c>
      <c r="I946" s="34" t="s">
        <v>40</v>
      </c>
      <c r="J946" s="57" t="s">
        <v>8341</v>
      </c>
      <c r="K946" s="57" t="s">
        <v>6221</v>
      </c>
    </row>
    <row r="947" customFormat="false" ht="23.05" hidden="false" customHeight="false" outlineLevel="0" collapsed="false">
      <c r="D947" s="60" t="s">
        <v>8342</v>
      </c>
      <c r="E947" s="60" t="s">
        <v>8343</v>
      </c>
      <c r="F947" s="62"/>
      <c r="G947" s="57" t="s">
        <v>8344</v>
      </c>
      <c r="H947" s="57" t="s">
        <v>3792</v>
      </c>
      <c r="I947" s="34"/>
      <c r="J947" s="57" t="s">
        <v>3792</v>
      </c>
      <c r="K947" s="57" t="s">
        <v>3792</v>
      </c>
    </row>
    <row r="948" customFormat="false" ht="44.75" hidden="false" customHeight="false" outlineLevel="0" collapsed="false">
      <c r="F948" s="0" t="s">
        <v>5334</v>
      </c>
      <c r="G948" s="57" t="s">
        <v>8345</v>
      </c>
      <c r="H948" s="57" t="s">
        <v>8342</v>
      </c>
      <c r="I948" s="39" t="s">
        <v>67</v>
      </c>
      <c r="J948" s="57" t="s">
        <v>8346</v>
      </c>
      <c r="K948" s="57" t="s">
        <v>6228</v>
      </c>
    </row>
    <row r="949" customFormat="false" ht="23.05" hidden="false" customHeight="false" outlineLevel="0" collapsed="false">
      <c r="D949" s="60" t="s">
        <v>8347</v>
      </c>
      <c r="E949" s="60" t="s">
        <v>8348</v>
      </c>
      <c r="F949" s="62"/>
      <c r="G949" s="57" t="s">
        <v>8349</v>
      </c>
      <c r="H949" s="57" t="s">
        <v>3792</v>
      </c>
      <c r="I949" s="39"/>
      <c r="J949" s="57" t="s">
        <v>3792</v>
      </c>
      <c r="K949" s="57" t="s">
        <v>3792</v>
      </c>
    </row>
    <row r="950" customFormat="false" ht="44.75" hidden="false" customHeight="false" outlineLevel="0" collapsed="false">
      <c r="F950" s="0" t="s">
        <v>5342</v>
      </c>
      <c r="G950" s="57" t="s">
        <v>8350</v>
      </c>
      <c r="H950" s="57" t="s">
        <v>8347</v>
      </c>
      <c r="I950" s="37" t="s">
        <v>50</v>
      </c>
      <c r="J950" s="57" t="s">
        <v>8351</v>
      </c>
      <c r="K950" s="57" t="s">
        <v>6236</v>
      </c>
    </row>
    <row r="951" customFormat="false" ht="33.9" hidden="false" customHeight="false" outlineLevel="0" collapsed="false">
      <c r="C951" s="70" t="s">
        <v>8352</v>
      </c>
      <c r="D951" s="66" t="s">
        <v>8353</v>
      </c>
      <c r="E951" s="66" t="s">
        <v>8354</v>
      </c>
      <c r="F951" s="65"/>
      <c r="G951" s="57" t="s">
        <v>8355</v>
      </c>
      <c r="H951" s="57" t="s">
        <v>3792</v>
      </c>
      <c r="I951" s="37"/>
      <c r="J951" s="57" t="s">
        <v>3792</v>
      </c>
      <c r="K951" s="57" t="s">
        <v>3792</v>
      </c>
    </row>
    <row r="952" customFormat="false" ht="44.75" hidden="false" customHeight="false" outlineLevel="0" collapsed="false">
      <c r="F952" s="0" t="s">
        <v>5334</v>
      </c>
      <c r="G952" s="57" t="s">
        <v>8356</v>
      </c>
      <c r="H952" s="57" t="s">
        <v>8353</v>
      </c>
      <c r="I952" s="37" t="s">
        <v>50</v>
      </c>
      <c r="J952" s="57" t="s">
        <v>8357</v>
      </c>
      <c r="K952" s="57" t="s">
        <v>6243</v>
      </c>
    </row>
    <row r="953" customFormat="false" ht="23.05" hidden="false" customHeight="false" outlineLevel="0" collapsed="false">
      <c r="D953" s="60" t="s">
        <v>8358</v>
      </c>
      <c r="E953" s="60" t="s">
        <v>8359</v>
      </c>
      <c r="F953" s="62"/>
      <c r="G953" s="57" t="s">
        <v>8360</v>
      </c>
      <c r="H953" s="57" t="s">
        <v>3792</v>
      </c>
      <c r="I953" s="37"/>
      <c r="J953" s="57" t="s">
        <v>3792</v>
      </c>
      <c r="K953" s="57" t="s">
        <v>3792</v>
      </c>
    </row>
    <row r="954" customFormat="false" ht="44.75" hidden="false" customHeight="false" outlineLevel="0" collapsed="false">
      <c r="F954" s="0" t="s">
        <v>5334</v>
      </c>
      <c r="G954" s="57" t="s">
        <v>8361</v>
      </c>
      <c r="H954" s="57" t="s">
        <v>8358</v>
      </c>
      <c r="I954" s="39" t="s">
        <v>67</v>
      </c>
      <c r="J954" s="57" t="s">
        <v>8362</v>
      </c>
      <c r="K954" s="57" t="s">
        <v>6250</v>
      </c>
    </row>
    <row r="955" customFormat="false" ht="23.05" hidden="false" customHeight="false" outlineLevel="0" collapsed="false">
      <c r="D955" s="60" t="s">
        <v>8363</v>
      </c>
      <c r="E955" s="60" t="s">
        <v>8364</v>
      </c>
      <c r="F955" s="62"/>
      <c r="G955" s="57" t="s">
        <v>8365</v>
      </c>
      <c r="H955" s="57" t="s">
        <v>3792</v>
      </c>
      <c r="I955" s="39"/>
      <c r="J955" s="57" t="s">
        <v>3792</v>
      </c>
      <c r="K955" s="57" t="s">
        <v>3792</v>
      </c>
    </row>
    <row r="956" customFormat="false" ht="55.6" hidden="false" customHeight="false" outlineLevel="0" collapsed="false">
      <c r="F956" s="0" t="s">
        <v>5342</v>
      </c>
      <c r="G956" s="57" t="s">
        <v>8366</v>
      </c>
      <c r="H956" s="57" t="s">
        <v>8363</v>
      </c>
      <c r="I956" s="34" t="s">
        <v>40</v>
      </c>
      <c r="J956" s="57" t="s">
        <v>8367</v>
      </c>
      <c r="K956" s="57" t="s">
        <v>6257</v>
      </c>
    </row>
    <row r="957" customFormat="false" ht="23.05" hidden="false" customHeight="false" outlineLevel="0" collapsed="false">
      <c r="D957" s="60" t="s">
        <v>8368</v>
      </c>
      <c r="E957" s="60" t="s">
        <v>8369</v>
      </c>
      <c r="F957" s="62"/>
      <c r="G957" s="57" t="s">
        <v>8370</v>
      </c>
      <c r="H957" s="57" t="s">
        <v>3792</v>
      </c>
      <c r="I957" s="34"/>
      <c r="J957" s="57" t="s">
        <v>3792</v>
      </c>
      <c r="K957" s="57" t="s">
        <v>3792</v>
      </c>
    </row>
    <row r="958" customFormat="false" ht="55.6" hidden="false" customHeight="false" outlineLevel="0" collapsed="false">
      <c r="F958" s="0" t="s">
        <v>5334</v>
      </c>
      <c r="G958" s="57" t="s">
        <v>8371</v>
      </c>
      <c r="H958" s="57" t="s">
        <v>8368</v>
      </c>
      <c r="I958" s="39" t="s">
        <v>67</v>
      </c>
      <c r="J958" s="57" t="s">
        <v>8372</v>
      </c>
      <c r="K958" s="57" t="s">
        <v>6264</v>
      </c>
    </row>
    <row r="959" customFormat="false" ht="23.05" hidden="false" customHeight="false" outlineLevel="0" collapsed="false">
      <c r="D959" s="60" t="s">
        <v>8373</v>
      </c>
      <c r="E959" s="60" t="s">
        <v>8374</v>
      </c>
      <c r="F959" s="62"/>
      <c r="G959" s="57" t="s">
        <v>8375</v>
      </c>
      <c r="H959" s="57" t="s">
        <v>3792</v>
      </c>
      <c r="I959" s="39"/>
      <c r="J959" s="57" t="s">
        <v>3792</v>
      </c>
      <c r="K959" s="57" t="s">
        <v>3792</v>
      </c>
    </row>
    <row r="960" customFormat="false" ht="44.75" hidden="false" customHeight="false" outlineLevel="0" collapsed="false">
      <c r="F960" s="0" t="s">
        <v>5334</v>
      </c>
      <c r="G960" s="57" t="s">
        <v>8376</v>
      </c>
      <c r="H960" s="57" t="s">
        <v>8373</v>
      </c>
      <c r="I960" s="37" t="s">
        <v>50</v>
      </c>
      <c r="J960" s="57" t="s">
        <v>8377</v>
      </c>
      <c r="K960" s="57" t="s">
        <v>6272</v>
      </c>
    </row>
    <row r="961" customFormat="false" ht="23.05" hidden="false" customHeight="false" outlineLevel="0" collapsed="false">
      <c r="C961" s="70" t="s">
        <v>8378</v>
      </c>
      <c r="D961" s="66" t="s">
        <v>8379</v>
      </c>
      <c r="E961" s="66" t="s">
        <v>8380</v>
      </c>
      <c r="F961" s="65"/>
      <c r="G961" s="57" t="s">
        <v>8381</v>
      </c>
      <c r="H961" s="57" t="s">
        <v>3792</v>
      </c>
      <c r="I961" s="37"/>
      <c r="J961" s="57" t="s">
        <v>3792</v>
      </c>
      <c r="K961" s="57" t="s">
        <v>3792</v>
      </c>
    </row>
    <row r="962" customFormat="false" ht="44.75" hidden="false" customHeight="false" outlineLevel="0" collapsed="false">
      <c r="F962" s="0" t="s">
        <v>5342</v>
      </c>
      <c r="G962" s="57" t="s">
        <v>8382</v>
      </c>
      <c r="H962" s="57" t="s">
        <v>8379</v>
      </c>
      <c r="I962" s="37" t="s">
        <v>50</v>
      </c>
      <c r="J962" s="57" t="s">
        <v>8383</v>
      </c>
      <c r="K962" s="57" t="s">
        <v>6279</v>
      </c>
    </row>
    <row r="963" customFormat="false" ht="12.8" hidden="false" customHeight="false" outlineLevel="0" collapsed="false">
      <c r="D963" s="60" t="s">
        <v>8384</v>
      </c>
      <c r="E963" s="60" t="s">
        <v>8385</v>
      </c>
      <c r="F963" s="62"/>
      <c r="G963" s="57" t="s">
        <v>8386</v>
      </c>
      <c r="H963" s="57" t="s">
        <v>3792</v>
      </c>
      <c r="I963" s="37"/>
      <c r="J963" s="57" t="s">
        <v>3792</v>
      </c>
      <c r="K963" s="57" t="s">
        <v>3792</v>
      </c>
    </row>
    <row r="964" customFormat="false" ht="44.75" hidden="false" customHeight="false" outlineLevel="0" collapsed="false">
      <c r="F964" s="0" t="s">
        <v>5334</v>
      </c>
      <c r="G964" s="57" t="s">
        <v>8387</v>
      </c>
      <c r="H964" s="57" t="s">
        <v>8384</v>
      </c>
      <c r="I964" s="39" t="s">
        <v>67</v>
      </c>
      <c r="J964" s="57" t="s">
        <v>8388</v>
      </c>
      <c r="K964" s="57" t="s">
        <v>6286</v>
      </c>
    </row>
    <row r="965" customFormat="false" ht="23.05" hidden="false" customHeight="false" outlineLevel="0" collapsed="false">
      <c r="D965" s="60" t="s">
        <v>8389</v>
      </c>
      <c r="E965" s="60" t="s">
        <v>8390</v>
      </c>
      <c r="F965" s="62"/>
      <c r="G965" s="57" t="s">
        <v>8391</v>
      </c>
      <c r="H965" s="57" t="s">
        <v>3792</v>
      </c>
      <c r="I965" s="39"/>
      <c r="J965" s="57" t="s">
        <v>3792</v>
      </c>
      <c r="K965" s="57" t="s">
        <v>3792</v>
      </c>
    </row>
    <row r="966" customFormat="false" ht="44.75" hidden="false" customHeight="false" outlineLevel="0" collapsed="false">
      <c r="F966" s="0" t="s">
        <v>5342</v>
      </c>
      <c r="G966" s="57" t="s">
        <v>8392</v>
      </c>
      <c r="H966" s="57" t="s">
        <v>8389</v>
      </c>
      <c r="I966" s="34" t="s">
        <v>40</v>
      </c>
      <c r="J966" s="57" t="s">
        <v>8393</v>
      </c>
      <c r="K966" s="57" t="s">
        <v>6293</v>
      </c>
    </row>
    <row r="967" customFormat="false" ht="33.9" hidden="false" customHeight="false" outlineLevel="0" collapsed="false">
      <c r="D967" s="60" t="s">
        <v>8394</v>
      </c>
      <c r="E967" s="60" t="s">
        <v>8395</v>
      </c>
      <c r="F967" s="62"/>
      <c r="G967" s="57" t="s">
        <v>8396</v>
      </c>
      <c r="H967" s="57" t="s">
        <v>3792</v>
      </c>
      <c r="I967" s="34"/>
      <c r="J967" s="57" t="s">
        <v>3792</v>
      </c>
      <c r="K967" s="57" t="s">
        <v>3792</v>
      </c>
    </row>
    <row r="968" customFormat="false" ht="44.75" hidden="false" customHeight="false" outlineLevel="0" collapsed="false">
      <c r="F968" s="0" t="s">
        <v>5342</v>
      </c>
      <c r="G968" s="57" t="s">
        <v>8397</v>
      </c>
      <c r="H968" s="57" t="s">
        <v>8394</v>
      </c>
      <c r="I968" s="39" t="s">
        <v>67</v>
      </c>
      <c r="J968" s="57" t="s">
        <v>8398</v>
      </c>
      <c r="K968" s="57" t="s">
        <v>6300</v>
      </c>
    </row>
    <row r="969" customFormat="false" ht="23.05" hidden="false" customHeight="false" outlineLevel="0" collapsed="false">
      <c r="D969" s="60" t="s">
        <v>8399</v>
      </c>
      <c r="E969" s="60" t="s">
        <v>8400</v>
      </c>
      <c r="F969" s="62"/>
      <c r="G969" s="57" t="s">
        <v>8401</v>
      </c>
      <c r="H969" s="57" t="s">
        <v>3792</v>
      </c>
      <c r="I969" s="39"/>
      <c r="J969" s="57" t="s">
        <v>3792</v>
      </c>
      <c r="K969" s="57" t="s">
        <v>3792</v>
      </c>
    </row>
    <row r="970" customFormat="false" ht="44.75" hidden="false" customHeight="false" outlineLevel="0" collapsed="false">
      <c r="F970" s="0" t="s">
        <v>5334</v>
      </c>
      <c r="G970" s="57" t="s">
        <v>8402</v>
      </c>
      <c r="H970" s="57" t="s">
        <v>8399</v>
      </c>
      <c r="I970" s="37" t="s">
        <v>50</v>
      </c>
      <c r="J970" s="57" t="s">
        <v>8403</v>
      </c>
      <c r="K970" s="57" t="s">
        <v>6308</v>
      </c>
    </row>
    <row r="971" customFormat="false" ht="23.05" hidden="false" customHeight="false" outlineLevel="0" collapsed="false">
      <c r="C971" s="70" t="s">
        <v>8404</v>
      </c>
      <c r="D971" s="66" t="s">
        <v>8405</v>
      </c>
      <c r="E971" s="66" t="s">
        <v>8406</v>
      </c>
      <c r="F971" s="65"/>
      <c r="G971" s="57" t="s">
        <v>8407</v>
      </c>
      <c r="H971" s="57" t="s">
        <v>3792</v>
      </c>
      <c r="I971" s="37"/>
      <c r="J971" s="57" t="s">
        <v>3792</v>
      </c>
      <c r="K971" s="57" t="s">
        <v>3792</v>
      </c>
    </row>
    <row r="972" customFormat="false" ht="44.75" hidden="false" customHeight="false" outlineLevel="0" collapsed="false">
      <c r="F972" s="0" t="s">
        <v>5334</v>
      </c>
      <c r="G972" s="57" t="s">
        <v>8408</v>
      </c>
      <c r="H972" s="57" t="s">
        <v>8405</v>
      </c>
      <c r="I972" s="37" t="s">
        <v>50</v>
      </c>
      <c r="J972" s="57" t="s">
        <v>8409</v>
      </c>
      <c r="K972" s="57" t="s">
        <v>6315</v>
      </c>
    </row>
    <row r="973" customFormat="false" ht="23.05" hidden="false" customHeight="false" outlineLevel="0" collapsed="false">
      <c r="D973" s="60" t="s">
        <v>8410</v>
      </c>
      <c r="E973" s="60" t="s">
        <v>8411</v>
      </c>
      <c r="F973" s="62"/>
      <c r="G973" s="57" t="s">
        <v>8412</v>
      </c>
      <c r="H973" s="57" t="s">
        <v>3792</v>
      </c>
      <c r="I973" s="37"/>
      <c r="J973" s="57" t="s">
        <v>3792</v>
      </c>
      <c r="K973" s="57" t="s">
        <v>3792</v>
      </c>
    </row>
    <row r="974" customFormat="false" ht="55.6" hidden="false" customHeight="false" outlineLevel="0" collapsed="false">
      <c r="F974" s="0" t="s">
        <v>5342</v>
      </c>
      <c r="G974" s="57" t="s">
        <v>8413</v>
      </c>
      <c r="H974" s="57" t="s">
        <v>8410</v>
      </c>
      <c r="I974" s="39" t="s">
        <v>67</v>
      </c>
      <c r="J974" s="57" t="s">
        <v>8414</v>
      </c>
      <c r="K974" s="57" t="s">
        <v>6322</v>
      </c>
    </row>
    <row r="975" customFormat="false" ht="23.05" hidden="false" customHeight="false" outlineLevel="0" collapsed="false">
      <c r="D975" s="60" t="s">
        <v>8415</v>
      </c>
      <c r="E975" s="60" t="s">
        <v>8416</v>
      </c>
      <c r="F975" s="62"/>
      <c r="G975" s="57" t="s">
        <v>8417</v>
      </c>
      <c r="H975" s="57" t="s">
        <v>3792</v>
      </c>
      <c r="I975" s="39"/>
      <c r="J975" s="57" t="s">
        <v>3792</v>
      </c>
      <c r="K975" s="57" t="s">
        <v>3792</v>
      </c>
    </row>
    <row r="976" customFormat="false" ht="44.75" hidden="false" customHeight="false" outlineLevel="0" collapsed="false">
      <c r="F976" s="0" t="s">
        <v>5334</v>
      </c>
      <c r="G976" s="57" t="s">
        <v>8418</v>
      </c>
      <c r="H976" s="57" t="s">
        <v>8415</v>
      </c>
      <c r="I976" s="34" t="s">
        <v>40</v>
      </c>
      <c r="J976" s="57" t="s">
        <v>8419</v>
      </c>
      <c r="K976" s="57" t="s">
        <v>6329</v>
      </c>
    </row>
    <row r="977" customFormat="false" ht="23.05" hidden="false" customHeight="false" outlineLevel="0" collapsed="false">
      <c r="D977" s="60" t="s">
        <v>8420</v>
      </c>
      <c r="E977" s="60" t="s">
        <v>8421</v>
      </c>
      <c r="F977" s="62"/>
      <c r="G977" s="57" t="s">
        <v>8422</v>
      </c>
      <c r="H977" s="57" t="s">
        <v>3792</v>
      </c>
      <c r="I977" s="34"/>
      <c r="J977" s="57" t="s">
        <v>3792</v>
      </c>
      <c r="K977" s="57" t="s">
        <v>3792</v>
      </c>
    </row>
    <row r="978" customFormat="false" ht="55.6" hidden="false" customHeight="false" outlineLevel="0" collapsed="false">
      <c r="F978" s="0" t="s">
        <v>5334</v>
      </c>
      <c r="G978" s="57" t="s">
        <v>8423</v>
      </c>
      <c r="H978" s="57" t="s">
        <v>8420</v>
      </c>
      <c r="I978" s="39" t="s">
        <v>67</v>
      </c>
      <c r="J978" s="57" t="s">
        <v>8424</v>
      </c>
      <c r="K978" s="57" t="s">
        <v>6336</v>
      </c>
    </row>
    <row r="979" customFormat="false" ht="23.05" hidden="false" customHeight="false" outlineLevel="0" collapsed="false">
      <c r="D979" s="60" t="s">
        <v>8425</v>
      </c>
      <c r="E979" s="60" t="s">
        <v>8426</v>
      </c>
      <c r="F979" s="62"/>
      <c r="G979" s="57" t="s">
        <v>8427</v>
      </c>
      <c r="H979" s="57" t="s">
        <v>3792</v>
      </c>
      <c r="I979" s="39"/>
      <c r="J979" s="57" t="s">
        <v>3792</v>
      </c>
      <c r="K979" s="57" t="s">
        <v>3792</v>
      </c>
    </row>
    <row r="980" customFormat="false" ht="44.75" hidden="false" customHeight="false" outlineLevel="0" collapsed="false">
      <c r="F980" s="0" t="s">
        <v>5334</v>
      </c>
      <c r="G980" s="57" t="s">
        <v>8428</v>
      </c>
      <c r="H980" s="57" t="s">
        <v>8425</v>
      </c>
      <c r="I980" s="37" t="s">
        <v>50</v>
      </c>
      <c r="J980" s="57" t="s">
        <v>8429</v>
      </c>
      <c r="K980" s="57" t="s">
        <v>6345</v>
      </c>
    </row>
    <row r="981" customFormat="false" ht="23.05" hidden="false" customHeight="false" outlineLevel="0" collapsed="false">
      <c r="C981" s="70" t="s">
        <v>8430</v>
      </c>
      <c r="D981" s="66" t="s">
        <v>8431</v>
      </c>
      <c r="E981" s="66" t="s">
        <v>8432</v>
      </c>
      <c r="F981" s="65"/>
      <c r="G981" s="57" t="s">
        <v>8433</v>
      </c>
      <c r="H981" s="57" t="s">
        <v>3792</v>
      </c>
      <c r="I981" s="37"/>
      <c r="J981" s="57" t="s">
        <v>3792</v>
      </c>
      <c r="K981" s="57" t="s">
        <v>3792</v>
      </c>
    </row>
    <row r="982" customFormat="false" ht="44.75" hidden="false" customHeight="false" outlineLevel="0" collapsed="false">
      <c r="F982" s="0" t="s">
        <v>5342</v>
      </c>
      <c r="G982" s="57" t="s">
        <v>8434</v>
      </c>
      <c r="H982" s="57" t="s">
        <v>8431</v>
      </c>
      <c r="I982" s="37" t="s">
        <v>50</v>
      </c>
      <c r="J982" s="57" t="s">
        <v>8435</v>
      </c>
      <c r="K982" s="57" t="s">
        <v>6352</v>
      </c>
    </row>
    <row r="983" customFormat="false" ht="23.05" hidden="false" customHeight="false" outlineLevel="0" collapsed="false">
      <c r="D983" s="60" t="s">
        <v>8436</v>
      </c>
      <c r="E983" s="60" t="s">
        <v>8437</v>
      </c>
      <c r="F983" s="62"/>
      <c r="G983" s="57" t="s">
        <v>8438</v>
      </c>
      <c r="H983" s="57" t="s">
        <v>3792</v>
      </c>
      <c r="I983" s="37"/>
      <c r="J983" s="57" t="s">
        <v>3792</v>
      </c>
      <c r="K983" s="57" t="s">
        <v>3792</v>
      </c>
    </row>
    <row r="984" customFormat="false" ht="44.75" hidden="false" customHeight="false" outlineLevel="0" collapsed="false">
      <c r="F984" s="0" t="s">
        <v>5334</v>
      </c>
      <c r="G984" s="57" t="s">
        <v>8439</v>
      </c>
      <c r="H984" s="57" t="s">
        <v>8436</v>
      </c>
      <c r="I984" s="39" t="s">
        <v>67</v>
      </c>
      <c r="J984" s="57" t="s">
        <v>8440</v>
      </c>
      <c r="K984" s="57" t="s">
        <v>6359</v>
      </c>
    </row>
    <row r="985" customFormat="false" ht="23.05" hidden="false" customHeight="false" outlineLevel="0" collapsed="false">
      <c r="D985" s="60" t="s">
        <v>8441</v>
      </c>
      <c r="E985" s="60" t="s">
        <v>8442</v>
      </c>
      <c r="F985" s="62"/>
      <c r="G985" s="57" t="s">
        <v>8443</v>
      </c>
      <c r="H985" s="57" t="s">
        <v>3792</v>
      </c>
      <c r="I985" s="39"/>
      <c r="J985" s="57" t="s">
        <v>3792</v>
      </c>
      <c r="K985" s="57" t="s">
        <v>3792</v>
      </c>
    </row>
    <row r="986" customFormat="false" ht="55.6" hidden="false" customHeight="false" outlineLevel="0" collapsed="false">
      <c r="F986" s="0" t="s">
        <v>5334</v>
      </c>
      <c r="G986" s="57" t="s">
        <v>8444</v>
      </c>
      <c r="H986" s="57" t="s">
        <v>8441</v>
      </c>
      <c r="I986" s="34" t="s">
        <v>40</v>
      </c>
      <c r="J986" s="57" t="s">
        <v>8445</v>
      </c>
      <c r="K986" s="57" t="s">
        <v>6366</v>
      </c>
    </row>
    <row r="987" customFormat="false" ht="23.05" hidden="false" customHeight="false" outlineLevel="0" collapsed="false">
      <c r="D987" s="60" t="s">
        <v>8446</v>
      </c>
      <c r="E987" s="60" t="s">
        <v>8447</v>
      </c>
      <c r="F987" s="62"/>
      <c r="G987" s="57" t="s">
        <v>8448</v>
      </c>
      <c r="H987" s="57" t="s">
        <v>3792</v>
      </c>
      <c r="I987" s="34"/>
      <c r="J987" s="57" t="s">
        <v>3792</v>
      </c>
      <c r="K987" s="57" t="s">
        <v>3792</v>
      </c>
    </row>
    <row r="988" customFormat="false" ht="44.75" hidden="false" customHeight="false" outlineLevel="0" collapsed="false">
      <c r="F988" s="0" t="s">
        <v>5342</v>
      </c>
      <c r="G988" s="57" t="s">
        <v>8449</v>
      </c>
      <c r="H988" s="57" t="s">
        <v>8446</v>
      </c>
      <c r="I988" s="39" t="s">
        <v>67</v>
      </c>
      <c r="J988" s="57" t="s">
        <v>8450</v>
      </c>
      <c r="K988" s="57" t="s">
        <v>6373</v>
      </c>
    </row>
    <row r="989" customFormat="false" ht="23.05" hidden="false" customHeight="false" outlineLevel="0" collapsed="false">
      <c r="D989" s="60" t="s">
        <v>8451</v>
      </c>
      <c r="E989" s="60" t="s">
        <v>8452</v>
      </c>
      <c r="F989" s="62"/>
      <c r="G989" s="57" t="s">
        <v>8453</v>
      </c>
      <c r="H989" s="57" t="s">
        <v>3792</v>
      </c>
      <c r="I989" s="39"/>
      <c r="J989" s="57" t="s">
        <v>3792</v>
      </c>
      <c r="K989" s="57" t="s">
        <v>3792</v>
      </c>
    </row>
    <row r="990" customFormat="false" ht="44.75" hidden="false" customHeight="false" outlineLevel="0" collapsed="false">
      <c r="F990" s="0" t="s">
        <v>5342</v>
      </c>
      <c r="G990" s="57" t="s">
        <v>8454</v>
      </c>
      <c r="H990" s="57" t="s">
        <v>8451</v>
      </c>
      <c r="I990" s="37" t="s">
        <v>50</v>
      </c>
      <c r="J990" s="57" t="s">
        <v>8455</v>
      </c>
      <c r="K990" s="57" t="s">
        <v>6381</v>
      </c>
    </row>
    <row r="991" customFormat="false" ht="23.05" hidden="false" customHeight="false" outlineLevel="0" collapsed="false">
      <c r="C991" s="70" t="s">
        <v>8456</v>
      </c>
      <c r="D991" s="66" t="s">
        <v>8457</v>
      </c>
      <c r="E991" s="66" t="s">
        <v>8458</v>
      </c>
      <c r="F991" s="65"/>
      <c r="G991" s="57" t="s">
        <v>8459</v>
      </c>
      <c r="H991" s="57" t="s">
        <v>3792</v>
      </c>
      <c r="I991" s="37"/>
      <c r="J991" s="57" t="s">
        <v>3792</v>
      </c>
      <c r="K991" s="57" t="s">
        <v>3792</v>
      </c>
    </row>
    <row r="992" customFormat="false" ht="44.75" hidden="false" customHeight="false" outlineLevel="0" collapsed="false">
      <c r="F992" s="0" t="s">
        <v>5334</v>
      </c>
      <c r="G992" s="57" t="s">
        <v>8460</v>
      </c>
      <c r="H992" s="57" t="s">
        <v>8457</v>
      </c>
      <c r="I992" s="37" t="s">
        <v>50</v>
      </c>
      <c r="J992" s="57" t="s">
        <v>8461</v>
      </c>
      <c r="K992" s="57" t="s">
        <v>6388</v>
      </c>
    </row>
    <row r="993" customFormat="false" ht="23.05" hidden="false" customHeight="false" outlineLevel="0" collapsed="false">
      <c r="D993" s="60" t="s">
        <v>8462</v>
      </c>
      <c r="E993" s="60" t="s">
        <v>8463</v>
      </c>
      <c r="F993" s="62"/>
      <c r="G993" s="57" t="s">
        <v>8464</v>
      </c>
      <c r="H993" s="57" t="s">
        <v>3792</v>
      </c>
      <c r="I993" s="37"/>
      <c r="J993" s="57" t="s">
        <v>3792</v>
      </c>
      <c r="K993" s="57" t="s">
        <v>3792</v>
      </c>
    </row>
    <row r="994" customFormat="false" ht="44.75" hidden="false" customHeight="false" outlineLevel="0" collapsed="false">
      <c r="F994" s="0" t="s">
        <v>5334</v>
      </c>
      <c r="G994" s="57" t="s">
        <v>8465</v>
      </c>
      <c r="H994" s="57" t="s">
        <v>8462</v>
      </c>
      <c r="I994" s="39" t="s">
        <v>67</v>
      </c>
      <c r="J994" s="57" t="s">
        <v>8466</v>
      </c>
      <c r="K994" s="57" t="s">
        <v>6395</v>
      </c>
    </row>
    <row r="995" customFormat="false" ht="23.05" hidden="false" customHeight="false" outlineLevel="0" collapsed="false">
      <c r="D995" s="60" t="s">
        <v>8467</v>
      </c>
      <c r="E995" s="60" t="s">
        <v>8468</v>
      </c>
      <c r="F995" s="62"/>
      <c r="G995" s="57" t="s">
        <v>8469</v>
      </c>
      <c r="H995" s="57" t="s">
        <v>3792</v>
      </c>
      <c r="I995" s="39"/>
      <c r="J995" s="57" t="s">
        <v>3792</v>
      </c>
      <c r="K995" s="57" t="s">
        <v>3792</v>
      </c>
    </row>
    <row r="996" customFormat="false" ht="44.75" hidden="false" customHeight="false" outlineLevel="0" collapsed="false">
      <c r="F996" s="0" t="s">
        <v>5342</v>
      </c>
      <c r="G996" s="57" t="s">
        <v>8470</v>
      </c>
      <c r="H996" s="57" t="s">
        <v>8467</v>
      </c>
      <c r="I996" s="34" t="s">
        <v>40</v>
      </c>
      <c r="J996" s="57" t="s">
        <v>8471</v>
      </c>
      <c r="K996" s="57" t="s">
        <v>6402</v>
      </c>
    </row>
    <row r="997" customFormat="false" ht="23.05" hidden="false" customHeight="false" outlineLevel="0" collapsed="false">
      <c r="D997" s="60" t="s">
        <v>8472</v>
      </c>
      <c r="E997" s="60" t="s">
        <v>8473</v>
      </c>
      <c r="F997" s="62"/>
      <c r="G997" s="57" t="s">
        <v>8474</v>
      </c>
      <c r="H997" s="57" t="s">
        <v>3792</v>
      </c>
      <c r="I997" s="34"/>
      <c r="J997" s="57" t="s">
        <v>3792</v>
      </c>
      <c r="K997" s="57" t="s">
        <v>3792</v>
      </c>
    </row>
    <row r="998" customFormat="false" ht="55.6" hidden="false" customHeight="false" outlineLevel="0" collapsed="false">
      <c r="F998" s="0" t="s">
        <v>5342</v>
      </c>
      <c r="G998" s="57" t="s">
        <v>8475</v>
      </c>
      <c r="H998" s="57" t="s">
        <v>8472</v>
      </c>
      <c r="I998" s="39" t="s">
        <v>67</v>
      </c>
      <c r="J998" s="57" t="s">
        <v>8476</v>
      </c>
      <c r="K998" s="57" t="s">
        <v>6409</v>
      </c>
    </row>
    <row r="999" customFormat="false" ht="23.05" hidden="false" customHeight="false" outlineLevel="0" collapsed="false">
      <c r="D999" s="60" t="s">
        <v>8477</v>
      </c>
      <c r="E999" s="60" t="s">
        <v>8478</v>
      </c>
      <c r="F999" s="62"/>
      <c r="G999" s="57" t="s">
        <v>8479</v>
      </c>
      <c r="H999" s="57" t="s">
        <v>3792</v>
      </c>
      <c r="I999" s="39"/>
      <c r="J999" s="57" t="s">
        <v>3792</v>
      </c>
      <c r="K999" s="57" t="s">
        <v>3792</v>
      </c>
    </row>
    <row r="1000" customFormat="false" ht="55.6" hidden="false" customHeight="false" outlineLevel="0" collapsed="false">
      <c r="F1000" s="0" t="s">
        <v>5342</v>
      </c>
      <c r="G1000" s="57" t="s">
        <v>8480</v>
      </c>
      <c r="H1000" s="57" t="s">
        <v>8477</v>
      </c>
      <c r="I1000" s="37" t="s">
        <v>50</v>
      </c>
      <c r="J1000" s="57" t="s">
        <v>8481</v>
      </c>
      <c r="K1000" s="57" t="s">
        <v>6415</v>
      </c>
    </row>
    <row r="1001" customFormat="false" ht="23.05" hidden="false" customHeight="false" outlineLevel="0" collapsed="false">
      <c r="C1001" s="64" t="s">
        <v>8482</v>
      </c>
      <c r="D1001" s="66" t="s">
        <v>8483</v>
      </c>
      <c r="E1001" s="66" t="s">
        <v>8484</v>
      </c>
      <c r="F1001" s="69"/>
      <c r="G1001" s="57" t="s">
        <v>8485</v>
      </c>
      <c r="I1001" s="37"/>
      <c r="K1001" s="57" t="s">
        <v>3792</v>
      </c>
    </row>
    <row r="1002" customFormat="false" ht="44.75" hidden="false" customHeight="false" outlineLevel="0" collapsed="false">
      <c r="F1002" s="0" t="s">
        <v>5334</v>
      </c>
      <c r="G1002" s="57" t="s">
        <v>8486</v>
      </c>
      <c r="H1002" s="57" t="s">
        <v>8483</v>
      </c>
      <c r="I1002" s="37" t="s">
        <v>50</v>
      </c>
      <c r="J1002" s="57" t="s">
        <v>8487</v>
      </c>
      <c r="K1002" s="57" t="s">
        <v>6421</v>
      </c>
    </row>
    <row r="1003" customFormat="false" ht="23.05" hidden="false" customHeight="false" outlineLevel="0" collapsed="false">
      <c r="D1003" s="60" t="s">
        <v>8488</v>
      </c>
      <c r="E1003" s="60" t="s">
        <v>8489</v>
      </c>
      <c r="F1003" s="62"/>
      <c r="G1003" s="57" t="s">
        <v>8490</v>
      </c>
      <c r="H1003" s="57" t="s">
        <v>3792</v>
      </c>
      <c r="I1003" s="37"/>
      <c r="J1003" s="57" t="s">
        <v>3792</v>
      </c>
      <c r="K1003" s="57" t="s">
        <v>3792</v>
      </c>
    </row>
    <row r="1004" customFormat="false" ht="55.6" hidden="false" customHeight="false" outlineLevel="0" collapsed="false">
      <c r="F1004" s="0" t="s">
        <v>5342</v>
      </c>
      <c r="G1004" s="57" t="s">
        <v>8491</v>
      </c>
      <c r="H1004" s="57" t="s">
        <v>8488</v>
      </c>
      <c r="I1004" s="39" t="s">
        <v>67</v>
      </c>
      <c r="J1004" s="57" t="s">
        <v>8492</v>
      </c>
      <c r="K1004" s="57" t="s">
        <v>6428</v>
      </c>
    </row>
    <row r="1005" customFormat="false" ht="12.8" hidden="false" customHeight="false" outlineLevel="0" collapsed="false">
      <c r="D1005" s="60" t="s">
        <v>8493</v>
      </c>
      <c r="E1005" s="60" t="s">
        <v>8494</v>
      </c>
      <c r="F1005" s="62"/>
      <c r="G1005" s="57" t="s">
        <v>8495</v>
      </c>
      <c r="H1005" s="57" t="s">
        <v>3792</v>
      </c>
      <c r="I1005" s="39"/>
      <c r="J1005" s="57" t="s">
        <v>3792</v>
      </c>
      <c r="K1005" s="57" t="s">
        <v>3792</v>
      </c>
    </row>
    <row r="1006" customFormat="false" ht="44.75" hidden="false" customHeight="false" outlineLevel="0" collapsed="false">
      <c r="F1006" s="0" t="s">
        <v>5334</v>
      </c>
      <c r="G1006" s="57" t="s">
        <v>8496</v>
      </c>
      <c r="H1006" s="57" t="s">
        <v>8493</v>
      </c>
      <c r="I1006" s="34" t="s">
        <v>40</v>
      </c>
      <c r="J1006" s="57" t="s">
        <v>8497</v>
      </c>
      <c r="K1006" s="57" t="s">
        <v>6435</v>
      </c>
    </row>
    <row r="1007" customFormat="false" ht="12.8" hidden="false" customHeight="false" outlineLevel="0" collapsed="false">
      <c r="D1007" s="60" t="s">
        <v>8498</v>
      </c>
      <c r="E1007" s="60" t="s">
        <v>8499</v>
      </c>
      <c r="F1007" s="62"/>
      <c r="G1007" s="57" t="s">
        <v>8500</v>
      </c>
      <c r="H1007" s="57" t="s">
        <v>3792</v>
      </c>
      <c r="I1007" s="34"/>
      <c r="J1007" s="57" t="s">
        <v>3792</v>
      </c>
      <c r="K1007" s="57" t="s">
        <v>3792</v>
      </c>
    </row>
    <row r="1008" customFormat="false" ht="55.6" hidden="false" customHeight="false" outlineLevel="0" collapsed="false">
      <c r="F1008" s="0" t="s">
        <v>5342</v>
      </c>
      <c r="G1008" s="57" t="s">
        <v>8501</v>
      </c>
      <c r="H1008" s="57" t="s">
        <v>8498</v>
      </c>
      <c r="I1008" s="39" t="s">
        <v>67</v>
      </c>
      <c r="J1008" s="57" t="s">
        <v>8502</v>
      </c>
      <c r="K1008" s="57" t="s">
        <v>6442</v>
      </c>
    </row>
    <row r="1009" customFormat="false" ht="23.05" hidden="false" customHeight="false" outlineLevel="0" collapsed="false">
      <c r="D1009" s="60" t="s">
        <v>8503</v>
      </c>
      <c r="E1009" s="60" t="s">
        <v>8504</v>
      </c>
      <c r="F1009" s="62"/>
      <c r="G1009" s="57" t="s">
        <v>8505</v>
      </c>
      <c r="H1009" s="57" t="s">
        <v>3792</v>
      </c>
      <c r="I1009" s="39"/>
      <c r="J1009" s="57" t="s">
        <v>3792</v>
      </c>
      <c r="K1009" s="57" t="s">
        <v>3792</v>
      </c>
    </row>
    <row r="1010" customFormat="false" ht="44.75" hidden="false" customHeight="false" outlineLevel="0" collapsed="false">
      <c r="F1010" s="0" t="s">
        <v>5334</v>
      </c>
      <c r="G1010" s="57" t="s">
        <v>8506</v>
      </c>
      <c r="H1010" s="57" t="s">
        <v>8503</v>
      </c>
      <c r="I1010" s="37" t="s">
        <v>50</v>
      </c>
      <c r="J1010" s="57" t="s">
        <v>8507</v>
      </c>
      <c r="K1010" s="57" t="s">
        <v>6449</v>
      </c>
    </row>
    <row r="1011" customFormat="false" ht="23.05" hidden="false" customHeight="false" outlineLevel="0" collapsed="false">
      <c r="B1011" s="67" t="s">
        <v>8508</v>
      </c>
      <c r="C1011" s="71" t="s">
        <v>8509</v>
      </c>
      <c r="D1011" s="68" t="s">
        <v>8510</v>
      </c>
      <c r="E1011" s="68" t="s">
        <v>8511</v>
      </c>
      <c r="F1011" s="65"/>
      <c r="G1011" s="57" t="s">
        <v>8512</v>
      </c>
      <c r="H1011" s="57" t="s">
        <v>3792</v>
      </c>
      <c r="I1011" s="37"/>
      <c r="J1011" s="57" t="s">
        <v>3792</v>
      </c>
      <c r="K1011" s="57" t="s">
        <v>3792</v>
      </c>
    </row>
    <row r="1012" customFormat="false" ht="44.75" hidden="false" customHeight="false" outlineLevel="0" collapsed="false">
      <c r="F1012" s="0" t="s">
        <v>5342</v>
      </c>
      <c r="G1012" s="57" t="s">
        <v>8513</v>
      </c>
      <c r="H1012" s="57" t="s">
        <v>8510</v>
      </c>
      <c r="I1012" s="37" t="s">
        <v>50</v>
      </c>
      <c r="J1012" s="57" t="s">
        <v>8514</v>
      </c>
      <c r="K1012" s="57" t="s">
        <v>6456</v>
      </c>
    </row>
    <row r="1013" customFormat="false" ht="23.05" hidden="false" customHeight="false" outlineLevel="0" collapsed="false">
      <c r="D1013" s="60" t="s">
        <v>8515</v>
      </c>
      <c r="E1013" s="60" t="s">
        <v>8516</v>
      </c>
      <c r="F1013" s="62"/>
      <c r="G1013" s="57" t="s">
        <v>8517</v>
      </c>
      <c r="H1013" s="57" t="s">
        <v>3792</v>
      </c>
      <c r="I1013" s="37"/>
      <c r="J1013" s="57" t="s">
        <v>3792</v>
      </c>
      <c r="K1013" s="57" t="s">
        <v>3792</v>
      </c>
    </row>
    <row r="1014" customFormat="false" ht="44.75" hidden="false" customHeight="false" outlineLevel="0" collapsed="false">
      <c r="F1014" s="0" t="s">
        <v>5334</v>
      </c>
      <c r="G1014" s="57" t="s">
        <v>8518</v>
      </c>
      <c r="H1014" s="57" t="s">
        <v>8515</v>
      </c>
      <c r="I1014" s="39" t="s">
        <v>67</v>
      </c>
      <c r="J1014" s="57" t="s">
        <v>8519</v>
      </c>
      <c r="K1014" s="57" t="s">
        <v>6463</v>
      </c>
    </row>
    <row r="1015" customFormat="false" ht="23.05" hidden="false" customHeight="false" outlineLevel="0" collapsed="false">
      <c r="D1015" s="60" t="s">
        <v>8520</v>
      </c>
      <c r="E1015" s="60" t="s">
        <v>8521</v>
      </c>
      <c r="F1015" s="62"/>
      <c r="G1015" s="57" t="s">
        <v>8522</v>
      </c>
      <c r="H1015" s="57" t="s">
        <v>3792</v>
      </c>
      <c r="I1015" s="39"/>
      <c r="J1015" s="57" t="s">
        <v>3792</v>
      </c>
      <c r="K1015" s="57" t="s">
        <v>3792</v>
      </c>
    </row>
    <row r="1016" customFormat="false" ht="44.75" hidden="false" customHeight="false" outlineLevel="0" collapsed="false">
      <c r="F1016" s="0" t="s">
        <v>5342</v>
      </c>
      <c r="G1016" s="57" t="s">
        <v>8523</v>
      </c>
      <c r="H1016" s="57" t="s">
        <v>8520</v>
      </c>
      <c r="I1016" s="34" t="s">
        <v>40</v>
      </c>
      <c r="J1016" s="57" t="s">
        <v>8524</v>
      </c>
      <c r="K1016" s="57" t="s">
        <v>6470</v>
      </c>
    </row>
    <row r="1017" customFormat="false" ht="23.05" hidden="false" customHeight="false" outlineLevel="0" collapsed="false">
      <c r="D1017" s="60" t="s">
        <v>8525</v>
      </c>
      <c r="E1017" s="60" t="s">
        <v>8526</v>
      </c>
      <c r="F1017" s="62"/>
      <c r="G1017" s="57" t="s">
        <v>8527</v>
      </c>
      <c r="H1017" s="57" t="s">
        <v>3792</v>
      </c>
      <c r="I1017" s="34"/>
      <c r="J1017" s="57" t="s">
        <v>3792</v>
      </c>
      <c r="K1017" s="57" t="s">
        <v>3792</v>
      </c>
    </row>
    <row r="1018" customFormat="false" ht="44.75" hidden="false" customHeight="false" outlineLevel="0" collapsed="false">
      <c r="F1018" s="0" t="s">
        <v>5342</v>
      </c>
      <c r="G1018" s="57" t="s">
        <v>8528</v>
      </c>
      <c r="H1018" s="57" t="s">
        <v>8525</v>
      </c>
      <c r="I1018" s="37" t="s">
        <v>50</v>
      </c>
      <c r="J1018" s="57" t="s">
        <v>8529</v>
      </c>
      <c r="K1018" s="57" t="s">
        <v>6477</v>
      </c>
    </row>
    <row r="1019" customFormat="false" ht="23.05" hidden="false" customHeight="false" outlineLevel="0" collapsed="false">
      <c r="D1019" s="60" t="s">
        <v>8530</v>
      </c>
      <c r="E1019" s="60" t="s">
        <v>8531</v>
      </c>
      <c r="F1019" s="62"/>
      <c r="G1019" s="57" t="s">
        <v>8532</v>
      </c>
      <c r="H1019" s="57" t="s">
        <v>3792</v>
      </c>
      <c r="I1019" s="37"/>
      <c r="J1019" s="57" t="s">
        <v>3792</v>
      </c>
      <c r="K1019" s="57" t="s">
        <v>3792</v>
      </c>
    </row>
    <row r="1020" customFormat="false" ht="44.75" hidden="false" customHeight="false" outlineLevel="0" collapsed="false">
      <c r="F1020" s="0" t="s">
        <v>5334</v>
      </c>
      <c r="G1020" s="57" t="s">
        <v>8533</v>
      </c>
      <c r="H1020" s="57" t="s">
        <v>8530</v>
      </c>
      <c r="I1020" s="34" t="s">
        <v>40</v>
      </c>
      <c r="J1020" s="57" t="s">
        <v>8534</v>
      </c>
      <c r="K1020" s="57" t="s">
        <v>6485</v>
      </c>
    </row>
    <row r="1021" customFormat="false" ht="23.05" hidden="false" customHeight="false" outlineLevel="0" collapsed="false">
      <c r="C1021" s="70" t="s">
        <v>8535</v>
      </c>
      <c r="D1021" s="66" t="s">
        <v>8536</v>
      </c>
      <c r="E1021" s="66" t="s">
        <v>8537</v>
      </c>
      <c r="F1021" s="65"/>
      <c r="G1021" s="57" t="s">
        <v>8538</v>
      </c>
      <c r="H1021" s="57" t="s">
        <v>3792</v>
      </c>
      <c r="I1021" s="34"/>
      <c r="J1021" s="57" t="s">
        <v>3792</v>
      </c>
      <c r="K1021" s="57" t="s">
        <v>3792</v>
      </c>
    </row>
    <row r="1022" customFormat="false" ht="44.75" hidden="false" customHeight="false" outlineLevel="0" collapsed="false">
      <c r="F1022" s="0" t="s">
        <v>5342</v>
      </c>
      <c r="G1022" s="57" t="s">
        <v>8539</v>
      </c>
      <c r="H1022" s="57" t="s">
        <v>8536</v>
      </c>
      <c r="I1022" s="39" t="s">
        <v>67</v>
      </c>
      <c r="J1022" s="57" t="s">
        <v>8540</v>
      </c>
      <c r="K1022" s="57" t="s">
        <v>6492</v>
      </c>
    </row>
    <row r="1023" customFormat="false" ht="23.05" hidden="false" customHeight="false" outlineLevel="0" collapsed="false">
      <c r="D1023" s="60" t="s">
        <v>8541</v>
      </c>
      <c r="E1023" s="60" t="s">
        <v>8542</v>
      </c>
      <c r="F1023" s="62"/>
      <c r="G1023" s="57" t="s">
        <v>8543</v>
      </c>
      <c r="H1023" s="57" t="s">
        <v>3792</v>
      </c>
      <c r="I1023" s="39"/>
      <c r="J1023" s="57" t="s">
        <v>3792</v>
      </c>
      <c r="K1023" s="57" t="s">
        <v>3792</v>
      </c>
    </row>
    <row r="1024" customFormat="false" ht="44.75" hidden="false" customHeight="false" outlineLevel="0" collapsed="false">
      <c r="F1024" s="0" t="s">
        <v>5334</v>
      </c>
      <c r="G1024" s="57" t="s">
        <v>8544</v>
      </c>
      <c r="H1024" s="57" t="s">
        <v>8541</v>
      </c>
      <c r="I1024" s="37" t="s">
        <v>50</v>
      </c>
      <c r="J1024" s="57" t="s">
        <v>8545</v>
      </c>
      <c r="K1024" s="57" t="s">
        <v>6499</v>
      </c>
    </row>
    <row r="1025" customFormat="false" ht="12.8" hidden="false" customHeight="false" outlineLevel="0" collapsed="false">
      <c r="D1025" s="60" t="s">
        <v>8546</v>
      </c>
      <c r="E1025" s="60" t="s">
        <v>8547</v>
      </c>
      <c r="F1025" s="62"/>
      <c r="G1025" s="57" t="s">
        <v>8548</v>
      </c>
      <c r="H1025" s="57" t="s">
        <v>3792</v>
      </c>
      <c r="I1025" s="37"/>
      <c r="J1025" s="57" t="s">
        <v>3792</v>
      </c>
      <c r="K1025" s="57" t="s">
        <v>3792</v>
      </c>
    </row>
    <row r="1026" customFormat="false" ht="44.75" hidden="false" customHeight="false" outlineLevel="0" collapsed="false">
      <c r="F1026" s="0" t="s">
        <v>5342</v>
      </c>
      <c r="G1026" s="57" t="s">
        <v>8549</v>
      </c>
      <c r="H1026" s="57" t="s">
        <v>8546</v>
      </c>
      <c r="I1026" s="37" t="s">
        <v>50</v>
      </c>
      <c r="J1026" s="57" t="s">
        <v>8550</v>
      </c>
      <c r="K1026" s="57" t="s">
        <v>6506</v>
      </c>
    </row>
    <row r="1027" customFormat="false" ht="23.05" hidden="false" customHeight="false" outlineLevel="0" collapsed="false">
      <c r="D1027" s="60" t="s">
        <v>8551</v>
      </c>
      <c r="E1027" s="60" t="s">
        <v>8552</v>
      </c>
      <c r="F1027" s="62"/>
      <c r="G1027" s="57" t="s">
        <v>8553</v>
      </c>
      <c r="H1027" s="57" t="s">
        <v>3792</v>
      </c>
      <c r="I1027" s="37"/>
      <c r="J1027" s="57" t="s">
        <v>3792</v>
      </c>
      <c r="K1027" s="57" t="s">
        <v>3792</v>
      </c>
    </row>
    <row r="1028" customFormat="false" ht="44.75" hidden="false" customHeight="false" outlineLevel="0" collapsed="false">
      <c r="F1028" s="0" t="s">
        <v>5342</v>
      </c>
      <c r="G1028" s="57" t="s">
        <v>8554</v>
      </c>
      <c r="H1028" s="57" t="s">
        <v>8551</v>
      </c>
      <c r="I1028" s="39" t="s">
        <v>67</v>
      </c>
      <c r="J1028" s="57" t="s">
        <v>8555</v>
      </c>
      <c r="K1028" s="57" t="s">
        <v>6513</v>
      </c>
    </row>
    <row r="1029" customFormat="false" ht="12.8" hidden="false" customHeight="false" outlineLevel="0" collapsed="false">
      <c r="D1029" s="60" t="s">
        <v>8556</v>
      </c>
      <c r="E1029" s="60" t="s">
        <v>8557</v>
      </c>
      <c r="F1029" s="62"/>
      <c r="G1029" s="57" t="s">
        <v>8539</v>
      </c>
      <c r="H1029" s="57" t="s">
        <v>3792</v>
      </c>
      <c r="I1029" s="39"/>
      <c r="J1029" s="57" t="s">
        <v>3792</v>
      </c>
      <c r="K1029" s="57" t="s">
        <v>3792</v>
      </c>
    </row>
    <row r="1030" customFormat="false" ht="44.75" hidden="false" customHeight="false" outlineLevel="0" collapsed="false">
      <c r="F1030" s="0" t="s">
        <v>5334</v>
      </c>
      <c r="G1030" s="57" t="s">
        <v>8558</v>
      </c>
      <c r="H1030" s="57" t="s">
        <v>8556</v>
      </c>
      <c r="I1030" s="34" t="s">
        <v>40</v>
      </c>
      <c r="J1030" s="57" t="s">
        <v>8559</v>
      </c>
      <c r="K1030" s="57" t="s">
        <v>6521</v>
      </c>
    </row>
    <row r="1031" customFormat="false" ht="23.05" hidden="false" customHeight="false" outlineLevel="0" collapsed="false">
      <c r="C1031" s="70" t="s">
        <v>8560</v>
      </c>
      <c r="D1031" s="66" t="s">
        <v>8561</v>
      </c>
      <c r="E1031" s="66" t="s">
        <v>8562</v>
      </c>
      <c r="F1031" s="65"/>
      <c r="G1031" s="57" t="s">
        <v>8563</v>
      </c>
      <c r="H1031" s="57" t="s">
        <v>3792</v>
      </c>
      <c r="I1031" s="34"/>
      <c r="J1031" s="57" t="s">
        <v>3792</v>
      </c>
      <c r="K1031" s="57" t="s">
        <v>3792</v>
      </c>
    </row>
    <row r="1032" customFormat="false" ht="44.75" hidden="false" customHeight="false" outlineLevel="0" collapsed="false">
      <c r="F1032" s="0" t="s">
        <v>5334</v>
      </c>
      <c r="G1032" s="57" t="s">
        <v>8564</v>
      </c>
      <c r="H1032" s="57" t="s">
        <v>8561</v>
      </c>
      <c r="I1032" s="39" t="s">
        <v>67</v>
      </c>
      <c r="J1032" s="57" t="s">
        <v>8565</v>
      </c>
      <c r="K1032" s="57" t="s">
        <v>6528</v>
      </c>
    </row>
    <row r="1033" customFormat="false" ht="12.8" hidden="false" customHeight="false" outlineLevel="0" collapsed="false">
      <c r="D1033" s="60" t="s">
        <v>8566</v>
      </c>
      <c r="E1033" s="60" t="s">
        <v>8567</v>
      </c>
      <c r="F1033" s="62"/>
      <c r="G1033" s="57" t="s">
        <v>3802</v>
      </c>
      <c r="H1033" s="57" t="s">
        <v>3792</v>
      </c>
      <c r="I1033" s="39"/>
      <c r="J1033" s="57" t="s">
        <v>3792</v>
      </c>
      <c r="K1033" s="57" t="s">
        <v>3792</v>
      </c>
    </row>
    <row r="1034" customFormat="false" ht="44.75" hidden="false" customHeight="false" outlineLevel="0" collapsed="false">
      <c r="F1034" s="0" t="s">
        <v>5342</v>
      </c>
      <c r="G1034" s="57" t="s">
        <v>8568</v>
      </c>
      <c r="H1034" s="57" t="s">
        <v>8566</v>
      </c>
      <c r="I1034" s="37" t="s">
        <v>50</v>
      </c>
      <c r="J1034" s="57" t="s">
        <v>8569</v>
      </c>
      <c r="K1034" s="57" t="s">
        <v>6533</v>
      </c>
    </row>
    <row r="1035" customFormat="false" ht="23.05" hidden="false" customHeight="false" outlineLevel="0" collapsed="false">
      <c r="D1035" s="60" t="s">
        <v>8570</v>
      </c>
      <c r="E1035" s="60" t="s">
        <v>8571</v>
      </c>
      <c r="F1035" s="62"/>
      <c r="G1035" s="57" t="s">
        <v>8572</v>
      </c>
      <c r="H1035" s="57" t="s">
        <v>3792</v>
      </c>
      <c r="I1035" s="37"/>
      <c r="J1035" s="57" t="s">
        <v>3792</v>
      </c>
      <c r="K1035" s="57" t="s">
        <v>3792</v>
      </c>
    </row>
    <row r="1036" customFormat="false" ht="44.75" hidden="false" customHeight="false" outlineLevel="0" collapsed="false">
      <c r="F1036" s="0" t="s">
        <v>5334</v>
      </c>
      <c r="G1036" s="57" t="s">
        <v>8573</v>
      </c>
      <c r="H1036" s="57" t="s">
        <v>8570</v>
      </c>
      <c r="I1036" s="37" t="s">
        <v>50</v>
      </c>
      <c r="J1036" s="57" t="s">
        <v>8574</v>
      </c>
      <c r="K1036" s="57" t="s">
        <v>6540</v>
      </c>
    </row>
    <row r="1037" customFormat="false" ht="23.05" hidden="false" customHeight="false" outlineLevel="0" collapsed="false">
      <c r="D1037" s="60" t="s">
        <v>8575</v>
      </c>
      <c r="E1037" s="60" t="s">
        <v>8576</v>
      </c>
      <c r="F1037" s="62"/>
      <c r="G1037" s="57" t="s">
        <v>8577</v>
      </c>
      <c r="H1037" s="57" t="s">
        <v>3792</v>
      </c>
      <c r="I1037" s="37"/>
      <c r="J1037" s="57" t="s">
        <v>3792</v>
      </c>
      <c r="K1037" s="57" t="s">
        <v>3792</v>
      </c>
    </row>
    <row r="1038" customFormat="false" ht="44.75" hidden="false" customHeight="false" outlineLevel="0" collapsed="false">
      <c r="F1038" s="0" t="s">
        <v>5342</v>
      </c>
      <c r="G1038" s="57" t="s">
        <v>8578</v>
      </c>
      <c r="H1038" s="57" t="s">
        <v>8575</v>
      </c>
      <c r="I1038" s="39" t="s">
        <v>67</v>
      </c>
      <c r="J1038" s="57" t="s">
        <v>8579</v>
      </c>
      <c r="K1038" s="57" t="s">
        <v>6547</v>
      </c>
    </row>
    <row r="1039" customFormat="false" ht="23.05" hidden="false" customHeight="false" outlineLevel="0" collapsed="false">
      <c r="D1039" s="60" t="s">
        <v>8580</v>
      </c>
      <c r="E1039" s="60" t="s">
        <v>8581</v>
      </c>
      <c r="F1039" s="62"/>
      <c r="G1039" s="57" t="s">
        <v>8582</v>
      </c>
      <c r="H1039" s="57" t="s">
        <v>3792</v>
      </c>
      <c r="I1039" s="39"/>
      <c r="J1039" s="57" t="s">
        <v>3792</v>
      </c>
      <c r="K1039" s="57" t="s">
        <v>3792</v>
      </c>
    </row>
    <row r="1040" customFormat="false" ht="44.75" hidden="false" customHeight="false" outlineLevel="0" collapsed="false">
      <c r="F1040" s="0" t="s">
        <v>5342</v>
      </c>
      <c r="G1040" s="57" t="s">
        <v>8583</v>
      </c>
      <c r="H1040" s="57" t="s">
        <v>8580</v>
      </c>
      <c r="I1040" s="34" t="s">
        <v>40</v>
      </c>
      <c r="J1040" s="57" t="s">
        <v>8584</v>
      </c>
      <c r="K1040" s="57" t="s">
        <v>6555</v>
      </c>
    </row>
    <row r="1041" customFormat="false" ht="23.05" hidden="false" customHeight="false" outlineLevel="0" collapsed="false">
      <c r="C1041" s="70" t="s">
        <v>8560</v>
      </c>
      <c r="D1041" s="66" t="s">
        <v>8457</v>
      </c>
      <c r="E1041" s="66" t="s">
        <v>8585</v>
      </c>
      <c r="F1041" s="65"/>
      <c r="G1041" s="57" t="s">
        <v>8586</v>
      </c>
      <c r="H1041" s="57" t="s">
        <v>3792</v>
      </c>
      <c r="I1041" s="34"/>
      <c r="J1041" s="57" t="s">
        <v>3792</v>
      </c>
      <c r="K1041" s="57" t="s">
        <v>3792</v>
      </c>
    </row>
    <row r="1042" customFormat="false" ht="55.6" hidden="false" customHeight="false" outlineLevel="0" collapsed="false">
      <c r="F1042" s="0" t="s">
        <v>5334</v>
      </c>
      <c r="G1042" s="57" t="s">
        <v>8460</v>
      </c>
      <c r="H1042" s="57" t="s">
        <v>8457</v>
      </c>
      <c r="I1042" s="39" t="s">
        <v>67</v>
      </c>
      <c r="J1042" s="57" t="s">
        <v>8587</v>
      </c>
      <c r="K1042" s="57" t="s">
        <v>6562</v>
      </c>
    </row>
    <row r="1043" customFormat="false" ht="23.05" hidden="false" customHeight="false" outlineLevel="0" collapsed="false">
      <c r="D1043" s="60" t="s">
        <v>8462</v>
      </c>
      <c r="E1043" s="60" t="s">
        <v>8588</v>
      </c>
      <c r="F1043" s="62"/>
      <c r="G1043" s="57" t="s">
        <v>8464</v>
      </c>
      <c r="H1043" s="57" t="s">
        <v>3792</v>
      </c>
      <c r="I1043" s="39"/>
      <c r="J1043" s="57" t="s">
        <v>3792</v>
      </c>
      <c r="K1043" s="57" t="s">
        <v>3792</v>
      </c>
    </row>
    <row r="1044" customFormat="false" ht="44.75" hidden="false" customHeight="false" outlineLevel="0" collapsed="false">
      <c r="F1044" s="0" t="s">
        <v>5342</v>
      </c>
      <c r="G1044" s="57" t="s">
        <v>8589</v>
      </c>
      <c r="H1044" s="57" t="s">
        <v>8462</v>
      </c>
      <c r="I1044" s="37" t="s">
        <v>50</v>
      </c>
      <c r="J1044" s="57" t="s">
        <v>8466</v>
      </c>
      <c r="K1044" s="57" t="s">
        <v>6569</v>
      </c>
    </row>
    <row r="1045" customFormat="false" ht="23.05" hidden="false" customHeight="false" outlineLevel="0" collapsed="false">
      <c r="D1045" s="60" t="s">
        <v>8467</v>
      </c>
      <c r="E1045" s="60" t="s">
        <v>8590</v>
      </c>
      <c r="F1045" s="62"/>
      <c r="G1045" s="57" t="s">
        <v>8469</v>
      </c>
      <c r="H1045" s="57" t="s">
        <v>3792</v>
      </c>
      <c r="I1045" s="37"/>
      <c r="J1045" s="57" t="s">
        <v>3792</v>
      </c>
      <c r="K1045" s="57" t="s">
        <v>3792</v>
      </c>
    </row>
    <row r="1046" customFormat="false" ht="55.6" hidden="false" customHeight="false" outlineLevel="0" collapsed="false">
      <c r="F1046" s="0" t="s">
        <v>5342</v>
      </c>
      <c r="G1046" s="57" t="s">
        <v>8470</v>
      </c>
      <c r="H1046" s="57" t="s">
        <v>8467</v>
      </c>
      <c r="I1046" s="37" t="s">
        <v>50</v>
      </c>
      <c r="J1046" s="57" t="s">
        <v>8471</v>
      </c>
      <c r="K1046" s="57" t="s">
        <v>6576</v>
      </c>
    </row>
    <row r="1047" customFormat="false" ht="23.05" hidden="false" customHeight="false" outlineLevel="0" collapsed="false">
      <c r="D1047" s="60" t="s">
        <v>8472</v>
      </c>
      <c r="E1047" s="60" t="s">
        <v>8591</v>
      </c>
      <c r="F1047" s="62"/>
      <c r="G1047" s="57" t="s">
        <v>8592</v>
      </c>
      <c r="H1047" s="57" t="s">
        <v>3792</v>
      </c>
      <c r="I1047" s="37"/>
      <c r="J1047" s="57" t="s">
        <v>3792</v>
      </c>
      <c r="K1047" s="57" t="s">
        <v>3792</v>
      </c>
    </row>
    <row r="1048" customFormat="false" ht="55.6" hidden="false" customHeight="false" outlineLevel="0" collapsed="false">
      <c r="F1048" s="0" t="s">
        <v>5334</v>
      </c>
      <c r="G1048" s="57" t="s">
        <v>8475</v>
      </c>
      <c r="H1048" s="57" t="s">
        <v>8472</v>
      </c>
      <c r="I1048" s="39" t="s">
        <v>67</v>
      </c>
      <c r="J1048" s="57" t="s">
        <v>8593</v>
      </c>
      <c r="K1048" s="57" t="s">
        <v>6583</v>
      </c>
    </row>
    <row r="1049" customFormat="false" ht="23.05" hidden="false" customHeight="false" outlineLevel="0" collapsed="false">
      <c r="D1049" s="60" t="s">
        <v>8477</v>
      </c>
      <c r="E1049" s="60" t="s">
        <v>8594</v>
      </c>
      <c r="F1049" s="62"/>
      <c r="G1049" s="57" t="s">
        <v>8479</v>
      </c>
      <c r="H1049" s="57" t="s">
        <v>3792</v>
      </c>
      <c r="I1049" s="39"/>
      <c r="J1049" s="57" t="s">
        <v>3792</v>
      </c>
      <c r="K1049" s="57" t="s">
        <v>3792</v>
      </c>
    </row>
    <row r="1050" customFormat="false" ht="55.6" hidden="false" customHeight="false" outlineLevel="0" collapsed="false">
      <c r="F1050" s="0" t="s">
        <v>5334</v>
      </c>
      <c r="G1050" s="57" t="s">
        <v>8480</v>
      </c>
      <c r="H1050" s="57" t="s">
        <v>8477</v>
      </c>
      <c r="I1050" s="34" t="s">
        <v>40</v>
      </c>
      <c r="J1050" s="57" t="s">
        <v>8481</v>
      </c>
      <c r="K1050" s="57" t="s">
        <v>6591</v>
      </c>
    </row>
    <row r="1051" customFormat="false" ht="23.05" hidden="false" customHeight="false" outlineLevel="0" collapsed="false">
      <c r="C1051" s="70" t="s">
        <v>8595</v>
      </c>
      <c r="D1051" s="66" t="s">
        <v>8596</v>
      </c>
      <c r="E1051" s="66" t="s">
        <v>8597</v>
      </c>
      <c r="F1051" s="65"/>
      <c r="G1051" s="57" t="s">
        <v>8485</v>
      </c>
      <c r="H1051" s="57" t="s">
        <v>3792</v>
      </c>
      <c r="I1051" s="34"/>
      <c r="J1051" s="57" t="s">
        <v>3792</v>
      </c>
      <c r="K1051" s="57" t="s">
        <v>3792</v>
      </c>
    </row>
    <row r="1052" customFormat="false" ht="44.75" hidden="false" customHeight="false" outlineLevel="0" collapsed="false">
      <c r="F1052" s="0" t="s">
        <v>5334</v>
      </c>
      <c r="G1052" s="57" t="s">
        <v>8548</v>
      </c>
      <c r="H1052" s="57" t="s">
        <v>8596</v>
      </c>
      <c r="I1052" s="39" t="s">
        <v>67</v>
      </c>
      <c r="J1052" s="57" t="s">
        <v>8598</v>
      </c>
      <c r="K1052" s="57" t="s">
        <v>6598</v>
      </c>
    </row>
    <row r="1053" customFormat="false" ht="23.05" hidden="false" customHeight="false" outlineLevel="0" collapsed="false">
      <c r="D1053" s="60" t="s">
        <v>8599</v>
      </c>
      <c r="E1053" s="60" t="s">
        <v>8600</v>
      </c>
      <c r="F1053" s="62"/>
      <c r="G1053" s="57" t="s">
        <v>7149</v>
      </c>
      <c r="H1053" s="57" t="s">
        <v>3792</v>
      </c>
      <c r="I1053" s="39"/>
      <c r="J1053" s="57" t="s">
        <v>3792</v>
      </c>
      <c r="K1053" s="57" t="s">
        <v>3792</v>
      </c>
    </row>
    <row r="1054" customFormat="false" ht="55.6" hidden="false" customHeight="false" outlineLevel="0" collapsed="false">
      <c r="F1054" s="0" t="s">
        <v>5342</v>
      </c>
      <c r="G1054" s="57" t="s">
        <v>8601</v>
      </c>
      <c r="H1054" s="57" t="s">
        <v>8599</v>
      </c>
      <c r="I1054" s="37" t="s">
        <v>50</v>
      </c>
      <c r="J1054" s="57" t="s">
        <v>8602</v>
      </c>
      <c r="K1054" s="57" t="s">
        <v>6605</v>
      </c>
    </row>
    <row r="1055" customFormat="false" ht="23.05" hidden="false" customHeight="false" outlineLevel="0" collapsed="false">
      <c r="D1055" s="60" t="s">
        <v>8603</v>
      </c>
      <c r="E1055" s="60" t="s">
        <v>8604</v>
      </c>
      <c r="F1055" s="62"/>
      <c r="G1055" s="57" t="s">
        <v>8605</v>
      </c>
      <c r="H1055" s="57" t="s">
        <v>3792</v>
      </c>
      <c r="I1055" s="37"/>
      <c r="J1055" s="57" t="s">
        <v>3792</v>
      </c>
      <c r="K1055" s="57" t="s">
        <v>3792</v>
      </c>
    </row>
    <row r="1056" customFormat="false" ht="44.75" hidden="false" customHeight="false" outlineLevel="0" collapsed="false">
      <c r="F1056" s="0" t="s">
        <v>5342</v>
      </c>
      <c r="G1056" s="57" t="s">
        <v>8606</v>
      </c>
      <c r="H1056" s="57" t="s">
        <v>8603</v>
      </c>
      <c r="I1056" s="37" t="s">
        <v>50</v>
      </c>
      <c r="J1056" s="57" t="s">
        <v>8607</v>
      </c>
      <c r="K1056" s="57" t="s">
        <v>6612</v>
      </c>
    </row>
    <row r="1057" customFormat="false" ht="23.05" hidden="false" customHeight="false" outlineLevel="0" collapsed="false">
      <c r="D1057" s="60" t="s">
        <v>8608</v>
      </c>
      <c r="E1057" s="60" t="s">
        <v>8609</v>
      </c>
      <c r="F1057" s="62"/>
      <c r="G1057" s="57" t="s">
        <v>8610</v>
      </c>
      <c r="H1057" s="57" t="s">
        <v>3792</v>
      </c>
      <c r="I1057" s="37"/>
      <c r="J1057" s="57" t="s">
        <v>3792</v>
      </c>
      <c r="K1057" s="57" t="s">
        <v>3792</v>
      </c>
    </row>
    <row r="1058" customFormat="false" ht="44.75" hidden="false" customHeight="false" outlineLevel="0" collapsed="false">
      <c r="F1058" s="0" t="s">
        <v>5334</v>
      </c>
      <c r="G1058" s="57" t="s">
        <v>8611</v>
      </c>
      <c r="H1058" s="57" t="s">
        <v>8608</v>
      </c>
      <c r="I1058" s="39" t="s">
        <v>67</v>
      </c>
      <c r="J1058" s="57" t="s">
        <v>8612</v>
      </c>
      <c r="K1058" s="57" t="s">
        <v>6619</v>
      </c>
    </row>
    <row r="1059" customFormat="false" ht="33.9" hidden="false" customHeight="false" outlineLevel="0" collapsed="false">
      <c r="D1059" s="60" t="s">
        <v>8613</v>
      </c>
      <c r="E1059" s="60" t="s">
        <v>8614</v>
      </c>
      <c r="F1059" s="62"/>
      <c r="G1059" s="57" t="s">
        <v>8615</v>
      </c>
      <c r="H1059" s="57" t="s">
        <v>3792</v>
      </c>
      <c r="I1059" s="39"/>
      <c r="J1059" s="57" t="s">
        <v>3792</v>
      </c>
      <c r="K1059" s="57" t="s">
        <v>3792</v>
      </c>
    </row>
    <row r="1060" customFormat="false" ht="44.75" hidden="false" customHeight="false" outlineLevel="0" collapsed="false">
      <c r="F1060" s="0" t="s">
        <v>5342</v>
      </c>
      <c r="G1060" s="57" t="s">
        <v>8616</v>
      </c>
      <c r="H1060" s="57" t="s">
        <v>8613</v>
      </c>
      <c r="I1060" s="34" t="s">
        <v>40</v>
      </c>
      <c r="J1060" s="57" t="s">
        <v>8617</v>
      </c>
      <c r="K1060" s="57" t="s">
        <v>6627</v>
      </c>
    </row>
    <row r="1061" customFormat="false" ht="33.9" hidden="false" customHeight="false" outlineLevel="0" collapsed="false">
      <c r="C1061" s="70" t="s">
        <v>8618</v>
      </c>
      <c r="D1061" s="66" t="s">
        <v>8619</v>
      </c>
      <c r="E1061" s="66" t="s">
        <v>8620</v>
      </c>
      <c r="F1061" s="65"/>
      <c r="G1061" s="57" t="s">
        <v>8621</v>
      </c>
      <c r="H1061" s="57" t="s">
        <v>3792</v>
      </c>
      <c r="I1061" s="34"/>
      <c r="J1061" s="57" t="s">
        <v>3792</v>
      </c>
      <c r="K1061" s="57" t="s">
        <v>3792</v>
      </c>
    </row>
    <row r="1062" customFormat="false" ht="44.75" hidden="false" customHeight="false" outlineLevel="0" collapsed="false">
      <c r="F1062" s="0" t="s">
        <v>5342</v>
      </c>
      <c r="G1062" s="57" t="s">
        <v>8622</v>
      </c>
      <c r="H1062" s="57" t="s">
        <v>8619</v>
      </c>
      <c r="I1062" s="39" t="s">
        <v>67</v>
      </c>
      <c r="J1062" s="57" t="s">
        <v>8623</v>
      </c>
      <c r="K1062" s="57" t="s">
        <v>6633</v>
      </c>
    </row>
    <row r="1063" customFormat="false" ht="12.8" hidden="false" customHeight="false" outlineLevel="0" collapsed="false">
      <c r="D1063" s="60" t="s">
        <v>8624</v>
      </c>
      <c r="E1063" s="60" t="s">
        <v>8625</v>
      </c>
      <c r="F1063" s="62"/>
      <c r="G1063" s="57" t="s">
        <v>8626</v>
      </c>
      <c r="H1063" s="57" t="s">
        <v>3792</v>
      </c>
      <c r="I1063" s="39"/>
      <c r="J1063" s="57" t="s">
        <v>3792</v>
      </c>
      <c r="K1063" s="57" t="s">
        <v>3792</v>
      </c>
    </row>
    <row r="1064" customFormat="false" ht="44.75" hidden="false" customHeight="false" outlineLevel="0" collapsed="false">
      <c r="F1064" s="0" t="s">
        <v>5334</v>
      </c>
      <c r="G1064" s="57" t="s">
        <v>8627</v>
      </c>
      <c r="H1064" s="57" t="s">
        <v>8624</v>
      </c>
      <c r="I1064" s="37" t="s">
        <v>50</v>
      </c>
      <c r="J1064" s="57" t="s">
        <v>8628</v>
      </c>
      <c r="K1064" s="57" t="s">
        <v>6639</v>
      </c>
    </row>
    <row r="1065" customFormat="false" ht="23.05" hidden="false" customHeight="false" outlineLevel="0" collapsed="false">
      <c r="D1065" s="60" t="s">
        <v>8629</v>
      </c>
      <c r="E1065" s="60" t="s">
        <v>8630</v>
      </c>
      <c r="F1065" s="62"/>
      <c r="G1065" s="57" t="s">
        <v>8631</v>
      </c>
      <c r="H1065" s="57" t="s">
        <v>3792</v>
      </c>
      <c r="I1065" s="37"/>
      <c r="J1065" s="57" t="s">
        <v>3792</v>
      </c>
      <c r="K1065" s="57" t="s">
        <v>3792</v>
      </c>
    </row>
    <row r="1066" customFormat="false" ht="55.6" hidden="false" customHeight="false" outlineLevel="0" collapsed="false">
      <c r="F1066" s="0" t="s">
        <v>5334</v>
      </c>
      <c r="G1066" s="57" t="s">
        <v>8632</v>
      </c>
      <c r="H1066" s="57" t="s">
        <v>8629</v>
      </c>
      <c r="I1066" s="37" t="s">
        <v>50</v>
      </c>
      <c r="J1066" s="57" t="s">
        <v>8633</v>
      </c>
      <c r="K1066" s="57" t="s">
        <v>6646</v>
      </c>
    </row>
    <row r="1067" customFormat="false" ht="12.8" hidden="false" customHeight="false" outlineLevel="0" collapsed="false">
      <c r="D1067" s="60" t="s">
        <v>8634</v>
      </c>
      <c r="E1067" s="60" t="s">
        <v>8635</v>
      </c>
      <c r="F1067" s="62"/>
      <c r="G1067" s="57" t="s">
        <v>8636</v>
      </c>
      <c r="H1067" s="57" t="s">
        <v>3792</v>
      </c>
      <c r="I1067" s="37"/>
      <c r="J1067" s="57" t="s">
        <v>3792</v>
      </c>
      <c r="K1067" s="57" t="s">
        <v>3792</v>
      </c>
    </row>
    <row r="1068" customFormat="false" ht="33.9" hidden="false" customHeight="false" outlineLevel="0" collapsed="false">
      <c r="F1068" s="0" t="s">
        <v>5342</v>
      </c>
      <c r="G1068" s="57" t="s">
        <v>8637</v>
      </c>
      <c r="H1068" s="57" t="s">
        <v>8634</v>
      </c>
      <c r="I1068" s="39" t="s">
        <v>67</v>
      </c>
      <c r="J1068" s="57" t="s">
        <v>8638</v>
      </c>
      <c r="K1068" s="57" t="s">
        <v>6653</v>
      </c>
    </row>
    <row r="1069" customFormat="false" ht="12.8" hidden="false" customHeight="false" outlineLevel="0" collapsed="false">
      <c r="D1069" s="60" t="s">
        <v>8639</v>
      </c>
      <c r="E1069" s="60" t="s">
        <v>8640</v>
      </c>
      <c r="F1069" s="62"/>
      <c r="G1069" s="57" t="s">
        <v>8641</v>
      </c>
      <c r="H1069" s="57" t="s">
        <v>3792</v>
      </c>
      <c r="I1069" s="39"/>
      <c r="J1069" s="57" t="s">
        <v>3792</v>
      </c>
      <c r="K1069" s="57" t="s">
        <v>3792</v>
      </c>
    </row>
    <row r="1070" customFormat="false" ht="55.6" hidden="false" customHeight="false" outlineLevel="0" collapsed="false">
      <c r="F1070" s="0" t="s">
        <v>5334</v>
      </c>
      <c r="G1070" s="57" t="s">
        <v>8642</v>
      </c>
      <c r="H1070" s="57" t="s">
        <v>8639</v>
      </c>
      <c r="I1070" s="34" t="s">
        <v>40</v>
      </c>
      <c r="J1070" s="57" t="s">
        <v>8643</v>
      </c>
      <c r="K1070" s="57" t="s">
        <v>6662</v>
      </c>
    </row>
    <row r="1071" customFormat="false" ht="23.05" hidden="false" customHeight="false" outlineLevel="0" collapsed="false">
      <c r="C1071" s="70" t="s">
        <v>8644</v>
      </c>
      <c r="D1071" s="66" t="s">
        <v>8645</v>
      </c>
      <c r="E1071" s="66" t="s">
        <v>8646</v>
      </c>
      <c r="F1071" s="65"/>
      <c r="G1071" s="57" t="s">
        <v>8647</v>
      </c>
      <c r="H1071" s="57" t="s">
        <v>3792</v>
      </c>
      <c r="I1071" s="34"/>
      <c r="J1071" s="57" t="s">
        <v>3792</v>
      </c>
      <c r="K1071" s="57" t="s">
        <v>3792</v>
      </c>
    </row>
    <row r="1072" customFormat="false" ht="44.75" hidden="false" customHeight="false" outlineLevel="0" collapsed="false">
      <c r="F1072" s="0" t="s">
        <v>5342</v>
      </c>
      <c r="G1072" s="57" t="s">
        <v>8648</v>
      </c>
      <c r="H1072" s="57" t="s">
        <v>8645</v>
      </c>
      <c r="I1072" s="39" t="s">
        <v>67</v>
      </c>
      <c r="J1072" s="57" t="s">
        <v>8649</v>
      </c>
      <c r="K1072" s="57" t="s">
        <v>6669</v>
      </c>
    </row>
    <row r="1073" customFormat="false" ht="12.8" hidden="false" customHeight="false" outlineLevel="0" collapsed="false">
      <c r="D1073" s="60" t="s">
        <v>8650</v>
      </c>
      <c r="E1073" s="60" t="s">
        <v>8651</v>
      </c>
      <c r="F1073" s="62"/>
      <c r="G1073" s="57" t="s">
        <v>8652</v>
      </c>
      <c r="H1073" s="57" t="s">
        <v>3792</v>
      </c>
      <c r="I1073" s="39"/>
      <c r="J1073" s="57" t="s">
        <v>3792</v>
      </c>
      <c r="K1073" s="57" t="s">
        <v>3792</v>
      </c>
    </row>
    <row r="1074" customFormat="false" ht="44.75" hidden="false" customHeight="false" outlineLevel="0" collapsed="false">
      <c r="F1074" s="0" t="s">
        <v>5342</v>
      </c>
      <c r="G1074" s="57" t="s">
        <v>8653</v>
      </c>
      <c r="H1074" s="57" t="s">
        <v>8650</v>
      </c>
      <c r="I1074" s="37" t="s">
        <v>50</v>
      </c>
      <c r="J1074" s="57" t="s">
        <v>8654</v>
      </c>
      <c r="K1074" s="57" t="s">
        <v>6676</v>
      </c>
    </row>
    <row r="1075" customFormat="false" ht="23.05" hidden="false" customHeight="false" outlineLevel="0" collapsed="false">
      <c r="D1075" s="60" t="s">
        <v>8655</v>
      </c>
      <c r="E1075" s="60" t="s">
        <v>8656</v>
      </c>
      <c r="F1075" s="62"/>
      <c r="G1075" s="57" t="s">
        <v>8657</v>
      </c>
      <c r="H1075" s="57" t="s">
        <v>3792</v>
      </c>
      <c r="I1075" s="37"/>
      <c r="J1075" s="57" t="s">
        <v>3792</v>
      </c>
      <c r="K1075" s="57" t="s">
        <v>3792</v>
      </c>
    </row>
    <row r="1076" customFormat="false" ht="33.9" hidden="false" customHeight="false" outlineLevel="0" collapsed="false">
      <c r="F1076" s="0" t="s">
        <v>5334</v>
      </c>
      <c r="G1076" s="57" t="s">
        <v>8658</v>
      </c>
      <c r="H1076" s="57" t="s">
        <v>8655</v>
      </c>
      <c r="I1076" s="37" t="s">
        <v>50</v>
      </c>
      <c r="J1076" s="57" t="s">
        <v>8659</v>
      </c>
      <c r="K1076" s="57" t="s">
        <v>6683</v>
      </c>
    </row>
    <row r="1077" customFormat="false" ht="23.05" hidden="false" customHeight="false" outlineLevel="0" collapsed="false">
      <c r="D1077" s="60" t="s">
        <v>8660</v>
      </c>
      <c r="E1077" s="60" t="s">
        <v>8661</v>
      </c>
      <c r="F1077" s="62"/>
      <c r="G1077" s="57" t="s">
        <v>8662</v>
      </c>
      <c r="H1077" s="57" t="s">
        <v>3792</v>
      </c>
      <c r="I1077" s="37"/>
      <c r="J1077" s="57" t="s">
        <v>3792</v>
      </c>
      <c r="K1077" s="57" t="s">
        <v>3792</v>
      </c>
    </row>
    <row r="1078" customFormat="false" ht="55.6" hidden="false" customHeight="false" outlineLevel="0" collapsed="false">
      <c r="F1078" s="0" t="s">
        <v>5334</v>
      </c>
      <c r="G1078" s="57" t="s">
        <v>8663</v>
      </c>
      <c r="H1078" s="57" t="s">
        <v>8660</v>
      </c>
      <c r="I1078" s="39" t="s">
        <v>67</v>
      </c>
      <c r="J1078" s="57" t="s">
        <v>8664</v>
      </c>
      <c r="K1078" s="57" t="s">
        <v>6689</v>
      </c>
    </row>
    <row r="1079" customFormat="false" ht="23.05" hidden="false" customHeight="false" outlineLevel="0" collapsed="false">
      <c r="D1079" s="60" t="s">
        <v>8665</v>
      </c>
      <c r="E1079" s="60" t="s">
        <v>8666</v>
      </c>
      <c r="F1079" s="62"/>
      <c r="G1079" s="57" t="s">
        <v>8667</v>
      </c>
      <c r="H1079" s="57" t="s">
        <v>3792</v>
      </c>
      <c r="I1079" s="39"/>
      <c r="J1079" s="57" t="s">
        <v>3792</v>
      </c>
      <c r="K1079" s="57" t="s">
        <v>3792</v>
      </c>
    </row>
    <row r="1080" customFormat="false" ht="44.75" hidden="false" customHeight="false" outlineLevel="0" collapsed="false">
      <c r="F1080" s="0" t="s">
        <v>5342</v>
      </c>
      <c r="G1080" s="57" t="s">
        <v>8668</v>
      </c>
      <c r="H1080" s="57" t="s">
        <v>8665</v>
      </c>
      <c r="I1080" s="34" t="s">
        <v>40</v>
      </c>
      <c r="J1080" s="57" t="s">
        <v>8669</v>
      </c>
      <c r="K1080" s="57" t="s">
        <v>6697</v>
      </c>
    </row>
    <row r="1081" customFormat="false" ht="23.05" hidden="false" customHeight="false" outlineLevel="0" collapsed="false">
      <c r="C1081" s="70" t="s">
        <v>8670</v>
      </c>
      <c r="D1081" s="66" t="s">
        <v>8671</v>
      </c>
      <c r="E1081" s="66" t="s">
        <v>8672</v>
      </c>
      <c r="F1081" s="65"/>
      <c r="G1081" s="57" t="s">
        <v>8673</v>
      </c>
      <c r="H1081" s="57" t="s">
        <v>3792</v>
      </c>
      <c r="I1081" s="34"/>
      <c r="J1081" s="57" t="s">
        <v>3792</v>
      </c>
      <c r="K1081" s="60"/>
    </row>
    <row r="1082" customFormat="false" ht="67.8" hidden="false" customHeight="false" outlineLevel="0" collapsed="false">
      <c r="F1082" s="0" t="s">
        <v>5342</v>
      </c>
      <c r="G1082" s="57" t="s">
        <v>8129</v>
      </c>
      <c r="H1082" s="57" t="s">
        <v>8671</v>
      </c>
      <c r="I1082" s="39" t="s">
        <v>67</v>
      </c>
      <c r="J1082" s="57" t="s">
        <v>8674</v>
      </c>
      <c r="K1082" s="57" t="s">
        <v>6704</v>
      </c>
    </row>
    <row r="1083" customFormat="false" ht="23.05" hidden="false" customHeight="false" outlineLevel="0" collapsed="false">
      <c r="D1083" s="60" t="s">
        <v>8675</v>
      </c>
      <c r="E1083" s="60" t="s">
        <v>8676</v>
      </c>
      <c r="F1083" s="62"/>
      <c r="G1083" s="57" t="s">
        <v>8677</v>
      </c>
      <c r="H1083" s="57" t="s">
        <v>3792</v>
      </c>
      <c r="I1083" s="39"/>
      <c r="J1083" s="57" t="s">
        <v>3792</v>
      </c>
      <c r="K1083" s="57" t="s">
        <v>3792</v>
      </c>
    </row>
    <row r="1084" customFormat="false" ht="55.6" hidden="false" customHeight="false" outlineLevel="0" collapsed="false">
      <c r="F1084" s="0" t="s">
        <v>5334</v>
      </c>
      <c r="G1084" s="57" t="s">
        <v>8678</v>
      </c>
      <c r="H1084" s="57" t="s">
        <v>8675</v>
      </c>
      <c r="I1084" s="37" t="s">
        <v>50</v>
      </c>
      <c r="J1084" s="57" t="s">
        <v>8140</v>
      </c>
      <c r="K1084" s="57" t="s">
        <v>6711</v>
      </c>
    </row>
    <row r="1085" customFormat="false" ht="23.05" hidden="false" customHeight="false" outlineLevel="0" collapsed="false">
      <c r="D1085" s="60" t="s">
        <v>8679</v>
      </c>
      <c r="E1085" s="60" t="s">
        <v>8680</v>
      </c>
      <c r="F1085" s="62"/>
      <c r="G1085" s="57" t="s">
        <v>8681</v>
      </c>
      <c r="H1085" s="57" t="s">
        <v>3792</v>
      </c>
      <c r="I1085" s="37"/>
      <c r="J1085" s="57" t="s">
        <v>3792</v>
      </c>
      <c r="K1085" s="57" t="s">
        <v>3792</v>
      </c>
    </row>
    <row r="1086" customFormat="false" ht="44.75" hidden="false" customHeight="false" outlineLevel="0" collapsed="false">
      <c r="F1086" s="0" t="s">
        <v>5334</v>
      </c>
      <c r="G1086" s="57" t="s">
        <v>8682</v>
      </c>
      <c r="H1086" s="57" t="s">
        <v>8679</v>
      </c>
      <c r="I1086" s="37" t="s">
        <v>50</v>
      </c>
      <c r="J1086" s="57" t="s">
        <v>8683</v>
      </c>
      <c r="K1086" s="57" t="s">
        <v>6718</v>
      </c>
    </row>
    <row r="1087" customFormat="false" ht="12.8" hidden="false" customHeight="false" outlineLevel="0" collapsed="false">
      <c r="D1087" s="60" t="s">
        <v>8684</v>
      </c>
      <c r="E1087" s="60" t="s">
        <v>8685</v>
      </c>
      <c r="F1087" s="62"/>
      <c r="G1087" s="57" t="s">
        <v>8686</v>
      </c>
      <c r="H1087" s="57" t="s">
        <v>3792</v>
      </c>
      <c r="I1087" s="37"/>
      <c r="J1087" s="57" t="s">
        <v>3792</v>
      </c>
      <c r="K1087" s="57" t="s">
        <v>3792</v>
      </c>
    </row>
    <row r="1088" customFormat="false" ht="44.75" hidden="false" customHeight="false" outlineLevel="0" collapsed="false">
      <c r="F1088" s="0" t="s">
        <v>5342</v>
      </c>
      <c r="G1088" s="57" t="s">
        <v>8687</v>
      </c>
      <c r="H1088" s="57" t="s">
        <v>8684</v>
      </c>
      <c r="I1088" s="39" t="s">
        <v>67</v>
      </c>
      <c r="J1088" s="57" t="s">
        <v>8135</v>
      </c>
      <c r="K1088" s="57" t="s">
        <v>6725</v>
      </c>
    </row>
    <row r="1089" customFormat="false" ht="23.05" hidden="false" customHeight="false" outlineLevel="0" collapsed="false">
      <c r="D1089" s="60" t="s">
        <v>8688</v>
      </c>
      <c r="E1089" s="60" t="s">
        <v>8689</v>
      </c>
      <c r="F1089" s="62"/>
      <c r="G1089" s="57" t="s">
        <v>8690</v>
      </c>
      <c r="H1089" s="57" t="s">
        <v>3792</v>
      </c>
      <c r="I1089" s="39"/>
      <c r="J1089" s="57" t="s">
        <v>3792</v>
      </c>
      <c r="K1089" s="57" t="s">
        <v>3792</v>
      </c>
    </row>
    <row r="1090" customFormat="false" ht="55.6" hidden="false" customHeight="false" outlineLevel="0" collapsed="false">
      <c r="F1090" s="0" t="s">
        <v>5334</v>
      </c>
      <c r="G1090" s="57" t="s">
        <v>8691</v>
      </c>
      <c r="H1090" s="57" t="s">
        <v>8688</v>
      </c>
      <c r="I1090" s="34" t="s">
        <v>40</v>
      </c>
      <c r="J1090" s="57" t="s">
        <v>8692</v>
      </c>
      <c r="K1090" s="57" t="s">
        <v>6733</v>
      </c>
    </row>
    <row r="1091" customFormat="false" ht="23.05" hidden="false" customHeight="false" outlineLevel="0" collapsed="false">
      <c r="C1091" s="70" t="s">
        <v>8693</v>
      </c>
      <c r="D1091" s="66" t="s">
        <v>8694</v>
      </c>
      <c r="E1091" s="66" t="s">
        <v>8695</v>
      </c>
      <c r="F1091" s="65"/>
      <c r="G1091" s="57" t="s">
        <v>8696</v>
      </c>
      <c r="H1091" s="57" t="s">
        <v>3792</v>
      </c>
      <c r="I1091" s="34"/>
      <c r="J1091" s="57" t="s">
        <v>3792</v>
      </c>
      <c r="K1091" s="57" t="s">
        <v>3792</v>
      </c>
    </row>
    <row r="1092" customFormat="false" ht="44.75" hidden="false" customHeight="false" outlineLevel="0" collapsed="false">
      <c r="F1092" s="0" t="s">
        <v>5334</v>
      </c>
      <c r="G1092" s="57" t="s">
        <v>8697</v>
      </c>
      <c r="H1092" s="57" t="s">
        <v>8694</v>
      </c>
      <c r="I1092" s="39" t="s">
        <v>67</v>
      </c>
      <c r="J1092" s="57" t="s">
        <v>8698</v>
      </c>
      <c r="K1092" s="57" t="s">
        <v>6740</v>
      </c>
    </row>
    <row r="1093" customFormat="false" ht="23.05" hidden="false" customHeight="false" outlineLevel="0" collapsed="false">
      <c r="D1093" s="60" t="s">
        <v>8699</v>
      </c>
      <c r="E1093" s="60" t="s">
        <v>8700</v>
      </c>
      <c r="F1093" s="62"/>
      <c r="G1093" s="57" t="s">
        <v>8701</v>
      </c>
      <c r="H1093" s="57" t="s">
        <v>3792</v>
      </c>
      <c r="I1093" s="39"/>
      <c r="J1093" s="57" t="s">
        <v>3792</v>
      </c>
      <c r="K1093" s="57" t="s">
        <v>3792</v>
      </c>
    </row>
    <row r="1094" customFormat="false" ht="44.75" hidden="false" customHeight="false" outlineLevel="0" collapsed="false">
      <c r="F1094" s="0" t="s">
        <v>5342</v>
      </c>
      <c r="G1094" s="57" t="s">
        <v>8702</v>
      </c>
      <c r="H1094" s="57" t="s">
        <v>8699</v>
      </c>
      <c r="I1094" s="37" t="s">
        <v>50</v>
      </c>
      <c r="J1094" s="57" t="s">
        <v>8703</v>
      </c>
      <c r="K1094" s="57" t="s">
        <v>6747</v>
      </c>
    </row>
    <row r="1095" customFormat="false" ht="23.05" hidden="false" customHeight="false" outlineLevel="0" collapsed="false">
      <c r="D1095" s="60" t="s">
        <v>8704</v>
      </c>
      <c r="E1095" s="60" t="s">
        <v>8705</v>
      </c>
      <c r="F1095" s="62"/>
      <c r="G1095" s="57" t="s">
        <v>8706</v>
      </c>
      <c r="H1095" s="57" t="s">
        <v>3792</v>
      </c>
      <c r="I1095" s="37"/>
      <c r="J1095" s="57" t="s">
        <v>3792</v>
      </c>
      <c r="K1095" s="57" t="s">
        <v>3792</v>
      </c>
    </row>
    <row r="1096" customFormat="false" ht="44.75" hidden="false" customHeight="false" outlineLevel="0" collapsed="false">
      <c r="F1096" s="0" t="s">
        <v>5334</v>
      </c>
      <c r="G1096" s="57" t="s">
        <v>8707</v>
      </c>
      <c r="H1096" s="57" t="s">
        <v>8704</v>
      </c>
      <c r="I1096" s="37" t="s">
        <v>50</v>
      </c>
      <c r="J1096" s="57" t="s">
        <v>8708</v>
      </c>
      <c r="K1096" s="57" t="s">
        <v>6754</v>
      </c>
    </row>
    <row r="1097" customFormat="false" ht="23.05" hidden="false" customHeight="false" outlineLevel="0" collapsed="false">
      <c r="D1097" s="60" t="s">
        <v>8709</v>
      </c>
      <c r="E1097" s="60" t="s">
        <v>8710</v>
      </c>
      <c r="F1097" s="62"/>
      <c r="G1097" s="57" t="s">
        <v>8711</v>
      </c>
      <c r="H1097" s="57" t="s">
        <v>3792</v>
      </c>
      <c r="I1097" s="37"/>
      <c r="J1097" s="57" t="s">
        <v>3792</v>
      </c>
      <c r="K1097" s="57" t="s">
        <v>3792</v>
      </c>
    </row>
    <row r="1098" customFormat="false" ht="55.6" hidden="false" customHeight="false" outlineLevel="0" collapsed="false">
      <c r="F1098" s="0" t="s">
        <v>5342</v>
      </c>
      <c r="G1098" s="57" t="s">
        <v>8712</v>
      </c>
      <c r="H1098" s="57" t="s">
        <v>8709</v>
      </c>
      <c r="I1098" s="39" t="s">
        <v>67</v>
      </c>
      <c r="J1098" s="57" t="s">
        <v>8713</v>
      </c>
      <c r="K1098" s="57" t="s">
        <v>6761</v>
      </c>
    </row>
    <row r="1099" customFormat="false" ht="23.05" hidden="false" customHeight="false" outlineLevel="0" collapsed="false">
      <c r="D1099" s="60" t="s">
        <v>8714</v>
      </c>
      <c r="E1099" s="60" t="s">
        <v>8715</v>
      </c>
      <c r="F1099" s="62"/>
      <c r="G1099" s="57" t="s">
        <v>8716</v>
      </c>
      <c r="H1099" s="57" t="s">
        <v>3792</v>
      </c>
      <c r="I1099" s="39"/>
      <c r="J1099" s="57" t="s">
        <v>3792</v>
      </c>
      <c r="K1099" s="57" t="s">
        <v>3792</v>
      </c>
    </row>
    <row r="1100" customFormat="false" ht="44.75" hidden="false" customHeight="false" outlineLevel="0" collapsed="false">
      <c r="F1100" s="0" t="s">
        <v>5342</v>
      </c>
      <c r="G1100" s="57" t="s">
        <v>8717</v>
      </c>
      <c r="H1100" s="57" t="s">
        <v>8714</v>
      </c>
      <c r="I1100" s="34" t="s">
        <v>40</v>
      </c>
      <c r="J1100" s="57" t="s">
        <v>8718</v>
      </c>
      <c r="K1100" s="57" t="s">
        <v>6769</v>
      </c>
    </row>
    <row r="1101" customFormat="false" ht="23.05" hidden="false" customHeight="false" outlineLevel="0" collapsed="false">
      <c r="B1101" s="67" t="s">
        <v>8719</v>
      </c>
      <c r="C1101" s="71" t="s">
        <v>8720</v>
      </c>
      <c r="D1101" s="68" t="s">
        <v>8721</v>
      </c>
      <c r="E1101" s="68" t="s">
        <v>8722</v>
      </c>
      <c r="F1101" s="65"/>
      <c r="G1101" s="57" t="s">
        <v>8723</v>
      </c>
      <c r="H1101" s="57" t="s">
        <v>3792</v>
      </c>
      <c r="I1101" s="34"/>
      <c r="J1101" s="57" t="s">
        <v>3792</v>
      </c>
      <c r="K1101" s="57" t="s">
        <v>3792</v>
      </c>
    </row>
    <row r="1102" customFormat="false" ht="55.6" hidden="false" customHeight="false" outlineLevel="0" collapsed="false">
      <c r="F1102" s="0" t="s">
        <v>5334</v>
      </c>
      <c r="G1102" s="57" t="s">
        <v>8724</v>
      </c>
      <c r="H1102" s="57" t="s">
        <v>8721</v>
      </c>
      <c r="I1102" s="39" t="s">
        <v>67</v>
      </c>
      <c r="J1102" s="57" t="s">
        <v>8725</v>
      </c>
      <c r="K1102" s="57" t="s">
        <v>6775</v>
      </c>
    </row>
    <row r="1103" customFormat="false" ht="23.05" hidden="false" customHeight="false" outlineLevel="0" collapsed="false">
      <c r="D1103" s="60" t="s">
        <v>8726</v>
      </c>
      <c r="E1103" s="60" t="s">
        <v>8727</v>
      </c>
      <c r="F1103" s="62"/>
      <c r="G1103" s="57" t="s">
        <v>8728</v>
      </c>
      <c r="H1103" s="57" t="s">
        <v>3792</v>
      </c>
      <c r="I1103" s="39"/>
      <c r="J1103" s="57" t="s">
        <v>3792</v>
      </c>
      <c r="K1103" s="57" t="s">
        <v>3792</v>
      </c>
    </row>
    <row r="1104" customFormat="false" ht="44.75" hidden="false" customHeight="false" outlineLevel="0" collapsed="false">
      <c r="F1104" s="0" t="s">
        <v>5334</v>
      </c>
      <c r="G1104" s="57" t="s">
        <v>8729</v>
      </c>
      <c r="H1104" s="57" t="s">
        <v>8726</v>
      </c>
      <c r="I1104" s="37" t="s">
        <v>50</v>
      </c>
      <c r="J1104" s="57" t="s">
        <v>8730</v>
      </c>
      <c r="K1104" s="57" t="s">
        <v>6782</v>
      </c>
    </row>
    <row r="1105" customFormat="false" ht="23.05" hidden="false" customHeight="false" outlineLevel="0" collapsed="false">
      <c r="D1105" s="60" t="s">
        <v>8731</v>
      </c>
      <c r="E1105" s="60" t="s">
        <v>8732</v>
      </c>
      <c r="F1105" s="62"/>
      <c r="G1105" s="57" t="s">
        <v>8733</v>
      </c>
      <c r="H1105" s="57" t="s">
        <v>3792</v>
      </c>
      <c r="I1105" s="37"/>
      <c r="J1105" s="57" t="s">
        <v>3792</v>
      </c>
      <c r="K1105" s="57" t="s">
        <v>3792</v>
      </c>
    </row>
    <row r="1106" customFormat="false" ht="44.75" hidden="false" customHeight="false" outlineLevel="0" collapsed="false">
      <c r="F1106" s="0" t="s">
        <v>5342</v>
      </c>
      <c r="G1106" s="57" t="s">
        <v>8734</v>
      </c>
      <c r="H1106" s="57" t="s">
        <v>8731</v>
      </c>
      <c r="I1106" s="37" t="s">
        <v>50</v>
      </c>
      <c r="J1106" s="57" t="s">
        <v>8735</v>
      </c>
      <c r="K1106" s="57" t="s">
        <v>6789</v>
      </c>
    </row>
    <row r="1107" customFormat="false" ht="44.75" hidden="false" customHeight="false" outlineLevel="0" collapsed="false">
      <c r="D1107" s="60" t="s">
        <v>8736</v>
      </c>
      <c r="E1107" s="60" t="s">
        <v>8737</v>
      </c>
      <c r="F1107" s="62"/>
      <c r="G1107" s="57" t="s">
        <v>8738</v>
      </c>
      <c r="H1107" s="57" t="s">
        <v>3792</v>
      </c>
      <c r="I1107" s="37"/>
      <c r="J1107" s="57" t="s">
        <v>3792</v>
      </c>
      <c r="K1107" s="57" t="s">
        <v>3792</v>
      </c>
    </row>
    <row r="1108" customFormat="false" ht="44.75" hidden="false" customHeight="false" outlineLevel="0" collapsed="false">
      <c r="F1108" s="0" t="s">
        <v>5334</v>
      </c>
      <c r="G1108" s="57" t="s">
        <v>8739</v>
      </c>
      <c r="H1108" s="57" t="s">
        <v>8736</v>
      </c>
      <c r="I1108" s="39" t="s">
        <v>67</v>
      </c>
      <c r="J1108" s="57" t="s">
        <v>8740</v>
      </c>
      <c r="K1108" s="57" t="s">
        <v>6796</v>
      </c>
    </row>
    <row r="1109" customFormat="false" ht="33.9" hidden="false" customHeight="false" outlineLevel="0" collapsed="false">
      <c r="D1109" s="60" t="s">
        <v>8741</v>
      </c>
      <c r="E1109" s="60" t="s">
        <v>8742</v>
      </c>
      <c r="F1109" s="62"/>
      <c r="G1109" s="57" t="s">
        <v>8743</v>
      </c>
      <c r="H1109" s="57" t="s">
        <v>3792</v>
      </c>
      <c r="I1109" s="39"/>
      <c r="J1109" s="57" t="s">
        <v>3792</v>
      </c>
      <c r="K1109" s="57" t="s">
        <v>3792</v>
      </c>
    </row>
    <row r="1110" customFormat="false" ht="44.75" hidden="false" customHeight="false" outlineLevel="0" collapsed="false">
      <c r="F1110" s="0" t="s">
        <v>5334</v>
      </c>
      <c r="G1110" s="57" t="s">
        <v>8744</v>
      </c>
      <c r="H1110" s="57" t="s">
        <v>8741</v>
      </c>
      <c r="I1110" s="34" t="s">
        <v>40</v>
      </c>
      <c r="J1110" s="57" t="s">
        <v>8745</v>
      </c>
      <c r="K1110" s="57" t="s">
        <v>6804</v>
      </c>
    </row>
    <row r="1111" customFormat="false" ht="12.8" hidden="false" customHeight="false" outlineLevel="0" collapsed="false">
      <c r="C1111" s="64" t="s">
        <v>8746</v>
      </c>
      <c r="D1111" s="66" t="s">
        <v>8747</v>
      </c>
      <c r="E1111" s="66" t="s">
        <v>8748</v>
      </c>
      <c r="F1111" s="65"/>
      <c r="G1111" s="57" t="s">
        <v>8749</v>
      </c>
      <c r="H1111" s="57" t="s">
        <v>3792</v>
      </c>
      <c r="I1111" s="34"/>
      <c r="J1111" s="57" t="s">
        <v>3792</v>
      </c>
      <c r="K1111" s="57" t="s">
        <v>3792</v>
      </c>
    </row>
    <row r="1112" customFormat="false" ht="44.75" hidden="false" customHeight="false" outlineLevel="0" collapsed="false">
      <c r="F1112" s="0" t="s">
        <v>5334</v>
      </c>
      <c r="G1112" s="57" t="s">
        <v>8750</v>
      </c>
      <c r="H1112" s="57" t="s">
        <v>8747</v>
      </c>
      <c r="I1112" s="39" t="s">
        <v>67</v>
      </c>
      <c r="J1112" s="57" t="s">
        <v>8751</v>
      </c>
      <c r="K1112" s="57" t="s">
        <v>6811</v>
      </c>
    </row>
    <row r="1113" customFormat="false" ht="23.05" hidden="false" customHeight="false" outlineLevel="0" collapsed="false">
      <c r="D1113" s="60" t="s">
        <v>8752</v>
      </c>
      <c r="E1113" s="60" t="s">
        <v>8753</v>
      </c>
      <c r="F1113" s="62"/>
      <c r="G1113" s="57" t="s">
        <v>8754</v>
      </c>
      <c r="H1113" s="57" t="s">
        <v>3792</v>
      </c>
      <c r="I1113" s="39"/>
      <c r="J1113" s="57" t="s">
        <v>3792</v>
      </c>
      <c r="K1113" s="57" t="s">
        <v>3792</v>
      </c>
    </row>
    <row r="1114" customFormat="false" ht="44.75" hidden="false" customHeight="false" outlineLevel="0" collapsed="false">
      <c r="F1114" s="0" t="s">
        <v>5342</v>
      </c>
      <c r="G1114" s="57" t="s">
        <v>8755</v>
      </c>
      <c r="H1114" s="57" t="s">
        <v>8752</v>
      </c>
      <c r="I1114" s="37" t="s">
        <v>50</v>
      </c>
      <c r="J1114" s="57" t="s">
        <v>8756</v>
      </c>
      <c r="K1114" s="57" t="s">
        <v>6818</v>
      </c>
    </row>
    <row r="1115" customFormat="false" ht="23.05" hidden="false" customHeight="false" outlineLevel="0" collapsed="false">
      <c r="D1115" s="60" t="s">
        <v>8757</v>
      </c>
      <c r="E1115" s="60" t="s">
        <v>8758</v>
      </c>
      <c r="F1115" s="62"/>
      <c r="G1115" s="57" t="s">
        <v>8759</v>
      </c>
      <c r="H1115" s="57" t="s">
        <v>3792</v>
      </c>
      <c r="I1115" s="37"/>
      <c r="J1115" s="57" t="s">
        <v>3792</v>
      </c>
      <c r="K1115" s="57" t="s">
        <v>3792</v>
      </c>
    </row>
    <row r="1116" customFormat="false" ht="44.75" hidden="false" customHeight="false" outlineLevel="0" collapsed="false">
      <c r="F1116" s="0" t="s">
        <v>5342</v>
      </c>
      <c r="G1116" s="57" t="s">
        <v>8760</v>
      </c>
      <c r="H1116" s="57" t="s">
        <v>8757</v>
      </c>
      <c r="I1116" s="37" t="s">
        <v>50</v>
      </c>
      <c r="J1116" s="57" t="s">
        <v>8761</v>
      </c>
      <c r="K1116" s="57" t="s">
        <v>6825</v>
      </c>
    </row>
    <row r="1117" customFormat="false" ht="23.05" hidden="false" customHeight="false" outlineLevel="0" collapsed="false">
      <c r="D1117" s="60" t="s">
        <v>8762</v>
      </c>
      <c r="E1117" s="60" t="s">
        <v>8763</v>
      </c>
      <c r="F1117" s="62"/>
      <c r="G1117" s="57" t="s">
        <v>8764</v>
      </c>
      <c r="H1117" s="57" t="s">
        <v>3792</v>
      </c>
      <c r="I1117" s="37"/>
      <c r="J1117" s="57" t="s">
        <v>3792</v>
      </c>
      <c r="K1117" s="57" t="s">
        <v>3792</v>
      </c>
    </row>
    <row r="1118" customFormat="false" ht="44.75" hidden="false" customHeight="false" outlineLevel="0" collapsed="false">
      <c r="F1118" s="0" t="s">
        <v>5342</v>
      </c>
      <c r="G1118" s="57" t="s">
        <v>8765</v>
      </c>
      <c r="H1118" s="57" t="s">
        <v>8762</v>
      </c>
      <c r="I1118" s="39" t="s">
        <v>67</v>
      </c>
      <c r="J1118" s="57" t="s">
        <v>8766</v>
      </c>
      <c r="K1118" s="57" t="s">
        <v>6832</v>
      </c>
    </row>
    <row r="1119" customFormat="false" ht="23.05" hidden="false" customHeight="false" outlineLevel="0" collapsed="false">
      <c r="D1119" s="60" t="s">
        <v>8767</v>
      </c>
      <c r="E1119" s="60" t="s">
        <v>8768</v>
      </c>
      <c r="F1119" s="62"/>
      <c r="G1119" s="57" t="s">
        <v>8769</v>
      </c>
      <c r="H1119" s="57" t="s">
        <v>3792</v>
      </c>
      <c r="I1119" s="39"/>
      <c r="J1119" s="57" t="s">
        <v>3792</v>
      </c>
      <c r="K1119" s="57" t="s">
        <v>3792</v>
      </c>
    </row>
    <row r="1120" customFormat="false" ht="44.75" hidden="false" customHeight="false" outlineLevel="0" collapsed="false">
      <c r="F1120" s="0" t="s">
        <v>5342</v>
      </c>
      <c r="G1120" s="57" t="s">
        <v>8770</v>
      </c>
      <c r="H1120" s="57" t="s">
        <v>8767</v>
      </c>
      <c r="I1120" s="34" t="s">
        <v>40</v>
      </c>
      <c r="J1120" s="57" t="s">
        <v>8771</v>
      </c>
      <c r="K1120" s="57" t="s">
        <v>6840</v>
      </c>
    </row>
    <row r="1121" customFormat="false" ht="23.05" hidden="false" customHeight="false" outlineLevel="0" collapsed="false">
      <c r="C1121" s="70" t="s">
        <v>8772</v>
      </c>
      <c r="D1121" s="66" t="s">
        <v>8773</v>
      </c>
      <c r="E1121" s="66" t="s">
        <v>8774</v>
      </c>
      <c r="F1121" s="65"/>
      <c r="G1121" s="57" t="s">
        <v>8775</v>
      </c>
      <c r="H1121" s="57" t="s">
        <v>3792</v>
      </c>
      <c r="I1121" s="34"/>
      <c r="J1121" s="57" t="s">
        <v>3792</v>
      </c>
      <c r="K1121" s="57" t="s">
        <v>3792</v>
      </c>
    </row>
    <row r="1122" customFormat="false" ht="44.75" hidden="false" customHeight="false" outlineLevel="0" collapsed="false">
      <c r="F1122" s="0" t="s">
        <v>5334</v>
      </c>
      <c r="G1122" s="57" t="s">
        <v>8776</v>
      </c>
      <c r="H1122" s="57" t="s">
        <v>8773</v>
      </c>
      <c r="I1122" s="39" t="s">
        <v>67</v>
      </c>
      <c r="J1122" s="57" t="s">
        <v>8777</v>
      </c>
      <c r="K1122" s="57" t="s">
        <v>6847</v>
      </c>
    </row>
    <row r="1123" customFormat="false" ht="23.05" hidden="false" customHeight="false" outlineLevel="0" collapsed="false">
      <c r="D1123" s="60" t="s">
        <v>8778</v>
      </c>
      <c r="E1123" s="60" t="s">
        <v>8779</v>
      </c>
      <c r="F1123" s="62"/>
      <c r="G1123" s="57" t="s">
        <v>8780</v>
      </c>
      <c r="H1123" s="57" t="s">
        <v>3792</v>
      </c>
      <c r="I1123" s="39"/>
      <c r="J1123" s="57" t="s">
        <v>3792</v>
      </c>
      <c r="K1123" s="57" t="s">
        <v>3792</v>
      </c>
    </row>
    <row r="1124" customFormat="false" ht="33.9" hidden="false" customHeight="false" outlineLevel="0" collapsed="false">
      <c r="F1124" s="0" t="s">
        <v>5342</v>
      </c>
      <c r="G1124" s="57" t="s">
        <v>8781</v>
      </c>
      <c r="H1124" s="57" t="s">
        <v>8778</v>
      </c>
      <c r="I1124" s="37" t="s">
        <v>50</v>
      </c>
      <c r="J1124" s="57" t="s">
        <v>8782</v>
      </c>
      <c r="K1124" s="57" t="s">
        <v>6854</v>
      </c>
    </row>
    <row r="1125" customFormat="false" ht="23.05" hidden="false" customHeight="false" outlineLevel="0" collapsed="false">
      <c r="D1125" s="60" t="s">
        <v>8783</v>
      </c>
      <c r="E1125" s="60" t="s">
        <v>8784</v>
      </c>
      <c r="F1125" s="62"/>
      <c r="G1125" s="57" t="s">
        <v>8785</v>
      </c>
      <c r="H1125" s="57" t="s">
        <v>3792</v>
      </c>
      <c r="I1125" s="37"/>
      <c r="J1125" s="57" t="s">
        <v>3792</v>
      </c>
      <c r="K1125" s="57" t="s">
        <v>3792</v>
      </c>
    </row>
    <row r="1126" customFormat="false" ht="44.75" hidden="false" customHeight="false" outlineLevel="0" collapsed="false">
      <c r="F1126" s="0" t="s">
        <v>5342</v>
      </c>
      <c r="G1126" s="57" t="s">
        <v>8786</v>
      </c>
      <c r="H1126" s="57" t="s">
        <v>8783</v>
      </c>
      <c r="I1126" s="37" t="s">
        <v>50</v>
      </c>
      <c r="J1126" s="57" t="s">
        <v>8787</v>
      </c>
      <c r="K1126" s="57" t="s">
        <v>6861</v>
      </c>
    </row>
    <row r="1127" customFormat="false" ht="23.05" hidden="false" customHeight="false" outlineLevel="0" collapsed="false">
      <c r="D1127" s="60" t="s">
        <v>8788</v>
      </c>
      <c r="E1127" s="60" t="s">
        <v>8789</v>
      </c>
      <c r="F1127" s="62"/>
      <c r="G1127" s="57" t="s">
        <v>8790</v>
      </c>
      <c r="H1127" s="57" t="s">
        <v>3792</v>
      </c>
      <c r="I1127" s="37"/>
      <c r="J1127" s="57" t="s">
        <v>3792</v>
      </c>
      <c r="K1127" s="57" t="s">
        <v>3792</v>
      </c>
    </row>
    <row r="1128" customFormat="false" ht="44.75" hidden="false" customHeight="false" outlineLevel="0" collapsed="false">
      <c r="F1128" s="0" t="s">
        <v>5334</v>
      </c>
      <c r="G1128" s="57" t="s">
        <v>8791</v>
      </c>
      <c r="H1128" s="57" t="s">
        <v>8788</v>
      </c>
      <c r="I1128" s="39" t="s">
        <v>67</v>
      </c>
      <c r="J1128" s="57" t="s">
        <v>8792</v>
      </c>
      <c r="K1128" s="57" t="s">
        <v>5970</v>
      </c>
    </row>
    <row r="1129" customFormat="false" ht="23.05" hidden="false" customHeight="false" outlineLevel="0" collapsed="false">
      <c r="D1129" s="60" t="s">
        <v>8793</v>
      </c>
      <c r="E1129" s="60" t="s">
        <v>8794</v>
      </c>
      <c r="F1129" s="62"/>
      <c r="G1129" s="57" t="s">
        <v>8795</v>
      </c>
      <c r="H1129" s="57" t="s">
        <v>3792</v>
      </c>
      <c r="I1129" s="39"/>
      <c r="J1129" s="57" t="s">
        <v>3792</v>
      </c>
      <c r="K1129" s="57" t="s">
        <v>3792</v>
      </c>
    </row>
    <row r="1130" customFormat="false" ht="44.75" hidden="false" customHeight="false" outlineLevel="0" collapsed="false">
      <c r="F1130" s="0" t="s">
        <v>5334</v>
      </c>
      <c r="G1130" s="57" t="s">
        <v>8796</v>
      </c>
      <c r="H1130" s="57" t="s">
        <v>8793</v>
      </c>
      <c r="I1130" s="34" t="s">
        <v>40</v>
      </c>
      <c r="J1130" s="57" t="s">
        <v>8797</v>
      </c>
      <c r="K1130" s="57" t="s">
        <v>6875</v>
      </c>
    </row>
    <row r="1131" customFormat="false" ht="23.05" hidden="false" customHeight="false" outlineLevel="0" collapsed="false">
      <c r="C1131" s="64" t="s">
        <v>8798</v>
      </c>
      <c r="D1131" s="66" t="s">
        <v>8799</v>
      </c>
      <c r="E1131" s="66" t="s">
        <v>8800</v>
      </c>
      <c r="F1131" s="65"/>
      <c r="G1131" s="57" t="s">
        <v>8801</v>
      </c>
      <c r="H1131" s="57" t="s">
        <v>3792</v>
      </c>
      <c r="I1131" s="34"/>
      <c r="J1131" s="57" t="s">
        <v>3792</v>
      </c>
      <c r="K1131" s="57" t="s">
        <v>3792</v>
      </c>
    </row>
    <row r="1132" customFormat="false" ht="44.75" hidden="false" customHeight="false" outlineLevel="0" collapsed="false">
      <c r="F1132" s="0" t="s">
        <v>5342</v>
      </c>
      <c r="G1132" s="57" t="s">
        <v>8802</v>
      </c>
      <c r="H1132" s="57" t="s">
        <v>8799</v>
      </c>
      <c r="I1132" s="39" t="s">
        <v>67</v>
      </c>
      <c r="J1132" s="57" t="s">
        <v>8803</v>
      </c>
      <c r="K1132" s="57" t="s">
        <v>6882</v>
      </c>
    </row>
    <row r="1133" customFormat="false" ht="33.9" hidden="false" customHeight="false" outlineLevel="0" collapsed="false">
      <c r="D1133" s="60" t="s">
        <v>8804</v>
      </c>
      <c r="E1133" s="60" t="s">
        <v>8805</v>
      </c>
      <c r="F1133" s="62"/>
      <c r="G1133" s="57" t="s">
        <v>8806</v>
      </c>
      <c r="H1133" s="57" t="s">
        <v>3792</v>
      </c>
      <c r="I1133" s="39"/>
      <c r="J1133" s="57" t="s">
        <v>3792</v>
      </c>
      <c r="K1133" s="57" t="s">
        <v>3792</v>
      </c>
    </row>
    <row r="1134" customFormat="false" ht="44.75" hidden="false" customHeight="false" outlineLevel="0" collapsed="false">
      <c r="F1134" s="0" t="s">
        <v>5334</v>
      </c>
      <c r="G1134" s="57" t="s">
        <v>8807</v>
      </c>
      <c r="H1134" s="57" t="s">
        <v>8804</v>
      </c>
      <c r="I1134" s="37" t="s">
        <v>50</v>
      </c>
      <c r="J1134" s="57" t="s">
        <v>8808</v>
      </c>
      <c r="K1134" s="57" t="s">
        <v>6889</v>
      </c>
    </row>
    <row r="1135" customFormat="false" ht="33.9" hidden="false" customHeight="false" outlineLevel="0" collapsed="false">
      <c r="D1135" s="60" t="s">
        <v>8809</v>
      </c>
      <c r="E1135" s="60" t="s">
        <v>8810</v>
      </c>
      <c r="F1135" s="62"/>
      <c r="G1135" s="57" t="s">
        <v>8811</v>
      </c>
      <c r="H1135" s="57" t="s">
        <v>3792</v>
      </c>
      <c r="I1135" s="37"/>
      <c r="J1135" s="57" t="s">
        <v>3792</v>
      </c>
      <c r="K1135" s="57" t="s">
        <v>3792</v>
      </c>
    </row>
    <row r="1136" customFormat="false" ht="44.75" hidden="false" customHeight="false" outlineLevel="0" collapsed="false">
      <c r="F1136" s="0" t="s">
        <v>5334</v>
      </c>
      <c r="G1136" s="57" t="s">
        <v>8812</v>
      </c>
      <c r="H1136" s="57" t="s">
        <v>8809</v>
      </c>
      <c r="I1136" s="37" t="s">
        <v>50</v>
      </c>
      <c r="J1136" s="57" t="s">
        <v>8813</v>
      </c>
      <c r="K1136" s="57" t="s">
        <v>6896</v>
      </c>
    </row>
    <row r="1137" customFormat="false" ht="23.05" hidden="false" customHeight="false" outlineLevel="0" collapsed="false">
      <c r="D1137" s="60" t="s">
        <v>8814</v>
      </c>
      <c r="E1137" s="60" t="s">
        <v>8815</v>
      </c>
      <c r="F1137" s="62"/>
      <c r="G1137" s="57" t="s">
        <v>8816</v>
      </c>
      <c r="H1137" s="57" t="s">
        <v>3792</v>
      </c>
      <c r="I1137" s="37"/>
      <c r="J1137" s="57" t="s">
        <v>3792</v>
      </c>
      <c r="K1137" s="57" t="s">
        <v>3792</v>
      </c>
    </row>
    <row r="1138" customFormat="false" ht="44.75" hidden="false" customHeight="false" outlineLevel="0" collapsed="false">
      <c r="F1138" s="0" t="s">
        <v>5342</v>
      </c>
      <c r="G1138" s="57" t="s">
        <v>8817</v>
      </c>
      <c r="H1138" s="57" t="s">
        <v>8814</v>
      </c>
      <c r="I1138" s="39" t="s">
        <v>67</v>
      </c>
      <c r="J1138" s="57" t="s">
        <v>8818</v>
      </c>
      <c r="K1138" s="57" t="s">
        <v>6903</v>
      </c>
    </row>
    <row r="1139" customFormat="false" ht="33.9" hidden="false" customHeight="false" outlineLevel="0" collapsed="false">
      <c r="D1139" s="60" t="s">
        <v>8819</v>
      </c>
      <c r="E1139" s="60" t="s">
        <v>8820</v>
      </c>
      <c r="F1139" s="62"/>
      <c r="G1139" s="57" t="s">
        <v>8821</v>
      </c>
      <c r="H1139" s="57" t="s">
        <v>3792</v>
      </c>
      <c r="I1139" s="39"/>
      <c r="J1139" s="57" t="s">
        <v>3792</v>
      </c>
      <c r="K1139" s="57" t="s">
        <v>3792</v>
      </c>
    </row>
    <row r="1140" customFormat="false" ht="44.75" hidden="false" customHeight="false" outlineLevel="0" collapsed="false">
      <c r="F1140" s="0" t="s">
        <v>5334</v>
      </c>
      <c r="G1140" s="57" t="s">
        <v>8822</v>
      </c>
      <c r="H1140" s="57" t="s">
        <v>8819</v>
      </c>
      <c r="I1140" s="34" t="s">
        <v>40</v>
      </c>
      <c r="J1140" s="57" t="s">
        <v>8823</v>
      </c>
      <c r="K1140" s="57" t="s">
        <v>6911</v>
      </c>
    </row>
    <row r="1141" customFormat="false" ht="23.05" hidden="false" customHeight="false" outlineLevel="0" collapsed="false">
      <c r="C1141" s="64" t="s">
        <v>8824</v>
      </c>
      <c r="D1141" s="66" t="s">
        <v>8825</v>
      </c>
      <c r="E1141" s="66" t="s">
        <v>8826</v>
      </c>
      <c r="F1141" s="65"/>
      <c r="G1141" s="57" t="s">
        <v>8827</v>
      </c>
      <c r="H1141" s="57" t="s">
        <v>3792</v>
      </c>
      <c r="I1141" s="34"/>
      <c r="J1141" s="57" t="s">
        <v>3792</v>
      </c>
      <c r="K1141" s="57" t="s">
        <v>3792</v>
      </c>
    </row>
    <row r="1142" customFormat="false" ht="44.75" hidden="false" customHeight="false" outlineLevel="0" collapsed="false">
      <c r="F1142" s="0" t="s">
        <v>5342</v>
      </c>
      <c r="G1142" s="57" t="s">
        <v>8828</v>
      </c>
      <c r="H1142" s="57" t="s">
        <v>8825</v>
      </c>
      <c r="I1142" s="39" t="s">
        <v>67</v>
      </c>
      <c r="J1142" s="57" t="s">
        <v>8829</v>
      </c>
      <c r="K1142" s="57" t="s">
        <v>6918</v>
      </c>
    </row>
    <row r="1143" customFormat="false" ht="23.05" hidden="false" customHeight="false" outlineLevel="0" collapsed="false">
      <c r="D1143" s="60" t="s">
        <v>8830</v>
      </c>
      <c r="E1143" s="60" t="s">
        <v>8831</v>
      </c>
      <c r="F1143" s="62"/>
      <c r="G1143" s="57" t="s">
        <v>8832</v>
      </c>
      <c r="H1143" s="57" t="s">
        <v>3792</v>
      </c>
      <c r="I1143" s="39"/>
      <c r="J1143" s="57" t="s">
        <v>3792</v>
      </c>
      <c r="K1143" s="57" t="s">
        <v>3792</v>
      </c>
    </row>
    <row r="1144" customFormat="false" ht="44.75" hidden="false" customHeight="false" outlineLevel="0" collapsed="false">
      <c r="F1144" s="0" t="s">
        <v>5334</v>
      </c>
      <c r="G1144" s="57" t="s">
        <v>8833</v>
      </c>
      <c r="H1144" s="57" t="s">
        <v>8830</v>
      </c>
      <c r="I1144" s="37" t="s">
        <v>50</v>
      </c>
      <c r="J1144" s="57" t="s">
        <v>8834</v>
      </c>
      <c r="K1144" s="57" t="s">
        <v>6925</v>
      </c>
    </row>
    <row r="1145" customFormat="false" ht="23.05" hidden="false" customHeight="false" outlineLevel="0" collapsed="false">
      <c r="D1145" s="60" t="s">
        <v>8835</v>
      </c>
      <c r="E1145" s="60" t="s">
        <v>8836</v>
      </c>
      <c r="F1145" s="62"/>
      <c r="G1145" s="57" t="s">
        <v>8837</v>
      </c>
      <c r="H1145" s="57" t="s">
        <v>3792</v>
      </c>
      <c r="I1145" s="37"/>
      <c r="J1145" s="57" t="s">
        <v>3792</v>
      </c>
      <c r="K1145" s="57" t="s">
        <v>3792</v>
      </c>
    </row>
    <row r="1146" customFormat="false" ht="44.75" hidden="false" customHeight="false" outlineLevel="0" collapsed="false">
      <c r="F1146" s="0" t="s">
        <v>5342</v>
      </c>
      <c r="G1146" s="57" t="s">
        <v>8838</v>
      </c>
      <c r="H1146" s="57" t="s">
        <v>8835</v>
      </c>
      <c r="I1146" s="37" t="s">
        <v>50</v>
      </c>
      <c r="J1146" s="57" t="s">
        <v>8839</v>
      </c>
      <c r="K1146" s="57" t="s">
        <v>6932</v>
      </c>
    </row>
    <row r="1147" customFormat="false" ht="23.05" hidden="false" customHeight="false" outlineLevel="0" collapsed="false">
      <c r="D1147" s="60" t="s">
        <v>8840</v>
      </c>
      <c r="E1147" s="60" t="s">
        <v>8841</v>
      </c>
      <c r="F1147" s="62"/>
      <c r="G1147" s="57" t="s">
        <v>8842</v>
      </c>
      <c r="H1147" s="57" t="s">
        <v>3792</v>
      </c>
      <c r="I1147" s="37"/>
      <c r="J1147" s="57" t="s">
        <v>3792</v>
      </c>
      <c r="K1147" s="57" t="s">
        <v>3792</v>
      </c>
    </row>
    <row r="1148" customFormat="false" ht="44.75" hidden="false" customHeight="false" outlineLevel="0" collapsed="false">
      <c r="F1148" s="0" t="s">
        <v>5334</v>
      </c>
      <c r="G1148" s="57" t="s">
        <v>8843</v>
      </c>
      <c r="H1148" s="57" t="s">
        <v>8840</v>
      </c>
      <c r="I1148" s="39" t="s">
        <v>67</v>
      </c>
      <c r="J1148" s="57" t="s">
        <v>8844</v>
      </c>
      <c r="K1148" s="57" t="s">
        <v>6939</v>
      </c>
    </row>
    <row r="1149" customFormat="false" ht="23.05" hidden="false" customHeight="false" outlineLevel="0" collapsed="false">
      <c r="D1149" s="60" t="s">
        <v>8845</v>
      </c>
      <c r="E1149" s="60" t="s">
        <v>8846</v>
      </c>
      <c r="F1149" s="62"/>
      <c r="G1149" s="57" t="s">
        <v>8847</v>
      </c>
      <c r="H1149" s="57" t="s">
        <v>3792</v>
      </c>
      <c r="I1149" s="39"/>
      <c r="J1149" s="57" t="s">
        <v>3792</v>
      </c>
      <c r="K1149" s="57" t="s">
        <v>3792</v>
      </c>
    </row>
    <row r="1150" customFormat="false" ht="44.75" hidden="false" customHeight="false" outlineLevel="0" collapsed="false">
      <c r="F1150" s="0" t="s">
        <v>5342</v>
      </c>
      <c r="G1150" s="57" t="s">
        <v>8848</v>
      </c>
      <c r="H1150" s="57" t="s">
        <v>8845</v>
      </c>
      <c r="I1150" s="34" t="s">
        <v>40</v>
      </c>
      <c r="J1150" s="57" t="s">
        <v>8849</v>
      </c>
      <c r="K1150" s="57" t="s">
        <v>6947</v>
      </c>
    </row>
    <row r="1151" customFormat="false" ht="23.05" hidden="false" customHeight="false" outlineLevel="0" collapsed="false">
      <c r="C1151" s="70" t="s">
        <v>8850</v>
      </c>
      <c r="D1151" s="66" t="s">
        <v>8851</v>
      </c>
      <c r="E1151" s="66" t="s">
        <v>8852</v>
      </c>
      <c r="F1151" s="65"/>
      <c r="G1151" s="57" t="s">
        <v>8853</v>
      </c>
      <c r="H1151" s="57" t="s">
        <v>3792</v>
      </c>
      <c r="I1151" s="34"/>
      <c r="J1151" s="57" t="s">
        <v>3792</v>
      </c>
      <c r="K1151" s="57" t="s">
        <v>3792</v>
      </c>
    </row>
    <row r="1152" customFormat="false" ht="44.75" hidden="false" customHeight="false" outlineLevel="0" collapsed="false">
      <c r="F1152" s="0" t="s">
        <v>5334</v>
      </c>
      <c r="G1152" s="57" t="s">
        <v>8854</v>
      </c>
      <c r="H1152" s="57" t="s">
        <v>8851</v>
      </c>
      <c r="I1152" s="39" t="s">
        <v>67</v>
      </c>
      <c r="J1152" s="57" t="s">
        <v>8855</v>
      </c>
      <c r="K1152" s="57" t="s">
        <v>6954</v>
      </c>
    </row>
    <row r="1153" customFormat="false" ht="23.05" hidden="false" customHeight="false" outlineLevel="0" collapsed="false">
      <c r="D1153" s="60" t="s">
        <v>8856</v>
      </c>
      <c r="E1153" s="60" t="s">
        <v>8857</v>
      </c>
      <c r="F1153" s="62"/>
      <c r="G1153" s="57" t="s">
        <v>8858</v>
      </c>
      <c r="H1153" s="57" t="s">
        <v>3792</v>
      </c>
      <c r="I1153" s="39"/>
      <c r="J1153" s="57" t="s">
        <v>3792</v>
      </c>
      <c r="K1153" s="57" t="s">
        <v>3792</v>
      </c>
    </row>
    <row r="1154" customFormat="false" ht="44.75" hidden="false" customHeight="false" outlineLevel="0" collapsed="false">
      <c r="F1154" s="0" t="s">
        <v>5342</v>
      </c>
      <c r="G1154" s="57" t="s">
        <v>8859</v>
      </c>
      <c r="H1154" s="57" t="s">
        <v>8856</v>
      </c>
      <c r="I1154" s="37" t="s">
        <v>50</v>
      </c>
      <c r="J1154" s="57" t="s">
        <v>8860</v>
      </c>
      <c r="K1154" s="57" t="s">
        <v>6961</v>
      </c>
    </row>
    <row r="1155" customFormat="false" ht="33.9" hidden="false" customHeight="false" outlineLevel="0" collapsed="false">
      <c r="D1155" s="60" t="s">
        <v>8861</v>
      </c>
      <c r="E1155" s="60" t="s">
        <v>8862</v>
      </c>
      <c r="F1155" s="62"/>
      <c r="G1155" s="57" t="s">
        <v>8863</v>
      </c>
      <c r="H1155" s="57" t="s">
        <v>3792</v>
      </c>
      <c r="I1155" s="37"/>
      <c r="J1155" s="57" t="s">
        <v>3792</v>
      </c>
      <c r="K1155" s="57" t="s">
        <v>3792</v>
      </c>
    </row>
    <row r="1156" customFormat="false" ht="44.75" hidden="false" customHeight="false" outlineLevel="0" collapsed="false">
      <c r="F1156" s="0" t="s">
        <v>5342</v>
      </c>
      <c r="G1156" s="57" t="s">
        <v>8864</v>
      </c>
      <c r="H1156" s="57" t="s">
        <v>8861</v>
      </c>
      <c r="I1156" s="37" t="s">
        <v>50</v>
      </c>
      <c r="J1156" s="57" t="s">
        <v>8865</v>
      </c>
      <c r="K1156" s="57" t="s">
        <v>6968</v>
      </c>
    </row>
    <row r="1157" customFormat="false" ht="33.9" hidden="false" customHeight="false" outlineLevel="0" collapsed="false">
      <c r="D1157" s="60" t="s">
        <v>8866</v>
      </c>
      <c r="E1157" s="60" t="s">
        <v>8867</v>
      </c>
      <c r="F1157" s="62"/>
      <c r="G1157" s="57" t="s">
        <v>8868</v>
      </c>
      <c r="H1157" s="57" t="s">
        <v>3792</v>
      </c>
      <c r="I1157" s="37"/>
      <c r="J1157" s="57" t="s">
        <v>3792</v>
      </c>
      <c r="K1157" s="57" t="s">
        <v>3792</v>
      </c>
    </row>
    <row r="1158" customFormat="false" ht="55.6" hidden="false" customHeight="false" outlineLevel="0" collapsed="false">
      <c r="F1158" s="0" t="s">
        <v>5334</v>
      </c>
      <c r="G1158" s="57" t="s">
        <v>8869</v>
      </c>
      <c r="H1158" s="57" t="s">
        <v>8866</v>
      </c>
      <c r="I1158" s="39" t="s">
        <v>67</v>
      </c>
      <c r="J1158" s="57" t="s">
        <v>8870</v>
      </c>
      <c r="K1158" s="57" t="s">
        <v>6975</v>
      </c>
    </row>
    <row r="1159" customFormat="false" ht="33.9" hidden="false" customHeight="false" outlineLevel="0" collapsed="false">
      <c r="D1159" s="60" t="s">
        <v>8871</v>
      </c>
      <c r="E1159" s="60" t="s">
        <v>8872</v>
      </c>
      <c r="F1159" s="62"/>
      <c r="G1159" s="57" t="s">
        <v>8873</v>
      </c>
      <c r="H1159" s="57" t="s">
        <v>3792</v>
      </c>
      <c r="I1159" s="39"/>
      <c r="J1159" s="57" t="s">
        <v>3792</v>
      </c>
      <c r="K1159" s="57" t="s">
        <v>3792</v>
      </c>
    </row>
    <row r="1160" customFormat="false" ht="44.75" hidden="false" customHeight="false" outlineLevel="0" collapsed="false">
      <c r="F1160" s="0" t="s">
        <v>5334</v>
      </c>
      <c r="G1160" s="57" t="s">
        <v>8874</v>
      </c>
      <c r="H1160" s="57" t="s">
        <v>8871</v>
      </c>
      <c r="I1160" s="34" t="s">
        <v>40</v>
      </c>
      <c r="J1160" s="57" t="s">
        <v>8875</v>
      </c>
      <c r="K1160" s="57" t="s">
        <v>6984</v>
      </c>
    </row>
    <row r="1161" customFormat="false" ht="23.05" hidden="false" customHeight="false" outlineLevel="0" collapsed="false">
      <c r="C1161" s="70" t="s">
        <v>8876</v>
      </c>
      <c r="D1161" s="66" t="s">
        <v>8877</v>
      </c>
      <c r="E1161" s="66" t="s">
        <v>8878</v>
      </c>
      <c r="F1161" s="65"/>
      <c r="G1161" s="57" t="s">
        <v>8879</v>
      </c>
      <c r="H1161" s="57" t="s">
        <v>3792</v>
      </c>
      <c r="I1161" s="34"/>
      <c r="J1161" s="57" t="s">
        <v>3792</v>
      </c>
      <c r="K1161" s="57" t="s">
        <v>3792</v>
      </c>
    </row>
    <row r="1162" customFormat="false" ht="55.6" hidden="false" customHeight="false" outlineLevel="0" collapsed="false">
      <c r="F1162" s="0" t="s">
        <v>5342</v>
      </c>
      <c r="G1162" s="57" t="s">
        <v>8880</v>
      </c>
      <c r="H1162" s="57" t="s">
        <v>8877</v>
      </c>
      <c r="I1162" s="39" t="s">
        <v>67</v>
      </c>
      <c r="J1162" s="57" t="s">
        <v>8881</v>
      </c>
      <c r="K1162" s="57" t="s">
        <v>6989</v>
      </c>
    </row>
    <row r="1163" customFormat="false" ht="33.9" hidden="false" customHeight="false" outlineLevel="0" collapsed="false">
      <c r="D1163" s="60" t="s">
        <v>8882</v>
      </c>
      <c r="E1163" s="60" t="s">
        <v>8883</v>
      </c>
      <c r="F1163" s="62"/>
      <c r="G1163" s="57" t="s">
        <v>8884</v>
      </c>
      <c r="H1163" s="57" t="s">
        <v>3792</v>
      </c>
      <c r="I1163" s="39"/>
      <c r="J1163" s="57" t="s">
        <v>3792</v>
      </c>
      <c r="K1163" s="57" t="s">
        <v>3792</v>
      </c>
    </row>
    <row r="1164" customFormat="false" ht="55.6" hidden="false" customHeight="false" outlineLevel="0" collapsed="false">
      <c r="F1164" s="0" t="s">
        <v>5342</v>
      </c>
      <c r="G1164" s="57" t="s">
        <v>8885</v>
      </c>
      <c r="H1164" s="57" t="s">
        <v>8882</v>
      </c>
      <c r="I1164" s="37" t="s">
        <v>50</v>
      </c>
      <c r="J1164" s="57" t="s">
        <v>8886</v>
      </c>
      <c r="K1164" s="57" t="s">
        <v>6996</v>
      </c>
    </row>
    <row r="1165" customFormat="false" ht="33.9" hidden="false" customHeight="false" outlineLevel="0" collapsed="false">
      <c r="D1165" s="60" t="s">
        <v>8887</v>
      </c>
      <c r="E1165" s="60" t="s">
        <v>8888</v>
      </c>
      <c r="F1165" s="62"/>
      <c r="G1165" s="57" t="s">
        <v>8889</v>
      </c>
      <c r="H1165" s="57" t="s">
        <v>3792</v>
      </c>
      <c r="I1165" s="37"/>
      <c r="J1165" s="57" t="s">
        <v>3792</v>
      </c>
      <c r="K1165" s="57" t="s">
        <v>3792</v>
      </c>
    </row>
    <row r="1166" customFormat="false" ht="55.6" hidden="false" customHeight="false" outlineLevel="0" collapsed="false">
      <c r="F1166" s="0" t="s">
        <v>5334</v>
      </c>
      <c r="G1166" s="57" t="s">
        <v>8890</v>
      </c>
      <c r="H1166" s="57" t="s">
        <v>8887</v>
      </c>
      <c r="I1166" s="37" t="s">
        <v>50</v>
      </c>
      <c r="J1166" s="57" t="s">
        <v>8891</v>
      </c>
      <c r="K1166" s="57" t="s">
        <v>7002</v>
      </c>
    </row>
    <row r="1167" customFormat="false" ht="23.05" hidden="false" customHeight="false" outlineLevel="0" collapsed="false">
      <c r="D1167" s="60" t="s">
        <v>8892</v>
      </c>
      <c r="E1167" s="60" t="s">
        <v>8893</v>
      </c>
      <c r="F1167" s="62"/>
      <c r="G1167" s="57" t="s">
        <v>8894</v>
      </c>
      <c r="H1167" s="57" t="s">
        <v>3792</v>
      </c>
      <c r="I1167" s="37"/>
      <c r="J1167" s="57" t="s">
        <v>3792</v>
      </c>
      <c r="K1167" s="57" t="s">
        <v>3792</v>
      </c>
    </row>
    <row r="1168" customFormat="false" ht="33.9" hidden="false" customHeight="false" outlineLevel="0" collapsed="false">
      <c r="F1168" s="0" t="s">
        <v>5334</v>
      </c>
      <c r="G1168" s="57" t="s">
        <v>8895</v>
      </c>
      <c r="H1168" s="57" t="s">
        <v>8892</v>
      </c>
      <c r="I1168" s="39" t="s">
        <v>67</v>
      </c>
      <c r="J1168" s="57" t="s">
        <v>8896</v>
      </c>
      <c r="K1168" s="57" t="s">
        <v>7007</v>
      </c>
    </row>
    <row r="1169" customFormat="false" ht="33.9" hidden="false" customHeight="false" outlineLevel="0" collapsed="false">
      <c r="D1169" s="60" t="s">
        <v>8897</v>
      </c>
      <c r="E1169" s="60" t="s">
        <v>8898</v>
      </c>
      <c r="F1169" s="62"/>
      <c r="G1169" s="57" t="s">
        <v>8899</v>
      </c>
      <c r="H1169" s="57" t="s">
        <v>3792</v>
      </c>
      <c r="I1169" s="39"/>
      <c r="J1169" s="57" t="s">
        <v>3792</v>
      </c>
      <c r="K1169" s="57" t="s">
        <v>3792</v>
      </c>
    </row>
    <row r="1170" customFormat="false" ht="55.6" hidden="false" customHeight="false" outlineLevel="0" collapsed="false">
      <c r="F1170" s="0" t="s">
        <v>5334</v>
      </c>
      <c r="G1170" s="57" t="s">
        <v>8900</v>
      </c>
      <c r="H1170" s="57" t="s">
        <v>8897</v>
      </c>
      <c r="I1170" s="34" t="s">
        <v>40</v>
      </c>
      <c r="J1170" s="57" t="s">
        <v>8901</v>
      </c>
      <c r="K1170" s="57" t="s">
        <v>7012</v>
      </c>
    </row>
    <row r="1171" customFormat="false" ht="33.9" hidden="false" customHeight="false" outlineLevel="0" collapsed="false">
      <c r="C1171" s="70" t="s">
        <v>8902</v>
      </c>
      <c r="D1171" s="66" t="s">
        <v>8903</v>
      </c>
      <c r="E1171" s="66" t="s">
        <v>8904</v>
      </c>
      <c r="F1171" s="65"/>
      <c r="G1171" s="57" t="s">
        <v>8905</v>
      </c>
      <c r="H1171" s="57" t="s">
        <v>3792</v>
      </c>
      <c r="I1171" s="34"/>
      <c r="J1171" s="57" t="s">
        <v>3792</v>
      </c>
      <c r="K1171" s="57" t="s">
        <v>3792</v>
      </c>
    </row>
    <row r="1172" customFormat="false" ht="44.75" hidden="false" customHeight="false" outlineLevel="0" collapsed="false">
      <c r="F1172" s="0" t="s">
        <v>5342</v>
      </c>
      <c r="G1172" s="57" t="s">
        <v>8906</v>
      </c>
      <c r="H1172" s="57" t="s">
        <v>8903</v>
      </c>
      <c r="I1172" s="39" t="s">
        <v>67</v>
      </c>
      <c r="J1172" s="57" t="s">
        <v>8907</v>
      </c>
      <c r="K1172" s="57" t="s">
        <v>7017</v>
      </c>
    </row>
    <row r="1173" customFormat="false" ht="23.05" hidden="false" customHeight="false" outlineLevel="0" collapsed="false">
      <c r="D1173" s="60" t="s">
        <v>8908</v>
      </c>
      <c r="E1173" s="60" t="s">
        <v>8909</v>
      </c>
      <c r="F1173" s="62"/>
      <c r="G1173" s="57" t="s">
        <v>8910</v>
      </c>
      <c r="H1173" s="57" t="s">
        <v>3792</v>
      </c>
      <c r="I1173" s="39"/>
      <c r="J1173" s="57" t="s">
        <v>3792</v>
      </c>
      <c r="K1173" s="57" t="s">
        <v>3792</v>
      </c>
    </row>
    <row r="1174" customFormat="false" ht="44.75" hidden="false" customHeight="false" outlineLevel="0" collapsed="false">
      <c r="F1174" s="0" t="s">
        <v>5334</v>
      </c>
      <c r="G1174" s="57" t="s">
        <v>8842</v>
      </c>
      <c r="H1174" s="57" t="s">
        <v>8908</v>
      </c>
      <c r="I1174" s="37" t="s">
        <v>50</v>
      </c>
      <c r="J1174" s="57" t="s">
        <v>8466</v>
      </c>
      <c r="K1174" s="57" t="s">
        <v>7021</v>
      </c>
    </row>
    <row r="1175" customFormat="false" ht="23.05" hidden="false" customHeight="false" outlineLevel="0" collapsed="false">
      <c r="D1175" s="60" t="s">
        <v>8911</v>
      </c>
      <c r="E1175" s="60" t="s">
        <v>8912</v>
      </c>
      <c r="F1175" s="62"/>
      <c r="G1175" s="57" t="s">
        <v>8913</v>
      </c>
      <c r="H1175" s="57" t="s">
        <v>3792</v>
      </c>
      <c r="I1175" s="37"/>
      <c r="J1175" s="57" t="s">
        <v>3792</v>
      </c>
      <c r="K1175" s="57" t="s">
        <v>3792</v>
      </c>
    </row>
    <row r="1176" customFormat="false" ht="44.75" hidden="false" customHeight="false" outlineLevel="0" collapsed="false">
      <c r="F1176" s="0" t="s">
        <v>5342</v>
      </c>
      <c r="G1176" s="57" t="s">
        <v>8914</v>
      </c>
      <c r="H1176" s="57" t="s">
        <v>8911</v>
      </c>
      <c r="I1176" s="37" t="s">
        <v>50</v>
      </c>
      <c r="J1176" s="57" t="s">
        <v>8471</v>
      </c>
      <c r="K1176" s="57" t="s">
        <v>7026</v>
      </c>
    </row>
    <row r="1177" customFormat="false" ht="33.9" hidden="false" customHeight="false" outlineLevel="0" collapsed="false">
      <c r="D1177" s="60" t="s">
        <v>8915</v>
      </c>
      <c r="E1177" s="60" t="s">
        <v>8916</v>
      </c>
      <c r="F1177" s="62"/>
      <c r="G1177" s="57" t="s">
        <v>8917</v>
      </c>
      <c r="H1177" s="57" t="s">
        <v>3792</v>
      </c>
      <c r="I1177" s="37"/>
      <c r="J1177" s="57" t="s">
        <v>3792</v>
      </c>
      <c r="K1177" s="57" t="s">
        <v>3792</v>
      </c>
    </row>
    <row r="1178" customFormat="false" ht="55.6" hidden="false" customHeight="false" outlineLevel="0" collapsed="false">
      <c r="F1178" s="0" t="s">
        <v>5334</v>
      </c>
      <c r="G1178" s="57" t="s">
        <v>8918</v>
      </c>
      <c r="H1178" s="57" t="s">
        <v>8915</v>
      </c>
      <c r="I1178" s="39" t="s">
        <v>67</v>
      </c>
      <c r="J1178" s="57" t="s">
        <v>8919</v>
      </c>
      <c r="K1178" s="57" t="s">
        <v>7031</v>
      </c>
    </row>
    <row r="1179" customFormat="false" ht="23.05" hidden="false" customHeight="false" outlineLevel="0" collapsed="false">
      <c r="D1179" s="60" t="s">
        <v>8920</v>
      </c>
      <c r="E1179" s="60" t="s">
        <v>8921</v>
      </c>
      <c r="F1179" s="62"/>
      <c r="G1179" s="57" t="s">
        <v>8922</v>
      </c>
      <c r="H1179" s="57" t="s">
        <v>3792</v>
      </c>
      <c r="I1179" s="39"/>
      <c r="J1179" s="57" t="s">
        <v>3792</v>
      </c>
      <c r="K1179" s="57" t="s">
        <v>3792</v>
      </c>
    </row>
    <row r="1180" customFormat="false" ht="44.75" hidden="false" customHeight="false" outlineLevel="0" collapsed="false">
      <c r="F1180" s="0" t="s">
        <v>5342</v>
      </c>
      <c r="G1180" s="57" t="s">
        <v>8923</v>
      </c>
      <c r="H1180" s="57" t="s">
        <v>8920</v>
      </c>
      <c r="I1180" s="34" t="s">
        <v>40</v>
      </c>
      <c r="J1180" s="57" t="s">
        <v>8924</v>
      </c>
      <c r="K1180" s="57" t="s">
        <v>7036</v>
      </c>
    </row>
    <row r="1181" customFormat="false" ht="33.9" hidden="false" customHeight="false" outlineLevel="0" collapsed="false">
      <c r="C1181" s="70" t="s">
        <v>8925</v>
      </c>
      <c r="D1181" s="66" t="s">
        <v>8926</v>
      </c>
      <c r="E1181" s="66" t="s">
        <v>8927</v>
      </c>
      <c r="F1181" s="69"/>
      <c r="G1181" s="57" t="s">
        <v>8928</v>
      </c>
      <c r="H1181" s="57" t="s">
        <v>3792</v>
      </c>
      <c r="I1181" s="34"/>
      <c r="J1181" s="57" t="s">
        <v>3792</v>
      </c>
      <c r="K1181" s="57" t="s">
        <v>3792</v>
      </c>
    </row>
    <row r="1182" customFormat="false" ht="55.6" hidden="false" customHeight="false" outlineLevel="0" collapsed="false">
      <c r="F1182" s="0" t="s">
        <v>5334</v>
      </c>
      <c r="G1182" s="57" t="s">
        <v>8929</v>
      </c>
      <c r="H1182" s="57" t="s">
        <v>8926</v>
      </c>
      <c r="I1182" s="39" t="s">
        <v>67</v>
      </c>
      <c r="J1182" s="57" t="s">
        <v>8930</v>
      </c>
      <c r="K1182" s="57" t="s">
        <v>7043</v>
      </c>
    </row>
    <row r="1183" customFormat="false" ht="23.05" hidden="false" customHeight="false" outlineLevel="0" collapsed="false">
      <c r="D1183" s="60" t="s">
        <v>8931</v>
      </c>
      <c r="E1183" s="60" t="s">
        <v>8932</v>
      </c>
      <c r="F1183" s="62"/>
      <c r="G1183" s="57" t="s">
        <v>8933</v>
      </c>
      <c r="H1183" s="57" t="s">
        <v>3792</v>
      </c>
      <c r="I1183" s="39"/>
      <c r="J1183" s="57" t="s">
        <v>3792</v>
      </c>
      <c r="K1183" s="57" t="s">
        <v>3792</v>
      </c>
    </row>
    <row r="1184" customFormat="false" ht="44.75" hidden="false" customHeight="false" outlineLevel="0" collapsed="false">
      <c r="F1184" s="0" t="s">
        <v>5334</v>
      </c>
      <c r="G1184" s="57" t="s">
        <v>8934</v>
      </c>
      <c r="H1184" s="57" t="s">
        <v>8931</v>
      </c>
      <c r="I1184" s="37" t="s">
        <v>50</v>
      </c>
      <c r="J1184" s="57" t="s">
        <v>8935</v>
      </c>
      <c r="K1184" s="57" t="s">
        <v>7049</v>
      </c>
    </row>
    <row r="1185" customFormat="false" ht="33.9" hidden="false" customHeight="false" outlineLevel="0" collapsed="false">
      <c r="D1185" s="60" t="s">
        <v>8936</v>
      </c>
      <c r="E1185" s="60" t="s">
        <v>8937</v>
      </c>
      <c r="F1185" s="62"/>
      <c r="G1185" s="57" t="s">
        <v>8938</v>
      </c>
      <c r="H1185" s="57" t="s">
        <v>3792</v>
      </c>
      <c r="I1185" s="37"/>
      <c r="J1185" s="57" t="s">
        <v>3792</v>
      </c>
      <c r="K1185" s="57" t="s">
        <v>3792</v>
      </c>
    </row>
    <row r="1186" customFormat="false" ht="44.75" hidden="false" customHeight="false" outlineLevel="0" collapsed="false">
      <c r="F1186" s="0" t="s">
        <v>5334</v>
      </c>
      <c r="G1186" s="57" t="s">
        <v>8939</v>
      </c>
      <c r="H1186" s="57" t="s">
        <v>8936</v>
      </c>
      <c r="I1186" s="37" t="s">
        <v>50</v>
      </c>
      <c r="J1186" s="57" t="s">
        <v>8940</v>
      </c>
      <c r="K1186" s="57" t="s">
        <v>7055</v>
      </c>
    </row>
    <row r="1187" customFormat="false" ht="23.05" hidden="false" customHeight="false" outlineLevel="0" collapsed="false">
      <c r="D1187" s="60" t="s">
        <v>8941</v>
      </c>
      <c r="E1187" s="60" t="s">
        <v>8942</v>
      </c>
      <c r="F1187" s="62"/>
      <c r="G1187" s="57" t="s">
        <v>8943</v>
      </c>
      <c r="H1187" s="57" t="s">
        <v>3792</v>
      </c>
      <c r="I1187" s="37"/>
      <c r="J1187" s="57" t="s">
        <v>3792</v>
      </c>
      <c r="K1187" s="57" t="s">
        <v>3792</v>
      </c>
    </row>
    <row r="1188" customFormat="false" ht="44.75" hidden="false" customHeight="false" outlineLevel="0" collapsed="false">
      <c r="F1188" s="0" t="s">
        <v>5342</v>
      </c>
      <c r="G1188" s="57" t="s">
        <v>8944</v>
      </c>
      <c r="H1188" s="57" t="s">
        <v>8941</v>
      </c>
      <c r="I1188" s="39" t="s">
        <v>67</v>
      </c>
      <c r="J1188" s="57" t="s">
        <v>8945</v>
      </c>
      <c r="K1188" s="57" t="s">
        <v>7060</v>
      </c>
    </row>
    <row r="1189" customFormat="false" ht="23.05" hidden="false" customHeight="false" outlineLevel="0" collapsed="false">
      <c r="D1189" s="60" t="s">
        <v>8946</v>
      </c>
      <c r="E1189" s="60" t="s">
        <v>8947</v>
      </c>
      <c r="F1189" s="62"/>
      <c r="G1189" s="57" t="s">
        <v>8948</v>
      </c>
      <c r="H1189" s="57" t="s">
        <v>3792</v>
      </c>
      <c r="I1189" s="39"/>
      <c r="J1189" s="57" t="s">
        <v>3792</v>
      </c>
      <c r="K1189" s="57" t="s">
        <v>3792</v>
      </c>
    </row>
    <row r="1190" customFormat="false" ht="55.6" hidden="false" customHeight="false" outlineLevel="0" collapsed="false">
      <c r="F1190" s="0" t="s">
        <v>5342</v>
      </c>
      <c r="G1190" s="57" t="s">
        <v>8949</v>
      </c>
      <c r="H1190" s="57" t="s">
        <v>8946</v>
      </c>
      <c r="I1190" s="34" t="s">
        <v>40</v>
      </c>
      <c r="J1190" s="57" t="s">
        <v>8950</v>
      </c>
      <c r="K1190" s="57" t="s">
        <v>7066</v>
      </c>
    </row>
    <row r="1191" customFormat="false" ht="33.9" hidden="false" customHeight="false" outlineLevel="0" collapsed="false">
      <c r="B1191" s="67" t="s">
        <v>8951</v>
      </c>
      <c r="C1191" s="71" t="s">
        <v>8952</v>
      </c>
      <c r="D1191" s="68" t="s">
        <v>8953</v>
      </c>
      <c r="E1191" s="68" t="s">
        <v>8954</v>
      </c>
      <c r="F1191" s="65"/>
      <c r="G1191" s="57" t="s">
        <v>8955</v>
      </c>
      <c r="H1191" s="57" t="s">
        <v>3792</v>
      </c>
      <c r="I1191" s="34"/>
      <c r="J1191" s="57" t="s">
        <v>3792</v>
      </c>
      <c r="K1191" s="57" t="s">
        <v>3792</v>
      </c>
    </row>
    <row r="1192" customFormat="false" ht="44.75" hidden="false" customHeight="false" outlineLevel="0" collapsed="false">
      <c r="F1192" s="0" t="s">
        <v>5334</v>
      </c>
      <c r="G1192" s="57" t="s">
        <v>8956</v>
      </c>
      <c r="H1192" s="57" t="s">
        <v>8953</v>
      </c>
      <c r="I1192" s="39" t="s">
        <v>67</v>
      </c>
      <c r="J1192" s="57" t="s">
        <v>8957</v>
      </c>
      <c r="K1192" s="57" t="s">
        <v>7074</v>
      </c>
    </row>
    <row r="1193" customFormat="false" ht="33.9" hidden="false" customHeight="false" outlineLevel="0" collapsed="false">
      <c r="D1193" s="60" t="s">
        <v>8958</v>
      </c>
      <c r="E1193" s="60" t="s">
        <v>8959</v>
      </c>
      <c r="F1193" s="62"/>
      <c r="G1193" s="57" t="s">
        <v>8960</v>
      </c>
      <c r="H1193" s="57" t="s">
        <v>3792</v>
      </c>
      <c r="I1193" s="39"/>
      <c r="J1193" s="57" t="s">
        <v>3792</v>
      </c>
      <c r="K1193" s="57" t="s">
        <v>3792</v>
      </c>
    </row>
    <row r="1194" customFormat="false" ht="55.6" hidden="false" customHeight="false" outlineLevel="0" collapsed="false">
      <c r="F1194" s="0" t="s">
        <v>5342</v>
      </c>
      <c r="G1194" s="57" t="s">
        <v>8961</v>
      </c>
      <c r="H1194" s="57" t="s">
        <v>8958</v>
      </c>
      <c r="I1194" s="37" t="s">
        <v>50</v>
      </c>
      <c r="J1194" s="57" t="s">
        <v>8962</v>
      </c>
      <c r="K1194" s="57" t="s">
        <v>7081</v>
      </c>
    </row>
    <row r="1195" customFormat="false" ht="23.05" hidden="false" customHeight="false" outlineLevel="0" collapsed="false">
      <c r="D1195" s="60" t="s">
        <v>8963</v>
      </c>
      <c r="E1195" s="60" t="s">
        <v>8964</v>
      </c>
      <c r="F1195" s="62"/>
      <c r="G1195" s="57" t="s">
        <v>8965</v>
      </c>
      <c r="H1195" s="57" t="s">
        <v>3792</v>
      </c>
      <c r="I1195" s="37"/>
      <c r="J1195" s="57" t="s">
        <v>3792</v>
      </c>
      <c r="K1195" s="57" t="s">
        <v>3792</v>
      </c>
    </row>
    <row r="1196" customFormat="false" ht="44.75" hidden="false" customHeight="false" outlineLevel="0" collapsed="false">
      <c r="F1196" s="0" t="s">
        <v>5342</v>
      </c>
      <c r="G1196" s="57" t="s">
        <v>8966</v>
      </c>
      <c r="H1196" s="57" t="s">
        <v>8963</v>
      </c>
      <c r="I1196" s="37" t="s">
        <v>50</v>
      </c>
      <c r="J1196" s="57" t="s">
        <v>8967</v>
      </c>
      <c r="K1196" s="57" t="s">
        <v>7088</v>
      </c>
    </row>
    <row r="1197" customFormat="false" ht="23.05" hidden="false" customHeight="false" outlineLevel="0" collapsed="false">
      <c r="D1197" s="60" t="s">
        <v>8968</v>
      </c>
      <c r="E1197" s="60" t="s">
        <v>8969</v>
      </c>
      <c r="F1197" s="62"/>
      <c r="G1197" s="57" t="s">
        <v>8970</v>
      </c>
      <c r="H1197" s="57" t="s">
        <v>3792</v>
      </c>
      <c r="I1197" s="37"/>
      <c r="J1197" s="57" t="s">
        <v>3792</v>
      </c>
      <c r="K1197" s="57" t="s">
        <v>3792</v>
      </c>
    </row>
    <row r="1198" customFormat="false" ht="55.6" hidden="false" customHeight="false" outlineLevel="0" collapsed="false">
      <c r="F1198" s="0" t="s">
        <v>5334</v>
      </c>
      <c r="G1198" s="57" t="s">
        <v>8971</v>
      </c>
      <c r="H1198" s="57" t="s">
        <v>8968</v>
      </c>
      <c r="I1198" s="39" t="s">
        <v>67</v>
      </c>
      <c r="J1198" s="57" t="s">
        <v>8972</v>
      </c>
      <c r="K1198" s="57" t="s">
        <v>7095</v>
      </c>
    </row>
    <row r="1199" customFormat="false" ht="33.9" hidden="false" customHeight="false" outlineLevel="0" collapsed="false">
      <c r="D1199" s="60" t="s">
        <v>8973</v>
      </c>
      <c r="E1199" s="60" t="s">
        <v>8974</v>
      </c>
      <c r="F1199" s="62"/>
      <c r="G1199" s="57" t="s">
        <v>8975</v>
      </c>
      <c r="H1199" s="57" t="s">
        <v>3792</v>
      </c>
      <c r="I1199" s="39"/>
      <c r="J1199" s="57" t="s">
        <v>3792</v>
      </c>
      <c r="K1199" s="57" t="s">
        <v>3792</v>
      </c>
    </row>
    <row r="1200" customFormat="false" ht="44.75" hidden="false" customHeight="false" outlineLevel="0" collapsed="false">
      <c r="F1200" s="0" t="s">
        <v>5342</v>
      </c>
      <c r="G1200" s="57" t="s">
        <v>8976</v>
      </c>
      <c r="H1200" s="57" t="s">
        <v>8973</v>
      </c>
      <c r="I1200" s="34" t="s">
        <v>40</v>
      </c>
      <c r="J1200" s="57" t="s">
        <v>8977</v>
      </c>
      <c r="K1200" s="57" t="s">
        <v>7102</v>
      </c>
    </row>
    <row r="1201" customFormat="false" ht="33.9" hidden="false" customHeight="false" outlineLevel="0" collapsed="false">
      <c r="C1201" s="70" t="s">
        <v>8978</v>
      </c>
      <c r="D1201" s="66" t="s">
        <v>8979</v>
      </c>
      <c r="E1201" s="66" t="s">
        <v>8980</v>
      </c>
      <c r="F1201" s="65"/>
      <c r="G1201" s="57" t="s">
        <v>8981</v>
      </c>
      <c r="H1201" s="57" t="s">
        <v>3792</v>
      </c>
      <c r="I1201" s="34"/>
      <c r="J1201" s="57" t="s">
        <v>3792</v>
      </c>
      <c r="K1201" s="57" t="s">
        <v>3792</v>
      </c>
    </row>
    <row r="1202" customFormat="false" ht="44.75" hidden="false" customHeight="false" outlineLevel="0" collapsed="false">
      <c r="F1202" s="0" t="s">
        <v>5342</v>
      </c>
      <c r="G1202" s="57" t="s">
        <v>8982</v>
      </c>
      <c r="H1202" s="57" t="s">
        <v>8979</v>
      </c>
      <c r="I1202" s="39" t="s">
        <v>67</v>
      </c>
      <c r="J1202" s="57" t="s">
        <v>8983</v>
      </c>
      <c r="K1202" s="57" t="s">
        <v>7112</v>
      </c>
    </row>
    <row r="1203" customFormat="false" ht="33.9" hidden="false" customHeight="false" outlineLevel="0" collapsed="false">
      <c r="D1203" s="60" t="s">
        <v>8984</v>
      </c>
      <c r="E1203" s="60" t="s">
        <v>8985</v>
      </c>
      <c r="F1203" s="62"/>
      <c r="G1203" s="57" t="s">
        <v>8986</v>
      </c>
      <c r="H1203" s="57" t="s">
        <v>3792</v>
      </c>
      <c r="I1203" s="39"/>
      <c r="J1203" s="57" t="s">
        <v>3792</v>
      </c>
      <c r="K1203" s="57" t="s">
        <v>3792</v>
      </c>
    </row>
    <row r="1204" customFormat="false" ht="33.9" hidden="false" customHeight="false" outlineLevel="0" collapsed="false">
      <c r="F1204" s="0" t="s">
        <v>5334</v>
      </c>
      <c r="G1204" s="57" t="s">
        <v>8987</v>
      </c>
      <c r="H1204" s="57" t="s">
        <v>8984</v>
      </c>
      <c r="I1204" s="37" t="s">
        <v>50</v>
      </c>
      <c r="J1204" s="57" t="s">
        <v>8988</v>
      </c>
      <c r="K1204" s="57" t="s">
        <v>7118</v>
      </c>
    </row>
    <row r="1205" customFormat="false" ht="33.9" hidden="false" customHeight="false" outlineLevel="0" collapsed="false">
      <c r="D1205" s="60" t="s">
        <v>8989</v>
      </c>
      <c r="E1205" s="60" t="s">
        <v>8990</v>
      </c>
      <c r="F1205" s="62"/>
      <c r="G1205" s="57" t="s">
        <v>8991</v>
      </c>
      <c r="H1205" s="57" t="s">
        <v>3792</v>
      </c>
      <c r="I1205" s="37"/>
      <c r="J1205" s="57" t="s">
        <v>3792</v>
      </c>
      <c r="K1205" s="57" t="s">
        <v>3792</v>
      </c>
    </row>
    <row r="1206" customFormat="false" ht="44.75" hidden="false" customHeight="false" outlineLevel="0" collapsed="false">
      <c r="F1206" s="0" t="s">
        <v>5334</v>
      </c>
      <c r="G1206" s="57" t="s">
        <v>8992</v>
      </c>
      <c r="H1206" s="57" t="s">
        <v>8989</v>
      </c>
      <c r="I1206" s="37" t="s">
        <v>50</v>
      </c>
      <c r="J1206" s="57" t="s">
        <v>8993</v>
      </c>
      <c r="K1206" s="57" t="s">
        <v>7124</v>
      </c>
    </row>
    <row r="1207" customFormat="false" ht="33.9" hidden="false" customHeight="false" outlineLevel="0" collapsed="false">
      <c r="D1207" s="60" t="s">
        <v>8994</v>
      </c>
      <c r="E1207" s="60" t="s">
        <v>8995</v>
      </c>
      <c r="F1207" s="62"/>
      <c r="G1207" s="57" t="s">
        <v>8996</v>
      </c>
      <c r="H1207" s="57" t="s">
        <v>3792</v>
      </c>
      <c r="I1207" s="37"/>
      <c r="J1207" s="57" t="s">
        <v>3792</v>
      </c>
      <c r="K1207" s="57" t="s">
        <v>3792</v>
      </c>
    </row>
    <row r="1208" customFormat="false" ht="44.75" hidden="false" customHeight="false" outlineLevel="0" collapsed="false">
      <c r="F1208" s="0" t="s">
        <v>5334</v>
      </c>
      <c r="G1208" s="57" t="s">
        <v>8997</v>
      </c>
      <c r="H1208" s="57" t="s">
        <v>8994</v>
      </c>
      <c r="I1208" s="39" t="s">
        <v>67</v>
      </c>
      <c r="J1208" s="57" t="s">
        <v>8998</v>
      </c>
      <c r="K1208" s="57" t="s">
        <v>5970</v>
      </c>
    </row>
    <row r="1209" customFormat="false" ht="23.05" hidden="false" customHeight="false" outlineLevel="0" collapsed="false">
      <c r="D1209" s="60" t="s">
        <v>8999</v>
      </c>
      <c r="E1209" s="60" t="s">
        <v>9000</v>
      </c>
      <c r="F1209" s="62"/>
      <c r="G1209" s="57" t="s">
        <v>9001</v>
      </c>
      <c r="H1209" s="57" t="s">
        <v>3792</v>
      </c>
      <c r="I1209" s="39"/>
      <c r="J1209" s="57" t="s">
        <v>3792</v>
      </c>
      <c r="K1209" s="57" t="s">
        <v>3792</v>
      </c>
    </row>
    <row r="1210" customFormat="false" ht="55.6" hidden="false" customHeight="false" outlineLevel="0" collapsed="false">
      <c r="F1210" s="0" t="s">
        <v>5342</v>
      </c>
      <c r="G1210" s="57" t="s">
        <v>9002</v>
      </c>
      <c r="H1210" s="57" t="s">
        <v>8999</v>
      </c>
      <c r="I1210" s="34" t="s">
        <v>40</v>
      </c>
      <c r="J1210" s="57" t="s">
        <v>9003</v>
      </c>
      <c r="K1210" s="57" t="s">
        <v>7138</v>
      </c>
    </row>
    <row r="1211" customFormat="false" ht="33.9" hidden="false" customHeight="false" outlineLevel="0" collapsed="false">
      <c r="C1211" s="70" t="s">
        <v>9004</v>
      </c>
      <c r="D1211" s="66" t="s">
        <v>9005</v>
      </c>
      <c r="E1211" s="66" t="s">
        <v>9006</v>
      </c>
      <c r="F1211" s="65"/>
      <c r="G1211" s="57" t="s">
        <v>9007</v>
      </c>
      <c r="H1211" s="57" t="s">
        <v>3792</v>
      </c>
      <c r="I1211" s="34"/>
      <c r="J1211" s="57" t="s">
        <v>3792</v>
      </c>
      <c r="K1211" s="57" t="s">
        <v>3792</v>
      </c>
    </row>
    <row r="1212" customFormat="false" ht="44.75" hidden="false" customHeight="false" outlineLevel="0" collapsed="false">
      <c r="F1212" s="0" t="s">
        <v>5334</v>
      </c>
      <c r="G1212" s="57" t="s">
        <v>9008</v>
      </c>
      <c r="H1212" s="57" t="s">
        <v>9005</v>
      </c>
      <c r="I1212" s="39" t="s">
        <v>67</v>
      </c>
      <c r="J1212" s="57" t="s">
        <v>9009</v>
      </c>
      <c r="K1212" s="57" t="s">
        <v>7145</v>
      </c>
    </row>
    <row r="1213" customFormat="false" ht="23.05" hidden="false" customHeight="false" outlineLevel="0" collapsed="false">
      <c r="D1213" s="60" t="s">
        <v>9010</v>
      </c>
      <c r="E1213" s="60" t="s">
        <v>9011</v>
      </c>
      <c r="F1213" s="62"/>
      <c r="G1213" s="57" t="s">
        <v>9012</v>
      </c>
      <c r="H1213" s="57" t="s">
        <v>3792</v>
      </c>
      <c r="I1213" s="39"/>
      <c r="J1213" s="57" t="s">
        <v>3792</v>
      </c>
      <c r="K1213" s="57" t="s">
        <v>3792</v>
      </c>
    </row>
    <row r="1214" customFormat="false" ht="44.75" hidden="false" customHeight="false" outlineLevel="0" collapsed="false">
      <c r="F1214" s="0" t="s">
        <v>5342</v>
      </c>
      <c r="G1214" s="57" t="s">
        <v>9013</v>
      </c>
      <c r="H1214" s="57" t="s">
        <v>9010</v>
      </c>
      <c r="I1214" s="37" t="s">
        <v>50</v>
      </c>
      <c r="J1214" s="57" t="s">
        <v>9014</v>
      </c>
      <c r="K1214" s="57" t="s">
        <v>7152</v>
      </c>
    </row>
    <row r="1215" customFormat="false" ht="23.05" hidden="false" customHeight="false" outlineLevel="0" collapsed="false">
      <c r="D1215" s="60" t="s">
        <v>9015</v>
      </c>
      <c r="E1215" s="60" t="s">
        <v>9016</v>
      </c>
      <c r="F1215" s="62"/>
      <c r="G1215" s="57" t="s">
        <v>9017</v>
      </c>
      <c r="H1215" s="57" t="s">
        <v>3792</v>
      </c>
      <c r="I1215" s="37"/>
      <c r="J1215" s="57" t="s">
        <v>3792</v>
      </c>
      <c r="K1215" s="57" t="s">
        <v>3792</v>
      </c>
    </row>
    <row r="1216" customFormat="false" ht="44.75" hidden="false" customHeight="false" outlineLevel="0" collapsed="false">
      <c r="F1216" s="0" t="s">
        <v>5342</v>
      </c>
      <c r="G1216" s="57" t="s">
        <v>9018</v>
      </c>
      <c r="H1216" s="57" t="s">
        <v>9015</v>
      </c>
      <c r="I1216" s="37" t="s">
        <v>50</v>
      </c>
      <c r="J1216" s="57" t="s">
        <v>9019</v>
      </c>
      <c r="K1216" s="57" t="s">
        <v>7159</v>
      </c>
    </row>
    <row r="1217" customFormat="false" ht="23.05" hidden="false" customHeight="false" outlineLevel="0" collapsed="false">
      <c r="D1217" s="60" t="s">
        <v>9020</v>
      </c>
      <c r="E1217" s="60" t="s">
        <v>9021</v>
      </c>
      <c r="F1217" s="62"/>
      <c r="G1217" s="57" t="s">
        <v>9022</v>
      </c>
      <c r="H1217" s="57" t="s">
        <v>3792</v>
      </c>
      <c r="I1217" s="37"/>
      <c r="J1217" s="57" t="s">
        <v>3792</v>
      </c>
      <c r="K1217" s="57" t="s">
        <v>3792</v>
      </c>
    </row>
    <row r="1218" customFormat="false" ht="55.6" hidden="false" customHeight="false" outlineLevel="0" collapsed="false">
      <c r="F1218" s="0" t="s">
        <v>5334</v>
      </c>
      <c r="G1218" s="57" t="s">
        <v>9023</v>
      </c>
      <c r="H1218" s="57" t="s">
        <v>9020</v>
      </c>
      <c r="I1218" s="39" t="s">
        <v>67</v>
      </c>
      <c r="J1218" s="57" t="s">
        <v>9024</v>
      </c>
      <c r="K1218" s="57" t="s">
        <v>7166</v>
      </c>
    </row>
    <row r="1219" customFormat="false" ht="23.05" hidden="false" customHeight="false" outlineLevel="0" collapsed="false">
      <c r="D1219" s="60" t="s">
        <v>9025</v>
      </c>
      <c r="E1219" s="60" t="s">
        <v>9026</v>
      </c>
      <c r="F1219" s="62"/>
      <c r="G1219" s="57" t="s">
        <v>9027</v>
      </c>
      <c r="H1219" s="57" t="s">
        <v>3792</v>
      </c>
      <c r="I1219" s="39"/>
      <c r="J1219" s="57" t="s">
        <v>3792</v>
      </c>
      <c r="K1219" s="57" t="s">
        <v>3792</v>
      </c>
    </row>
    <row r="1220" customFormat="false" ht="55.6" hidden="false" customHeight="false" outlineLevel="0" collapsed="false">
      <c r="F1220" s="0" t="s">
        <v>5334</v>
      </c>
      <c r="G1220" s="57" t="s">
        <v>9028</v>
      </c>
      <c r="H1220" s="57" t="s">
        <v>9025</v>
      </c>
      <c r="I1220" s="34" t="s">
        <v>40</v>
      </c>
      <c r="J1220" s="57" t="s">
        <v>9029</v>
      </c>
      <c r="K1220" s="57" t="s">
        <v>7174</v>
      </c>
    </row>
    <row r="1221" customFormat="false" ht="23.05" hidden="false" customHeight="false" outlineLevel="0" collapsed="false">
      <c r="C1221" s="70" t="s">
        <v>9030</v>
      </c>
      <c r="D1221" s="66" t="s">
        <v>9031</v>
      </c>
      <c r="E1221" s="66" t="s">
        <v>9032</v>
      </c>
      <c r="F1221" s="65"/>
      <c r="G1221" s="57" t="s">
        <v>8944</v>
      </c>
      <c r="H1221" s="57" t="s">
        <v>3792</v>
      </c>
      <c r="I1221" s="34"/>
      <c r="J1221" s="57" t="s">
        <v>3792</v>
      </c>
      <c r="K1221" s="57" t="s">
        <v>3792</v>
      </c>
    </row>
    <row r="1222" customFormat="false" ht="44.75" hidden="false" customHeight="false" outlineLevel="0" collapsed="false">
      <c r="F1222" s="0" t="s">
        <v>5342</v>
      </c>
      <c r="G1222" s="57" t="s">
        <v>9033</v>
      </c>
      <c r="H1222" s="57" t="s">
        <v>9031</v>
      </c>
      <c r="I1222" s="39" t="s">
        <v>67</v>
      </c>
      <c r="J1222" s="57" t="s">
        <v>9034</v>
      </c>
      <c r="K1222" s="57" t="s">
        <v>7181</v>
      </c>
    </row>
    <row r="1223" customFormat="false" ht="23.05" hidden="false" customHeight="false" outlineLevel="0" collapsed="false">
      <c r="D1223" s="60" t="s">
        <v>9035</v>
      </c>
      <c r="E1223" s="60" t="s">
        <v>9036</v>
      </c>
      <c r="F1223" s="62"/>
      <c r="G1223" s="57" t="s">
        <v>9037</v>
      </c>
      <c r="H1223" s="57" t="s">
        <v>3792</v>
      </c>
      <c r="I1223" s="39"/>
      <c r="J1223" s="57" t="s">
        <v>3792</v>
      </c>
      <c r="K1223" s="57" t="s">
        <v>3792</v>
      </c>
    </row>
    <row r="1224" customFormat="false" ht="44.75" hidden="false" customHeight="false" outlineLevel="0" collapsed="false">
      <c r="F1224" s="0" t="s">
        <v>5342</v>
      </c>
      <c r="G1224" s="57" t="s">
        <v>9038</v>
      </c>
      <c r="H1224" s="57" t="s">
        <v>9035</v>
      </c>
      <c r="I1224" s="37" t="s">
        <v>50</v>
      </c>
      <c r="J1224" s="57" t="s">
        <v>9039</v>
      </c>
      <c r="K1224" s="57" t="s">
        <v>7188</v>
      </c>
    </row>
    <row r="1225" customFormat="false" ht="23.05" hidden="false" customHeight="false" outlineLevel="0" collapsed="false">
      <c r="D1225" s="60" t="s">
        <v>9040</v>
      </c>
      <c r="E1225" s="60" t="s">
        <v>9041</v>
      </c>
      <c r="F1225" s="62"/>
      <c r="G1225" s="57" t="s">
        <v>9042</v>
      </c>
      <c r="H1225" s="57" t="s">
        <v>3792</v>
      </c>
      <c r="I1225" s="37"/>
      <c r="J1225" s="57" t="s">
        <v>3792</v>
      </c>
      <c r="K1225" s="57" t="s">
        <v>3792</v>
      </c>
    </row>
    <row r="1226" customFormat="false" ht="44.75" hidden="false" customHeight="false" outlineLevel="0" collapsed="false">
      <c r="F1226" s="0" t="s">
        <v>5334</v>
      </c>
      <c r="G1226" s="57" t="s">
        <v>9043</v>
      </c>
      <c r="H1226" s="57" t="s">
        <v>9040</v>
      </c>
      <c r="I1226" s="37" t="s">
        <v>50</v>
      </c>
      <c r="J1226" s="57" t="s">
        <v>9044</v>
      </c>
      <c r="K1226" s="57" t="s">
        <v>7195</v>
      </c>
    </row>
    <row r="1227" customFormat="false" ht="23.05" hidden="false" customHeight="false" outlineLevel="0" collapsed="false">
      <c r="D1227" s="60" t="s">
        <v>9045</v>
      </c>
      <c r="E1227" s="60" t="s">
        <v>9046</v>
      </c>
      <c r="F1227" s="62"/>
      <c r="G1227" s="57" t="s">
        <v>9047</v>
      </c>
      <c r="H1227" s="57" t="s">
        <v>3792</v>
      </c>
      <c r="I1227" s="37"/>
      <c r="J1227" s="57" t="s">
        <v>3792</v>
      </c>
      <c r="K1227" s="57" t="s">
        <v>3792</v>
      </c>
    </row>
    <row r="1228" customFormat="false" ht="44.75" hidden="false" customHeight="false" outlineLevel="0" collapsed="false">
      <c r="F1228" s="0" t="s">
        <v>5334</v>
      </c>
      <c r="G1228" s="57" t="s">
        <v>9048</v>
      </c>
      <c r="H1228" s="57" t="s">
        <v>9045</v>
      </c>
      <c r="I1228" s="39" t="s">
        <v>67</v>
      </c>
      <c r="J1228" s="57" t="s">
        <v>9049</v>
      </c>
      <c r="K1228" s="57" t="s">
        <v>7202</v>
      </c>
    </row>
    <row r="1229" customFormat="false" ht="23.05" hidden="false" customHeight="false" outlineLevel="0" collapsed="false">
      <c r="D1229" s="60" t="s">
        <v>9050</v>
      </c>
      <c r="E1229" s="60" t="s">
        <v>9051</v>
      </c>
      <c r="F1229" s="62"/>
      <c r="G1229" s="57" t="s">
        <v>9052</v>
      </c>
      <c r="H1229" s="57" t="s">
        <v>3792</v>
      </c>
      <c r="I1229" s="39"/>
      <c r="J1229" s="57" t="s">
        <v>3792</v>
      </c>
      <c r="K1229" s="57" t="s">
        <v>3792</v>
      </c>
    </row>
    <row r="1230" customFormat="false" ht="44.75" hidden="false" customHeight="false" outlineLevel="0" collapsed="false">
      <c r="F1230" s="0" t="s">
        <v>5342</v>
      </c>
      <c r="G1230" s="57" t="s">
        <v>8970</v>
      </c>
      <c r="H1230" s="57" t="s">
        <v>9050</v>
      </c>
      <c r="I1230" s="34" t="s">
        <v>40</v>
      </c>
      <c r="J1230" s="57" t="s">
        <v>9053</v>
      </c>
      <c r="K1230" s="57" t="s">
        <v>7210</v>
      </c>
    </row>
    <row r="1231" customFormat="false" ht="23.05" hidden="false" customHeight="false" outlineLevel="0" collapsed="false">
      <c r="C1231" s="70" t="s">
        <v>9054</v>
      </c>
      <c r="D1231" s="66" t="s">
        <v>9055</v>
      </c>
      <c r="E1231" s="66" t="s">
        <v>9056</v>
      </c>
      <c r="F1231" s="65"/>
      <c r="G1231" s="57" t="s">
        <v>9057</v>
      </c>
      <c r="H1231" s="57" t="s">
        <v>3792</v>
      </c>
      <c r="I1231" s="34"/>
      <c r="J1231" s="57" t="s">
        <v>3792</v>
      </c>
      <c r="K1231" s="57" t="s">
        <v>3792</v>
      </c>
    </row>
    <row r="1232" customFormat="false" ht="44.75" hidden="false" customHeight="false" outlineLevel="0" collapsed="false">
      <c r="F1232" s="0" t="s">
        <v>5342</v>
      </c>
      <c r="G1232" s="57" t="s">
        <v>9058</v>
      </c>
      <c r="H1232" s="57" t="s">
        <v>9055</v>
      </c>
      <c r="I1232" s="39" t="s">
        <v>67</v>
      </c>
      <c r="J1232" s="57" t="s">
        <v>9059</v>
      </c>
      <c r="K1232" s="57" t="s">
        <v>7217</v>
      </c>
    </row>
    <row r="1233" customFormat="false" ht="23.05" hidden="false" customHeight="false" outlineLevel="0" collapsed="false">
      <c r="D1233" s="60" t="s">
        <v>9060</v>
      </c>
      <c r="E1233" s="60" t="s">
        <v>9061</v>
      </c>
      <c r="F1233" s="62"/>
      <c r="G1233" s="57" t="s">
        <v>9062</v>
      </c>
      <c r="H1233" s="57" t="s">
        <v>3792</v>
      </c>
      <c r="I1233" s="39"/>
      <c r="J1233" s="57" t="s">
        <v>3792</v>
      </c>
      <c r="K1233" s="57" t="s">
        <v>3792</v>
      </c>
    </row>
    <row r="1234" customFormat="false" ht="44.75" hidden="false" customHeight="false" outlineLevel="0" collapsed="false">
      <c r="F1234" s="0" t="s">
        <v>5334</v>
      </c>
      <c r="G1234" s="57" t="s">
        <v>9063</v>
      </c>
      <c r="H1234" s="57" t="s">
        <v>9060</v>
      </c>
      <c r="I1234" s="37" t="s">
        <v>50</v>
      </c>
      <c r="J1234" s="57" t="s">
        <v>9064</v>
      </c>
      <c r="K1234" s="57" t="s">
        <v>7224</v>
      </c>
    </row>
    <row r="1235" customFormat="false" ht="23.05" hidden="false" customHeight="false" outlineLevel="0" collapsed="false">
      <c r="D1235" s="60" t="s">
        <v>9065</v>
      </c>
      <c r="E1235" s="60" t="s">
        <v>9066</v>
      </c>
      <c r="F1235" s="62"/>
      <c r="G1235" s="57" t="s">
        <v>8982</v>
      </c>
      <c r="H1235" s="57" t="s">
        <v>3792</v>
      </c>
      <c r="I1235" s="37"/>
      <c r="J1235" s="57" t="s">
        <v>3792</v>
      </c>
      <c r="K1235" s="57" t="s">
        <v>3792</v>
      </c>
    </row>
    <row r="1236" customFormat="false" ht="44.75" hidden="false" customHeight="false" outlineLevel="0" collapsed="false">
      <c r="F1236" s="0" t="s">
        <v>5342</v>
      </c>
      <c r="G1236" s="57" t="s">
        <v>9067</v>
      </c>
      <c r="H1236" s="57" t="s">
        <v>9065</v>
      </c>
      <c r="I1236" s="37" t="s">
        <v>50</v>
      </c>
      <c r="J1236" s="57" t="s">
        <v>9068</v>
      </c>
      <c r="K1236" s="57" t="s">
        <v>7231</v>
      </c>
    </row>
    <row r="1237" customFormat="false" ht="23.05" hidden="false" customHeight="false" outlineLevel="0" collapsed="false">
      <c r="D1237" s="60" t="s">
        <v>9069</v>
      </c>
      <c r="E1237" s="60" t="s">
        <v>9070</v>
      </c>
      <c r="F1237" s="62"/>
      <c r="G1237" s="57" t="s">
        <v>9071</v>
      </c>
      <c r="H1237" s="57" t="s">
        <v>3792</v>
      </c>
      <c r="I1237" s="37"/>
      <c r="J1237" s="57" t="s">
        <v>3792</v>
      </c>
      <c r="K1237" s="57" t="s">
        <v>3792</v>
      </c>
    </row>
    <row r="1238" customFormat="false" ht="55.6" hidden="false" customHeight="false" outlineLevel="0" collapsed="false">
      <c r="F1238" s="0" t="s">
        <v>5334</v>
      </c>
      <c r="G1238" s="57" t="s">
        <v>9072</v>
      </c>
      <c r="H1238" s="57" t="s">
        <v>9069</v>
      </c>
      <c r="I1238" s="39" t="s">
        <v>67</v>
      </c>
      <c r="J1238" s="57" t="s">
        <v>9073</v>
      </c>
      <c r="K1238" s="57" t="s">
        <v>7238</v>
      </c>
    </row>
    <row r="1239" customFormat="false" ht="23.05" hidden="false" customHeight="false" outlineLevel="0" collapsed="false">
      <c r="B1239" s="67"/>
      <c r="C1239" s="68"/>
      <c r="D1239" s="68" t="s">
        <v>9074</v>
      </c>
      <c r="E1239" s="68" t="s">
        <v>9075</v>
      </c>
      <c r="F1239" s="62"/>
      <c r="G1239" s="57" t="s">
        <v>9076</v>
      </c>
      <c r="H1239" s="57" t="s">
        <v>3792</v>
      </c>
      <c r="I1239" s="39"/>
      <c r="J1239" s="57" t="s">
        <v>3792</v>
      </c>
      <c r="K1239" s="57" t="s">
        <v>3792</v>
      </c>
    </row>
    <row r="1240" customFormat="false" ht="12.8" hidden="false" customHeight="false" outlineLevel="0" collapsed="false">
      <c r="F1240" s="0"/>
      <c r="G1240" s="57"/>
      <c r="H1240" s="57"/>
      <c r="I1240" s="1"/>
      <c r="J1240" s="57"/>
      <c r="K1240" s="57"/>
    </row>
    <row r="1241" customFormat="false" ht="12.8" hidden="false" customHeight="false" outlineLevel="0" collapsed="false">
      <c r="G1241" s="57"/>
      <c r="I1241" s="1"/>
      <c r="K1241" s="57"/>
    </row>
    <row r="1242" customFormat="false" ht="12.8" hidden="false" customHeight="false" outlineLevel="0" collapsed="false">
      <c r="G1242" s="57"/>
      <c r="I1242" s="1"/>
      <c r="K1242" s="57"/>
    </row>
    <row r="1243" customFormat="false" ht="12.8" hidden="false" customHeight="false" outlineLevel="0" collapsed="false">
      <c r="G1243" s="57"/>
      <c r="I1243" s="1"/>
      <c r="K1243" s="57"/>
    </row>
    <row r="1244" customFormat="false" ht="12.8" hidden="false" customHeight="false" outlineLevel="0" collapsed="false">
      <c r="G1244" s="57"/>
      <c r="I1244" s="1"/>
      <c r="K1244" s="57"/>
    </row>
    <row r="1245" customFormat="false" ht="12.8" hidden="false" customHeight="false" outlineLevel="0" collapsed="false">
      <c r="G1245" s="57"/>
      <c r="I1245" s="1"/>
      <c r="K1245" s="57"/>
    </row>
    <row r="1246" customFormat="false" ht="12.8" hidden="false" customHeight="false" outlineLevel="0" collapsed="false">
      <c r="G1246" s="57"/>
      <c r="I1246" s="1"/>
      <c r="K1246" s="57"/>
    </row>
    <row r="1247" customFormat="false" ht="12.8" hidden="false" customHeight="false" outlineLevel="0" collapsed="false">
      <c r="G1247" s="57"/>
      <c r="I1247" s="1"/>
      <c r="K1247" s="57"/>
    </row>
    <row r="1248" customFormat="false" ht="12.8" hidden="false" customHeight="false" outlineLevel="0" collapsed="false">
      <c r="G1248" s="57"/>
      <c r="I1248" s="1"/>
      <c r="K1248" s="57"/>
    </row>
    <row r="1249" customFormat="false" ht="12.8" hidden="false" customHeight="false" outlineLevel="0" collapsed="false">
      <c r="G1249" s="57"/>
      <c r="I1249" s="1"/>
      <c r="K1249" s="57"/>
    </row>
    <row r="1250" customFormat="false" ht="12.8" hidden="false" customHeight="false" outlineLevel="0" collapsed="false">
      <c r="G1250" s="57"/>
      <c r="I1250" s="1"/>
      <c r="K1250" s="57"/>
    </row>
    <row r="1251" customFormat="false" ht="12.8" hidden="false" customHeight="false" outlineLevel="0" collapsed="false">
      <c r="G1251" s="57"/>
      <c r="I1251" s="1"/>
      <c r="K1251" s="57"/>
    </row>
    <row r="1252" customFormat="false" ht="12.8" hidden="false" customHeight="false" outlineLevel="0" collapsed="false">
      <c r="G1252" s="57"/>
      <c r="I1252" s="1"/>
      <c r="K1252" s="57"/>
    </row>
    <row r="1253" customFormat="false" ht="12.8" hidden="false" customHeight="false" outlineLevel="0" collapsed="false">
      <c r="G1253" s="57"/>
      <c r="I1253" s="1"/>
      <c r="K1253" s="57"/>
    </row>
    <row r="1254" customFormat="false" ht="12.8" hidden="false" customHeight="false" outlineLevel="0" collapsed="false">
      <c r="G1254" s="57"/>
      <c r="I1254" s="1"/>
      <c r="K1254" s="57"/>
    </row>
    <row r="1255" customFormat="false" ht="12.8" hidden="false" customHeight="false" outlineLevel="0" collapsed="false">
      <c r="G1255" s="57"/>
      <c r="I1255" s="1"/>
      <c r="K1255" s="57"/>
    </row>
    <row r="1256" customFormat="false" ht="12.8" hidden="false" customHeight="false" outlineLevel="0" collapsed="false">
      <c r="G1256" s="57"/>
      <c r="I1256" s="1"/>
      <c r="K1256" s="57"/>
    </row>
    <row r="1257" customFormat="false" ht="12.8" hidden="false" customHeight="false" outlineLevel="0" collapsed="false">
      <c r="G1257" s="57"/>
      <c r="I1257" s="1"/>
      <c r="K1257" s="57"/>
    </row>
    <row r="1258" customFormat="false" ht="12.8" hidden="false" customHeight="false" outlineLevel="0" collapsed="false">
      <c r="G1258" s="57"/>
      <c r="I1258" s="1"/>
      <c r="K1258" s="57"/>
    </row>
    <row r="1259" customFormat="false" ht="12.8" hidden="false" customHeight="false" outlineLevel="0" collapsed="false">
      <c r="G1259" s="57"/>
      <c r="I1259" s="1"/>
      <c r="K1259" s="57"/>
    </row>
    <row r="1260" customFormat="false" ht="12.8" hidden="false" customHeight="false" outlineLevel="0" collapsed="false">
      <c r="G1260" s="57"/>
      <c r="I1260" s="1"/>
      <c r="K1260" s="57"/>
    </row>
    <row r="1261" customFormat="false" ht="12.8" hidden="false" customHeight="false" outlineLevel="0" collapsed="false">
      <c r="G1261" s="57"/>
      <c r="I1261" s="1"/>
      <c r="K1261" s="57"/>
    </row>
    <row r="1262" customFormat="false" ht="12.8" hidden="false" customHeight="false" outlineLevel="0" collapsed="false">
      <c r="G1262" s="57"/>
      <c r="I1262" s="1"/>
      <c r="K1262" s="57"/>
    </row>
    <row r="1263" customFormat="false" ht="12.8" hidden="false" customHeight="false" outlineLevel="0" collapsed="false">
      <c r="G1263" s="57"/>
      <c r="I1263" s="1"/>
      <c r="K1263" s="57"/>
    </row>
    <row r="1264" customFormat="false" ht="12.8" hidden="false" customHeight="false" outlineLevel="0" collapsed="false">
      <c r="G1264" s="57"/>
      <c r="I1264" s="1"/>
      <c r="K1264" s="57"/>
    </row>
    <row r="1265" customFormat="false" ht="12.8" hidden="false" customHeight="false" outlineLevel="0" collapsed="false">
      <c r="G1265" s="57"/>
      <c r="I1265" s="1"/>
      <c r="K1265" s="57"/>
    </row>
    <row r="1266" customFormat="false" ht="12.8" hidden="false" customHeight="false" outlineLevel="0" collapsed="false">
      <c r="G1266" s="57"/>
      <c r="I1266" s="1"/>
      <c r="K1266" s="57"/>
    </row>
    <row r="1267" customFormat="false" ht="12.8" hidden="false" customHeight="false" outlineLevel="0" collapsed="false">
      <c r="G1267" s="57"/>
      <c r="I1267" s="1"/>
      <c r="K1267" s="57"/>
    </row>
    <row r="1268" customFormat="false" ht="12.8" hidden="false" customHeight="false" outlineLevel="0" collapsed="false">
      <c r="G1268" s="57"/>
      <c r="I1268" s="1"/>
      <c r="K1268" s="57"/>
    </row>
    <row r="1269" customFormat="false" ht="12.8" hidden="false" customHeight="false" outlineLevel="0" collapsed="false">
      <c r="G1269" s="57"/>
      <c r="I1269" s="1"/>
      <c r="K1269" s="57"/>
    </row>
    <row r="1270" customFormat="false" ht="12.8" hidden="false" customHeight="false" outlineLevel="0" collapsed="false">
      <c r="G1270" s="57"/>
      <c r="I1270" s="1"/>
      <c r="K1270" s="57"/>
    </row>
    <row r="1271" customFormat="false" ht="12.8" hidden="false" customHeight="false" outlineLevel="0" collapsed="false">
      <c r="G1271" s="57"/>
      <c r="I1271" s="1"/>
      <c r="K1271" s="57"/>
    </row>
    <row r="1272" customFormat="false" ht="12.8" hidden="false" customHeight="false" outlineLevel="0" collapsed="false">
      <c r="G1272" s="57"/>
      <c r="I1272" s="1"/>
      <c r="K1272" s="57"/>
    </row>
    <row r="1273" customFormat="false" ht="12.8" hidden="false" customHeight="false" outlineLevel="0" collapsed="false">
      <c r="G1273" s="57"/>
      <c r="I1273" s="1"/>
      <c r="K1273" s="57"/>
    </row>
    <row r="1274" customFormat="false" ht="12.8" hidden="false" customHeight="false" outlineLevel="0" collapsed="false">
      <c r="G1274" s="57"/>
      <c r="I1274" s="1"/>
      <c r="K1274" s="57"/>
    </row>
    <row r="1275" customFormat="false" ht="12.8" hidden="false" customHeight="false" outlineLevel="0" collapsed="false">
      <c r="G1275" s="57"/>
      <c r="I1275" s="1"/>
      <c r="K1275" s="57"/>
    </row>
    <row r="1276" customFormat="false" ht="12.8" hidden="false" customHeight="false" outlineLevel="0" collapsed="false">
      <c r="G1276" s="57"/>
      <c r="I1276" s="1"/>
      <c r="K1276" s="57"/>
    </row>
    <row r="1277" customFormat="false" ht="12.8" hidden="false" customHeight="false" outlineLevel="0" collapsed="false">
      <c r="G1277" s="57"/>
      <c r="I1277" s="1"/>
      <c r="K1277" s="57"/>
    </row>
    <row r="1278" customFormat="false" ht="12.8" hidden="false" customHeight="false" outlineLevel="0" collapsed="false">
      <c r="G1278" s="57"/>
      <c r="I1278" s="1"/>
      <c r="K1278" s="57"/>
    </row>
    <row r="1279" customFormat="false" ht="12.8" hidden="false" customHeight="false" outlineLevel="0" collapsed="false">
      <c r="G1279" s="57"/>
      <c r="I1279" s="1"/>
      <c r="K1279" s="57"/>
    </row>
    <row r="1280" customFormat="false" ht="12.8" hidden="false" customHeight="false" outlineLevel="0" collapsed="false">
      <c r="G1280" s="57"/>
      <c r="I1280" s="1"/>
      <c r="K1280" s="57"/>
    </row>
    <row r="1281" customFormat="false" ht="12.8" hidden="false" customHeight="false" outlineLevel="0" collapsed="false">
      <c r="G1281" s="57"/>
      <c r="I1281" s="1"/>
      <c r="K1281" s="57"/>
    </row>
    <row r="1282" customFormat="false" ht="12.8" hidden="false" customHeight="false" outlineLevel="0" collapsed="false">
      <c r="G1282" s="57"/>
      <c r="I1282" s="1"/>
      <c r="K1282" s="57"/>
    </row>
    <row r="1283" customFormat="false" ht="12.8" hidden="false" customHeight="false" outlineLevel="0" collapsed="false">
      <c r="G1283" s="57"/>
      <c r="I1283" s="1"/>
      <c r="K1283" s="57"/>
    </row>
    <row r="1284" customFormat="false" ht="12.8" hidden="false" customHeight="false" outlineLevel="0" collapsed="false">
      <c r="G1284" s="57"/>
      <c r="I1284" s="1"/>
      <c r="K1284" s="57"/>
    </row>
    <row r="1285" customFormat="false" ht="12.8" hidden="false" customHeight="false" outlineLevel="0" collapsed="false">
      <c r="G1285" s="57"/>
      <c r="I1285" s="1"/>
      <c r="K1285" s="57"/>
    </row>
    <row r="1286" customFormat="false" ht="12.8" hidden="false" customHeight="false" outlineLevel="0" collapsed="false">
      <c r="G1286" s="57"/>
      <c r="I1286" s="1"/>
      <c r="K1286" s="57"/>
    </row>
    <row r="1287" customFormat="false" ht="12.8" hidden="false" customHeight="false" outlineLevel="0" collapsed="false">
      <c r="G1287" s="57"/>
      <c r="I1287" s="1"/>
      <c r="K1287" s="57"/>
    </row>
    <row r="1288" customFormat="false" ht="12.8" hidden="false" customHeight="false" outlineLevel="0" collapsed="false">
      <c r="G1288" s="57"/>
      <c r="I1288" s="1"/>
      <c r="K1288" s="57"/>
    </row>
    <row r="1289" customFormat="false" ht="12.8" hidden="false" customHeight="false" outlineLevel="0" collapsed="false">
      <c r="G1289" s="57"/>
      <c r="I1289" s="1"/>
      <c r="K1289" s="57"/>
    </row>
    <row r="1290" customFormat="false" ht="12.8" hidden="false" customHeight="false" outlineLevel="0" collapsed="false">
      <c r="G1290" s="57"/>
      <c r="I1290" s="1"/>
      <c r="K1290" s="57"/>
    </row>
    <row r="1291" customFormat="false" ht="12.8" hidden="false" customHeight="false" outlineLevel="0" collapsed="false">
      <c r="G1291" s="57"/>
      <c r="I1291" s="1"/>
      <c r="K1291" s="57"/>
    </row>
    <row r="1292" customFormat="false" ht="12.8" hidden="false" customHeight="false" outlineLevel="0" collapsed="false">
      <c r="G1292" s="57"/>
      <c r="I1292" s="1"/>
      <c r="K1292" s="57"/>
    </row>
    <row r="1293" customFormat="false" ht="12.8" hidden="false" customHeight="false" outlineLevel="0" collapsed="false">
      <c r="G1293" s="57"/>
      <c r="I1293" s="1"/>
      <c r="K1293" s="57"/>
    </row>
    <row r="1294" customFormat="false" ht="12.8" hidden="false" customHeight="false" outlineLevel="0" collapsed="false">
      <c r="G1294" s="57"/>
      <c r="I1294" s="1"/>
      <c r="K1294" s="57"/>
    </row>
    <row r="1295" customFormat="false" ht="12.8" hidden="false" customHeight="false" outlineLevel="0" collapsed="false">
      <c r="G1295" s="57"/>
      <c r="I1295" s="1"/>
      <c r="K1295" s="57"/>
    </row>
    <row r="1296" customFormat="false" ht="12.8" hidden="false" customHeight="false" outlineLevel="0" collapsed="false">
      <c r="G1296" s="57"/>
      <c r="I1296" s="1"/>
      <c r="K1296" s="57"/>
    </row>
    <row r="1297" customFormat="false" ht="12.8" hidden="false" customHeight="false" outlineLevel="0" collapsed="false">
      <c r="G1297" s="57"/>
      <c r="I1297" s="1"/>
      <c r="K1297" s="57"/>
    </row>
    <row r="1298" customFormat="false" ht="12.8" hidden="false" customHeight="false" outlineLevel="0" collapsed="false">
      <c r="I1298" s="1"/>
      <c r="K1298" s="57"/>
    </row>
    <row r="1299" customFormat="false" ht="12.8" hidden="false" customHeight="false" outlineLevel="0" collapsed="false">
      <c r="I1299" s="1"/>
      <c r="K1299" s="57"/>
    </row>
    <row r="1300" customFormat="false" ht="12.8" hidden="false" customHeight="false" outlineLevel="0" collapsed="false">
      <c r="I1300" s="1"/>
      <c r="K1300" s="57"/>
    </row>
    <row r="1301" customFormat="false" ht="12.8" hidden="false" customHeight="false" outlineLevel="0" collapsed="false">
      <c r="I1301" s="1"/>
      <c r="K1301" s="57"/>
    </row>
    <row r="1302" customFormat="false" ht="12.8" hidden="false" customHeight="false" outlineLevel="0" collapsed="false">
      <c r="I1302" s="1"/>
      <c r="K1302" s="57"/>
    </row>
    <row r="1303" customFormat="false" ht="12.8" hidden="false" customHeight="false" outlineLevel="0" collapsed="false">
      <c r="I1303" s="1"/>
      <c r="K1303" s="57"/>
    </row>
    <row r="1304" customFormat="false" ht="12.8" hidden="false" customHeight="false" outlineLevel="0" collapsed="false">
      <c r="I1304" s="1"/>
      <c r="K1304" s="57"/>
    </row>
    <row r="1305" customFormat="false" ht="12.8" hidden="false" customHeight="false" outlineLevel="0" collapsed="false">
      <c r="I1305" s="1"/>
      <c r="K1305" s="57"/>
    </row>
    <row r="1306" customFormat="false" ht="12.8" hidden="false" customHeight="false" outlineLevel="0" collapsed="false">
      <c r="I1306" s="1"/>
      <c r="K1306" s="57"/>
    </row>
    <row r="1307" customFormat="false" ht="12.8" hidden="false" customHeight="false" outlineLevel="0" collapsed="false">
      <c r="I1307" s="1"/>
      <c r="K1307" s="57"/>
    </row>
    <row r="1308" customFormat="false" ht="12.8" hidden="false" customHeight="false" outlineLevel="0" collapsed="false">
      <c r="I1308" s="1"/>
      <c r="K1308" s="57"/>
    </row>
    <row r="1309" customFormat="false" ht="12.8" hidden="false" customHeight="false" outlineLevel="0" collapsed="false">
      <c r="I1309" s="1"/>
      <c r="K1309" s="57"/>
    </row>
    <row r="1310" customFormat="false" ht="12.8" hidden="false" customHeight="false" outlineLevel="0" collapsed="false">
      <c r="I1310" s="1"/>
      <c r="K1310" s="57"/>
    </row>
    <row r="1311" customFormat="false" ht="12.8" hidden="false" customHeight="false" outlineLevel="0" collapsed="false">
      <c r="I1311" s="1"/>
      <c r="K1311" s="57"/>
    </row>
    <row r="1312" customFormat="false" ht="12.8" hidden="false" customHeight="false" outlineLevel="0" collapsed="false">
      <c r="I1312" s="1"/>
      <c r="K1312" s="57"/>
    </row>
    <row r="1313" customFormat="false" ht="12.8" hidden="false" customHeight="false" outlineLevel="0" collapsed="false">
      <c r="I1313" s="1"/>
      <c r="K1313" s="57"/>
    </row>
    <row r="1314" customFormat="false" ht="12.8" hidden="false" customHeight="false" outlineLevel="0" collapsed="false">
      <c r="I1314" s="1"/>
      <c r="K1314" s="57"/>
    </row>
    <row r="1315" customFormat="false" ht="12.8" hidden="false" customHeight="false" outlineLevel="0" collapsed="false">
      <c r="I1315" s="1"/>
      <c r="K1315" s="57"/>
    </row>
    <row r="1316" customFormat="false" ht="12.8" hidden="false" customHeight="false" outlineLevel="0" collapsed="false">
      <c r="I1316" s="1"/>
      <c r="K1316" s="57"/>
    </row>
    <row r="1317" customFormat="false" ht="12.8" hidden="false" customHeight="false" outlineLevel="0" collapsed="false">
      <c r="I1317" s="1"/>
      <c r="K1317" s="57"/>
    </row>
    <row r="1318" customFormat="false" ht="12.8" hidden="false" customHeight="false" outlineLevel="0" collapsed="false">
      <c r="I1318" s="1"/>
      <c r="K1318" s="57"/>
    </row>
    <row r="1319" customFormat="false" ht="12.8" hidden="false" customHeight="false" outlineLevel="0" collapsed="false">
      <c r="I1319" s="1"/>
      <c r="K1319" s="57"/>
    </row>
    <row r="1320" customFormat="false" ht="12.8" hidden="false" customHeight="false" outlineLevel="0" collapsed="false">
      <c r="I1320" s="1"/>
      <c r="K1320" s="57"/>
    </row>
    <row r="1321" customFormat="false" ht="12.8" hidden="false" customHeight="false" outlineLevel="0" collapsed="false">
      <c r="I1321" s="1"/>
      <c r="K1321" s="57"/>
    </row>
    <row r="1322" customFormat="false" ht="12.8" hidden="false" customHeight="false" outlineLevel="0" collapsed="false">
      <c r="I1322" s="1"/>
      <c r="K1322" s="57"/>
    </row>
    <row r="1323" customFormat="false" ht="12.8" hidden="false" customHeight="false" outlineLevel="0" collapsed="false">
      <c r="I1323" s="1"/>
      <c r="K1323" s="57"/>
    </row>
    <row r="1324" customFormat="false" ht="12.8" hidden="false" customHeight="false" outlineLevel="0" collapsed="false">
      <c r="I1324" s="1"/>
      <c r="K1324" s="57"/>
    </row>
    <row r="1325" customFormat="false" ht="12.8" hidden="false" customHeight="false" outlineLevel="0" collapsed="false">
      <c r="I1325" s="1"/>
      <c r="K1325" s="57"/>
    </row>
    <row r="1326" customFormat="false" ht="12.8" hidden="false" customHeight="false" outlineLevel="0" collapsed="false">
      <c r="I1326" s="1"/>
      <c r="K1326" s="57"/>
    </row>
    <row r="1327" customFormat="false" ht="12.8" hidden="false" customHeight="false" outlineLevel="0" collapsed="false">
      <c r="I1327" s="1"/>
      <c r="K1327" s="57"/>
    </row>
    <row r="1328" customFormat="false" ht="12.8" hidden="false" customHeight="false" outlineLevel="0" collapsed="false">
      <c r="I1328" s="1"/>
      <c r="K1328" s="57"/>
    </row>
    <row r="1329" customFormat="false" ht="12.8" hidden="false" customHeight="false" outlineLevel="0" collapsed="false">
      <c r="I1329" s="1"/>
      <c r="K1329" s="57"/>
    </row>
    <row r="1330" customFormat="false" ht="12.8" hidden="false" customHeight="false" outlineLevel="0" collapsed="false">
      <c r="I1330" s="1"/>
      <c r="K1330" s="57"/>
    </row>
    <row r="1331" customFormat="false" ht="12.8" hidden="false" customHeight="false" outlineLevel="0" collapsed="false">
      <c r="I1331" s="1"/>
      <c r="K1331" s="57"/>
    </row>
    <row r="1332" customFormat="false" ht="12.8" hidden="false" customHeight="false" outlineLevel="0" collapsed="false">
      <c r="I1332" s="1"/>
      <c r="K1332" s="57"/>
    </row>
    <row r="1333" customFormat="false" ht="12.8" hidden="false" customHeight="false" outlineLevel="0" collapsed="false">
      <c r="I1333" s="1"/>
      <c r="K1333" s="57"/>
    </row>
    <row r="1334" customFormat="false" ht="12.8" hidden="false" customHeight="false" outlineLevel="0" collapsed="false">
      <c r="I1334" s="1"/>
      <c r="K1334" s="57"/>
    </row>
    <row r="1335" customFormat="false" ht="12.8" hidden="false" customHeight="false" outlineLevel="0" collapsed="false">
      <c r="I1335" s="1"/>
      <c r="K1335" s="57"/>
    </row>
    <row r="1336" customFormat="false" ht="12.8" hidden="false" customHeight="false" outlineLevel="0" collapsed="false">
      <c r="I1336" s="1"/>
      <c r="K1336" s="57"/>
    </row>
    <row r="1337" customFormat="false" ht="12.8" hidden="false" customHeight="false" outlineLevel="0" collapsed="false">
      <c r="I1337" s="1"/>
      <c r="K1337" s="57"/>
    </row>
    <row r="1338" customFormat="false" ht="12.8" hidden="false" customHeight="false" outlineLevel="0" collapsed="false">
      <c r="I1338" s="1"/>
      <c r="K1338" s="57"/>
    </row>
    <row r="1339" customFormat="false" ht="12.8" hidden="false" customHeight="false" outlineLevel="0" collapsed="false">
      <c r="I1339" s="1"/>
      <c r="K1339" s="57"/>
    </row>
    <row r="1340" customFormat="false" ht="12.8" hidden="false" customHeight="false" outlineLevel="0" collapsed="false">
      <c r="I1340" s="1"/>
      <c r="K1340" s="57"/>
    </row>
    <row r="1341" customFormat="false" ht="12.8" hidden="false" customHeight="false" outlineLevel="0" collapsed="false">
      <c r="I1341" s="1"/>
      <c r="K1341" s="57"/>
    </row>
    <row r="1342" customFormat="false" ht="12.8" hidden="false" customHeight="false" outlineLevel="0" collapsed="false">
      <c r="I1342" s="1"/>
      <c r="K1342" s="57"/>
    </row>
    <row r="1343" customFormat="false" ht="12.8" hidden="false" customHeight="false" outlineLevel="0" collapsed="false">
      <c r="I1343" s="1"/>
      <c r="K1343" s="57"/>
    </row>
    <row r="1344" customFormat="false" ht="12.8" hidden="false" customHeight="false" outlineLevel="0" collapsed="false">
      <c r="I1344" s="1"/>
      <c r="K1344" s="57"/>
    </row>
    <row r="1345" customFormat="false" ht="12.8" hidden="false" customHeight="false" outlineLevel="0" collapsed="false">
      <c r="I1345" s="1"/>
      <c r="K1345" s="57"/>
    </row>
    <row r="1346" customFormat="false" ht="12.8" hidden="false" customHeight="false" outlineLevel="0" collapsed="false">
      <c r="I1346" s="1"/>
      <c r="K1346" s="57"/>
    </row>
    <row r="1347" customFormat="false" ht="12.8" hidden="false" customHeight="false" outlineLevel="0" collapsed="false">
      <c r="I1347" s="1"/>
      <c r="K1347" s="57"/>
    </row>
    <row r="1348" customFormat="false" ht="12.8" hidden="false" customHeight="false" outlineLevel="0" collapsed="false">
      <c r="I1348" s="1"/>
      <c r="K1348" s="57"/>
    </row>
    <row r="1349" customFormat="false" ht="12.8" hidden="false" customHeight="false" outlineLevel="0" collapsed="false">
      <c r="I1349" s="1"/>
      <c r="K1349" s="57"/>
    </row>
    <row r="1350" customFormat="false" ht="12.8" hidden="false" customHeight="false" outlineLevel="0" collapsed="false">
      <c r="I1350" s="1"/>
      <c r="K1350" s="57"/>
    </row>
    <row r="1351" customFormat="false" ht="12.8" hidden="false" customHeight="false" outlineLevel="0" collapsed="false">
      <c r="I1351" s="1"/>
      <c r="K1351" s="57"/>
    </row>
    <row r="1352" customFormat="false" ht="12.8" hidden="false" customHeight="false" outlineLevel="0" collapsed="false">
      <c r="I1352" s="1"/>
      <c r="K1352" s="57"/>
    </row>
    <row r="1353" customFormat="false" ht="12.8" hidden="false" customHeight="false" outlineLevel="0" collapsed="false">
      <c r="I1353" s="1"/>
      <c r="K1353" s="57"/>
    </row>
    <row r="1354" customFormat="false" ht="12.8" hidden="false" customHeight="false" outlineLevel="0" collapsed="false">
      <c r="I1354" s="1"/>
      <c r="K1354" s="57"/>
    </row>
    <row r="1355" customFormat="false" ht="12.8" hidden="false" customHeight="false" outlineLevel="0" collapsed="false">
      <c r="I1355" s="1"/>
      <c r="K1355" s="57"/>
    </row>
    <row r="1356" customFormat="false" ht="12.8" hidden="false" customHeight="false" outlineLevel="0" collapsed="false">
      <c r="I1356" s="1"/>
      <c r="K1356" s="57"/>
    </row>
    <row r="1357" customFormat="false" ht="12.8" hidden="false" customHeight="false" outlineLevel="0" collapsed="false">
      <c r="I1357" s="1"/>
      <c r="K1357" s="57"/>
    </row>
    <row r="1358" customFormat="false" ht="12.8" hidden="false" customHeight="false" outlineLevel="0" collapsed="false">
      <c r="I1358" s="1"/>
      <c r="K1358" s="57"/>
    </row>
    <row r="1359" customFormat="false" ht="12.8" hidden="false" customHeight="false" outlineLevel="0" collapsed="false">
      <c r="I1359" s="1"/>
      <c r="K1359" s="57"/>
    </row>
    <row r="1360" customFormat="false" ht="12.8" hidden="false" customHeight="false" outlineLevel="0" collapsed="false">
      <c r="I1360" s="1"/>
      <c r="K1360" s="57"/>
    </row>
    <row r="1361" customFormat="false" ht="12.8" hidden="false" customHeight="false" outlineLevel="0" collapsed="false">
      <c r="I1361" s="1"/>
      <c r="K1361" s="57"/>
    </row>
    <row r="1362" customFormat="false" ht="12.8" hidden="false" customHeight="false" outlineLevel="0" collapsed="false">
      <c r="I1362" s="1"/>
      <c r="K1362" s="57"/>
    </row>
    <row r="1363" customFormat="false" ht="12.8" hidden="false" customHeight="false" outlineLevel="0" collapsed="false">
      <c r="I1363" s="1"/>
      <c r="K1363" s="57"/>
    </row>
    <row r="1364" customFormat="false" ht="12.8" hidden="false" customHeight="false" outlineLevel="0" collapsed="false">
      <c r="I1364" s="1"/>
      <c r="K1364" s="57"/>
    </row>
    <row r="1365" customFormat="false" ht="12.8" hidden="false" customHeight="false" outlineLevel="0" collapsed="false">
      <c r="I1365" s="1"/>
      <c r="K1365" s="57"/>
    </row>
    <row r="1366" customFormat="false" ht="12.8" hidden="false" customHeight="false" outlineLevel="0" collapsed="false">
      <c r="I1366" s="1"/>
      <c r="K1366" s="57"/>
    </row>
    <row r="1367" customFormat="false" ht="12.8" hidden="false" customHeight="false" outlineLevel="0" collapsed="false">
      <c r="I1367" s="1"/>
      <c r="K1367" s="57"/>
    </row>
    <row r="1368" customFormat="false" ht="12.8" hidden="false" customHeight="false" outlineLevel="0" collapsed="false">
      <c r="I1368" s="1"/>
      <c r="K1368" s="57"/>
    </row>
    <row r="1369" customFormat="false" ht="12.8" hidden="false" customHeight="false" outlineLevel="0" collapsed="false">
      <c r="I1369" s="1"/>
      <c r="K1369" s="57"/>
    </row>
    <row r="1370" customFormat="false" ht="12.8" hidden="false" customHeight="false" outlineLevel="0" collapsed="false">
      <c r="I1370" s="1"/>
      <c r="K1370" s="57"/>
    </row>
    <row r="1371" customFormat="false" ht="12.8" hidden="false" customHeight="false" outlineLevel="0" collapsed="false">
      <c r="I1371" s="1"/>
      <c r="K1371" s="57"/>
    </row>
    <row r="1372" customFormat="false" ht="12.8" hidden="false" customHeight="false" outlineLevel="0" collapsed="false">
      <c r="I1372" s="1"/>
      <c r="K1372" s="57"/>
    </row>
    <row r="1373" customFormat="false" ht="12.8" hidden="false" customHeight="false" outlineLevel="0" collapsed="false">
      <c r="I1373" s="1"/>
      <c r="K1373" s="57"/>
    </row>
    <row r="1374" customFormat="false" ht="12.8" hidden="false" customHeight="false" outlineLevel="0" collapsed="false">
      <c r="I1374" s="1"/>
      <c r="K1374" s="57"/>
    </row>
    <row r="1375" customFormat="false" ht="12.8" hidden="false" customHeight="false" outlineLevel="0" collapsed="false">
      <c r="I1375" s="1"/>
      <c r="K1375" s="57"/>
    </row>
    <row r="1376" customFormat="false" ht="12.8" hidden="false" customHeight="false" outlineLevel="0" collapsed="false">
      <c r="I1376" s="1"/>
      <c r="K1376" s="57"/>
    </row>
    <row r="1377" customFormat="false" ht="12.8" hidden="false" customHeight="false" outlineLevel="0" collapsed="false">
      <c r="I1377" s="1"/>
      <c r="K1377" s="60"/>
    </row>
    <row r="1378" customFormat="false" ht="12.8" hidden="false" customHeight="false" outlineLevel="0" collapsed="false">
      <c r="I1378" s="1"/>
    </row>
    <row r="1379" customFormat="false" ht="12.8" hidden="false" customHeight="false" outlineLevel="0" collapsed="false">
      <c r="I1379" s="1"/>
    </row>
    <row r="1380" customFormat="false" ht="12.8" hidden="false" customHeight="false" outlineLevel="0" collapsed="false">
      <c r="I1380" s="1"/>
    </row>
    <row r="1381" customFormat="false" ht="12.8" hidden="false" customHeight="false" outlineLevel="0" collapsed="false">
      <c r="I1381" s="1"/>
    </row>
    <row r="1382" customFormat="false" ht="12.8" hidden="false" customHeight="false" outlineLevel="0" collapsed="false">
      <c r="I1382" s="1"/>
    </row>
    <row r="1383" customFormat="false" ht="12.8" hidden="false" customHeight="false" outlineLevel="0" collapsed="false">
      <c r="I1383" s="1"/>
    </row>
    <row r="1384" customFormat="false" ht="12.8" hidden="false" customHeight="false" outlineLevel="0" collapsed="false">
      <c r="I1384" s="1"/>
    </row>
    <row r="1385" customFormat="false" ht="12.8" hidden="false" customHeight="false" outlineLevel="0" collapsed="false">
      <c r="I1385" s="1"/>
    </row>
    <row r="1386" customFormat="false" ht="12.8" hidden="false" customHeight="false" outlineLevel="0" collapsed="false">
      <c r="I1386" s="1"/>
    </row>
    <row r="1387" customFormat="false" ht="12.8" hidden="false" customHeight="false" outlineLevel="0" collapsed="false">
      <c r="I1387" s="1"/>
    </row>
    <row r="1388" customFormat="false" ht="12.8" hidden="false" customHeight="false" outlineLevel="0" collapsed="false">
      <c r="I1388" s="1"/>
    </row>
    <row r="1389" customFormat="false" ht="12.8" hidden="false" customHeight="false" outlineLevel="0" collapsed="false">
      <c r="I1389" s="1"/>
    </row>
    <row r="1390" customFormat="false" ht="12.8" hidden="false" customHeight="false" outlineLevel="0" collapsed="false">
      <c r="I1390" s="1"/>
    </row>
    <row r="1391" customFormat="false" ht="12.8" hidden="false" customHeight="false" outlineLevel="0" collapsed="false">
      <c r="I1391" s="1"/>
    </row>
    <row r="1392" customFormat="false" ht="12.8" hidden="false" customHeight="false" outlineLevel="0" collapsed="false">
      <c r="I1392" s="1"/>
    </row>
    <row r="1393" customFormat="false" ht="12.8" hidden="false" customHeight="false" outlineLevel="0" collapsed="false">
      <c r="I1393" s="1"/>
    </row>
    <row r="1394" customFormat="false" ht="12.8" hidden="false" customHeight="false" outlineLevel="0" collapsed="false">
      <c r="I1394" s="1"/>
    </row>
    <row r="1395" customFormat="false" ht="12.8" hidden="false" customHeight="false" outlineLevel="0" collapsed="false">
      <c r="I1395" s="1"/>
    </row>
    <row r="1396" customFormat="false" ht="12.8" hidden="false" customHeight="false" outlineLevel="0" collapsed="false">
      <c r="I1396" s="1"/>
    </row>
    <row r="1397" customFormat="false" ht="12.8" hidden="false" customHeight="false" outlineLevel="0" collapsed="false">
      <c r="I1397" s="1"/>
    </row>
    <row r="1398" customFormat="false" ht="12.8" hidden="false" customHeight="false" outlineLevel="0" collapsed="false">
      <c r="I1398" s="1"/>
    </row>
    <row r="1399" customFormat="false" ht="12.8" hidden="false" customHeight="false" outlineLevel="0" collapsed="false">
      <c r="I1399" s="1"/>
    </row>
    <row r="1400" customFormat="false" ht="12.8" hidden="false" customHeight="false" outlineLevel="0" collapsed="false">
      <c r="I1400" s="1"/>
    </row>
    <row r="1401" customFormat="false" ht="12.8" hidden="false" customHeight="false" outlineLevel="0" collapsed="false">
      <c r="I1401" s="1"/>
    </row>
    <row r="1402" customFormat="false" ht="12.8" hidden="false" customHeight="false" outlineLevel="0" collapsed="false">
      <c r="I1402" s="1"/>
    </row>
    <row r="1403" customFormat="false" ht="12.8" hidden="false" customHeight="false" outlineLevel="0" collapsed="false">
      <c r="I1403" s="1"/>
    </row>
    <row r="1404" customFormat="false" ht="12.8" hidden="false" customHeight="false" outlineLevel="0" collapsed="false">
      <c r="I1404" s="1"/>
    </row>
    <row r="1405" customFormat="false" ht="12.8" hidden="false" customHeight="false" outlineLevel="0" collapsed="false">
      <c r="I1405" s="1"/>
    </row>
    <row r="1406" customFormat="false" ht="12.8" hidden="false" customHeight="false" outlineLevel="0" collapsed="false">
      <c r="I1406" s="1"/>
    </row>
    <row r="1407" customFormat="false" ht="12.8" hidden="false" customHeight="false" outlineLevel="0" collapsed="false">
      <c r="I1407" s="1"/>
    </row>
    <row r="1408" customFormat="false" ht="12.8" hidden="false" customHeight="false" outlineLevel="0" collapsed="false">
      <c r="I1408" s="1"/>
    </row>
    <row r="1409" customFormat="false" ht="12.8" hidden="false" customHeight="false" outlineLevel="0" collapsed="false">
      <c r="I1409" s="1"/>
    </row>
    <row r="1410" customFormat="false" ht="12.8" hidden="false" customHeight="false" outlineLevel="0" collapsed="false">
      <c r="I1410" s="1"/>
    </row>
    <row r="1411" customFormat="false" ht="12.8" hidden="false" customHeight="false" outlineLevel="0" collapsed="false">
      <c r="I1411" s="1"/>
    </row>
    <row r="1412" customFormat="false" ht="12.8" hidden="false" customHeight="false" outlineLevel="0" collapsed="false">
      <c r="I1412" s="1"/>
    </row>
    <row r="1413" customFormat="false" ht="12.8" hidden="false" customHeight="false" outlineLevel="0" collapsed="false">
      <c r="I1413" s="1"/>
    </row>
    <row r="1414" customFormat="false" ht="12.8" hidden="false" customHeight="false" outlineLevel="0" collapsed="false">
      <c r="I1414" s="1"/>
    </row>
    <row r="1415" customFormat="false" ht="12.8" hidden="false" customHeight="false" outlineLevel="0" collapsed="false">
      <c r="I1415" s="1"/>
    </row>
    <row r="1416" customFormat="false" ht="12.8" hidden="false" customHeight="false" outlineLevel="0" collapsed="false">
      <c r="I1416" s="1"/>
    </row>
    <row r="1417" customFormat="false" ht="12.8" hidden="false" customHeight="false" outlineLevel="0" collapsed="false">
      <c r="I1417" s="1"/>
    </row>
    <row r="1418" customFormat="false" ht="12.8" hidden="false" customHeight="false" outlineLevel="0" collapsed="false">
      <c r="I1418" s="1"/>
    </row>
    <row r="1419" customFormat="false" ht="12.8" hidden="false" customHeight="false" outlineLevel="0" collapsed="false">
      <c r="I1419" s="1"/>
    </row>
    <row r="1420" customFormat="false" ht="12.8" hidden="false" customHeight="false" outlineLevel="0" collapsed="false">
      <c r="I1420" s="1"/>
    </row>
    <row r="1421" customFormat="false" ht="12.8" hidden="false" customHeight="false" outlineLevel="0" collapsed="false">
      <c r="I1421" s="1"/>
    </row>
    <row r="1422" customFormat="false" ht="12.8" hidden="false" customHeight="false" outlineLevel="0" collapsed="false">
      <c r="I1422" s="1"/>
    </row>
    <row r="1423" customFormat="false" ht="12.8" hidden="false" customHeight="false" outlineLevel="0" collapsed="false">
      <c r="I1423" s="1"/>
    </row>
    <row r="1424" customFormat="false" ht="12.8" hidden="false" customHeight="false" outlineLevel="0" collapsed="false">
      <c r="I1424" s="1"/>
    </row>
    <row r="1425" customFormat="false" ht="12.8" hidden="false" customHeight="false" outlineLevel="0" collapsed="false">
      <c r="I1425" s="1"/>
    </row>
    <row r="1426" customFormat="false" ht="12.8" hidden="false" customHeight="false" outlineLevel="0" collapsed="false">
      <c r="I1426" s="1"/>
    </row>
    <row r="1427" customFormat="false" ht="12.8" hidden="false" customHeight="false" outlineLevel="0" collapsed="false">
      <c r="I1427" s="1"/>
    </row>
    <row r="1428" customFormat="false" ht="12.8" hidden="false" customHeight="false" outlineLevel="0" collapsed="false">
      <c r="I1428" s="1"/>
    </row>
    <row r="1429" customFormat="false" ht="12.8" hidden="false" customHeight="false" outlineLevel="0" collapsed="false">
      <c r="I1429" s="1"/>
    </row>
    <row r="1430" customFormat="false" ht="12.8" hidden="false" customHeight="false" outlineLevel="0" collapsed="false">
      <c r="I1430" s="1"/>
    </row>
    <row r="1431" customFormat="false" ht="12.8" hidden="false" customHeight="false" outlineLevel="0" collapsed="false">
      <c r="I1431" s="1"/>
    </row>
    <row r="1432" customFormat="false" ht="12.8" hidden="false" customHeight="false" outlineLevel="0" collapsed="false">
      <c r="I1432" s="1"/>
    </row>
    <row r="1433" customFormat="false" ht="12.8" hidden="false" customHeight="false" outlineLevel="0" collapsed="false">
      <c r="I1433" s="1"/>
    </row>
    <row r="1434" customFormat="false" ht="12.8" hidden="false" customHeight="false" outlineLevel="0" collapsed="false">
      <c r="I1434" s="1"/>
    </row>
    <row r="1435" customFormat="false" ht="12.8" hidden="false" customHeight="false" outlineLevel="0" collapsed="false">
      <c r="I1435" s="1"/>
    </row>
    <row r="1436" customFormat="false" ht="12.8" hidden="false" customHeight="false" outlineLevel="0" collapsed="false">
      <c r="I1436" s="1"/>
    </row>
    <row r="1437" customFormat="false" ht="12.8" hidden="false" customHeight="false" outlineLevel="0" collapsed="false">
      <c r="I1437" s="1"/>
    </row>
    <row r="1438" customFormat="false" ht="12.8" hidden="false" customHeight="false" outlineLevel="0" collapsed="false">
      <c r="I1438" s="1"/>
    </row>
    <row r="1439" customFormat="false" ht="12.8" hidden="false" customHeight="false" outlineLevel="0" collapsed="false">
      <c r="I1439" s="1"/>
    </row>
    <row r="1440" customFormat="false" ht="12.8" hidden="false" customHeight="false" outlineLevel="0" collapsed="false">
      <c r="I1440" s="1"/>
    </row>
    <row r="1441" customFormat="false" ht="12.8" hidden="false" customHeight="false" outlineLevel="0" collapsed="false">
      <c r="I1441" s="1"/>
    </row>
    <row r="1442" customFormat="false" ht="12.8" hidden="false" customHeight="false" outlineLevel="0" collapsed="false">
      <c r="I1442" s="1"/>
    </row>
    <row r="1443" customFormat="false" ht="12.8" hidden="false" customHeight="false" outlineLevel="0" collapsed="false">
      <c r="I1443" s="1"/>
    </row>
    <row r="1444" customFormat="false" ht="12.8" hidden="false" customHeight="false" outlineLevel="0" collapsed="false">
      <c r="I1444" s="1"/>
    </row>
    <row r="1445" customFormat="false" ht="12.8" hidden="false" customHeight="false" outlineLevel="0" collapsed="false">
      <c r="I1445" s="1"/>
    </row>
    <row r="1446" customFormat="false" ht="12.8" hidden="false" customHeight="false" outlineLevel="0" collapsed="false">
      <c r="I1446" s="1"/>
    </row>
    <row r="1447" customFormat="false" ht="12.8" hidden="false" customHeight="false" outlineLevel="0" collapsed="false">
      <c r="I1447" s="1"/>
    </row>
    <row r="1448" customFormat="false" ht="12.8" hidden="false" customHeight="false" outlineLevel="0" collapsed="false">
      <c r="I1448" s="1"/>
    </row>
    <row r="1449" customFormat="false" ht="12.8" hidden="false" customHeight="false" outlineLevel="0" collapsed="false">
      <c r="I1449" s="1"/>
    </row>
    <row r="1450" customFormat="false" ht="12.8" hidden="false" customHeight="false" outlineLevel="0" collapsed="false">
      <c r="I1450" s="1"/>
    </row>
    <row r="1451" customFormat="false" ht="12.8" hidden="false" customHeight="false" outlineLevel="0" collapsed="false">
      <c r="I1451" s="1"/>
    </row>
    <row r="1452" customFormat="false" ht="12.8" hidden="false" customHeight="false" outlineLevel="0" collapsed="false">
      <c r="I1452" s="1"/>
    </row>
    <row r="1453" customFormat="false" ht="12.8" hidden="false" customHeight="false" outlineLevel="0" collapsed="false">
      <c r="I1453" s="1"/>
    </row>
    <row r="1454" customFormat="false" ht="12.8" hidden="false" customHeight="false" outlineLevel="0" collapsed="false">
      <c r="I1454" s="1"/>
    </row>
    <row r="1455" customFormat="false" ht="12.8" hidden="false" customHeight="false" outlineLevel="0" collapsed="false">
      <c r="I1455" s="1"/>
    </row>
    <row r="1456" customFormat="false" ht="12.8" hidden="false" customHeight="false" outlineLevel="0" collapsed="false">
      <c r="I1456" s="1"/>
    </row>
    <row r="1457" customFormat="false" ht="12.8" hidden="false" customHeight="false" outlineLevel="0" collapsed="false">
      <c r="I1457" s="1"/>
    </row>
    <row r="1458" customFormat="false" ht="12.8" hidden="false" customHeight="false" outlineLevel="0" collapsed="false">
      <c r="I1458" s="1"/>
    </row>
    <row r="1459" customFormat="false" ht="12.8" hidden="false" customHeight="false" outlineLevel="0" collapsed="false">
      <c r="I1459" s="1"/>
    </row>
    <row r="1460" customFormat="false" ht="12.8" hidden="false" customHeight="false" outlineLevel="0" collapsed="false">
      <c r="I1460" s="1"/>
    </row>
    <row r="1461" customFormat="false" ht="12.8" hidden="false" customHeight="false" outlineLevel="0" collapsed="false">
      <c r="I1461" s="1"/>
    </row>
    <row r="1462" customFormat="false" ht="12.8" hidden="false" customHeight="false" outlineLevel="0" collapsed="false">
      <c r="I1462" s="1"/>
    </row>
    <row r="1463" customFormat="false" ht="12.8" hidden="false" customHeight="false" outlineLevel="0" collapsed="false">
      <c r="I1463" s="1"/>
    </row>
    <row r="1464" customFormat="false" ht="12.8" hidden="false" customHeight="false" outlineLevel="0" collapsed="false">
      <c r="I1464" s="1"/>
    </row>
    <row r="1465" customFormat="false" ht="12.8" hidden="false" customHeight="false" outlineLevel="0" collapsed="false">
      <c r="I1465" s="1"/>
    </row>
    <row r="1466" customFormat="false" ht="12.8" hidden="false" customHeight="false" outlineLevel="0" collapsed="false">
      <c r="I1466" s="1"/>
    </row>
    <row r="1467" customFormat="false" ht="12.8" hidden="false" customHeight="false" outlineLevel="0" collapsed="false">
      <c r="I1467" s="1"/>
    </row>
    <row r="1468" customFormat="false" ht="12.8" hidden="false" customHeight="false" outlineLevel="0" collapsed="false">
      <c r="I1468" s="1"/>
    </row>
    <row r="1469" customFormat="false" ht="12.8" hidden="false" customHeight="false" outlineLevel="0" collapsed="false">
      <c r="I1469" s="1"/>
    </row>
    <row r="1470" customFormat="false" ht="12.8" hidden="false" customHeight="false" outlineLevel="0" collapsed="false">
      <c r="I1470" s="1"/>
    </row>
    <row r="1471" customFormat="false" ht="12.8" hidden="false" customHeight="false" outlineLevel="0" collapsed="false">
      <c r="I1471" s="1"/>
    </row>
    <row r="1472" customFormat="false" ht="12.8" hidden="false" customHeight="false" outlineLevel="0" collapsed="false">
      <c r="I1472" s="1"/>
    </row>
    <row r="1473" customFormat="false" ht="12.8" hidden="false" customHeight="false" outlineLevel="0" collapsed="false">
      <c r="I1473" s="1"/>
    </row>
    <row r="1474" customFormat="false" ht="12.8" hidden="false" customHeight="false" outlineLevel="0" collapsed="false">
      <c r="I1474" s="1"/>
    </row>
    <row r="1475" customFormat="false" ht="12.8" hidden="false" customHeight="false" outlineLevel="0" collapsed="false">
      <c r="I1475" s="1"/>
    </row>
    <row r="1476" customFormat="false" ht="12.8" hidden="false" customHeight="false" outlineLevel="0" collapsed="false">
      <c r="I1476" s="1"/>
    </row>
    <row r="1477" customFormat="false" ht="12.8" hidden="false" customHeight="false" outlineLevel="0" collapsed="false">
      <c r="I1477" s="1"/>
    </row>
    <row r="1478" customFormat="false" ht="12.8" hidden="false" customHeight="false" outlineLevel="0" collapsed="false">
      <c r="I1478" s="1"/>
    </row>
    <row r="1479" customFormat="false" ht="12.8" hidden="false" customHeight="false" outlineLevel="0" collapsed="false">
      <c r="I1479" s="1"/>
    </row>
    <row r="1480" customFormat="false" ht="12.8" hidden="false" customHeight="false" outlineLevel="0" collapsed="false">
      <c r="I1480" s="1"/>
    </row>
    <row r="1481" customFormat="false" ht="12.8" hidden="false" customHeight="false" outlineLevel="0" collapsed="false">
      <c r="I1481" s="1"/>
    </row>
    <row r="1482" customFormat="false" ht="12.8" hidden="false" customHeight="false" outlineLevel="0" collapsed="false">
      <c r="I1482" s="1"/>
    </row>
    <row r="1483" customFormat="false" ht="12.8" hidden="false" customHeight="false" outlineLevel="0" collapsed="false">
      <c r="I1483" s="1"/>
    </row>
    <row r="1484" customFormat="false" ht="12.8" hidden="false" customHeight="false" outlineLevel="0" collapsed="false">
      <c r="I1484" s="1"/>
    </row>
    <row r="1485" customFormat="false" ht="12.8" hidden="false" customHeight="false" outlineLevel="0" collapsed="false">
      <c r="I1485" s="1"/>
    </row>
    <row r="1486" customFormat="false" ht="12.8" hidden="false" customHeight="false" outlineLevel="0" collapsed="false">
      <c r="I1486" s="1"/>
    </row>
    <row r="1487" customFormat="false" ht="12.8" hidden="false" customHeight="false" outlineLevel="0" collapsed="false">
      <c r="I1487" s="1"/>
    </row>
    <row r="1488" customFormat="false" ht="12.8" hidden="false" customHeight="false" outlineLevel="0" collapsed="false">
      <c r="I1488" s="1"/>
    </row>
    <row r="1489" customFormat="false" ht="12.8" hidden="false" customHeight="false" outlineLevel="0" collapsed="false">
      <c r="I1489" s="1"/>
    </row>
    <row r="1490" customFormat="false" ht="12.8" hidden="false" customHeight="false" outlineLevel="0" collapsed="false">
      <c r="I1490" s="1"/>
    </row>
    <row r="1491" customFormat="false" ht="12.8" hidden="false" customHeight="false" outlineLevel="0" collapsed="false">
      <c r="I1491" s="1"/>
    </row>
    <row r="1492" customFormat="false" ht="12.8" hidden="false" customHeight="false" outlineLevel="0" collapsed="false">
      <c r="I1492" s="1"/>
    </row>
    <row r="1493" customFormat="false" ht="12.8" hidden="false" customHeight="false" outlineLevel="0" collapsed="false">
      <c r="I1493" s="1"/>
    </row>
    <row r="1494" customFormat="false" ht="12.8" hidden="false" customHeight="false" outlineLevel="0" collapsed="false">
      <c r="I1494" s="1"/>
    </row>
    <row r="1495" customFormat="false" ht="12.8" hidden="false" customHeight="false" outlineLevel="0" collapsed="false">
      <c r="I1495" s="1"/>
    </row>
    <row r="1496" customFormat="false" ht="12.8" hidden="false" customHeight="false" outlineLevel="0" collapsed="false">
      <c r="I1496" s="1"/>
    </row>
    <row r="1497" customFormat="false" ht="12.8" hidden="false" customHeight="false" outlineLevel="0" collapsed="false">
      <c r="I1497" s="1"/>
    </row>
    <row r="1498" customFormat="false" ht="12.8" hidden="false" customHeight="false" outlineLevel="0" collapsed="false">
      <c r="I1498" s="1"/>
    </row>
    <row r="1499" customFormat="false" ht="12.8" hidden="false" customHeight="false" outlineLevel="0" collapsed="false">
      <c r="I1499" s="1"/>
    </row>
    <row r="1500" customFormat="false" ht="12.8" hidden="false" customHeight="false" outlineLevel="0" collapsed="false">
      <c r="I1500" s="1"/>
    </row>
    <row r="1501" customFormat="false" ht="12.8" hidden="false" customHeight="false" outlineLevel="0" collapsed="false">
      <c r="I1501" s="1"/>
    </row>
    <row r="1502" customFormat="false" ht="12.8" hidden="false" customHeight="false" outlineLevel="0" collapsed="false">
      <c r="I1502" s="1"/>
    </row>
    <row r="1503" customFormat="false" ht="12.8" hidden="false" customHeight="false" outlineLevel="0" collapsed="false">
      <c r="I1503" s="1"/>
    </row>
    <row r="1504" customFormat="false" ht="12.8" hidden="false" customHeight="false" outlineLevel="0" collapsed="false">
      <c r="I1504" s="1"/>
    </row>
    <row r="1505" customFormat="false" ht="12.8" hidden="false" customHeight="false" outlineLevel="0" collapsed="false">
      <c r="I1505" s="1"/>
    </row>
    <row r="1506" customFormat="false" ht="12.8" hidden="false" customHeight="false" outlineLevel="0" collapsed="false">
      <c r="I1506" s="1"/>
    </row>
    <row r="1507" customFormat="false" ht="12.8" hidden="false" customHeight="false" outlineLevel="0" collapsed="false">
      <c r="I1507" s="1"/>
    </row>
    <row r="1508" customFormat="false" ht="12.8" hidden="false" customHeight="false" outlineLevel="0" collapsed="false">
      <c r="I1508" s="1"/>
    </row>
    <row r="1509" customFormat="false" ht="12.8" hidden="false" customHeight="false" outlineLevel="0" collapsed="false">
      <c r="I1509" s="1"/>
    </row>
    <row r="1510" customFormat="false" ht="12.8" hidden="false" customHeight="false" outlineLevel="0" collapsed="false">
      <c r="I1510" s="1"/>
    </row>
    <row r="1511" customFormat="false" ht="12.8" hidden="false" customHeight="false" outlineLevel="0" collapsed="false">
      <c r="I1511" s="1"/>
    </row>
    <row r="1512" customFormat="false" ht="12.8" hidden="false" customHeight="false" outlineLevel="0" collapsed="false">
      <c r="I1512" s="1"/>
    </row>
    <row r="1513" customFormat="false" ht="12.8" hidden="false" customHeight="false" outlineLevel="0" collapsed="false">
      <c r="I1513" s="1"/>
    </row>
    <row r="1514" customFormat="false" ht="12.8" hidden="false" customHeight="false" outlineLevel="0" collapsed="false">
      <c r="I1514" s="1"/>
    </row>
    <row r="1515" customFormat="false" ht="12.8" hidden="false" customHeight="false" outlineLevel="0" collapsed="false">
      <c r="I1515" s="1"/>
    </row>
    <row r="1516" customFormat="false" ht="12.8" hidden="false" customHeight="false" outlineLevel="0" collapsed="false">
      <c r="I1516" s="1"/>
    </row>
    <row r="1517" customFormat="false" ht="12.8" hidden="false" customHeight="false" outlineLevel="0" collapsed="false">
      <c r="I1517" s="1"/>
    </row>
    <row r="1518" customFormat="false" ht="12.8" hidden="false" customHeight="false" outlineLevel="0" collapsed="false">
      <c r="I1518" s="1"/>
    </row>
    <row r="1519" customFormat="false" ht="12.8" hidden="false" customHeight="false" outlineLevel="0" collapsed="false">
      <c r="I1519" s="1"/>
    </row>
    <row r="1520" customFormat="false" ht="12.8" hidden="false" customHeight="false" outlineLevel="0" collapsed="false">
      <c r="I1520" s="1"/>
    </row>
    <row r="1521" customFormat="false" ht="12.8" hidden="false" customHeight="false" outlineLevel="0" collapsed="false">
      <c r="I1521" s="1"/>
    </row>
    <row r="1522" customFormat="false" ht="12.8" hidden="false" customHeight="false" outlineLevel="0" collapsed="false">
      <c r="I1522" s="1"/>
    </row>
    <row r="1523" customFormat="false" ht="12.8" hidden="false" customHeight="false" outlineLevel="0" collapsed="false">
      <c r="I1523" s="1"/>
    </row>
    <row r="1524" customFormat="false" ht="12.8" hidden="false" customHeight="false" outlineLevel="0" collapsed="false">
      <c r="I1524" s="1"/>
    </row>
    <row r="1525" customFormat="false" ht="12.8" hidden="false" customHeight="false" outlineLevel="0" collapsed="false">
      <c r="I1525" s="1"/>
    </row>
    <row r="1526" customFormat="false" ht="12.8" hidden="false" customHeight="false" outlineLevel="0" collapsed="false">
      <c r="I1526" s="1"/>
    </row>
    <row r="1527" customFormat="false" ht="12.8" hidden="false" customHeight="false" outlineLevel="0" collapsed="false">
      <c r="I1527" s="1"/>
    </row>
    <row r="1528" customFormat="false" ht="12.8" hidden="false" customHeight="false" outlineLevel="0" collapsed="false">
      <c r="I1528" s="1"/>
    </row>
    <row r="1529" customFormat="false" ht="12.8" hidden="false" customHeight="false" outlineLevel="0" collapsed="false">
      <c r="I1529" s="1"/>
    </row>
    <row r="1530" customFormat="false" ht="12.8" hidden="false" customHeight="false" outlineLevel="0" collapsed="false">
      <c r="I1530" s="1"/>
    </row>
    <row r="1531" customFormat="false" ht="12.8" hidden="false" customHeight="false" outlineLevel="0" collapsed="false">
      <c r="I1531" s="1"/>
    </row>
    <row r="1532" customFormat="false" ht="12.8" hidden="false" customHeight="false" outlineLevel="0" collapsed="false">
      <c r="I1532" s="1"/>
    </row>
    <row r="1533" customFormat="false" ht="12.8" hidden="false" customHeight="false" outlineLevel="0" collapsed="false">
      <c r="I1533" s="1"/>
    </row>
    <row r="1534" customFormat="false" ht="12.8" hidden="false" customHeight="false" outlineLevel="0" collapsed="false">
      <c r="I1534" s="1"/>
    </row>
    <row r="1535" customFormat="false" ht="12.8" hidden="false" customHeight="false" outlineLevel="0" collapsed="false">
      <c r="I1535" s="1"/>
    </row>
    <row r="1536" customFormat="false" ht="12.8" hidden="false" customHeight="false" outlineLevel="0" collapsed="false">
      <c r="I1536" s="1"/>
    </row>
    <row r="1537" customFormat="false" ht="12.8" hidden="false" customHeight="false" outlineLevel="0" collapsed="false">
      <c r="I1537" s="1"/>
    </row>
    <row r="1538" customFormat="false" ht="12.8" hidden="false" customHeight="false" outlineLevel="0" collapsed="false">
      <c r="I1538" s="1"/>
    </row>
    <row r="1539" customFormat="false" ht="12.8" hidden="false" customHeight="false" outlineLevel="0" collapsed="false">
      <c r="I1539" s="1"/>
    </row>
    <row r="1540" customFormat="false" ht="12.8" hidden="false" customHeight="false" outlineLevel="0" collapsed="false">
      <c r="I1540" s="1"/>
    </row>
    <row r="1541" customFormat="false" ht="12.8" hidden="false" customHeight="false" outlineLevel="0" collapsed="false">
      <c r="I1541" s="1"/>
    </row>
    <row r="1542" customFormat="false" ht="12.8" hidden="false" customHeight="false" outlineLevel="0" collapsed="false">
      <c r="I1542" s="1"/>
    </row>
    <row r="1543" customFormat="false" ht="12.8" hidden="false" customHeight="false" outlineLevel="0" collapsed="false">
      <c r="I1543" s="1"/>
    </row>
    <row r="1544" customFormat="false" ht="12.8" hidden="false" customHeight="false" outlineLevel="0" collapsed="false">
      <c r="I1544" s="1"/>
    </row>
    <row r="1545" customFormat="false" ht="12.8" hidden="false" customHeight="false" outlineLevel="0" collapsed="false">
      <c r="I1545" s="1"/>
    </row>
    <row r="1546" customFormat="false" ht="12.8" hidden="false" customHeight="false" outlineLevel="0" collapsed="false">
      <c r="I1546" s="1"/>
    </row>
    <row r="1547" customFormat="false" ht="12.8" hidden="false" customHeight="false" outlineLevel="0" collapsed="false">
      <c r="I1547" s="1"/>
    </row>
    <row r="1548" customFormat="false" ht="12.8" hidden="false" customHeight="false" outlineLevel="0" collapsed="false">
      <c r="I1548" s="1"/>
    </row>
    <row r="1549" customFormat="false" ht="12.8" hidden="false" customHeight="false" outlineLevel="0" collapsed="false">
      <c r="I1549" s="1"/>
    </row>
    <row r="1550" customFormat="false" ht="12.8" hidden="false" customHeight="false" outlineLevel="0" collapsed="false">
      <c r="I1550" s="1"/>
    </row>
    <row r="1551" customFormat="false" ht="12.8" hidden="false" customHeight="false" outlineLevel="0" collapsed="false">
      <c r="I1551" s="1"/>
    </row>
    <row r="1552" customFormat="false" ht="12.8" hidden="false" customHeight="false" outlineLevel="0" collapsed="false">
      <c r="I1552" s="1"/>
    </row>
    <row r="1553" customFormat="false" ht="12.8" hidden="false" customHeight="false" outlineLevel="0" collapsed="false">
      <c r="I1553" s="1"/>
    </row>
    <row r="1554" customFormat="false" ht="12.8" hidden="false" customHeight="false" outlineLevel="0" collapsed="false">
      <c r="I1554" s="1"/>
    </row>
    <row r="1555" customFormat="false" ht="12.8" hidden="false" customHeight="false" outlineLevel="0" collapsed="false">
      <c r="I1555" s="1"/>
    </row>
    <row r="1556" customFormat="false" ht="12.8" hidden="false" customHeight="false" outlineLevel="0" collapsed="false">
      <c r="I1556" s="1"/>
    </row>
    <row r="1557" customFormat="false" ht="12.8" hidden="false" customHeight="false" outlineLevel="0" collapsed="false">
      <c r="I1557" s="1"/>
    </row>
    <row r="1558" customFormat="false" ht="12.8" hidden="false" customHeight="false" outlineLevel="0" collapsed="false">
      <c r="I1558" s="1"/>
    </row>
    <row r="1559" customFormat="false" ht="12.8" hidden="false" customHeight="false" outlineLevel="0" collapsed="false">
      <c r="I1559" s="1"/>
    </row>
    <row r="1560" customFormat="false" ht="12.8" hidden="false" customHeight="false" outlineLevel="0" collapsed="false">
      <c r="I1560" s="1"/>
    </row>
    <row r="1561" customFormat="false" ht="12.8" hidden="false" customHeight="false" outlineLevel="0" collapsed="false">
      <c r="I1561" s="1"/>
    </row>
    <row r="1562" customFormat="false" ht="12.8" hidden="false" customHeight="false" outlineLevel="0" collapsed="false">
      <c r="I1562" s="1"/>
    </row>
    <row r="1563" customFormat="false" ht="12.8" hidden="false" customHeight="false" outlineLevel="0" collapsed="false">
      <c r="I1563" s="1"/>
    </row>
    <row r="1564" customFormat="false" ht="12.8" hidden="false" customHeight="false" outlineLevel="0" collapsed="false">
      <c r="I1564" s="1"/>
    </row>
    <row r="1565" customFormat="false" ht="12.8" hidden="false" customHeight="false" outlineLevel="0" collapsed="false">
      <c r="I1565" s="1"/>
    </row>
    <row r="1566" customFormat="false" ht="12.8" hidden="false" customHeight="false" outlineLevel="0" collapsed="false">
      <c r="I1566" s="1"/>
    </row>
    <row r="1567" customFormat="false" ht="12.8" hidden="false" customHeight="false" outlineLevel="0" collapsed="false">
      <c r="I1567" s="1"/>
    </row>
    <row r="1568" customFormat="false" ht="12.8" hidden="false" customHeight="false" outlineLevel="0" collapsed="false">
      <c r="I1568" s="1"/>
    </row>
    <row r="1569" customFormat="false" ht="12.8" hidden="false" customHeight="false" outlineLevel="0" collapsed="false">
      <c r="I1569" s="1"/>
    </row>
    <row r="1570" customFormat="false" ht="12.8" hidden="false" customHeight="false" outlineLevel="0" collapsed="false">
      <c r="I1570" s="1"/>
    </row>
    <row r="1571" customFormat="false" ht="12.8" hidden="false" customHeight="false" outlineLevel="0" collapsed="false">
      <c r="I1571" s="1"/>
    </row>
    <row r="1572" customFormat="false" ht="12.8" hidden="false" customHeight="false" outlineLevel="0" collapsed="false">
      <c r="I1572" s="1"/>
    </row>
    <row r="1573" customFormat="false" ht="12.8" hidden="false" customHeight="false" outlineLevel="0" collapsed="false">
      <c r="I1573" s="1"/>
    </row>
    <row r="1574" customFormat="false" ht="12.8" hidden="false" customHeight="false" outlineLevel="0" collapsed="false">
      <c r="I1574" s="1"/>
    </row>
    <row r="1575" customFormat="false" ht="12.8" hidden="false" customHeight="false" outlineLevel="0" collapsed="false">
      <c r="I1575" s="1"/>
    </row>
    <row r="1576" customFormat="false" ht="12.8" hidden="false" customHeight="false" outlineLevel="0" collapsed="false">
      <c r="I1576" s="1"/>
    </row>
    <row r="1577" customFormat="false" ht="12.8" hidden="false" customHeight="false" outlineLevel="0" collapsed="false">
      <c r="I1577" s="1"/>
    </row>
    <row r="1578" customFormat="false" ht="12.8" hidden="false" customHeight="false" outlineLevel="0" collapsed="false">
      <c r="I1578" s="1"/>
    </row>
    <row r="1579" customFormat="false" ht="12.8" hidden="false" customHeight="false" outlineLevel="0" collapsed="false">
      <c r="I1579" s="1"/>
    </row>
    <row r="1580" customFormat="false" ht="12.8" hidden="false" customHeight="false" outlineLevel="0" collapsed="false">
      <c r="I1580" s="1"/>
    </row>
    <row r="1581" customFormat="false" ht="12.8" hidden="false" customHeight="false" outlineLevel="0" collapsed="false">
      <c r="I1581" s="1"/>
    </row>
    <row r="1582" customFormat="false" ht="12.8" hidden="false" customHeight="false" outlineLevel="0" collapsed="false">
      <c r="I1582" s="1"/>
    </row>
    <row r="1583" customFormat="false" ht="12.8" hidden="false" customHeight="false" outlineLevel="0" collapsed="false">
      <c r="I1583" s="1"/>
    </row>
    <row r="1584" customFormat="false" ht="12.8" hidden="false" customHeight="false" outlineLevel="0" collapsed="false">
      <c r="I1584" s="1"/>
    </row>
    <row r="1585" customFormat="false" ht="12.8" hidden="false" customHeight="false" outlineLevel="0" collapsed="false">
      <c r="I1585" s="1"/>
    </row>
    <row r="1586" customFormat="false" ht="12.8" hidden="false" customHeight="false" outlineLevel="0" collapsed="false">
      <c r="I1586" s="1"/>
    </row>
    <row r="1587" customFormat="false" ht="12.8" hidden="false" customHeight="false" outlineLevel="0" collapsed="false">
      <c r="I1587" s="1"/>
    </row>
    <row r="1588" customFormat="false" ht="12.8" hidden="false" customHeight="false" outlineLevel="0" collapsed="false">
      <c r="I1588" s="1"/>
    </row>
    <row r="1589" customFormat="false" ht="12.8" hidden="false" customHeight="false" outlineLevel="0" collapsed="false">
      <c r="I1589" s="1"/>
    </row>
    <row r="1590" customFormat="false" ht="12.8" hidden="false" customHeight="false" outlineLevel="0" collapsed="false">
      <c r="I1590" s="1"/>
    </row>
    <row r="1591" customFormat="false" ht="12.8" hidden="false" customHeight="false" outlineLevel="0" collapsed="false">
      <c r="I1591" s="1"/>
    </row>
    <row r="1592" customFormat="false" ht="12.8" hidden="false" customHeight="false" outlineLevel="0" collapsed="false">
      <c r="I1592" s="1"/>
    </row>
    <row r="1593" customFormat="false" ht="12.8" hidden="false" customHeight="false" outlineLevel="0" collapsed="false">
      <c r="I1593" s="1"/>
    </row>
    <row r="1594" customFormat="false" ht="12.8" hidden="false" customHeight="false" outlineLevel="0" collapsed="false">
      <c r="I1594" s="1"/>
    </row>
    <row r="1595" customFormat="false" ht="12.8" hidden="false" customHeight="false" outlineLevel="0" collapsed="false">
      <c r="I1595" s="1"/>
    </row>
    <row r="1596" customFormat="false" ht="12.8" hidden="false" customHeight="false" outlineLevel="0" collapsed="false">
      <c r="I1596" s="1"/>
    </row>
    <row r="1597" customFormat="false" ht="12.8" hidden="false" customHeight="false" outlineLevel="0" collapsed="false">
      <c r="I1597" s="1"/>
    </row>
    <row r="1598" customFormat="false" ht="12.8" hidden="false" customHeight="false" outlineLevel="0" collapsed="false">
      <c r="I1598" s="1"/>
    </row>
    <row r="1599" customFormat="false" ht="12.8" hidden="false" customHeight="false" outlineLevel="0" collapsed="false">
      <c r="I1599" s="1"/>
    </row>
    <row r="1600" customFormat="false" ht="12.8" hidden="false" customHeight="false" outlineLevel="0" collapsed="false">
      <c r="I1600" s="1"/>
    </row>
    <row r="1601" customFormat="false" ht="12.8" hidden="false" customHeight="false" outlineLevel="0" collapsed="false">
      <c r="I1601" s="1"/>
    </row>
    <row r="1602" customFormat="false" ht="12.8" hidden="false" customHeight="false" outlineLevel="0" collapsed="false">
      <c r="I1602" s="1"/>
    </row>
    <row r="1603" customFormat="false" ht="12.8" hidden="false" customHeight="false" outlineLevel="0" collapsed="false">
      <c r="I1603" s="1"/>
    </row>
    <row r="1604" customFormat="false" ht="12.8" hidden="false" customHeight="false" outlineLevel="0" collapsed="false">
      <c r="I1604" s="1"/>
    </row>
    <row r="1605" customFormat="false" ht="12.8" hidden="false" customHeight="false" outlineLevel="0" collapsed="false">
      <c r="I1605" s="1"/>
    </row>
    <row r="1606" customFormat="false" ht="12.8" hidden="false" customHeight="false" outlineLevel="0" collapsed="false">
      <c r="I1606" s="1"/>
    </row>
    <row r="1607" customFormat="false" ht="12.8" hidden="false" customHeight="false" outlineLevel="0" collapsed="false">
      <c r="I1607" s="1"/>
    </row>
    <row r="1608" customFormat="false" ht="12.8" hidden="false" customHeight="false" outlineLevel="0" collapsed="false">
      <c r="I1608" s="1"/>
    </row>
    <row r="1609" customFormat="false" ht="12.8" hidden="false" customHeight="false" outlineLevel="0" collapsed="false">
      <c r="I1609" s="1"/>
    </row>
    <row r="1610" customFormat="false" ht="12.8" hidden="false" customHeight="false" outlineLevel="0" collapsed="false">
      <c r="I1610" s="1"/>
    </row>
    <row r="1611" customFormat="false" ht="12.8" hidden="false" customHeight="false" outlineLevel="0" collapsed="false">
      <c r="I1611" s="1"/>
    </row>
    <row r="1612" customFormat="false" ht="12.8" hidden="false" customHeight="false" outlineLevel="0" collapsed="false">
      <c r="I1612" s="1"/>
    </row>
    <row r="1613" customFormat="false" ht="12.8" hidden="false" customHeight="false" outlineLevel="0" collapsed="false">
      <c r="I1613" s="1"/>
    </row>
    <row r="1614" customFormat="false" ht="12.8" hidden="false" customHeight="false" outlineLevel="0" collapsed="false">
      <c r="I1614" s="1"/>
    </row>
    <row r="1615" customFormat="false" ht="12.8" hidden="false" customHeight="false" outlineLevel="0" collapsed="false">
      <c r="I1615" s="1"/>
    </row>
    <row r="1616" customFormat="false" ht="12.8" hidden="false" customHeight="false" outlineLevel="0" collapsed="false">
      <c r="I1616" s="1"/>
    </row>
    <row r="1617" customFormat="false" ht="12.8" hidden="false" customHeight="false" outlineLevel="0" collapsed="false">
      <c r="I1617" s="1"/>
    </row>
    <row r="1618" customFormat="false" ht="12.8" hidden="false" customHeight="false" outlineLevel="0" collapsed="false">
      <c r="I1618" s="1"/>
    </row>
    <row r="1619" customFormat="false" ht="12.8" hidden="false" customHeight="false" outlineLevel="0" collapsed="false">
      <c r="I1619" s="1"/>
    </row>
    <row r="1620" customFormat="false" ht="12.8" hidden="false" customHeight="false" outlineLevel="0" collapsed="false">
      <c r="I1620" s="1"/>
    </row>
    <row r="1621" customFormat="false" ht="12.8" hidden="false" customHeight="false" outlineLevel="0" collapsed="false">
      <c r="I1621" s="1"/>
    </row>
    <row r="1622" customFormat="false" ht="12.8" hidden="false" customHeight="false" outlineLevel="0" collapsed="false">
      <c r="I1622" s="1"/>
    </row>
    <row r="1623" customFormat="false" ht="12.8" hidden="false" customHeight="false" outlineLevel="0" collapsed="false">
      <c r="I1623" s="1"/>
    </row>
    <row r="1624" customFormat="false" ht="12.8" hidden="false" customHeight="false" outlineLevel="0" collapsed="false">
      <c r="I1624" s="1"/>
    </row>
    <row r="1625" customFormat="false" ht="12.8" hidden="false" customHeight="false" outlineLevel="0" collapsed="false">
      <c r="I1625" s="1"/>
    </row>
    <row r="1626" customFormat="false" ht="12.8" hidden="false" customHeight="false" outlineLevel="0" collapsed="false">
      <c r="I1626" s="1"/>
    </row>
    <row r="1627" customFormat="false" ht="12.8" hidden="false" customHeight="false" outlineLevel="0" collapsed="false">
      <c r="I1627" s="1"/>
    </row>
    <row r="1628" customFormat="false" ht="12.8" hidden="false" customHeight="false" outlineLevel="0" collapsed="false">
      <c r="I1628" s="1"/>
    </row>
    <row r="1629" customFormat="false" ht="12.8" hidden="false" customHeight="false" outlineLevel="0" collapsed="false">
      <c r="I1629" s="1"/>
    </row>
    <row r="1630" customFormat="false" ht="12.8" hidden="false" customHeight="false" outlineLevel="0" collapsed="false">
      <c r="I1630" s="1"/>
    </row>
    <row r="1631" customFormat="false" ht="12.8" hidden="false" customHeight="false" outlineLevel="0" collapsed="false">
      <c r="I1631" s="1"/>
    </row>
    <row r="1632" customFormat="false" ht="12.8" hidden="false" customHeight="false" outlineLevel="0" collapsed="false">
      <c r="I1632" s="1"/>
    </row>
    <row r="1633" customFormat="false" ht="12.8" hidden="false" customHeight="false" outlineLevel="0" collapsed="false">
      <c r="I1633" s="1"/>
    </row>
    <row r="1634" customFormat="false" ht="12.8" hidden="false" customHeight="false" outlineLevel="0" collapsed="false">
      <c r="I1634" s="1"/>
    </row>
    <row r="1635" customFormat="false" ht="12.8" hidden="false" customHeight="false" outlineLevel="0" collapsed="false">
      <c r="I1635" s="1"/>
    </row>
    <row r="1636" customFormat="false" ht="12.8" hidden="false" customHeight="false" outlineLevel="0" collapsed="false">
      <c r="I1636" s="1"/>
    </row>
    <row r="1637" customFormat="false" ht="12.8" hidden="false" customHeight="false" outlineLevel="0" collapsed="false">
      <c r="I1637" s="1"/>
    </row>
    <row r="1638" customFormat="false" ht="12.8" hidden="false" customHeight="false" outlineLevel="0" collapsed="false">
      <c r="I1638" s="1"/>
    </row>
    <row r="1639" customFormat="false" ht="12.8" hidden="false" customHeight="false" outlineLevel="0" collapsed="false">
      <c r="I1639" s="1"/>
    </row>
    <row r="1640" customFormat="false" ht="12.8" hidden="false" customHeight="false" outlineLevel="0" collapsed="false">
      <c r="I1640" s="1"/>
    </row>
    <row r="1641" customFormat="false" ht="12.8" hidden="false" customHeight="false" outlineLevel="0" collapsed="false">
      <c r="I1641" s="1"/>
    </row>
    <row r="1642" customFormat="false" ht="12.8" hidden="false" customHeight="false" outlineLevel="0" collapsed="false">
      <c r="I1642" s="1"/>
    </row>
    <row r="1643" customFormat="false" ht="12.8" hidden="false" customHeight="false" outlineLevel="0" collapsed="false">
      <c r="I1643" s="1"/>
    </row>
    <row r="1644" customFormat="false" ht="12.8" hidden="false" customHeight="false" outlineLevel="0" collapsed="false">
      <c r="I1644" s="1"/>
    </row>
    <row r="1645" customFormat="false" ht="12.8" hidden="false" customHeight="false" outlineLevel="0" collapsed="false">
      <c r="I1645" s="1"/>
    </row>
    <row r="1646" customFormat="false" ht="12.8" hidden="false" customHeight="false" outlineLevel="0" collapsed="false">
      <c r="I1646" s="1"/>
    </row>
    <row r="1647" customFormat="false" ht="12.8" hidden="false" customHeight="false" outlineLevel="0" collapsed="false">
      <c r="I1647" s="1"/>
    </row>
    <row r="1648" customFormat="false" ht="12.8" hidden="false" customHeight="false" outlineLevel="0" collapsed="false">
      <c r="I1648" s="1"/>
    </row>
    <row r="1649" customFormat="false" ht="12.8" hidden="false" customHeight="false" outlineLevel="0" collapsed="false">
      <c r="I1649" s="1"/>
    </row>
    <row r="1650" customFormat="false" ht="12.8" hidden="false" customHeight="false" outlineLevel="0" collapsed="false">
      <c r="I1650" s="1"/>
    </row>
    <row r="1651" customFormat="false" ht="12.8" hidden="false" customHeight="false" outlineLevel="0" collapsed="false">
      <c r="I1651" s="1"/>
    </row>
    <row r="1652" customFormat="false" ht="12.8" hidden="false" customHeight="false" outlineLevel="0" collapsed="false">
      <c r="I1652" s="1"/>
    </row>
    <row r="1653" customFormat="false" ht="12.8" hidden="false" customHeight="false" outlineLevel="0" collapsed="false">
      <c r="I1653" s="1"/>
    </row>
    <row r="1654" customFormat="false" ht="12.8" hidden="false" customHeight="false" outlineLevel="0" collapsed="false">
      <c r="I1654" s="1"/>
    </row>
    <row r="1655" customFormat="false" ht="12.8" hidden="false" customHeight="false" outlineLevel="0" collapsed="false">
      <c r="I1655" s="1"/>
    </row>
    <row r="1656" customFormat="false" ht="12.8" hidden="false" customHeight="false" outlineLevel="0" collapsed="false">
      <c r="I1656" s="1"/>
    </row>
    <row r="1657" customFormat="false" ht="12.8" hidden="false" customHeight="false" outlineLevel="0" collapsed="false">
      <c r="I1657" s="1"/>
    </row>
    <row r="1658" customFormat="false" ht="12.8" hidden="false" customHeight="false" outlineLevel="0" collapsed="false">
      <c r="I1658" s="1"/>
    </row>
    <row r="1659" customFormat="false" ht="12.8" hidden="false" customHeight="false" outlineLevel="0" collapsed="false">
      <c r="I1659" s="1"/>
    </row>
    <row r="1660" customFormat="false" ht="12.8" hidden="false" customHeight="false" outlineLevel="0" collapsed="false">
      <c r="I1660" s="1"/>
    </row>
    <row r="1661" customFormat="false" ht="12.8" hidden="false" customHeight="false" outlineLevel="0" collapsed="false">
      <c r="I1661" s="1"/>
    </row>
    <row r="1662" customFormat="false" ht="12.8" hidden="false" customHeight="false" outlineLevel="0" collapsed="false">
      <c r="I1662" s="1"/>
    </row>
    <row r="1663" customFormat="false" ht="12.8" hidden="false" customHeight="false" outlineLevel="0" collapsed="false">
      <c r="I1663" s="1"/>
    </row>
    <row r="1664" customFormat="false" ht="12.8" hidden="false" customHeight="false" outlineLevel="0" collapsed="false">
      <c r="I1664" s="1"/>
    </row>
    <row r="1665" customFormat="false" ht="12.8" hidden="false" customHeight="false" outlineLevel="0" collapsed="false">
      <c r="I1665" s="1"/>
    </row>
    <row r="1666" customFormat="false" ht="12.8" hidden="false" customHeight="false" outlineLevel="0" collapsed="false">
      <c r="I1666" s="1"/>
    </row>
    <row r="1667" customFormat="false" ht="12.8" hidden="false" customHeight="false" outlineLevel="0" collapsed="false">
      <c r="I1667" s="1"/>
    </row>
    <row r="1668" customFormat="false" ht="12.8" hidden="false" customHeight="false" outlineLevel="0" collapsed="false">
      <c r="I1668" s="1"/>
    </row>
    <row r="1669" customFormat="false" ht="12.8" hidden="false" customHeight="false" outlineLevel="0" collapsed="false">
      <c r="I1669" s="1"/>
    </row>
    <row r="1670" customFormat="false" ht="12.8" hidden="false" customHeight="false" outlineLevel="0" collapsed="false">
      <c r="I1670" s="1"/>
    </row>
    <row r="1671" customFormat="false" ht="12.8" hidden="false" customHeight="false" outlineLevel="0" collapsed="false">
      <c r="I1671" s="1"/>
    </row>
    <row r="1672" customFormat="false" ht="12.8" hidden="false" customHeight="false" outlineLevel="0" collapsed="false">
      <c r="I1672" s="1"/>
    </row>
    <row r="1673" customFormat="false" ht="12.8" hidden="false" customHeight="false" outlineLevel="0" collapsed="false">
      <c r="I1673" s="1"/>
    </row>
    <row r="1674" customFormat="false" ht="12.8" hidden="false" customHeight="false" outlineLevel="0" collapsed="false">
      <c r="I1674" s="1"/>
    </row>
    <row r="1675" customFormat="false" ht="12.8" hidden="false" customHeight="false" outlineLevel="0" collapsed="false">
      <c r="I1675" s="1"/>
    </row>
    <row r="1676" customFormat="false" ht="12.8" hidden="false" customHeight="false" outlineLevel="0" collapsed="false">
      <c r="I1676" s="1"/>
    </row>
    <row r="1677" customFormat="false" ht="12.8" hidden="false" customHeight="false" outlineLevel="0" collapsed="false">
      <c r="I1677" s="1"/>
    </row>
    <row r="1678" customFormat="false" ht="12.8" hidden="false" customHeight="false" outlineLevel="0" collapsed="false">
      <c r="I1678" s="1"/>
    </row>
    <row r="1679" customFormat="false" ht="12.8" hidden="false" customHeight="false" outlineLevel="0" collapsed="false">
      <c r="I1679" s="1"/>
    </row>
    <row r="1680" customFormat="false" ht="12.8" hidden="false" customHeight="false" outlineLevel="0" collapsed="false">
      <c r="I1680" s="1"/>
    </row>
    <row r="1681" customFormat="false" ht="12.8" hidden="false" customHeight="false" outlineLevel="0" collapsed="false">
      <c r="I1681" s="1"/>
    </row>
    <row r="1682" customFormat="false" ht="12.8" hidden="false" customHeight="false" outlineLevel="0" collapsed="false">
      <c r="I1682" s="1"/>
    </row>
    <row r="1683" customFormat="false" ht="12.8" hidden="false" customHeight="false" outlineLevel="0" collapsed="false">
      <c r="I1683" s="1"/>
    </row>
    <row r="1684" customFormat="false" ht="12.8" hidden="false" customHeight="false" outlineLevel="0" collapsed="false">
      <c r="I1684" s="1"/>
    </row>
    <row r="1685" customFormat="false" ht="12.8" hidden="false" customHeight="false" outlineLevel="0" collapsed="false">
      <c r="I1685" s="1"/>
    </row>
    <row r="1686" customFormat="false" ht="12.8" hidden="false" customHeight="false" outlineLevel="0" collapsed="false">
      <c r="I1686" s="1"/>
    </row>
    <row r="1687" customFormat="false" ht="12.8" hidden="false" customHeight="false" outlineLevel="0" collapsed="false">
      <c r="I1687" s="1"/>
    </row>
    <row r="1688" customFormat="false" ht="12.8" hidden="false" customHeight="false" outlineLevel="0" collapsed="false">
      <c r="I1688" s="1"/>
    </row>
    <row r="1689" customFormat="false" ht="12.8" hidden="false" customHeight="false" outlineLevel="0" collapsed="false">
      <c r="I1689" s="1"/>
    </row>
    <row r="1690" customFormat="false" ht="12.8" hidden="false" customHeight="false" outlineLevel="0" collapsed="false">
      <c r="I1690" s="1"/>
    </row>
    <row r="1691" customFormat="false" ht="12.8" hidden="false" customHeight="false" outlineLevel="0" collapsed="false">
      <c r="I1691" s="1"/>
    </row>
    <row r="1692" customFormat="false" ht="12.8" hidden="false" customHeight="false" outlineLevel="0" collapsed="false">
      <c r="I1692" s="1"/>
    </row>
    <row r="1693" customFormat="false" ht="12.8" hidden="false" customHeight="false" outlineLevel="0" collapsed="false">
      <c r="I1693" s="1"/>
    </row>
    <row r="1694" customFormat="false" ht="12.8" hidden="false" customHeight="false" outlineLevel="0" collapsed="false">
      <c r="I1694" s="1"/>
    </row>
    <row r="1695" customFormat="false" ht="12.8" hidden="false" customHeight="false" outlineLevel="0" collapsed="false">
      <c r="I1695" s="1"/>
    </row>
    <row r="1696" customFormat="false" ht="12.8" hidden="false" customHeight="false" outlineLevel="0" collapsed="false">
      <c r="I1696" s="1"/>
    </row>
    <row r="1697" customFormat="false" ht="12.8" hidden="false" customHeight="false" outlineLevel="0" collapsed="false">
      <c r="I1697" s="1"/>
    </row>
    <row r="1698" customFormat="false" ht="12.8" hidden="false" customHeight="false" outlineLevel="0" collapsed="false">
      <c r="I1698" s="1"/>
    </row>
    <row r="1699" customFormat="false" ht="12.8" hidden="false" customHeight="false" outlineLevel="0" collapsed="false">
      <c r="I1699" s="1"/>
    </row>
    <row r="1700" customFormat="false" ht="12.8" hidden="false" customHeight="false" outlineLevel="0" collapsed="false">
      <c r="I1700" s="1"/>
    </row>
    <row r="1701" customFormat="false" ht="12.8" hidden="false" customHeight="false" outlineLevel="0" collapsed="false">
      <c r="I1701" s="1"/>
    </row>
    <row r="1702" customFormat="false" ht="12.8" hidden="false" customHeight="false" outlineLevel="0" collapsed="false">
      <c r="I1702" s="1"/>
    </row>
    <row r="1703" customFormat="false" ht="12.8" hidden="false" customHeight="false" outlineLevel="0" collapsed="false">
      <c r="I1703" s="1"/>
    </row>
    <row r="1704" customFormat="false" ht="12.8" hidden="false" customHeight="false" outlineLevel="0" collapsed="false">
      <c r="I1704" s="1"/>
    </row>
    <row r="1705" customFormat="false" ht="12.8" hidden="false" customHeight="false" outlineLevel="0" collapsed="false">
      <c r="I1705" s="1"/>
    </row>
    <row r="1706" customFormat="false" ht="12.8" hidden="false" customHeight="false" outlineLevel="0" collapsed="false">
      <c r="I1706" s="1"/>
    </row>
    <row r="1707" customFormat="false" ht="12.8" hidden="false" customHeight="false" outlineLevel="0" collapsed="false">
      <c r="I1707" s="1"/>
    </row>
    <row r="1708" customFormat="false" ht="12.8" hidden="false" customHeight="false" outlineLevel="0" collapsed="false">
      <c r="I1708" s="1"/>
    </row>
    <row r="1709" customFormat="false" ht="12.8" hidden="false" customHeight="false" outlineLevel="0" collapsed="false">
      <c r="I1709" s="1"/>
    </row>
    <row r="1710" customFormat="false" ht="12.8" hidden="false" customHeight="false" outlineLevel="0" collapsed="false">
      <c r="I1710" s="1"/>
    </row>
    <row r="1711" customFormat="false" ht="12.8" hidden="false" customHeight="false" outlineLevel="0" collapsed="false">
      <c r="I1711" s="1"/>
    </row>
    <row r="1712" customFormat="false" ht="12.8" hidden="false" customHeight="false" outlineLevel="0" collapsed="false">
      <c r="I1712" s="1"/>
    </row>
    <row r="1713" customFormat="false" ht="12.8" hidden="false" customHeight="false" outlineLevel="0" collapsed="false">
      <c r="I1713" s="1"/>
    </row>
    <row r="1714" customFormat="false" ht="12.8" hidden="false" customHeight="false" outlineLevel="0" collapsed="false">
      <c r="I1714" s="1"/>
    </row>
    <row r="1715" customFormat="false" ht="12.8" hidden="false" customHeight="false" outlineLevel="0" collapsed="false">
      <c r="I1715" s="1"/>
    </row>
    <row r="1716" customFormat="false" ht="12.8" hidden="false" customHeight="false" outlineLevel="0" collapsed="false">
      <c r="I1716" s="1"/>
    </row>
    <row r="1717" customFormat="false" ht="12.8" hidden="false" customHeight="false" outlineLevel="0" collapsed="false">
      <c r="I1717" s="1"/>
    </row>
    <row r="1718" customFormat="false" ht="12.8" hidden="false" customHeight="false" outlineLevel="0" collapsed="false">
      <c r="I1718" s="1"/>
    </row>
    <row r="1719" customFormat="false" ht="12.8" hidden="false" customHeight="false" outlineLevel="0" collapsed="false">
      <c r="I1719" s="1"/>
    </row>
    <row r="1720" customFormat="false" ht="12.8" hidden="false" customHeight="false" outlineLevel="0" collapsed="false">
      <c r="I1720" s="1"/>
    </row>
    <row r="1721" customFormat="false" ht="12.8" hidden="false" customHeight="false" outlineLevel="0" collapsed="false">
      <c r="I1721" s="1"/>
    </row>
    <row r="1722" customFormat="false" ht="12.8" hidden="false" customHeight="false" outlineLevel="0" collapsed="false">
      <c r="I1722" s="1"/>
    </row>
    <row r="1723" customFormat="false" ht="12.8" hidden="false" customHeight="false" outlineLevel="0" collapsed="false">
      <c r="I1723" s="1"/>
    </row>
    <row r="1724" customFormat="false" ht="12.8" hidden="false" customHeight="false" outlineLevel="0" collapsed="false">
      <c r="I1724" s="1"/>
    </row>
    <row r="1725" customFormat="false" ht="12.8" hidden="false" customHeight="false" outlineLevel="0" collapsed="false">
      <c r="I1725" s="1"/>
    </row>
    <row r="1726" customFormat="false" ht="12.8" hidden="false" customHeight="false" outlineLevel="0" collapsed="false">
      <c r="I1726" s="1"/>
    </row>
    <row r="1727" customFormat="false" ht="12.8" hidden="false" customHeight="false" outlineLevel="0" collapsed="false">
      <c r="I1727" s="1"/>
    </row>
    <row r="1728" customFormat="false" ht="12.8" hidden="false" customHeight="false" outlineLevel="0" collapsed="false">
      <c r="I1728" s="1"/>
    </row>
    <row r="1729" customFormat="false" ht="12.8" hidden="false" customHeight="false" outlineLevel="0" collapsed="false">
      <c r="I1729" s="1"/>
    </row>
    <row r="1730" customFormat="false" ht="12.8" hidden="false" customHeight="false" outlineLevel="0" collapsed="false">
      <c r="I1730" s="1"/>
    </row>
    <row r="1731" customFormat="false" ht="12.8" hidden="false" customHeight="false" outlineLevel="0" collapsed="false">
      <c r="I1731" s="1"/>
    </row>
    <row r="1732" customFormat="false" ht="12.8" hidden="false" customHeight="false" outlineLevel="0" collapsed="false">
      <c r="I1732" s="1"/>
    </row>
    <row r="1733" customFormat="false" ht="12.8" hidden="false" customHeight="false" outlineLevel="0" collapsed="false">
      <c r="I1733" s="1"/>
    </row>
    <row r="1734" customFormat="false" ht="12.8" hidden="false" customHeight="false" outlineLevel="0" collapsed="false">
      <c r="I1734" s="1"/>
    </row>
    <row r="1735" customFormat="false" ht="12.8" hidden="false" customHeight="false" outlineLevel="0" collapsed="false">
      <c r="I1735" s="1"/>
    </row>
    <row r="1736" customFormat="false" ht="12.8" hidden="false" customHeight="false" outlineLevel="0" collapsed="false">
      <c r="I1736" s="1"/>
    </row>
    <row r="1737" customFormat="false" ht="12.8" hidden="false" customHeight="false" outlineLevel="0" collapsed="false">
      <c r="I1737" s="1"/>
    </row>
    <row r="1738" customFormat="false" ht="12.8" hidden="false" customHeight="false" outlineLevel="0" collapsed="false">
      <c r="I1738" s="1"/>
    </row>
    <row r="1739" customFormat="false" ht="12.8" hidden="false" customHeight="false" outlineLevel="0" collapsed="false">
      <c r="I1739" s="1"/>
    </row>
    <row r="1740" customFormat="false" ht="12.8" hidden="false" customHeight="false" outlineLevel="0" collapsed="false">
      <c r="I1740" s="1"/>
    </row>
    <row r="1741" customFormat="false" ht="12.8" hidden="false" customHeight="false" outlineLevel="0" collapsed="false">
      <c r="I1741" s="1"/>
    </row>
    <row r="1742" customFormat="false" ht="12.8" hidden="false" customHeight="false" outlineLevel="0" collapsed="false">
      <c r="I1742" s="1"/>
    </row>
    <row r="1743" customFormat="false" ht="12.8" hidden="false" customHeight="false" outlineLevel="0" collapsed="false">
      <c r="I1743" s="1"/>
    </row>
    <row r="1744" customFormat="false" ht="12.8" hidden="false" customHeight="false" outlineLevel="0" collapsed="false">
      <c r="I1744" s="1"/>
    </row>
    <row r="1745" customFormat="false" ht="12.8" hidden="false" customHeight="false" outlineLevel="0" collapsed="false">
      <c r="I1745" s="1"/>
    </row>
    <row r="1746" customFormat="false" ht="12.8" hidden="false" customHeight="false" outlineLevel="0" collapsed="false">
      <c r="I1746" s="1"/>
    </row>
    <row r="1747" customFormat="false" ht="12.8" hidden="false" customHeight="false" outlineLevel="0" collapsed="false">
      <c r="I1747" s="1"/>
    </row>
    <row r="1748" customFormat="false" ht="12.8" hidden="false" customHeight="false" outlineLevel="0" collapsed="false">
      <c r="I1748" s="1"/>
    </row>
    <row r="1749" customFormat="false" ht="12.8" hidden="false" customHeight="false" outlineLevel="0" collapsed="false">
      <c r="I1749" s="1"/>
    </row>
    <row r="1750" customFormat="false" ht="12.8" hidden="false" customHeight="false" outlineLevel="0" collapsed="false">
      <c r="I1750" s="1"/>
    </row>
    <row r="1751" customFormat="false" ht="12.8" hidden="false" customHeight="false" outlineLevel="0" collapsed="false">
      <c r="I1751" s="1"/>
    </row>
    <row r="1752" customFormat="false" ht="12.8" hidden="false" customHeight="false" outlineLevel="0" collapsed="false">
      <c r="I1752" s="1"/>
    </row>
    <row r="1753" customFormat="false" ht="12.8" hidden="false" customHeight="false" outlineLevel="0" collapsed="false">
      <c r="I1753" s="1"/>
    </row>
    <row r="1754" customFormat="false" ht="12.8" hidden="false" customHeight="false" outlineLevel="0" collapsed="false">
      <c r="I1754" s="1"/>
    </row>
    <row r="1755" customFormat="false" ht="12.8" hidden="false" customHeight="false" outlineLevel="0" collapsed="false">
      <c r="I1755" s="1"/>
    </row>
    <row r="1756" customFormat="false" ht="12.8" hidden="false" customHeight="false" outlineLevel="0" collapsed="false">
      <c r="I1756" s="1"/>
    </row>
    <row r="1757" customFormat="false" ht="12.8" hidden="false" customHeight="false" outlineLevel="0" collapsed="false">
      <c r="I1757" s="1"/>
    </row>
    <row r="1758" customFormat="false" ht="12.8" hidden="false" customHeight="false" outlineLevel="0" collapsed="false">
      <c r="I1758" s="1"/>
    </row>
    <row r="1759" customFormat="false" ht="12.8" hidden="false" customHeight="false" outlineLevel="0" collapsed="false">
      <c r="I1759" s="1"/>
    </row>
    <row r="1760" customFormat="false" ht="12.8" hidden="false" customHeight="false" outlineLevel="0" collapsed="false">
      <c r="I1760" s="1"/>
    </row>
    <row r="1761" customFormat="false" ht="12.8" hidden="false" customHeight="false" outlineLevel="0" collapsed="false">
      <c r="I1761" s="1"/>
    </row>
    <row r="1762" customFormat="false" ht="12.8" hidden="false" customHeight="false" outlineLevel="0" collapsed="false">
      <c r="I1762" s="1"/>
    </row>
    <row r="1763" customFormat="false" ht="12.8" hidden="false" customHeight="false" outlineLevel="0" collapsed="false">
      <c r="I1763" s="1"/>
    </row>
    <row r="1764" customFormat="false" ht="12.8" hidden="false" customHeight="false" outlineLevel="0" collapsed="false">
      <c r="I1764" s="1"/>
    </row>
    <row r="1765" customFormat="false" ht="12.8" hidden="false" customHeight="false" outlineLevel="0" collapsed="false">
      <c r="I1765" s="1"/>
    </row>
    <row r="1766" customFormat="false" ht="12.8" hidden="false" customHeight="false" outlineLevel="0" collapsed="false">
      <c r="I1766" s="1"/>
    </row>
    <row r="1767" customFormat="false" ht="12.8" hidden="false" customHeight="false" outlineLevel="0" collapsed="false">
      <c r="I1767" s="1"/>
    </row>
    <row r="1768" customFormat="false" ht="12.8" hidden="false" customHeight="false" outlineLevel="0" collapsed="false">
      <c r="I1768" s="1"/>
    </row>
    <row r="1769" customFormat="false" ht="12.8" hidden="false" customHeight="false" outlineLevel="0" collapsed="false">
      <c r="I1769" s="1"/>
    </row>
    <row r="1770" customFormat="false" ht="12.8" hidden="false" customHeight="false" outlineLevel="0" collapsed="false">
      <c r="I1770" s="1"/>
    </row>
    <row r="1771" customFormat="false" ht="12.8" hidden="false" customHeight="false" outlineLevel="0" collapsed="false">
      <c r="I1771" s="1"/>
    </row>
    <row r="1772" customFormat="false" ht="12.8" hidden="false" customHeight="false" outlineLevel="0" collapsed="false">
      <c r="I1772" s="1"/>
    </row>
    <row r="1773" customFormat="false" ht="12.8" hidden="false" customHeight="false" outlineLevel="0" collapsed="false">
      <c r="I1773" s="1"/>
    </row>
    <row r="1774" customFormat="false" ht="12.8" hidden="false" customHeight="false" outlineLevel="0" collapsed="false">
      <c r="I1774" s="1"/>
    </row>
    <row r="1775" customFormat="false" ht="12.8" hidden="false" customHeight="false" outlineLevel="0" collapsed="false">
      <c r="I1775" s="1"/>
    </row>
    <row r="1776" customFormat="false" ht="12.8" hidden="false" customHeight="false" outlineLevel="0" collapsed="false">
      <c r="I1776" s="1"/>
    </row>
    <row r="1777" customFormat="false" ht="12.8" hidden="false" customHeight="false" outlineLevel="0" collapsed="false">
      <c r="I1777" s="1"/>
    </row>
    <row r="1778" customFormat="false" ht="12.8" hidden="false" customHeight="false" outlineLevel="0" collapsed="false">
      <c r="I1778" s="1"/>
    </row>
    <row r="1779" customFormat="false" ht="12.8" hidden="false" customHeight="false" outlineLevel="0" collapsed="false">
      <c r="I1779" s="1"/>
    </row>
    <row r="1780" customFormat="false" ht="12.8" hidden="false" customHeight="false" outlineLevel="0" collapsed="false">
      <c r="I1780" s="1"/>
    </row>
    <row r="1781" customFormat="false" ht="12.8" hidden="false" customHeight="false" outlineLevel="0" collapsed="false">
      <c r="I1781" s="1"/>
    </row>
    <row r="1782" customFormat="false" ht="12.8" hidden="false" customHeight="false" outlineLevel="0" collapsed="false">
      <c r="I1782" s="1"/>
    </row>
    <row r="1783" customFormat="false" ht="12.8" hidden="false" customHeight="false" outlineLevel="0" collapsed="false">
      <c r="I1783" s="1"/>
    </row>
    <row r="1784" customFormat="false" ht="12.8" hidden="false" customHeight="false" outlineLevel="0" collapsed="false">
      <c r="I1784" s="1"/>
    </row>
    <row r="1785" customFormat="false" ht="12.8" hidden="false" customHeight="false" outlineLevel="0" collapsed="false">
      <c r="I1785" s="1"/>
    </row>
    <row r="1786" customFormat="false" ht="12.8" hidden="false" customHeight="false" outlineLevel="0" collapsed="false">
      <c r="I1786" s="1"/>
    </row>
    <row r="1787" customFormat="false" ht="12.8" hidden="false" customHeight="false" outlineLevel="0" collapsed="false">
      <c r="I1787" s="1"/>
    </row>
    <row r="1788" customFormat="false" ht="12.8" hidden="false" customHeight="false" outlineLevel="0" collapsed="false">
      <c r="I1788" s="1"/>
    </row>
    <row r="1789" customFormat="false" ht="12.8" hidden="false" customHeight="false" outlineLevel="0" collapsed="false">
      <c r="I1789" s="1"/>
    </row>
    <row r="1790" customFormat="false" ht="12.8" hidden="false" customHeight="false" outlineLevel="0" collapsed="false">
      <c r="I1790" s="1"/>
    </row>
    <row r="1791" customFormat="false" ht="12.8" hidden="false" customHeight="false" outlineLevel="0" collapsed="false">
      <c r="I1791" s="1"/>
    </row>
    <row r="1792" customFormat="false" ht="12.8" hidden="false" customHeight="false" outlineLevel="0" collapsed="false">
      <c r="I1792" s="1"/>
    </row>
    <row r="1793" customFormat="false" ht="12.8" hidden="false" customHeight="false" outlineLevel="0" collapsed="false">
      <c r="I1793" s="1"/>
    </row>
    <row r="1794" customFormat="false" ht="12.8" hidden="false" customHeight="false" outlineLevel="0" collapsed="false">
      <c r="I1794" s="1"/>
    </row>
    <row r="1795" customFormat="false" ht="12.8" hidden="false" customHeight="false" outlineLevel="0" collapsed="false">
      <c r="I1795" s="1"/>
    </row>
    <row r="1796" customFormat="false" ht="12.8" hidden="false" customHeight="false" outlineLevel="0" collapsed="false">
      <c r="I1796" s="1"/>
    </row>
    <row r="1797" customFormat="false" ht="12.8" hidden="false" customHeight="false" outlineLevel="0" collapsed="false">
      <c r="I1797" s="1"/>
    </row>
    <row r="1798" customFormat="false" ht="12.8" hidden="false" customHeight="false" outlineLevel="0" collapsed="false">
      <c r="I1798" s="1"/>
    </row>
    <row r="1799" customFormat="false" ht="12.8" hidden="false" customHeight="false" outlineLevel="0" collapsed="false">
      <c r="I1799" s="1"/>
    </row>
    <row r="1800" customFormat="false" ht="12.8" hidden="false" customHeight="false" outlineLevel="0" collapsed="false">
      <c r="I1800" s="1"/>
    </row>
    <row r="1801" customFormat="false" ht="12.8" hidden="false" customHeight="false" outlineLevel="0" collapsed="false">
      <c r="I1801" s="1"/>
    </row>
    <row r="1802" customFormat="false" ht="12.8" hidden="false" customHeight="false" outlineLevel="0" collapsed="false">
      <c r="I1802" s="1"/>
    </row>
    <row r="1803" customFormat="false" ht="12.8" hidden="false" customHeight="false" outlineLevel="0" collapsed="false">
      <c r="I1803" s="1"/>
    </row>
    <row r="1804" customFormat="false" ht="12.8" hidden="false" customHeight="false" outlineLevel="0" collapsed="false">
      <c r="I1804" s="1"/>
    </row>
    <row r="1805" customFormat="false" ht="12.8" hidden="false" customHeight="false" outlineLevel="0" collapsed="false">
      <c r="I1805" s="1"/>
    </row>
    <row r="1806" customFormat="false" ht="12.8" hidden="false" customHeight="false" outlineLevel="0" collapsed="false">
      <c r="I1806" s="1"/>
    </row>
    <row r="1807" customFormat="false" ht="12.8" hidden="false" customHeight="false" outlineLevel="0" collapsed="false">
      <c r="I1807" s="1"/>
    </row>
    <row r="1808" customFormat="false" ht="12.8" hidden="false" customHeight="false" outlineLevel="0" collapsed="false">
      <c r="I1808" s="1"/>
    </row>
    <row r="1809" customFormat="false" ht="12.8" hidden="false" customHeight="false" outlineLevel="0" collapsed="false">
      <c r="I1809" s="1"/>
    </row>
    <row r="1810" customFormat="false" ht="12.8" hidden="false" customHeight="false" outlineLevel="0" collapsed="false">
      <c r="I1810" s="1"/>
    </row>
    <row r="1811" customFormat="false" ht="12.8" hidden="false" customHeight="false" outlineLevel="0" collapsed="false">
      <c r="I1811" s="1"/>
    </row>
    <row r="1812" customFormat="false" ht="12.8" hidden="false" customHeight="false" outlineLevel="0" collapsed="false">
      <c r="I1812" s="1"/>
    </row>
    <row r="1813" customFormat="false" ht="12.8" hidden="false" customHeight="false" outlineLevel="0" collapsed="false">
      <c r="I1813" s="1"/>
    </row>
    <row r="1814" customFormat="false" ht="12.8" hidden="false" customHeight="false" outlineLevel="0" collapsed="false">
      <c r="I1814" s="1"/>
    </row>
    <row r="1815" customFormat="false" ht="12.8" hidden="false" customHeight="false" outlineLevel="0" collapsed="false">
      <c r="I1815" s="1"/>
    </row>
    <row r="1816" customFormat="false" ht="12.8" hidden="false" customHeight="false" outlineLevel="0" collapsed="false">
      <c r="I1816" s="1"/>
    </row>
    <row r="1817" customFormat="false" ht="12.8" hidden="false" customHeight="false" outlineLevel="0" collapsed="false">
      <c r="I1817" s="1"/>
    </row>
    <row r="1818" customFormat="false" ht="12.8" hidden="false" customHeight="false" outlineLevel="0" collapsed="false">
      <c r="I1818" s="1"/>
    </row>
    <row r="1819" customFormat="false" ht="12.8" hidden="false" customHeight="false" outlineLevel="0" collapsed="false">
      <c r="I1819" s="1"/>
    </row>
    <row r="1820" customFormat="false" ht="12.8" hidden="false" customHeight="false" outlineLevel="0" collapsed="false">
      <c r="I1820" s="1"/>
    </row>
    <row r="1821" customFormat="false" ht="12.8" hidden="false" customHeight="false" outlineLevel="0" collapsed="false">
      <c r="I1821" s="1"/>
    </row>
    <row r="1822" customFormat="false" ht="12.8" hidden="false" customHeight="false" outlineLevel="0" collapsed="false">
      <c r="I1822" s="1"/>
    </row>
    <row r="1823" customFormat="false" ht="12.8" hidden="false" customHeight="false" outlineLevel="0" collapsed="false">
      <c r="I1823" s="1"/>
    </row>
    <row r="1824" customFormat="false" ht="12.8" hidden="false" customHeight="false" outlineLevel="0" collapsed="false">
      <c r="I1824" s="1"/>
    </row>
    <row r="1825" customFormat="false" ht="12.8" hidden="false" customHeight="false" outlineLevel="0" collapsed="false">
      <c r="I1825" s="1"/>
    </row>
    <row r="1826" customFormat="false" ht="12.8" hidden="false" customHeight="false" outlineLevel="0" collapsed="false">
      <c r="I1826" s="1"/>
    </row>
    <row r="1827" customFormat="false" ht="12.8" hidden="false" customHeight="false" outlineLevel="0" collapsed="false">
      <c r="I1827" s="1"/>
    </row>
    <row r="1828" customFormat="false" ht="12.8" hidden="false" customHeight="false" outlineLevel="0" collapsed="false">
      <c r="I1828" s="1"/>
    </row>
    <row r="1829" customFormat="false" ht="12.8" hidden="false" customHeight="false" outlineLevel="0" collapsed="false">
      <c r="I1829" s="1"/>
    </row>
    <row r="1830" customFormat="false" ht="12.8" hidden="false" customHeight="false" outlineLevel="0" collapsed="false">
      <c r="I1830" s="1"/>
    </row>
    <row r="1831" customFormat="false" ht="12.8" hidden="false" customHeight="false" outlineLevel="0" collapsed="false">
      <c r="I1831" s="1"/>
    </row>
    <row r="1832" customFormat="false" ht="12.8" hidden="false" customHeight="false" outlineLevel="0" collapsed="false">
      <c r="I1832" s="1"/>
    </row>
    <row r="1833" customFormat="false" ht="12.8" hidden="false" customHeight="false" outlineLevel="0" collapsed="false">
      <c r="I1833" s="1"/>
    </row>
    <row r="1834" customFormat="false" ht="12.8" hidden="false" customHeight="false" outlineLevel="0" collapsed="false">
      <c r="I1834" s="1"/>
    </row>
    <row r="1835" customFormat="false" ht="12.8" hidden="false" customHeight="false" outlineLevel="0" collapsed="false">
      <c r="I1835" s="1"/>
    </row>
    <row r="1836" customFormat="false" ht="12.8" hidden="false" customHeight="false" outlineLevel="0" collapsed="false">
      <c r="I1836" s="1"/>
    </row>
    <row r="1837" customFormat="false" ht="12.8" hidden="false" customHeight="false" outlineLevel="0" collapsed="false">
      <c r="I1837" s="1"/>
    </row>
    <row r="1838" customFormat="false" ht="12.8" hidden="false" customHeight="false" outlineLevel="0" collapsed="false">
      <c r="I1838" s="1"/>
    </row>
    <row r="1839" customFormat="false" ht="12.8" hidden="false" customHeight="false" outlineLevel="0" collapsed="false">
      <c r="I1839" s="1"/>
    </row>
    <row r="1840" customFormat="false" ht="12.8" hidden="false" customHeight="false" outlineLevel="0" collapsed="false">
      <c r="I1840" s="1"/>
    </row>
    <row r="1841" customFormat="false" ht="12.8" hidden="false" customHeight="false" outlineLevel="0" collapsed="false">
      <c r="I1841" s="1"/>
    </row>
    <row r="1842" customFormat="false" ht="12.8" hidden="false" customHeight="false" outlineLevel="0" collapsed="false">
      <c r="I1842" s="1"/>
    </row>
    <row r="1843" customFormat="false" ht="12.8" hidden="false" customHeight="false" outlineLevel="0" collapsed="false">
      <c r="I1843" s="1"/>
    </row>
    <row r="1844" customFormat="false" ht="12.8" hidden="false" customHeight="false" outlineLevel="0" collapsed="false">
      <c r="I1844" s="1"/>
    </row>
    <row r="1845" customFormat="false" ht="12.8" hidden="false" customHeight="false" outlineLevel="0" collapsed="false">
      <c r="I1845" s="1"/>
    </row>
    <row r="1846" customFormat="false" ht="12.8" hidden="false" customHeight="false" outlineLevel="0" collapsed="false">
      <c r="I1846" s="1"/>
    </row>
    <row r="1847" customFormat="false" ht="12.8" hidden="false" customHeight="false" outlineLevel="0" collapsed="false">
      <c r="I1847" s="1"/>
    </row>
    <row r="1848" customFormat="false" ht="12.8" hidden="false" customHeight="false" outlineLevel="0" collapsed="false">
      <c r="I1848" s="1"/>
    </row>
    <row r="1849" customFormat="false" ht="12.8" hidden="false" customHeight="false" outlineLevel="0" collapsed="false">
      <c r="I1849" s="1"/>
    </row>
    <row r="1850" customFormat="false" ht="12.8" hidden="false" customHeight="false" outlineLevel="0" collapsed="false">
      <c r="I1850" s="1"/>
    </row>
    <row r="1851" customFormat="false" ht="12.8" hidden="false" customHeight="false" outlineLevel="0" collapsed="false">
      <c r="I1851" s="1"/>
    </row>
    <row r="1852" customFormat="false" ht="12.8" hidden="false" customHeight="false" outlineLevel="0" collapsed="false">
      <c r="I1852" s="1"/>
    </row>
    <row r="1853" customFormat="false" ht="12.8" hidden="false" customHeight="false" outlineLevel="0" collapsed="false">
      <c r="I1853" s="1"/>
    </row>
    <row r="1854" customFormat="false" ht="12.8" hidden="false" customHeight="false" outlineLevel="0" collapsed="false">
      <c r="I1854" s="1"/>
    </row>
    <row r="1855" customFormat="false" ht="12.8" hidden="false" customHeight="false" outlineLevel="0" collapsed="false">
      <c r="I1855" s="1"/>
    </row>
    <row r="1856" customFormat="false" ht="12.8" hidden="false" customHeight="false" outlineLevel="0" collapsed="false">
      <c r="I1856" s="1"/>
    </row>
    <row r="1857" customFormat="false" ht="12.8" hidden="false" customHeight="false" outlineLevel="0" collapsed="false">
      <c r="I1857" s="1"/>
    </row>
    <row r="1858" customFormat="false" ht="12.8" hidden="false" customHeight="false" outlineLevel="0" collapsed="false">
      <c r="I1858" s="1"/>
    </row>
    <row r="1859" customFormat="false" ht="12.8" hidden="false" customHeight="false" outlineLevel="0" collapsed="false">
      <c r="I1859" s="1"/>
    </row>
    <row r="1860" customFormat="false" ht="12.8" hidden="false" customHeight="false" outlineLevel="0" collapsed="false">
      <c r="I1860" s="1"/>
    </row>
    <row r="1861" customFormat="false" ht="12.8" hidden="false" customHeight="false" outlineLevel="0" collapsed="false">
      <c r="I1861" s="1"/>
    </row>
    <row r="1862" customFormat="false" ht="12.8" hidden="false" customHeight="false" outlineLevel="0" collapsed="false">
      <c r="I1862" s="1"/>
    </row>
    <row r="1863" customFormat="false" ht="12.8" hidden="false" customHeight="false" outlineLevel="0" collapsed="false">
      <c r="I1863" s="1"/>
    </row>
    <row r="1864" customFormat="false" ht="12.8" hidden="false" customHeight="false" outlineLevel="0" collapsed="false">
      <c r="I1864" s="1"/>
    </row>
    <row r="1865" customFormat="false" ht="12.8" hidden="false" customHeight="false" outlineLevel="0" collapsed="false">
      <c r="I1865" s="1"/>
    </row>
    <row r="1866" customFormat="false" ht="12.8" hidden="false" customHeight="false" outlineLevel="0" collapsed="false">
      <c r="I1866" s="1"/>
    </row>
    <row r="1867" customFormat="false" ht="12.8" hidden="false" customHeight="false" outlineLevel="0" collapsed="false">
      <c r="I1867" s="1"/>
    </row>
    <row r="1868" customFormat="false" ht="12.8" hidden="false" customHeight="false" outlineLevel="0" collapsed="false">
      <c r="I1868" s="1"/>
    </row>
    <row r="1869" customFormat="false" ht="12.8" hidden="false" customHeight="false" outlineLevel="0" collapsed="false">
      <c r="I1869" s="1"/>
    </row>
    <row r="1870" customFormat="false" ht="12.8" hidden="false" customHeight="false" outlineLevel="0" collapsed="false">
      <c r="I1870" s="1"/>
    </row>
    <row r="1871" customFormat="false" ht="12.8" hidden="false" customHeight="false" outlineLevel="0" collapsed="false">
      <c r="I1871" s="1"/>
    </row>
    <row r="1872" customFormat="false" ht="12.8" hidden="false" customHeight="false" outlineLevel="0" collapsed="false">
      <c r="I1872" s="1"/>
    </row>
    <row r="1873" customFormat="false" ht="12.8" hidden="false" customHeight="false" outlineLevel="0" collapsed="false">
      <c r="I1873" s="1"/>
    </row>
    <row r="1874" customFormat="false" ht="12.8" hidden="false" customHeight="false" outlineLevel="0" collapsed="false">
      <c r="I1874" s="1"/>
    </row>
    <row r="1875" customFormat="false" ht="12.8" hidden="false" customHeight="false" outlineLevel="0" collapsed="false">
      <c r="I1875" s="1"/>
    </row>
    <row r="1876" customFormat="false" ht="12.8" hidden="false" customHeight="false" outlineLevel="0" collapsed="false">
      <c r="I1876" s="1"/>
    </row>
    <row r="1877" customFormat="false" ht="12.8" hidden="false" customHeight="false" outlineLevel="0" collapsed="false">
      <c r="I1877" s="1"/>
    </row>
    <row r="1878" customFormat="false" ht="12.8" hidden="false" customHeight="false" outlineLevel="0" collapsed="false">
      <c r="I1878" s="1"/>
    </row>
    <row r="1879" customFormat="false" ht="12.8" hidden="false" customHeight="false" outlineLevel="0" collapsed="false">
      <c r="I1879" s="1"/>
    </row>
    <row r="1880" customFormat="false" ht="12.8" hidden="false" customHeight="false" outlineLevel="0" collapsed="false">
      <c r="I1880" s="1"/>
    </row>
    <row r="1881" customFormat="false" ht="12.8" hidden="false" customHeight="false" outlineLevel="0" collapsed="false">
      <c r="I1881" s="1"/>
    </row>
    <row r="1882" customFormat="false" ht="12.8" hidden="false" customHeight="false" outlineLevel="0" collapsed="false">
      <c r="I1882" s="1"/>
    </row>
    <row r="1883" customFormat="false" ht="12.8" hidden="false" customHeight="false" outlineLevel="0" collapsed="false">
      <c r="I1883" s="1"/>
    </row>
    <row r="1884" customFormat="false" ht="12.8" hidden="false" customHeight="false" outlineLevel="0" collapsed="false">
      <c r="I1884" s="1"/>
    </row>
    <row r="1885" customFormat="false" ht="12.8" hidden="false" customHeight="false" outlineLevel="0" collapsed="false">
      <c r="I1885" s="1"/>
    </row>
    <row r="1886" customFormat="false" ht="12.8" hidden="false" customHeight="false" outlineLevel="0" collapsed="false">
      <c r="I1886" s="1"/>
    </row>
    <row r="1887" customFormat="false" ht="12.8" hidden="false" customHeight="false" outlineLevel="0" collapsed="false">
      <c r="I1887" s="1"/>
    </row>
    <row r="1888" customFormat="false" ht="12.8" hidden="false" customHeight="false" outlineLevel="0" collapsed="false">
      <c r="I1888" s="1"/>
    </row>
    <row r="1889" customFormat="false" ht="12.8" hidden="false" customHeight="false" outlineLevel="0" collapsed="false">
      <c r="I1889" s="1"/>
    </row>
    <row r="1890" customFormat="false" ht="12.8" hidden="false" customHeight="false" outlineLevel="0" collapsed="false">
      <c r="I1890" s="1"/>
    </row>
    <row r="1891" customFormat="false" ht="12.8" hidden="false" customHeight="false" outlineLevel="0" collapsed="false">
      <c r="I1891" s="1"/>
    </row>
    <row r="1892" customFormat="false" ht="12.8" hidden="false" customHeight="false" outlineLevel="0" collapsed="false">
      <c r="I1892" s="1"/>
    </row>
    <row r="1893" customFormat="false" ht="12.8" hidden="false" customHeight="false" outlineLevel="0" collapsed="false">
      <c r="I1893" s="1"/>
    </row>
    <row r="1894" customFormat="false" ht="12.8" hidden="false" customHeight="false" outlineLevel="0" collapsed="false">
      <c r="I1894" s="1"/>
    </row>
    <row r="1895" customFormat="false" ht="12.8" hidden="false" customHeight="false" outlineLevel="0" collapsed="false">
      <c r="I1895" s="1"/>
    </row>
    <row r="1896" customFormat="false" ht="12.8" hidden="false" customHeight="false" outlineLevel="0" collapsed="false">
      <c r="I1896" s="1"/>
    </row>
    <row r="1897" customFormat="false" ht="12.8" hidden="false" customHeight="false" outlineLevel="0" collapsed="false">
      <c r="I1897" s="1"/>
    </row>
    <row r="1898" customFormat="false" ht="12.8" hidden="false" customHeight="false" outlineLevel="0" collapsed="false">
      <c r="I1898" s="1"/>
    </row>
    <row r="1899" customFormat="false" ht="12.8" hidden="false" customHeight="false" outlineLevel="0" collapsed="false">
      <c r="I1899" s="1"/>
    </row>
    <row r="1900" customFormat="false" ht="12.8" hidden="false" customHeight="false" outlineLevel="0" collapsed="false">
      <c r="I1900" s="1"/>
    </row>
    <row r="1901" customFormat="false" ht="12.8" hidden="false" customHeight="false" outlineLevel="0" collapsed="false">
      <c r="I1901" s="1"/>
    </row>
    <row r="1902" customFormat="false" ht="12.8" hidden="false" customHeight="false" outlineLevel="0" collapsed="false">
      <c r="I1902" s="1"/>
    </row>
    <row r="1903" customFormat="false" ht="12.8" hidden="false" customHeight="false" outlineLevel="0" collapsed="false">
      <c r="I1903" s="1"/>
    </row>
    <row r="1904" customFormat="false" ht="12.8" hidden="false" customHeight="false" outlineLevel="0" collapsed="false">
      <c r="I1904" s="1"/>
    </row>
    <row r="1905" customFormat="false" ht="12.8" hidden="false" customHeight="false" outlineLevel="0" collapsed="false">
      <c r="I1905" s="1"/>
    </row>
    <row r="1906" customFormat="false" ht="12.8" hidden="false" customHeight="false" outlineLevel="0" collapsed="false">
      <c r="I1906" s="1"/>
    </row>
    <row r="1907" customFormat="false" ht="12.8" hidden="false" customHeight="false" outlineLevel="0" collapsed="false">
      <c r="I1907" s="1"/>
    </row>
    <row r="1908" customFormat="false" ht="12.8" hidden="false" customHeight="false" outlineLevel="0" collapsed="false">
      <c r="I1908" s="1"/>
    </row>
    <row r="1909" customFormat="false" ht="12.8" hidden="false" customHeight="false" outlineLevel="0" collapsed="false">
      <c r="I1909" s="1"/>
    </row>
    <row r="1910" customFormat="false" ht="12.8" hidden="false" customHeight="false" outlineLevel="0" collapsed="false">
      <c r="I1910" s="1"/>
    </row>
    <row r="1911" customFormat="false" ht="12.8" hidden="false" customHeight="false" outlineLevel="0" collapsed="false">
      <c r="I1911" s="1"/>
    </row>
    <row r="1912" customFormat="false" ht="12.8" hidden="false" customHeight="false" outlineLevel="0" collapsed="false">
      <c r="I1912" s="1"/>
    </row>
    <row r="1913" customFormat="false" ht="12.8" hidden="false" customHeight="false" outlineLevel="0" collapsed="false">
      <c r="I1913" s="1"/>
    </row>
    <row r="1914" customFormat="false" ht="12.8" hidden="false" customHeight="false" outlineLevel="0" collapsed="false">
      <c r="I1914" s="1"/>
    </row>
    <row r="1915" customFormat="false" ht="12.8" hidden="false" customHeight="false" outlineLevel="0" collapsed="false">
      <c r="I1915" s="1"/>
    </row>
    <row r="1916" customFormat="false" ht="12.8" hidden="false" customHeight="false" outlineLevel="0" collapsed="false">
      <c r="I1916" s="1"/>
    </row>
    <row r="1917" customFormat="false" ht="12.8" hidden="false" customHeight="false" outlineLevel="0" collapsed="false">
      <c r="I1917" s="1"/>
    </row>
    <row r="1918" customFormat="false" ht="12.8" hidden="false" customHeight="false" outlineLevel="0" collapsed="false">
      <c r="I1918" s="1"/>
    </row>
    <row r="1919" customFormat="false" ht="12.8" hidden="false" customHeight="false" outlineLevel="0" collapsed="false">
      <c r="I1919" s="1"/>
    </row>
    <row r="1920" customFormat="false" ht="12.8" hidden="false" customHeight="false" outlineLevel="0" collapsed="false">
      <c r="I1920" s="1"/>
    </row>
    <row r="1921" customFormat="false" ht="12.8" hidden="false" customHeight="false" outlineLevel="0" collapsed="false">
      <c r="I1921" s="1"/>
    </row>
    <row r="1922" customFormat="false" ht="12.8" hidden="false" customHeight="false" outlineLevel="0" collapsed="false">
      <c r="I1922" s="1"/>
    </row>
    <row r="1923" customFormat="false" ht="12.8" hidden="false" customHeight="false" outlineLevel="0" collapsed="false">
      <c r="I1923" s="1"/>
    </row>
    <row r="1924" customFormat="false" ht="12.8" hidden="false" customHeight="false" outlineLevel="0" collapsed="false">
      <c r="I1924" s="1"/>
    </row>
    <row r="1925" customFormat="false" ht="12.8" hidden="false" customHeight="false" outlineLevel="0" collapsed="false">
      <c r="I1925" s="1"/>
    </row>
    <row r="1926" customFormat="false" ht="12.8" hidden="false" customHeight="false" outlineLevel="0" collapsed="false">
      <c r="I1926" s="1"/>
    </row>
    <row r="1927" customFormat="false" ht="12.8" hidden="false" customHeight="false" outlineLevel="0" collapsed="false">
      <c r="I1927" s="1"/>
    </row>
    <row r="1928" customFormat="false" ht="12.8" hidden="false" customHeight="false" outlineLevel="0" collapsed="false">
      <c r="I1928" s="1"/>
    </row>
    <row r="1929" customFormat="false" ht="12.8" hidden="false" customHeight="false" outlineLevel="0" collapsed="false">
      <c r="I1929" s="1"/>
    </row>
    <row r="1930" customFormat="false" ht="12.8" hidden="false" customHeight="false" outlineLevel="0" collapsed="false">
      <c r="I1930" s="1"/>
    </row>
    <row r="1931" customFormat="false" ht="12.8" hidden="false" customHeight="false" outlineLevel="0" collapsed="false">
      <c r="I1931" s="1"/>
    </row>
    <row r="1932" customFormat="false" ht="12.8" hidden="false" customHeight="false" outlineLevel="0" collapsed="false">
      <c r="I1932" s="1"/>
    </row>
    <row r="1933" customFormat="false" ht="12.8" hidden="false" customHeight="false" outlineLevel="0" collapsed="false">
      <c r="I1933" s="1"/>
    </row>
    <row r="1934" customFormat="false" ht="12.8" hidden="false" customHeight="false" outlineLevel="0" collapsed="false">
      <c r="I1934" s="1"/>
    </row>
    <row r="1935" customFormat="false" ht="12.8" hidden="false" customHeight="false" outlineLevel="0" collapsed="false">
      <c r="I1935" s="1"/>
    </row>
    <row r="1936" customFormat="false" ht="12.8" hidden="false" customHeight="false" outlineLevel="0" collapsed="false">
      <c r="I1936" s="1"/>
    </row>
    <row r="1937" customFormat="false" ht="12.8" hidden="false" customHeight="false" outlineLevel="0" collapsed="false">
      <c r="I1937" s="1"/>
    </row>
    <row r="1938" customFormat="false" ht="12.8" hidden="false" customHeight="false" outlineLevel="0" collapsed="false">
      <c r="I1938" s="1"/>
    </row>
    <row r="1939" customFormat="false" ht="12.8" hidden="false" customHeight="false" outlineLevel="0" collapsed="false">
      <c r="I1939" s="1"/>
    </row>
    <row r="1940" customFormat="false" ht="12.8" hidden="false" customHeight="false" outlineLevel="0" collapsed="false">
      <c r="I1940" s="1"/>
    </row>
    <row r="1941" customFormat="false" ht="12.8" hidden="false" customHeight="false" outlineLevel="0" collapsed="false">
      <c r="I1941" s="1"/>
    </row>
    <row r="1942" customFormat="false" ht="12.8" hidden="false" customHeight="false" outlineLevel="0" collapsed="false">
      <c r="I1942" s="1"/>
    </row>
    <row r="1943" customFormat="false" ht="12.8" hidden="false" customHeight="false" outlineLevel="0" collapsed="false">
      <c r="I1943" s="1"/>
    </row>
    <row r="1944" customFormat="false" ht="12.8" hidden="false" customHeight="false" outlineLevel="0" collapsed="false">
      <c r="I1944" s="1"/>
    </row>
    <row r="1945" customFormat="false" ht="12.8" hidden="false" customHeight="false" outlineLevel="0" collapsed="false">
      <c r="I1945" s="1"/>
    </row>
    <row r="1946" customFormat="false" ht="12.8" hidden="false" customHeight="false" outlineLevel="0" collapsed="false">
      <c r="I1946" s="1"/>
    </row>
    <row r="1947" customFormat="false" ht="12.8" hidden="false" customHeight="false" outlineLevel="0" collapsed="false">
      <c r="I1947" s="1"/>
    </row>
    <row r="1948" customFormat="false" ht="12.8" hidden="false" customHeight="false" outlineLevel="0" collapsed="false">
      <c r="I1948" s="1"/>
    </row>
    <row r="1949" customFormat="false" ht="12.8" hidden="false" customHeight="false" outlineLevel="0" collapsed="false">
      <c r="I1949" s="1"/>
    </row>
    <row r="1950" customFormat="false" ht="12.8" hidden="false" customHeight="false" outlineLevel="0" collapsed="false">
      <c r="I1950" s="1"/>
    </row>
    <row r="1951" customFormat="false" ht="12.8" hidden="false" customHeight="false" outlineLevel="0" collapsed="false">
      <c r="I1951" s="1"/>
    </row>
    <row r="1952" customFormat="false" ht="12.8" hidden="false" customHeight="false" outlineLevel="0" collapsed="false">
      <c r="I1952" s="1"/>
    </row>
    <row r="1953" customFormat="false" ht="12.8" hidden="false" customHeight="false" outlineLevel="0" collapsed="false">
      <c r="I1953" s="1"/>
    </row>
    <row r="1954" customFormat="false" ht="12.8" hidden="false" customHeight="false" outlineLevel="0" collapsed="false">
      <c r="I1954" s="1"/>
    </row>
    <row r="1955" customFormat="false" ht="12.8" hidden="false" customHeight="false" outlineLevel="0" collapsed="false">
      <c r="I1955" s="1"/>
    </row>
    <row r="1956" customFormat="false" ht="12.8" hidden="false" customHeight="false" outlineLevel="0" collapsed="false">
      <c r="I1956" s="1"/>
    </row>
    <row r="1957" customFormat="false" ht="12.8" hidden="false" customHeight="false" outlineLevel="0" collapsed="false">
      <c r="I1957" s="1"/>
    </row>
    <row r="1958" customFormat="false" ht="12.8" hidden="false" customHeight="false" outlineLevel="0" collapsed="false">
      <c r="I1958" s="1"/>
    </row>
    <row r="1959" customFormat="false" ht="12.8" hidden="false" customHeight="false" outlineLevel="0" collapsed="false">
      <c r="I1959" s="1"/>
    </row>
    <row r="1960" customFormat="false" ht="12.8" hidden="false" customHeight="false" outlineLevel="0" collapsed="false">
      <c r="I1960" s="1"/>
    </row>
    <row r="1961" customFormat="false" ht="12.8" hidden="false" customHeight="false" outlineLevel="0" collapsed="false">
      <c r="I1961" s="1"/>
    </row>
    <row r="1962" customFormat="false" ht="12.8" hidden="false" customHeight="false" outlineLevel="0" collapsed="false">
      <c r="I1962" s="1"/>
    </row>
    <row r="1963" customFormat="false" ht="12.8" hidden="false" customHeight="false" outlineLevel="0" collapsed="false">
      <c r="I1963" s="1"/>
    </row>
    <row r="1964" customFormat="false" ht="12.8" hidden="false" customHeight="false" outlineLevel="0" collapsed="false">
      <c r="I1964" s="1"/>
    </row>
    <row r="1965" customFormat="false" ht="12.8" hidden="false" customHeight="false" outlineLevel="0" collapsed="false">
      <c r="I1965" s="1"/>
    </row>
    <row r="1966" customFormat="false" ht="12.8" hidden="false" customHeight="false" outlineLevel="0" collapsed="false">
      <c r="I1966" s="1"/>
    </row>
    <row r="1967" customFormat="false" ht="12.8" hidden="false" customHeight="false" outlineLevel="0" collapsed="false">
      <c r="I1967" s="1"/>
    </row>
    <row r="1968" customFormat="false" ht="12.8" hidden="false" customHeight="false" outlineLevel="0" collapsed="false">
      <c r="I1968" s="1"/>
    </row>
    <row r="1969" customFormat="false" ht="12.8" hidden="false" customHeight="false" outlineLevel="0" collapsed="false">
      <c r="I1969" s="1"/>
    </row>
    <row r="1970" customFormat="false" ht="12.8" hidden="false" customHeight="false" outlineLevel="0" collapsed="false">
      <c r="I1970" s="1"/>
    </row>
    <row r="1971" customFormat="false" ht="12.8" hidden="false" customHeight="false" outlineLevel="0" collapsed="false">
      <c r="I1971" s="1"/>
    </row>
    <row r="1972" customFormat="false" ht="12.8" hidden="false" customHeight="false" outlineLevel="0" collapsed="false">
      <c r="I1972" s="1"/>
    </row>
    <row r="1973" customFormat="false" ht="12.8" hidden="false" customHeight="false" outlineLevel="0" collapsed="false">
      <c r="I1973" s="1"/>
    </row>
    <row r="1974" customFormat="false" ht="12.8" hidden="false" customHeight="false" outlineLevel="0" collapsed="false">
      <c r="I1974" s="1"/>
    </row>
    <row r="1975" customFormat="false" ht="12.8" hidden="false" customHeight="false" outlineLevel="0" collapsed="false">
      <c r="I1975" s="1"/>
    </row>
    <row r="1976" customFormat="false" ht="12.8" hidden="false" customHeight="false" outlineLevel="0" collapsed="false">
      <c r="I1976" s="1"/>
    </row>
    <row r="1977" customFormat="false" ht="12.8" hidden="false" customHeight="false" outlineLevel="0" collapsed="false">
      <c r="I1977" s="1"/>
    </row>
    <row r="1978" customFormat="false" ht="12.8" hidden="false" customHeight="false" outlineLevel="0" collapsed="false">
      <c r="I1978" s="1"/>
    </row>
    <row r="1979" customFormat="false" ht="12.8" hidden="false" customHeight="false" outlineLevel="0" collapsed="false">
      <c r="I1979" s="1"/>
    </row>
    <row r="1980" customFormat="false" ht="12.8" hidden="false" customHeight="false" outlineLevel="0" collapsed="false">
      <c r="I1980" s="1"/>
    </row>
    <row r="1981" customFormat="false" ht="12.8" hidden="false" customHeight="false" outlineLevel="0" collapsed="false">
      <c r="I1981" s="1"/>
    </row>
    <row r="1982" customFormat="false" ht="12.8" hidden="false" customHeight="false" outlineLevel="0" collapsed="false">
      <c r="I1982" s="1"/>
    </row>
    <row r="1983" customFormat="false" ht="12.8" hidden="false" customHeight="false" outlineLevel="0" collapsed="false">
      <c r="I1983" s="1"/>
    </row>
    <row r="1984" customFormat="false" ht="12.8" hidden="false" customHeight="false" outlineLevel="0" collapsed="false">
      <c r="I1984" s="1"/>
    </row>
    <row r="1985" customFormat="false" ht="12.8" hidden="false" customHeight="false" outlineLevel="0" collapsed="false">
      <c r="I1985" s="1"/>
    </row>
    <row r="1986" customFormat="false" ht="12.8" hidden="false" customHeight="false" outlineLevel="0" collapsed="false">
      <c r="I1986" s="1"/>
    </row>
    <row r="1987" customFormat="false" ht="12.8" hidden="false" customHeight="false" outlineLevel="0" collapsed="false">
      <c r="I1987" s="1"/>
    </row>
    <row r="1988" customFormat="false" ht="12.8" hidden="false" customHeight="false" outlineLevel="0" collapsed="false">
      <c r="I1988" s="1"/>
    </row>
    <row r="1989" customFormat="false" ht="12.8" hidden="false" customHeight="false" outlineLevel="0" collapsed="false">
      <c r="I1989" s="1"/>
    </row>
    <row r="1990" customFormat="false" ht="12.8" hidden="false" customHeight="false" outlineLevel="0" collapsed="false">
      <c r="I1990" s="1"/>
    </row>
    <row r="1991" customFormat="false" ht="12.8" hidden="false" customHeight="false" outlineLevel="0" collapsed="false">
      <c r="I1991" s="1"/>
    </row>
    <row r="1992" customFormat="false" ht="12.8" hidden="false" customHeight="false" outlineLevel="0" collapsed="false">
      <c r="I1992" s="1"/>
    </row>
    <row r="1993" customFormat="false" ht="12.8" hidden="false" customHeight="false" outlineLevel="0" collapsed="false">
      <c r="I1993" s="1"/>
    </row>
    <row r="1994" customFormat="false" ht="12.8" hidden="false" customHeight="false" outlineLevel="0" collapsed="false">
      <c r="I1994" s="1"/>
    </row>
    <row r="1995" customFormat="false" ht="12.8" hidden="false" customHeight="false" outlineLevel="0" collapsed="false">
      <c r="I1995" s="1"/>
    </row>
    <row r="1996" customFormat="false" ht="12.8" hidden="false" customHeight="false" outlineLevel="0" collapsed="false">
      <c r="I1996" s="1"/>
    </row>
    <row r="1997" customFormat="false" ht="12.8" hidden="false" customHeight="false" outlineLevel="0" collapsed="false">
      <c r="I1997" s="1"/>
    </row>
    <row r="1998" customFormat="false" ht="12.8" hidden="false" customHeight="false" outlineLevel="0" collapsed="false">
      <c r="I1998" s="1"/>
    </row>
    <row r="1999" customFormat="false" ht="12.8" hidden="false" customHeight="false" outlineLevel="0" collapsed="false">
      <c r="I1999" s="1"/>
    </row>
    <row r="2000" customFormat="false" ht="12.8" hidden="false" customHeight="false" outlineLevel="0" collapsed="false">
      <c r="I2000" s="1"/>
    </row>
    <row r="2001" customFormat="false" ht="12.8" hidden="false" customHeight="false" outlineLevel="0" collapsed="false">
      <c r="I2001" s="1"/>
    </row>
    <row r="2002" customFormat="false" ht="12.8" hidden="false" customHeight="false" outlineLevel="0" collapsed="false">
      <c r="I2002" s="1"/>
    </row>
    <row r="2003" customFormat="false" ht="12.8" hidden="false" customHeight="false" outlineLevel="0" collapsed="false">
      <c r="I2003" s="1"/>
    </row>
    <row r="2004" customFormat="false" ht="12.8" hidden="false" customHeight="false" outlineLevel="0" collapsed="false">
      <c r="I2004" s="1"/>
    </row>
    <row r="2005" customFormat="false" ht="12.8" hidden="false" customHeight="false" outlineLevel="0" collapsed="false">
      <c r="I2005" s="1"/>
    </row>
    <row r="2006" customFormat="false" ht="12.8" hidden="false" customHeight="false" outlineLevel="0" collapsed="false">
      <c r="I2006" s="1"/>
    </row>
    <row r="2007" customFormat="false" ht="12.8" hidden="false" customHeight="false" outlineLevel="0" collapsed="false">
      <c r="I2007" s="1"/>
    </row>
    <row r="2008" customFormat="false" ht="12.8" hidden="false" customHeight="false" outlineLevel="0" collapsed="false">
      <c r="I2008" s="1"/>
    </row>
    <row r="2009" customFormat="false" ht="12.8" hidden="false" customHeight="false" outlineLevel="0" collapsed="false">
      <c r="I2009" s="1"/>
    </row>
    <row r="2010" customFormat="false" ht="12.8" hidden="false" customHeight="false" outlineLevel="0" collapsed="false">
      <c r="I2010" s="1"/>
    </row>
    <row r="2011" customFormat="false" ht="12.8" hidden="false" customHeight="false" outlineLevel="0" collapsed="false">
      <c r="I2011" s="1"/>
    </row>
    <row r="2012" customFormat="false" ht="12.8" hidden="false" customHeight="false" outlineLevel="0" collapsed="false">
      <c r="I2012" s="1"/>
    </row>
    <row r="2013" customFormat="false" ht="12.8" hidden="false" customHeight="false" outlineLevel="0" collapsed="false">
      <c r="I2013" s="1"/>
    </row>
    <row r="2014" customFormat="false" ht="12.8" hidden="false" customHeight="false" outlineLevel="0" collapsed="false">
      <c r="I2014" s="1"/>
    </row>
    <row r="2015" customFormat="false" ht="12.8" hidden="false" customHeight="false" outlineLevel="0" collapsed="false">
      <c r="I2015" s="1"/>
    </row>
    <row r="2016" customFormat="false" ht="12.8" hidden="false" customHeight="false" outlineLevel="0" collapsed="false">
      <c r="I2016" s="1"/>
    </row>
    <row r="2017" customFormat="false" ht="12.8" hidden="false" customHeight="false" outlineLevel="0" collapsed="false">
      <c r="I2017" s="1"/>
    </row>
    <row r="2018" customFormat="false" ht="12.8" hidden="false" customHeight="false" outlineLevel="0" collapsed="false">
      <c r="I2018" s="1"/>
    </row>
    <row r="2019" customFormat="false" ht="12.8" hidden="false" customHeight="false" outlineLevel="0" collapsed="false">
      <c r="I2019" s="1"/>
    </row>
    <row r="2020" customFormat="false" ht="12.8" hidden="false" customHeight="false" outlineLevel="0" collapsed="false">
      <c r="I2020" s="1"/>
    </row>
    <row r="2021" customFormat="false" ht="12.8" hidden="false" customHeight="false" outlineLevel="0" collapsed="false">
      <c r="I2021" s="1"/>
    </row>
    <row r="2022" customFormat="false" ht="12.8" hidden="false" customHeight="false" outlineLevel="0" collapsed="false">
      <c r="I2022" s="1"/>
    </row>
    <row r="2023" customFormat="false" ht="12.8" hidden="false" customHeight="false" outlineLevel="0" collapsed="false">
      <c r="I2023" s="1"/>
    </row>
    <row r="2024" customFormat="false" ht="12.8" hidden="false" customHeight="false" outlineLevel="0" collapsed="false">
      <c r="I2024" s="1"/>
    </row>
    <row r="2025" customFormat="false" ht="12.8" hidden="false" customHeight="false" outlineLevel="0" collapsed="false">
      <c r="I2025" s="1"/>
    </row>
    <row r="2026" customFormat="false" ht="12.8" hidden="false" customHeight="false" outlineLevel="0" collapsed="false">
      <c r="I2026" s="1"/>
    </row>
    <row r="2027" customFormat="false" ht="12.8" hidden="false" customHeight="false" outlineLevel="0" collapsed="false">
      <c r="I2027" s="1"/>
    </row>
    <row r="2028" customFormat="false" ht="12.8" hidden="false" customHeight="false" outlineLevel="0" collapsed="false">
      <c r="I2028" s="1"/>
    </row>
    <row r="2029" customFormat="false" ht="12.8" hidden="false" customHeight="false" outlineLevel="0" collapsed="false">
      <c r="I2029" s="1"/>
    </row>
    <row r="2030" customFormat="false" ht="12.8" hidden="false" customHeight="false" outlineLevel="0" collapsed="false">
      <c r="I2030" s="1"/>
    </row>
    <row r="2031" customFormat="false" ht="12.8" hidden="false" customHeight="false" outlineLevel="0" collapsed="false">
      <c r="I2031" s="1"/>
    </row>
    <row r="2032" customFormat="false" ht="12.8" hidden="false" customHeight="false" outlineLevel="0" collapsed="false">
      <c r="I2032" s="1"/>
    </row>
    <row r="2033" customFormat="false" ht="12.8" hidden="false" customHeight="false" outlineLevel="0" collapsed="false">
      <c r="I2033" s="1"/>
    </row>
    <row r="2034" customFormat="false" ht="12.8" hidden="false" customHeight="false" outlineLevel="0" collapsed="false">
      <c r="I2034" s="1"/>
    </row>
    <row r="2035" customFormat="false" ht="12.8" hidden="false" customHeight="false" outlineLevel="0" collapsed="false">
      <c r="I2035" s="1"/>
    </row>
    <row r="2036" customFormat="false" ht="12.8" hidden="false" customHeight="false" outlineLevel="0" collapsed="false">
      <c r="I2036" s="1"/>
    </row>
    <row r="2037" customFormat="false" ht="12.8" hidden="false" customHeight="false" outlineLevel="0" collapsed="false">
      <c r="I2037" s="1"/>
    </row>
    <row r="2038" customFormat="false" ht="12.8" hidden="false" customHeight="false" outlineLevel="0" collapsed="false">
      <c r="I2038" s="1"/>
    </row>
    <row r="2039" customFormat="false" ht="12.8" hidden="false" customHeight="false" outlineLevel="0" collapsed="false">
      <c r="I2039" s="1"/>
    </row>
    <row r="2040" customFormat="false" ht="12.8" hidden="false" customHeight="false" outlineLevel="0" collapsed="false">
      <c r="I2040" s="1"/>
    </row>
    <row r="2041" customFormat="false" ht="12.8" hidden="false" customHeight="false" outlineLevel="0" collapsed="false">
      <c r="I2041" s="1"/>
    </row>
    <row r="2042" customFormat="false" ht="12.8" hidden="false" customHeight="false" outlineLevel="0" collapsed="false">
      <c r="I2042" s="1"/>
    </row>
    <row r="2043" customFormat="false" ht="12.8" hidden="false" customHeight="false" outlineLevel="0" collapsed="false">
      <c r="I2043" s="1"/>
    </row>
    <row r="2044" customFormat="false" ht="12.8" hidden="false" customHeight="false" outlineLevel="0" collapsed="false">
      <c r="I2044" s="1"/>
    </row>
    <row r="2045" customFormat="false" ht="12.8" hidden="false" customHeight="false" outlineLevel="0" collapsed="false">
      <c r="I2045" s="1"/>
    </row>
    <row r="2046" customFormat="false" ht="12.8" hidden="false" customHeight="false" outlineLevel="0" collapsed="false">
      <c r="I2046" s="1"/>
    </row>
    <row r="2047" customFormat="false" ht="12.8" hidden="false" customHeight="false" outlineLevel="0" collapsed="false">
      <c r="I2047" s="1"/>
    </row>
    <row r="2048" customFormat="false" ht="12.8" hidden="false" customHeight="false" outlineLevel="0" collapsed="false">
      <c r="I2048" s="1"/>
    </row>
    <row r="2049" customFormat="false" ht="12.8" hidden="false" customHeight="false" outlineLevel="0" collapsed="false">
      <c r="I2049" s="1"/>
    </row>
    <row r="2050" customFormat="false" ht="12.8" hidden="false" customHeight="false" outlineLevel="0" collapsed="false">
      <c r="I2050" s="1"/>
    </row>
    <row r="2051" customFormat="false" ht="12.8" hidden="false" customHeight="false" outlineLevel="0" collapsed="false">
      <c r="I2051" s="1"/>
    </row>
    <row r="2052" customFormat="false" ht="12.8" hidden="false" customHeight="false" outlineLevel="0" collapsed="false">
      <c r="I2052" s="1"/>
    </row>
    <row r="2053" customFormat="false" ht="12.8" hidden="false" customHeight="false" outlineLevel="0" collapsed="false">
      <c r="I2053" s="1"/>
    </row>
    <row r="2054" customFormat="false" ht="12.8" hidden="false" customHeight="false" outlineLevel="0" collapsed="false">
      <c r="I2054" s="1"/>
    </row>
    <row r="2055" customFormat="false" ht="12.8" hidden="false" customHeight="false" outlineLevel="0" collapsed="false">
      <c r="I2055" s="1"/>
    </row>
    <row r="2056" customFormat="false" ht="12.8" hidden="false" customHeight="false" outlineLevel="0" collapsed="false">
      <c r="I2056" s="1"/>
    </row>
    <row r="2057" customFormat="false" ht="12.8" hidden="false" customHeight="false" outlineLevel="0" collapsed="false">
      <c r="I2057" s="1"/>
    </row>
    <row r="2058" customFormat="false" ht="12.8" hidden="false" customHeight="false" outlineLevel="0" collapsed="false">
      <c r="I2058" s="1"/>
    </row>
    <row r="2059" customFormat="false" ht="12.8" hidden="false" customHeight="false" outlineLevel="0" collapsed="false">
      <c r="I2059" s="1"/>
    </row>
    <row r="2060" customFormat="false" ht="12.8" hidden="false" customHeight="false" outlineLevel="0" collapsed="false">
      <c r="I2060" s="1"/>
    </row>
    <row r="2061" customFormat="false" ht="12.8" hidden="false" customHeight="false" outlineLevel="0" collapsed="false">
      <c r="I2061" s="1"/>
    </row>
    <row r="2062" customFormat="false" ht="12.8" hidden="false" customHeight="false" outlineLevel="0" collapsed="false">
      <c r="I2062" s="1"/>
    </row>
    <row r="2063" customFormat="false" ht="12.8" hidden="false" customHeight="false" outlineLevel="0" collapsed="false">
      <c r="I2063" s="1"/>
    </row>
    <row r="2064" customFormat="false" ht="12.8" hidden="false" customHeight="false" outlineLevel="0" collapsed="false">
      <c r="I2064" s="1"/>
    </row>
    <row r="2065" customFormat="false" ht="12.8" hidden="false" customHeight="false" outlineLevel="0" collapsed="false">
      <c r="I2065" s="1"/>
    </row>
    <row r="2066" customFormat="false" ht="12.8" hidden="false" customHeight="false" outlineLevel="0" collapsed="false">
      <c r="I2066" s="1"/>
    </row>
    <row r="2067" customFormat="false" ht="12.8" hidden="false" customHeight="false" outlineLevel="0" collapsed="false">
      <c r="I2067" s="1"/>
    </row>
    <row r="2068" customFormat="false" ht="12.8" hidden="false" customHeight="false" outlineLevel="0" collapsed="false">
      <c r="I2068" s="1"/>
    </row>
    <row r="2069" customFormat="false" ht="12.8" hidden="false" customHeight="false" outlineLevel="0" collapsed="false">
      <c r="I2069" s="1"/>
    </row>
    <row r="2070" customFormat="false" ht="12.8" hidden="false" customHeight="false" outlineLevel="0" collapsed="false">
      <c r="I2070" s="1"/>
    </row>
    <row r="2071" customFormat="false" ht="12.8" hidden="false" customHeight="false" outlineLevel="0" collapsed="false">
      <c r="I2071" s="1"/>
    </row>
    <row r="2072" customFormat="false" ht="12.8" hidden="false" customHeight="false" outlineLevel="0" collapsed="false">
      <c r="I2072" s="1"/>
    </row>
    <row r="2073" customFormat="false" ht="12.8" hidden="false" customHeight="false" outlineLevel="0" collapsed="false">
      <c r="I2073" s="1"/>
    </row>
    <row r="2074" customFormat="false" ht="12.8" hidden="false" customHeight="false" outlineLevel="0" collapsed="false">
      <c r="I2074" s="1"/>
    </row>
    <row r="2075" customFormat="false" ht="12.8" hidden="false" customHeight="false" outlineLevel="0" collapsed="false">
      <c r="I2075" s="1"/>
    </row>
    <row r="2076" customFormat="false" ht="12.8" hidden="false" customHeight="false" outlineLevel="0" collapsed="false">
      <c r="I2076" s="1"/>
    </row>
    <row r="2077" customFormat="false" ht="12.8" hidden="false" customHeight="false" outlineLevel="0" collapsed="false">
      <c r="I2077" s="1"/>
    </row>
    <row r="2078" customFormat="false" ht="12.8" hidden="false" customHeight="false" outlineLevel="0" collapsed="false">
      <c r="I2078" s="1"/>
    </row>
    <row r="2079" customFormat="false" ht="12.8" hidden="false" customHeight="false" outlineLevel="0" collapsed="false">
      <c r="I2079" s="1"/>
    </row>
    <row r="2080" customFormat="false" ht="12.8" hidden="false" customHeight="false" outlineLevel="0" collapsed="false">
      <c r="I2080" s="1"/>
    </row>
    <row r="2081" customFormat="false" ht="12.8" hidden="false" customHeight="false" outlineLevel="0" collapsed="false">
      <c r="I2081" s="1"/>
    </row>
    <row r="2082" customFormat="false" ht="12.8" hidden="false" customHeight="false" outlineLevel="0" collapsed="false">
      <c r="I2082" s="1"/>
    </row>
    <row r="2083" customFormat="false" ht="12.8" hidden="false" customHeight="false" outlineLevel="0" collapsed="false">
      <c r="I2083" s="1"/>
    </row>
    <row r="2084" customFormat="false" ht="12.8" hidden="false" customHeight="false" outlineLevel="0" collapsed="false">
      <c r="I2084" s="1"/>
    </row>
    <row r="2085" customFormat="false" ht="12.8" hidden="false" customHeight="false" outlineLevel="0" collapsed="false">
      <c r="I2085" s="1"/>
    </row>
    <row r="2086" customFormat="false" ht="12.8" hidden="false" customHeight="false" outlineLevel="0" collapsed="false">
      <c r="I2086" s="1"/>
    </row>
    <row r="2087" customFormat="false" ht="12.8" hidden="false" customHeight="false" outlineLevel="0" collapsed="false">
      <c r="I2087" s="1"/>
    </row>
    <row r="2088" customFormat="false" ht="12.8" hidden="false" customHeight="false" outlineLevel="0" collapsed="false">
      <c r="I2088" s="1"/>
    </row>
    <row r="2089" customFormat="false" ht="12.8" hidden="false" customHeight="false" outlineLevel="0" collapsed="false">
      <c r="I2089" s="1"/>
    </row>
    <row r="2090" customFormat="false" ht="12.8" hidden="false" customHeight="false" outlineLevel="0" collapsed="false">
      <c r="I2090" s="1"/>
    </row>
    <row r="2091" customFormat="false" ht="12.8" hidden="false" customHeight="false" outlineLevel="0" collapsed="false">
      <c r="I2091" s="1"/>
    </row>
    <row r="2092" customFormat="false" ht="12.8" hidden="false" customHeight="false" outlineLevel="0" collapsed="false">
      <c r="I2092" s="1"/>
    </row>
    <row r="2093" customFormat="false" ht="12.8" hidden="false" customHeight="false" outlineLevel="0" collapsed="false">
      <c r="I2093" s="1"/>
    </row>
    <row r="2094" customFormat="false" ht="12.8" hidden="false" customHeight="false" outlineLevel="0" collapsed="false">
      <c r="I2094" s="1"/>
    </row>
    <row r="2095" customFormat="false" ht="12.8" hidden="false" customHeight="false" outlineLevel="0" collapsed="false">
      <c r="I2095" s="1"/>
    </row>
    <row r="2096" customFormat="false" ht="12.8" hidden="false" customHeight="false" outlineLevel="0" collapsed="false">
      <c r="I2096" s="1"/>
    </row>
    <row r="2097" customFormat="false" ht="12.8" hidden="false" customHeight="false" outlineLevel="0" collapsed="false">
      <c r="I2097" s="1"/>
    </row>
    <row r="2098" customFormat="false" ht="12.8" hidden="false" customHeight="false" outlineLevel="0" collapsed="false">
      <c r="I2098" s="1"/>
    </row>
    <row r="2099" customFormat="false" ht="12.8" hidden="false" customHeight="false" outlineLevel="0" collapsed="false">
      <c r="I2099" s="1"/>
    </row>
    <row r="2100" customFormat="false" ht="12.8" hidden="false" customHeight="false" outlineLevel="0" collapsed="false">
      <c r="I2100" s="1"/>
    </row>
    <row r="2101" customFormat="false" ht="12.8" hidden="false" customHeight="false" outlineLevel="0" collapsed="false">
      <c r="I2101" s="1"/>
    </row>
    <row r="2102" customFormat="false" ht="12.8" hidden="false" customHeight="false" outlineLevel="0" collapsed="false">
      <c r="I2102" s="1"/>
    </row>
    <row r="2103" customFormat="false" ht="12.8" hidden="false" customHeight="false" outlineLevel="0" collapsed="false">
      <c r="I2103" s="1"/>
    </row>
    <row r="2104" customFormat="false" ht="12.8" hidden="false" customHeight="false" outlineLevel="0" collapsed="false">
      <c r="I2104" s="1"/>
    </row>
    <row r="2105" customFormat="false" ht="12.8" hidden="false" customHeight="false" outlineLevel="0" collapsed="false">
      <c r="I2105" s="1"/>
    </row>
    <row r="2106" customFormat="false" ht="12.8" hidden="false" customHeight="false" outlineLevel="0" collapsed="false">
      <c r="I2106" s="1"/>
    </row>
    <row r="2107" customFormat="false" ht="12.8" hidden="false" customHeight="false" outlineLevel="0" collapsed="false">
      <c r="I2107" s="1"/>
    </row>
    <row r="2108" customFormat="false" ht="12.8" hidden="false" customHeight="false" outlineLevel="0" collapsed="false">
      <c r="I2108" s="1"/>
    </row>
    <row r="2109" customFormat="false" ht="12.8" hidden="false" customHeight="false" outlineLevel="0" collapsed="false">
      <c r="I2109" s="1"/>
    </row>
    <row r="2110" customFormat="false" ht="12.8" hidden="false" customHeight="false" outlineLevel="0" collapsed="false">
      <c r="I2110" s="1"/>
    </row>
    <row r="2111" customFormat="false" ht="12.8" hidden="false" customHeight="false" outlineLevel="0" collapsed="false">
      <c r="I2111" s="1"/>
    </row>
    <row r="2112" customFormat="false" ht="12.8" hidden="false" customHeight="false" outlineLevel="0" collapsed="false">
      <c r="I2112" s="1"/>
    </row>
    <row r="2113" customFormat="false" ht="12.8" hidden="false" customHeight="false" outlineLevel="0" collapsed="false">
      <c r="I2113" s="1"/>
    </row>
    <row r="2114" customFormat="false" ht="12.8" hidden="false" customHeight="false" outlineLevel="0" collapsed="false">
      <c r="I2114" s="1"/>
    </row>
    <row r="2115" customFormat="false" ht="12.8" hidden="false" customHeight="false" outlineLevel="0" collapsed="false">
      <c r="I2115" s="1"/>
    </row>
    <row r="2116" customFormat="false" ht="12.8" hidden="false" customHeight="false" outlineLevel="0" collapsed="false">
      <c r="I2116" s="1"/>
    </row>
    <row r="2117" customFormat="false" ht="12.8" hidden="false" customHeight="false" outlineLevel="0" collapsed="false">
      <c r="I2117" s="1"/>
    </row>
    <row r="2118" customFormat="false" ht="12.8" hidden="false" customHeight="false" outlineLevel="0" collapsed="false">
      <c r="I2118" s="1"/>
    </row>
    <row r="2119" customFormat="false" ht="12.8" hidden="false" customHeight="false" outlineLevel="0" collapsed="false">
      <c r="I2119" s="1"/>
    </row>
    <row r="2120" customFormat="false" ht="12.8" hidden="false" customHeight="false" outlineLevel="0" collapsed="false">
      <c r="I2120" s="1"/>
    </row>
    <row r="2121" customFormat="false" ht="12.8" hidden="false" customHeight="false" outlineLevel="0" collapsed="false">
      <c r="I2121" s="1"/>
    </row>
    <row r="2122" customFormat="false" ht="12.8" hidden="false" customHeight="false" outlineLevel="0" collapsed="false">
      <c r="I2122" s="1"/>
    </row>
    <row r="2123" customFormat="false" ht="12.8" hidden="false" customHeight="false" outlineLevel="0" collapsed="false">
      <c r="I2123" s="1"/>
    </row>
    <row r="2124" customFormat="false" ht="12.8" hidden="false" customHeight="false" outlineLevel="0" collapsed="false">
      <c r="I2124" s="1"/>
    </row>
    <row r="2125" customFormat="false" ht="12.8" hidden="false" customHeight="false" outlineLevel="0" collapsed="false">
      <c r="I2125" s="1"/>
    </row>
    <row r="2126" customFormat="false" ht="12.8" hidden="false" customHeight="false" outlineLevel="0" collapsed="false">
      <c r="I2126" s="1"/>
    </row>
    <row r="2127" customFormat="false" ht="12.8" hidden="false" customHeight="false" outlineLevel="0" collapsed="false">
      <c r="I2127" s="1"/>
    </row>
    <row r="2128" customFormat="false" ht="12.8" hidden="false" customHeight="false" outlineLevel="0" collapsed="false">
      <c r="I2128" s="1"/>
    </row>
    <row r="2129" customFormat="false" ht="12.8" hidden="false" customHeight="false" outlineLevel="0" collapsed="false">
      <c r="I2129" s="1"/>
    </row>
    <row r="2130" customFormat="false" ht="12.8" hidden="false" customHeight="false" outlineLevel="0" collapsed="false">
      <c r="I2130" s="1"/>
    </row>
    <row r="2131" customFormat="false" ht="12.8" hidden="false" customHeight="false" outlineLevel="0" collapsed="false">
      <c r="I2131" s="1"/>
    </row>
    <row r="2132" customFormat="false" ht="12.8" hidden="false" customHeight="false" outlineLevel="0" collapsed="false">
      <c r="I2132" s="1"/>
    </row>
    <row r="2133" customFormat="false" ht="12.8" hidden="false" customHeight="false" outlineLevel="0" collapsed="false">
      <c r="I2133" s="1"/>
    </row>
    <row r="2134" customFormat="false" ht="12.8" hidden="false" customHeight="false" outlineLevel="0" collapsed="false">
      <c r="I2134" s="1"/>
    </row>
    <row r="2135" customFormat="false" ht="12.8" hidden="false" customHeight="false" outlineLevel="0" collapsed="false">
      <c r="I2135" s="1"/>
    </row>
    <row r="2136" customFormat="false" ht="12.8" hidden="false" customHeight="false" outlineLevel="0" collapsed="false">
      <c r="I2136" s="1"/>
    </row>
    <row r="2137" customFormat="false" ht="12.8" hidden="false" customHeight="false" outlineLevel="0" collapsed="false">
      <c r="I2137" s="1"/>
    </row>
    <row r="2138" customFormat="false" ht="12.8" hidden="false" customHeight="false" outlineLevel="0" collapsed="false">
      <c r="I2138" s="1"/>
    </row>
    <row r="2139" customFormat="false" ht="12.8" hidden="false" customHeight="false" outlineLevel="0" collapsed="false">
      <c r="I2139" s="1"/>
    </row>
    <row r="2140" customFormat="false" ht="12.8" hidden="false" customHeight="false" outlineLevel="0" collapsed="false">
      <c r="I2140" s="1"/>
    </row>
    <row r="2141" customFormat="false" ht="12.8" hidden="false" customHeight="false" outlineLevel="0" collapsed="false">
      <c r="I2141" s="1"/>
    </row>
    <row r="2142" customFormat="false" ht="12.8" hidden="false" customHeight="false" outlineLevel="0" collapsed="false">
      <c r="I2142" s="1"/>
    </row>
    <row r="2143" customFormat="false" ht="12.8" hidden="false" customHeight="false" outlineLevel="0" collapsed="false">
      <c r="I2143" s="1"/>
    </row>
    <row r="2144" customFormat="false" ht="12.8" hidden="false" customHeight="false" outlineLevel="0" collapsed="false">
      <c r="I2144" s="1"/>
    </row>
    <row r="2145" customFormat="false" ht="12.8" hidden="false" customHeight="false" outlineLevel="0" collapsed="false">
      <c r="I2145" s="1"/>
    </row>
    <row r="2146" customFormat="false" ht="12.8" hidden="false" customHeight="false" outlineLevel="0" collapsed="false">
      <c r="I2146" s="1"/>
    </row>
    <row r="2147" customFormat="false" ht="12.8" hidden="false" customHeight="false" outlineLevel="0" collapsed="false">
      <c r="I2147" s="1"/>
    </row>
    <row r="2148" customFormat="false" ht="12.8" hidden="false" customHeight="false" outlineLevel="0" collapsed="false">
      <c r="I2148" s="1"/>
    </row>
    <row r="2149" customFormat="false" ht="12.8" hidden="false" customHeight="false" outlineLevel="0" collapsed="false">
      <c r="I2149" s="1"/>
    </row>
    <row r="2150" customFormat="false" ht="12.8" hidden="false" customHeight="false" outlineLevel="0" collapsed="false">
      <c r="I2150" s="1"/>
    </row>
    <row r="2151" customFormat="false" ht="12.8" hidden="false" customHeight="false" outlineLevel="0" collapsed="false">
      <c r="I2151" s="1"/>
    </row>
    <row r="2152" customFormat="false" ht="12.8" hidden="false" customHeight="false" outlineLevel="0" collapsed="false">
      <c r="I2152" s="1"/>
    </row>
    <row r="2153" customFormat="false" ht="12.8" hidden="false" customHeight="false" outlineLevel="0" collapsed="false">
      <c r="I2153" s="1"/>
    </row>
    <row r="2154" customFormat="false" ht="12.8" hidden="false" customHeight="false" outlineLevel="0" collapsed="false">
      <c r="I2154" s="1"/>
    </row>
    <row r="2155" customFormat="false" ht="12.8" hidden="false" customHeight="false" outlineLevel="0" collapsed="false">
      <c r="I2155" s="1"/>
    </row>
    <row r="2156" customFormat="false" ht="12.8" hidden="false" customHeight="false" outlineLevel="0" collapsed="false">
      <c r="I2156" s="1"/>
    </row>
    <row r="2157" customFormat="false" ht="12.8" hidden="false" customHeight="false" outlineLevel="0" collapsed="false">
      <c r="I2157" s="1"/>
    </row>
    <row r="2158" customFormat="false" ht="12.8" hidden="false" customHeight="false" outlineLevel="0" collapsed="false">
      <c r="I2158" s="1"/>
    </row>
    <row r="2159" customFormat="false" ht="12.8" hidden="false" customHeight="false" outlineLevel="0" collapsed="false">
      <c r="I2159" s="1"/>
    </row>
    <row r="2160" customFormat="false" ht="12.8" hidden="false" customHeight="false" outlineLevel="0" collapsed="false">
      <c r="I2160" s="1"/>
    </row>
    <row r="2161" customFormat="false" ht="12.8" hidden="false" customHeight="false" outlineLevel="0" collapsed="false">
      <c r="I2161" s="1"/>
    </row>
    <row r="2162" customFormat="false" ht="12.8" hidden="false" customHeight="false" outlineLevel="0" collapsed="false">
      <c r="I2162" s="1"/>
    </row>
    <row r="2163" customFormat="false" ht="12.8" hidden="false" customHeight="false" outlineLevel="0" collapsed="false">
      <c r="I2163" s="1"/>
    </row>
    <row r="2164" customFormat="false" ht="12.8" hidden="false" customHeight="false" outlineLevel="0" collapsed="false">
      <c r="I2164" s="1"/>
    </row>
    <row r="2165" customFormat="false" ht="12.8" hidden="false" customHeight="false" outlineLevel="0" collapsed="false">
      <c r="I2165" s="1"/>
    </row>
    <row r="2166" customFormat="false" ht="12.8" hidden="false" customHeight="false" outlineLevel="0" collapsed="false">
      <c r="I2166" s="1"/>
    </row>
    <row r="2167" customFormat="false" ht="12.8" hidden="false" customHeight="false" outlineLevel="0" collapsed="false">
      <c r="I2167" s="1"/>
    </row>
    <row r="2168" customFormat="false" ht="12.8" hidden="false" customHeight="false" outlineLevel="0" collapsed="false">
      <c r="I2168" s="1"/>
    </row>
    <row r="2169" customFormat="false" ht="12.8" hidden="false" customHeight="false" outlineLevel="0" collapsed="false">
      <c r="I2169" s="1"/>
    </row>
    <row r="2170" customFormat="false" ht="12.8" hidden="false" customHeight="false" outlineLevel="0" collapsed="false">
      <c r="I2170" s="1"/>
    </row>
    <row r="2171" customFormat="false" ht="12.8" hidden="false" customHeight="false" outlineLevel="0" collapsed="false">
      <c r="I2171" s="1"/>
    </row>
    <row r="2172" customFormat="false" ht="12.8" hidden="false" customHeight="false" outlineLevel="0" collapsed="false">
      <c r="I2172" s="1"/>
    </row>
    <row r="2173" customFormat="false" ht="12.8" hidden="false" customHeight="false" outlineLevel="0" collapsed="false">
      <c r="I2173" s="1"/>
    </row>
    <row r="2174" customFormat="false" ht="12.8" hidden="false" customHeight="false" outlineLevel="0" collapsed="false">
      <c r="I2174" s="1"/>
    </row>
    <row r="2175" customFormat="false" ht="12.8" hidden="false" customHeight="false" outlineLevel="0" collapsed="false">
      <c r="I2175" s="1"/>
    </row>
    <row r="2176" customFormat="false" ht="12.8" hidden="false" customHeight="false" outlineLevel="0" collapsed="false">
      <c r="I2176" s="1"/>
    </row>
    <row r="2177" customFormat="false" ht="12.8" hidden="false" customHeight="false" outlineLevel="0" collapsed="false">
      <c r="I2177" s="1"/>
    </row>
    <row r="2178" customFormat="false" ht="12.8" hidden="false" customHeight="false" outlineLevel="0" collapsed="false">
      <c r="I2178" s="1"/>
    </row>
    <row r="2179" customFormat="false" ht="12.8" hidden="false" customHeight="false" outlineLevel="0" collapsed="false">
      <c r="I2179" s="1"/>
    </row>
    <row r="2180" customFormat="false" ht="12.8" hidden="false" customHeight="false" outlineLevel="0" collapsed="false">
      <c r="I2180" s="1"/>
    </row>
    <row r="2181" customFormat="false" ht="12.8" hidden="false" customHeight="false" outlineLevel="0" collapsed="false">
      <c r="I2181" s="1"/>
    </row>
    <row r="2182" customFormat="false" ht="12.8" hidden="false" customHeight="false" outlineLevel="0" collapsed="false">
      <c r="I2182" s="1"/>
    </row>
    <row r="2183" customFormat="false" ht="12.8" hidden="false" customHeight="false" outlineLevel="0" collapsed="false">
      <c r="I2183" s="1"/>
    </row>
    <row r="2184" customFormat="false" ht="12.8" hidden="false" customHeight="false" outlineLevel="0" collapsed="false">
      <c r="I2184" s="1"/>
    </row>
    <row r="2185" customFormat="false" ht="12.8" hidden="false" customHeight="false" outlineLevel="0" collapsed="false">
      <c r="I2185" s="1"/>
    </row>
    <row r="2186" customFormat="false" ht="12.8" hidden="false" customHeight="false" outlineLevel="0" collapsed="false">
      <c r="I2186" s="1"/>
    </row>
    <row r="2187" customFormat="false" ht="12.8" hidden="false" customHeight="false" outlineLevel="0" collapsed="false">
      <c r="I2187" s="1"/>
    </row>
    <row r="2188" customFormat="false" ht="12.8" hidden="false" customHeight="false" outlineLevel="0" collapsed="false">
      <c r="I2188" s="1"/>
    </row>
    <row r="2189" customFormat="false" ht="12.8" hidden="false" customHeight="false" outlineLevel="0" collapsed="false">
      <c r="I2189" s="1"/>
    </row>
    <row r="2190" customFormat="false" ht="12.8" hidden="false" customHeight="false" outlineLevel="0" collapsed="false">
      <c r="I2190" s="1"/>
    </row>
    <row r="2191" customFormat="false" ht="12.8" hidden="false" customHeight="false" outlineLevel="0" collapsed="false">
      <c r="I2191" s="1"/>
    </row>
    <row r="2192" customFormat="false" ht="12.8" hidden="false" customHeight="false" outlineLevel="0" collapsed="false">
      <c r="I2192" s="1"/>
    </row>
    <row r="2193" customFormat="false" ht="12.8" hidden="false" customHeight="false" outlineLevel="0" collapsed="false">
      <c r="I2193" s="1"/>
    </row>
    <row r="2194" customFormat="false" ht="12.8" hidden="false" customHeight="false" outlineLevel="0" collapsed="false">
      <c r="I2194" s="1"/>
    </row>
    <row r="2195" customFormat="false" ht="12.8" hidden="false" customHeight="false" outlineLevel="0" collapsed="false">
      <c r="I2195" s="1"/>
    </row>
    <row r="2196" customFormat="false" ht="12.8" hidden="false" customHeight="false" outlineLevel="0" collapsed="false">
      <c r="I2196" s="1"/>
    </row>
    <row r="2197" customFormat="false" ht="12.8" hidden="false" customHeight="false" outlineLevel="0" collapsed="false">
      <c r="I2197" s="1"/>
    </row>
    <row r="2198" customFormat="false" ht="12.8" hidden="false" customHeight="false" outlineLevel="0" collapsed="false">
      <c r="I2198" s="1"/>
    </row>
    <row r="2199" customFormat="false" ht="12.8" hidden="false" customHeight="false" outlineLevel="0" collapsed="false">
      <c r="I2199" s="1"/>
    </row>
    <row r="2200" customFormat="false" ht="12.8" hidden="false" customHeight="false" outlineLevel="0" collapsed="false">
      <c r="I2200" s="1"/>
    </row>
    <row r="2201" customFormat="false" ht="12.8" hidden="false" customHeight="false" outlineLevel="0" collapsed="false">
      <c r="I2201" s="1"/>
    </row>
    <row r="2202" customFormat="false" ht="12.8" hidden="false" customHeight="false" outlineLevel="0" collapsed="false">
      <c r="I2202" s="1"/>
    </row>
    <row r="2203" customFormat="false" ht="12.8" hidden="false" customHeight="false" outlineLevel="0" collapsed="false">
      <c r="I2203" s="1"/>
    </row>
    <row r="2204" customFormat="false" ht="12.8" hidden="false" customHeight="false" outlineLevel="0" collapsed="false">
      <c r="I2204" s="1"/>
    </row>
    <row r="2205" customFormat="false" ht="12.8" hidden="false" customHeight="false" outlineLevel="0" collapsed="false">
      <c r="I2205" s="1"/>
    </row>
    <row r="2206" customFormat="false" ht="12.8" hidden="false" customHeight="false" outlineLevel="0" collapsed="false">
      <c r="I2206" s="1"/>
    </row>
    <row r="2207" customFormat="false" ht="12.8" hidden="false" customHeight="false" outlineLevel="0" collapsed="false">
      <c r="I2207" s="1"/>
    </row>
    <row r="2208" customFormat="false" ht="12.8" hidden="false" customHeight="false" outlineLevel="0" collapsed="false">
      <c r="I2208" s="1"/>
    </row>
    <row r="2209" customFormat="false" ht="12.8" hidden="false" customHeight="false" outlineLevel="0" collapsed="false">
      <c r="I2209" s="1"/>
    </row>
    <row r="2210" customFormat="false" ht="12.8" hidden="false" customHeight="false" outlineLevel="0" collapsed="false">
      <c r="I2210" s="1"/>
    </row>
    <row r="2211" customFormat="false" ht="12.8" hidden="false" customHeight="false" outlineLevel="0" collapsed="false">
      <c r="I2211" s="1"/>
    </row>
    <row r="2212" customFormat="false" ht="12.8" hidden="false" customHeight="false" outlineLevel="0" collapsed="false">
      <c r="I2212" s="1"/>
    </row>
    <row r="2213" customFormat="false" ht="12.8" hidden="false" customHeight="false" outlineLevel="0" collapsed="false">
      <c r="I2213" s="1"/>
    </row>
    <row r="2214" customFormat="false" ht="12.8" hidden="false" customHeight="false" outlineLevel="0" collapsed="false">
      <c r="I2214" s="1"/>
    </row>
    <row r="2215" customFormat="false" ht="12.8" hidden="false" customHeight="false" outlineLevel="0" collapsed="false">
      <c r="I2215" s="1"/>
    </row>
    <row r="2216" customFormat="false" ht="12.8" hidden="false" customHeight="false" outlineLevel="0" collapsed="false">
      <c r="I2216" s="1"/>
    </row>
    <row r="2217" customFormat="false" ht="12.8" hidden="false" customHeight="false" outlineLevel="0" collapsed="false">
      <c r="I2217" s="1"/>
    </row>
    <row r="2218" customFormat="false" ht="12.8" hidden="false" customHeight="false" outlineLevel="0" collapsed="false">
      <c r="I2218" s="1"/>
    </row>
    <row r="2219" customFormat="false" ht="12.8" hidden="false" customHeight="false" outlineLevel="0" collapsed="false">
      <c r="I2219" s="1"/>
    </row>
    <row r="2220" customFormat="false" ht="12.8" hidden="false" customHeight="false" outlineLevel="0" collapsed="false">
      <c r="I2220" s="1"/>
    </row>
    <row r="2221" customFormat="false" ht="12.8" hidden="false" customHeight="false" outlineLevel="0" collapsed="false">
      <c r="I2221" s="1"/>
    </row>
    <row r="2222" customFormat="false" ht="12.8" hidden="false" customHeight="false" outlineLevel="0" collapsed="false">
      <c r="I2222" s="1"/>
    </row>
    <row r="2223" customFormat="false" ht="12.8" hidden="false" customHeight="false" outlineLevel="0" collapsed="false">
      <c r="I2223" s="1"/>
    </row>
    <row r="2224" customFormat="false" ht="12.8" hidden="false" customHeight="false" outlineLevel="0" collapsed="false">
      <c r="I2224" s="1"/>
    </row>
    <row r="2225" customFormat="false" ht="12.8" hidden="false" customHeight="false" outlineLevel="0" collapsed="false">
      <c r="I2225" s="1"/>
    </row>
    <row r="2226" customFormat="false" ht="12.8" hidden="false" customHeight="false" outlineLevel="0" collapsed="false">
      <c r="I2226" s="1"/>
    </row>
    <row r="2227" customFormat="false" ht="12.8" hidden="false" customHeight="false" outlineLevel="0" collapsed="false">
      <c r="I2227" s="1"/>
    </row>
    <row r="2228" customFormat="false" ht="12.8" hidden="false" customHeight="false" outlineLevel="0" collapsed="false">
      <c r="I2228" s="1"/>
    </row>
    <row r="2229" customFormat="false" ht="12.8" hidden="false" customHeight="false" outlineLevel="0" collapsed="false">
      <c r="I2229" s="1"/>
    </row>
  </sheetData>
  <mergeCells count="619">
    <mergeCell ref="I2:I3"/>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I44:I45"/>
    <mergeCell ref="I46:I47"/>
    <mergeCell ref="I48:I49"/>
    <mergeCell ref="I50:I51"/>
    <mergeCell ref="I52:I53"/>
    <mergeCell ref="I54:I55"/>
    <mergeCell ref="I56:I57"/>
    <mergeCell ref="I58:I59"/>
    <mergeCell ref="I60:I61"/>
    <mergeCell ref="I62:I63"/>
    <mergeCell ref="I64:I65"/>
    <mergeCell ref="I66:I67"/>
    <mergeCell ref="I68:I69"/>
    <mergeCell ref="I70:I71"/>
    <mergeCell ref="I72:I73"/>
    <mergeCell ref="I74:I75"/>
    <mergeCell ref="I76:I77"/>
    <mergeCell ref="I78:I79"/>
    <mergeCell ref="I80:I81"/>
    <mergeCell ref="I82:I83"/>
    <mergeCell ref="I84:I85"/>
    <mergeCell ref="I86:I87"/>
    <mergeCell ref="I88:I89"/>
    <mergeCell ref="I90:I91"/>
    <mergeCell ref="I92:I93"/>
    <mergeCell ref="I94:I95"/>
    <mergeCell ref="I96:I97"/>
    <mergeCell ref="I98:I99"/>
    <mergeCell ref="I100:I101"/>
    <mergeCell ref="I102:I103"/>
    <mergeCell ref="I104:I105"/>
    <mergeCell ref="I106:I107"/>
    <mergeCell ref="I108:I109"/>
    <mergeCell ref="I110:I111"/>
    <mergeCell ref="I112:I113"/>
    <mergeCell ref="I114:I115"/>
    <mergeCell ref="I116:I117"/>
    <mergeCell ref="I118:I119"/>
    <mergeCell ref="I120:I121"/>
    <mergeCell ref="I122:I123"/>
    <mergeCell ref="I124:I125"/>
    <mergeCell ref="I126:I127"/>
    <mergeCell ref="I128:I129"/>
    <mergeCell ref="I130:I131"/>
    <mergeCell ref="I132:I133"/>
    <mergeCell ref="I134:I135"/>
    <mergeCell ref="I136:I137"/>
    <mergeCell ref="I138:I139"/>
    <mergeCell ref="I140:I141"/>
    <mergeCell ref="I142:I143"/>
    <mergeCell ref="I144:I145"/>
    <mergeCell ref="I146:I147"/>
    <mergeCell ref="I148:I149"/>
    <mergeCell ref="I150:I151"/>
    <mergeCell ref="I152:I153"/>
    <mergeCell ref="I154:I155"/>
    <mergeCell ref="I156:I157"/>
    <mergeCell ref="I158:I159"/>
    <mergeCell ref="I160:I161"/>
    <mergeCell ref="I162:I163"/>
    <mergeCell ref="I164:I165"/>
    <mergeCell ref="I166:I167"/>
    <mergeCell ref="I168:I169"/>
    <mergeCell ref="I170:I171"/>
    <mergeCell ref="I172:I173"/>
    <mergeCell ref="I174:I175"/>
    <mergeCell ref="I176:I177"/>
    <mergeCell ref="I178:I179"/>
    <mergeCell ref="I180:I181"/>
    <mergeCell ref="I182:I183"/>
    <mergeCell ref="I184:I185"/>
    <mergeCell ref="I186:I187"/>
    <mergeCell ref="I188:I189"/>
    <mergeCell ref="I190:I191"/>
    <mergeCell ref="I192:I193"/>
    <mergeCell ref="I194:I195"/>
    <mergeCell ref="I196:I197"/>
    <mergeCell ref="I198:I199"/>
    <mergeCell ref="I200:I201"/>
    <mergeCell ref="I202:I203"/>
    <mergeCell ref="I204:I205"/>
    <mergeCell ref="I206:I207"/>
    <mergeCell ref="I208:I209"/>
    <mergeCell ref="I210:I211"/>
    <mergeCell ref="I212:I213"/>
    <mergeCell ref="I214:I215"/>
    <mergeCell ref="I216:I217"/>
    <mergeCell ref="I218:I219"/>
    <mergeCell ref="I220:I221"/>
    <mergeCell ref="I222:I223"/>
    <mergeCell ref="I224:I225"/>
    <mergeCell ref="I226:I227"/>
    <mergeCell ref="I228:I229"/>
    <mergeCell ref="I230:I231"/>
    <mergeCell ref="I232:I233"/>
    <mergeCell ref="I234:I235"/>
    <mergeCell ref="I236:I237"/>
    <mergeCell ref="I238:I239"/>
    <mergeCell ref="I240:I241"/>
    <mergeCell ref="I242:I243"/>
    <mergeCell ref="I244:I245"/>
    <mergeCell ref="I246:I247"/>
    <mergeCell ref="I248:I249"/>
    <mergeCell ref="I250:I251"/>
    <mergeCell ref="I252:I253"/>
    <mergeCell ref="I254:I255"/>
    <mergeCell ref="I256:I257"/>
    <mergeCell ref="I258:I259"/>
    <mergeCell ref="I260:I261"/>
    <mergeCell ref="I262:I263"/>
    <mergeCell ref="I264:I265"/>
    <mergeCell ref="I266:I267"/>
    <mergeCell ref="I268:I269"/>
    <mergeCell ref="I270:I271"/>
    <mergeCell ref="I272:I273"/>
    <mergeCell ref="I274:I275"/>
    <mergeCell ref="I276:I277"/>
    <mergeCell ref="I278:I279"/>
    <mergeCell ref="I280:I281"/>
    <mergeCell ref="I282:I283"/>
    <mergeCell ref="I284:I285"/>
    <mergeCell ref="I286:I287"/>
    <mergeCell ref="I288:I289"/>
    <mergeCell ref="I290:I291"/>
    <mergeCell ref="I292:I293"/>
    <mergeCell ref="I294:I295"/>
    <mergeCell ref="I296:I297"/>
    <mergeCell ref="I298:I299"/>
    <mergeCell ref="I300:I301"/>
    <mergeCell ref="I302:I303"/>
    <mergeCell ref="I304:I305"/>
    <mergeCell ref="I306:I307"/>
    <mergeCell ref="I308:I309"/>
    <mergeCell ref="I310:I311"/>
    <mergeCell ref="I312:I313"/>
    <mergeCell ref="I314:I315"/>
    <mergeCell ref="I316:I317"/>
    <mergeCell ref="I318:I319"/>
    <mergeCell ref="I320:I321"/>
    <mergeCell ref="I322:I323"/>
    <mergeCell ref="I324:I325"/>
    <mergeCell ref="I326:I327"/>
    <mergeCell ref="I328:I329"/>
    <mergeCell ref="I330:I331"/>
    <mergeCell ref="I332:I333"/>
    <mergeCell ref="I334:I335"/>
    <mergeCell ref="I336:I337"/>
    <mergeCell ref="I338:I339"/>
    <mergeCell ref="I340:I341"/>
    <mergeCell ref="I342:I343"/>
    <mergeCell ref="I344:I345"/>
    <mergeCell ref="I346:I347"/>
    <mergeCell ref="I348:I349"/>
    <mergeCell ref="I350:I351"/>
    <mergeCell ref="I352:I353"/>
    <mergeCell ref="I354:I355"/>
    <mergeCell ref="I356:I357"/>
    <mergeCell ref="I358:I359"/>
    <mergeCell ref="I360:I361"/>
    <mergeCell ref="I362:I363"/>
    <mergeCell ref="I364:I365"/>
    <mergeCell ref="I366:I367"/>
    <mergeCell ref="I368:I369"/>
    <mergeCell ref="I370:I371"/>
    <mergeCell ref="I372:I373"/>
    <mergeCell ref="I374:I375"/>
    <mergeCell ref="I376:I377"/>
    <mergeCell ref="I378:I379"/>
    <mergeCell ref="I380:I381"/>
    <mergeCell ref="I382:I383"/>
    <mergeCell ref="I384:I385"/>
    <mergeCell ref="I386:I387"/>
    <mergeCell ref="I388:I389"/>
    <mergeCell ref="I390:I391"/>
    <mergeCell ref="I392:I393"/>
    <mergeCell ref="I394:I395"/>
    <mergeCell ref="I396:I397"/>
    <mergeCell ref="I398:I399"/>
    <mergeCell ref="I400:I401"/>
    <mergeCell ref="I402:I403"/>
    <mergeCell ref="I404:I405"/>
    <mergeCell ref="I406:I407"/>
    <mergeCell ref="I408:I409"/>
    <mergeCell ref="I410:I411"/>
    <mergeCell ref="I412:I413"/>
    <mergeCell ref="I414:I415"/>
    <mergeCell ref="I416:I417"/>
    <mergeCell ref="I418:I419"/>
    <mergeCell ref="I420:I421"/>
    <mergeCell ref="I422:I423"/>
    <mergeCell ref="I424:I425"/>
    <mergeCell ref="I426:I427"/>
    <mergeCell ref="I428:I429"/>
    <mergeCell ref="I430:I431"/>
    <mergeCell ref="I432:I433"/>
    <mergeCell ref="I434:I435"/>
    <mergeCell ref="I436:I437"/>
    <mergeCell ref="I438:I439"/>
    <mergeCell ref="I440:I441"/>
    <mergeCell ref="I442:I443"/>
    <mergeCell ref="I444:I445"/>
    <mergeCell ref="I446:I447"/>
    <mergeCell ref="I448:I449"/>
    <mergeCell ref="I450:I451"/>
    <mergeCell ref="I452:I453"/>
    <mergeCell ref="I454:I455"/>
    <mergeCell ref="I456:I457"/>
    <mergeCell ref="I458:I459"/>
    <mergeCell ref="I460:I461"/>
    <mergeCell ref="I462:I463"/>
    <mergeCell ref="I464:I465"/>
    <mergeCell ref="I466:I467"/>
    <mergeCell ref="I468:I469"/>
    <mergeCell ref="I470:I471"/>
    <mergeCell ref="I472:I473"/>
    <mergeCell ref="I474:I475"/>
    <mergeCell ref="I476:I477"/>
    <mergeCell ref="I478:I479"/>
    <mergeCell ref="I480:I481"/>
    <mergeCell ref="I482:I483"/>
    <mergeCell ref="I484:I485"/>
    <mergeCell ref="I486:I487"/>
    <mergeCell ref="I488:I489"/>
    <mergeCell ref="I490:I491"/>
    <mergeCell ref="I492:I493"/>
    <mergeCell ref="I494:I495"/>
    <mergeCell ref="I496:I497"/>
    <mergeCell ref="I498:I499"/>
    <mergeCell ref="I500:I501"/>
    <mergeCell ref="I502:I503"/>
    <mergeCell ref="I504:I505"/>
    <mergeCell ref="I506:I507"/>
    <mergeCell ref="I508:I509"/>
    <mergeCell ref="I510:I511"/>
    <mergeCell ref="I512:I513"/>
    <mergeCell ref="I514:I515"/>
    <mergeCell ref="I516:I517"/>
    <mergeCell ref="I518:I519"/>
    <mergeCell ref="I520:I521"/>
    <mergeCell ref="I522:I523"/>
    <mergeCell ref="I524:I525"/>
    <mergeCell ref="I526:I527"/>
    <mergeCell ref="I528:I529"/>
    <mergeCell ref="I530:I531"/>
    <mergeCell ref="I532:I533"/>
    <mergeCell ref="I534:I535"/>
    <mergeCell ref="I536:I537"/>
    <mergeCell ref="I538:I539"/>
    <mergeCell ref="I540:I541"/>
    <mergeCell ref="I542:I543"/>
    <mergeCell ref="I544:I545"/>
    <mergeCell ref="I546:I547"/>
    <mergeCell ref="I548:I549"/>
    <mergeCell ref="I550:I551"/>
    <mergeCell ref="I552:I553"/>
    <mergeCell ref="I554:I555"/>
    <mergeCell ref="I556:I557"/>
    <mergeCell ref="I558:I559"/>
    <mergeCell ref="I560:I561"/>
    <mergeCell ref="I562:I563"/>
    <mergeCell ref="I564:I565"/>
    <mergeCell ref="I566:I567"/>
    <mergeCell ref="I568:I569"/>
    <mergeCell ref="I570:I571"/>
    <mergeCell ref="I572:I573"/>
    <mergeCell ref="I574:I575"/>
    <mergeCell ref="I576:I577"/>
    <mergeCell ref="I578:I579"/>
    <mergeCell ref="I580:I581"/>
    <mergeCell ref="I582:I583"/>
    <mergeCell ref="I584:I585"/>
    <mergeCell ref="I586:I587"/>
    <mergeCell ref="I588:I589"/>
    <mergeCell ref="I590:I591"/>
    <mergeCell ref="I592:I593"/>
    <mergeCell ref="I594:I595"/>
    <mergeCell ref="I596:I597"/>
    <mergeCell ref="I598:I599"/>
    <mergeCell ref="I600:I601"/>
    <mergeCell ref="I602:I603"/>
    <mergeCell ref="I604:I605"/>
    <mergeCell ref="I606:I607"/>
    <mergeCell ref="I608:I609"/>
    <mergeCell ref="I610:I611"/>
    <mergeCell ref="I612:I613"/>
    <mergeCell ref="I614:I615"/>
    <mergeCell ref="I616:I617"/>
    <mergeCell ref="I618:I619"/>
    <mergeCell ref="I620:I621"/>
    <mergeCell ref="I622:I623"/>
    <mergeCell ref="I624:I625"/>
    <mergeCell ref="I626:I627"/>
    <mergeCell ref="I628:I629"/>
    <mergeCell ref="I630:I631"/>
    <mergeCell ref="I632:I633"/>
    <mergeCell ref="I634:I635"/>
    <mergeCell ref="I636:I637"/>
    <mergeCell ref="I638:I639"/>
    <mergeCell ref="I640:I641"/>
    <mergeCell ref="I642:I643"/>
    <mergeCell ref="I644:I645"/>
    <mergeCell ref="I646:I647"/>
    <mergeCell ref="I648:I649"/>
    <mergeCell ref="I650:I651"/>
    <mergeCell ref="I652:I653"/>
    <mergeCell ref="I654:I655"/>
    <mergeCell ref="I656:I657"/>
    <mergeCell ref="I658:I659"/>
    <mergeCell ref="I660:I661"/>
    <mergeCell ref="I662:I663"/>
    <mergeCell ref="I664:I665"/>
    <mergeCell ref="I666:I667"/>
    <mergeCell ref="I668:I669"/>
    <mergeCell ref="I670:I671"/>
    <mergeCell ref="I672:I673"/>
    <mergeCell ref="I674:I675"/>
    <mergeCell ref="I676:I677"/>
    <mergeCell ref="I678:I679"/>
    <mergeCell ref="I680:I681"/>
    <mergeCell ref="I682:I683"/>
    <mergeCell ref="I684:I685"/>
    <mergeCell ref="I686:I687"/>
    <mergeCell ref="I688:I689"/>
    <mergeCell ref="I690:I691"/>
    <mergeCell ref="I692:I693"/>
    <mergeCell ref="I694:I695"/>
    <mergeCell ref="I696:I697"/>
    <mergeCell ref="I698:I699"/>
    <mergeCell ref="I700:I701"/>
    <mergeCell ref="I702:I703"/>
    <mergeCell ref="I704:I705"/>
    <mergeCell ref="I706:I707"/>
    <mergeCell ref="I708:I709"/>
    <mergeCell ref="I710:I711"/>
    <mergeCell ref="I712:I713"/>
    <mergeCell ref="I714:I715"/>
    <mergeCell ref="I716:I717"/>
    <mergeCell ref="I718:I719"/>
    <mergeCell ref="I720:I721"/>
    <mergeCell ref="I722:I723"/>
    <mergeCell ref="I724:I725"/>
    <mergeCell ref="I726:I727"/>
    <mergeCell ref="I728:I729"/>
    <mergeCell ref="I730:I731"/>
    <mergeCell ref="I732:I733"/>
    <mergeCell ref="I734:I735"/>
    <mergeCell ref="I736:I737"/>
    <mergeCell ref="I738:I739"/>
    <mergeCell ref="I740:I741"/>
    <mergeCell ref="I742:I743"/>
    <mergeCell ref="I744:I745"/>
    <mergeCell ref="I746:I747"/>
    <mergeCell ref="I748:I749"/>
    <mergeCell ref="I750:I751"/>
    <mergeCell ref="I752:I753"/>
    <mergeCell ref="I754:I755"/>
    <mergeCell ref="I756:I757"/>
    <mergeCell ref="I758:I759"/>
    <mergeCell ref="I760:I761"/>
    <mergeCell ref="I762:I763"/>
    <mergeCell ref="I764:I765"/>
    <mergeCell ref="I766:I767"/>
    <mergeCell ref="I768:I769"/>
    <mergeCell ref="I770:I771"/>
    <mergeCell ref="I772:I773"/>
    <mergeCell ref="I774:I775"/>
    <mergeCell ref="I776:I777"/>
    <mergeCell ref="I778:I779"/>
    <mergeCell ref="I780:I781"/>
    <mergeCell ref="I782:I783"/>
    <mergeCell ref="I784:I785"/>
    <mergeCell ref="I786:I787"/>
    <mergeCell ref="I788:I789"/>
    <mergeCell ref="I790:I791"/>
    <mergeCell ref="I792:I793"/>
    <mergeCell ref="I794:I795"/>
    <mergeCell ref="I796:I797"/>
    <mergeCell ref="I798:I799"/>
    <mergeCell ref="I800:I801"/>
    <mergeCell ref="I802:I803"/>
    <mergeCell ref="I804:I805"/>
    <mergeCell ref="I806:I807"/>
    <mergeCell ref="I808:I809"/>
    <mergeCell ref="I810:I811"/>
    <mergeCell ref="I812:I813"/>
    <mergeCell ref="I814:I815"/>
    <mergeCell ref="I816:I817"/>
    <mergeCell ref="I818:I819"/>
    <mergeCell ref="I820:I821"/>
    <mergeCell ref="I822:I823"/>
    <mergeCell ref="I824:I825"/>
    <mergeCell ref="I826:I827"/>
    <mergeCell ref="I828:I829"/>
    <mergeCell ref="I830:I831"/>
    <mergeCell ref="I832:I833"/>
    <mergeCell ref="I834:I835"/>
    <mergeCell ref="I836:I837"/>
    <mergeCell ref="I838:I839"/>
    <mergeCell ref="I840:I841"/>
    <mergeCell ref="I842:I843"/>
    <mergeCell ref="I844:I845"/>
    <mergeCell ref="I846:I847"/>
    <mergeCell ref="I848:I849"/>
    <mergeCell ref="I850:I851"/>
    <mergeCell ref="I852:I853"/>
    <mergeCell ref="I854:I855"/>
    <mergeCell ref="I856:I857"/>
    <mergeCell ref="I858:I859"/>
    <mergeCell ref="I860:I861"/>
    <mergeCell ref="I862:I863"/>
    <mergeCell ref="I864:I865"/>
    <mergeCell ref="I866:I867"/>
    <mergeCell ref="I868:I869"/>
    <mergeCell ref="I870:I871"/>
    <mergeCell ref="I872:I873"/>
    <mergeCell ref="I874:I875"/>
    <mergeCell ref="I876:I877"/>
    <mergeCell ref="I878:I879"/>
    <mergeCell ref="I880:I881"/>
    <mergeCell ref="I882:I883"/>
    <mergeCell ref="I884:I885"/>
    <mergeCell ref="I886:I887"/>
    <mergeCell ref="I888:I889"/>
    <mergeCell ref="I890:I891"/>
    <mergeCell ref="I892:I893"/>
    <mergeCell ref="I894:I895"/>
    <mergeCell ref="I896:I897"/>
    <mergeCell ref="I898:I899"/>
    <mergeCell ref="I900:I901"/>
    <mergeCell ref="I902:I903"/>
    <mergeCell ref="I904:I905"/>
    <mergeCell ref="I906:I907"/>
    <mergeCell ref="I908:I909"/>
    <mergeCell ref="I910:I911"/>
    <mergeCell ref="I912:I913"/>
    <mergeCell ref="I914:I915"/>
    <mergeCell ref="I916:I917"/>
    <mergeCell ref="I918:I919"/>
    <mergeCell ref="I920:I921"/>
    <mergeCell ref="I922:I923"/>
    <mergeCell ref="I924:I925"/>
    <mergeCell ref="I926:I927"/>
    <mergeCell ref="I928:I929"/>
    <mergeCell ref="I930:I931"/>
    <mergeCell ref="I932:I933"/>
    <mergeCell ref="I934:I935"/>
    <mergeCell ref="I936:I937"/>
    <mergeCell ref="I938:I939"/>
    <mergeCell ref="I940:I941"/>
    <mergeCell ref="I942:I943"/>
    <mergeCell ref="I944:I945"/>
    <mergeCell ref="I946:I947"/>
    <mergeCell ref="I948:I949"/>
    <mergeCell ref="I950:I951"/>
    <mergeCell ref="I952:I953"/>
    <mergeCell ref="I954:I955"/>
    <mergeCell ref="I956:I957"/>
    <mergeCell ref="I958:I959"/>
    <mergeCell ref="I960:I961"/>
    <mergeCell ref="I962:I963"/>
    <mergeCell ref="I964:I965"/>
    <mergeCell ref="I966:I967"/>
    <mergeCell ref="I968:I969"/>
    <mergeCell ref="I970:I971"/>
    <mergeCell ref="I972:I973"/>
    <mergeCell ref="I974:I975"/>
    <mergeCell ref="I976:I977"/>
    <mergeCell ref="I978:I979"/>
    <mergeCell ref="I980:I981"/>
    <mergeCell ref="I982:I983"/>
    <mergeCell ref="I984:I985"/>
    <mergeCell ref="I986:I987"/>
    <mergeCell ref="I988:I989"/>
    <mergeCell ref="I990:I991"/>
    <mergeCell ref="I992:I993"/>
    <mergeCell ref="I994:I995"/>
    <mergeCell ref="I996:I997"/>
    <mergeCell ref="I998:I999"/>
    <mergeCell ref="I1000:I1001"/>
    <mergeCell ref="I1002:I1003"/>
    <mergeCell ref="I1004:I1005"/>
    <mergeCell ref="I1006:I1007"/>
    <mergeCell ref="I1008:I1009"/>
    <mergeCell ref="I1010:I1011"/>
    <mergeCell ref="I1012:I1013"/>
    <mergeCell ref="I1014:I1015"/>
    <mergeCell ref="I1016:I1017"/>
    <mergeCell ref="I1018:I1019"/>
    <mergeCell ref="I1020:I1021"/>
    <mergeCell ref="I1022:I1023"/>
    <mergeCell ref="I1024:I1025"/>
    <mergeCell ref="I1026:I1027"/>
    <mergeCell ref="I1028:I1029"/>
    <mergeCell ref="I1030:I1031"/>
    <mergeCell ref="I1032:I1033"/>
    <mergeCell ref="I1034:I1035"/>
    <mergeCell ref="I1036:I1037"/>
    <mergeCell ref="I1038:I1039"/>
    <mergeCell ref="I1040:I1041"/>
    <mergeCell ref="I1042:I1043"/>
    <mergeCell ref="I1044:I1045"/>
    <mergeCell ref="I1046:I1047"/>
    <mergeCell ref="I1048:I1049"/>
    <mergeCell ref="I1050:I1051"/>
    <mergeCell ref="I1052:I1053"/>
    <mergeCell ref="I1054:I1055"/>
    <mergeCell ref="I1056:I1057"/>
    <mergeCell ref="I1058:I1059"/>
    <mergeCell ref="I1060:I1061"/>
    <mergeCell ref="I1062:I1063"/>
    <mergeCell ref="I1064:I1065"/>
    <mergeCell ref="I1066:I1067"/>
    <mergeCell ref="I1068:I1069"/>
    <mergeCell ref="I1070:I1071"/>
    <mergeCell ref="I1072:I1073"/>
    <mergeCell ref="I1074:I1075"/>
    <mergeCell ref="I1076:I1077"/>
    <mergeCell ref="I1078:I1079"/>
    <mergeCell ref="I1080:I1081"/>
    <mergeCell ref="I1082:I1083"/>
    <mergeCell ref="I1084:I1085"/>
    <mergeCell ref="I1086:I1087"/>
    <mergeCell ref="I1088:I1089"/>
    <mergeCell ref="I1090:I1091"/>
    <mergeCell ref="I1092:I1093"/>
    <mergeCell ref="I1094:I1095"/>
    <mergeCell ref="I1096:I1097"/>
    <mergeCell ref="I1098:I1099"/>
    <mergeCell ref="I1100:I1101"/>
    <mergeCell ref="I1102:I1103"/>
    <mergeCell ref="I1104:I1105"/>
    <mergeCell ref="I1106:I1107"/>
    <mergeCell ref="I1108:I1109"/>
    <mergeCell ref="I1110:I1111"/>
    <mergeCell ref="I1112:I1113"/>
    <mergeCell ref="I1114:I1115"/>
    <mergeCell ref="I1116:I1117"/>
    <mergeCell ref="I1118:I1119"/>
    <mergeCell ref="I1120:I1121"/>
    <mergeCell ref="I1122:I1123"/>
    <mergeCell ref="I1124:I1125"/>
    <mergeCell ref="I1126:I1127"/>
    <mergeCell ref="I1128:I1129"/>
    <mergeCell ref="I1130:I1131"/>
    <mergeCell ref="I1132:I1133"/>
    <mergeCell ref="I1134:I1135"/>
    <mergeCell ref="I1136:I1137"/>
    <mergeCell ref="I1138:I1139"/>
    <mergeCell ref="I1140:I1141"/>
    <mergeCell ref="I1142:I1143"/>
    <mergeCell ref="I1144:I1145"/>
    <mergeCell ref="I1146:I1147"/>
    <mergeCell ref="I1148:I1149"/>
    <mergeCell ref="I1150:I1151"/>
    <mergeCell ref="I1152:I1153"/>
    <mergeCell ref="I1154:I1155"/>
    <mergeCell ref="I1156:I1157"/>
    <mergeCell ref="I1158:I1159"/>
    <mergeCell ref="I1160:I1161"/>
    <mergeCell ref="I1162:I1163"/>
    <mergeCell ref="I1164:I1165"/>
    <mergeCell ref="I1166:I1167"/>
    <mergeCell ref="I1168:I1169"/>
    <mergeCell ref="I1170:I1171"/>
    <mergeCell ref="I1172:I1173"/>
    <mergeCell ref="I1174:I1175"/>
    <mergeCell ref="I1176:I1177"/>
    <mergeCell ref="I1178:I1179"/>
    <mergeCell ref="I1180:I1181"/>
    <mergeCell ref="I1182:I1183"/>
    <mergeCell ref="I1184:I1185"/>
    <mergeCell ref="I1186:I1187"/>
    <mergeCell ref="I1188:I1189"/>
    <mergeCell ref="I1190:I1191"/>
    <mergeCell ref="I1192:I1193"/>
    <mergeCell ref="I1194:I1195"/>
    <mergeCell ref="I1196:I1197"/>
    <mergeCell ref="I1198:I1199"/>
    <mergeCell ref="I1200:I1201"/>
    <mergeCell ref="I1202:I1203"/>
    <mergeCell ref="I1204:I1205"/>
    <mergeCell ref="I1206:I1207"/>
    <mergeCell ref="I1208:I1209"/>
    <mergeCell ref="I1210:I1211"/>
    <mergeCell ref="I1212:I1213"/>
    <mergeCell ref="I1214:I1215"/>
    <mergeCell ref="I1216:I1217"/>
    <mergeCell ref="I1218:I1219"/>
    <mergeCell ref="I1220:I1221"/>
    <mergeCell ref="I1222:I1223"/>
    <mergeCell ref="I1224:I1225"/>
    <mergeCell ref="I1226:I1227"/>
    <mergeCell ref="I1228:I1229"/>
    <mergeCell ref="I1230:I1231"/>
    <mergeCell ref="I1232:I1233"/>
    <mergeCell ref="I1234:I1235"/>
    <mergeCell ref="I1236:I1237"/>
    <mergeCell ref="I1238:I123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11"/>
  <sheetViews>
    <sheetView showFormulas="false" showGridLines="true" showRowColHeaders="true" showZeros="true" rightToLeft="false" tabSelected="false" showOutlineSymbols="true" defaultGridColor="true" view="normal" topLeftCell="C446" colorId="64" zoomScale="124" zoomScaleNormal="124"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20.58"/>
    <col collapsed="false" customWidth="true" hidden="false" outlineLevel="0" max="2" min="2" style="0" width="34.08"/>
    <col collapsed="false" customWidth="true" hidden="false" outlineLevel="0" max="3" min="3" style="0" width="8.34"/>
    <col collapsed="false" customWidth="true" hidden="false" outlineLevel="0" max="4" min="4" style="0" width="56.61"/>
    <col collapsed="false" customWidth="true" hidden="false" outlineLevel="0" max="5" min="5" style="0" width="9.33"/>
    <col collapsed="false" customWidth="true" hidden="false" outlineLevel="0" max="6" min="6" style="0" width="8.96"/>
    <col collapsed="false" customWidth="true" hidden="false" outlineLevel="0" max="7" min="7" style="0" width="37.88"/>
    <col collapsed="false" customWidth="true" hidden="false" outlineLevel="0" max="8" min="8" style="0" width="45.52"/>
    <col collapsed="false" customWidth="true" hidden="false" outlineLevel="0" max="10" min="10" style="0" width="16.55"/>
    <col collapsed="false" customWidth="true" hidden="false" outlineLevel="0" max="11" min="11" style="0" width="22.81"/>
  </cols>
  <sheetData>
    <row r="1" customFormat="false" ht="15" hidden="false" customHeight="false" outlineLevel="0" collapsed="false">
      <c r="A1" s="45" t="s">
        <v>5328</v>
      </c>
      <c r="B1" s="45" t="s">
        <v>3775</v>
      </c>
      <c r="C1" s="46" t="s">
        <v>3776</v>
      </c>
      <c r="D1" s="46" t="s">
        <v>3777</v>
      </c>
      <c r="E1" s="46" t="s">
        <v>3778</v>
      </c>
      <c r="F1" s="46" t="s">
        <v>27</v>
      </c>
      <c r="G1" s="46" t="s">
        <v>3779</v>
      </c>
      <c r="H1" s="46" t="s">
        <v>28</v>
      </c>
      <c r="I1" s="45" t="s">
        <v>29</v>
      </c>
      <c r="J1" s="46" t="s">
        <v>3780</v>
      </c>
      <c r="K1" s="58" t="s">
        <v>3781</v>
      </c>
      <c r="L1" s="45"/>
      <c r="M1" s="45"/>
      <c r="N1" s="46"/>
      <c r="O1" s="46"/>
    </row>
    <row r="2" customFormat="false" ht="169.4" hidden="false" customHeight="false" outlineLevel="0" collapsed="false">
      <c r="A2" s="0" t="s">
        <v>9077</v>
      </c>
      <c r="B2" s="0" t="s">
        <v>9078</v>
      </c>
      <c r="C2" s="57" t="s">
        <v>9079</v>
      </c>
      <c r="D2" s="57" t="s">
        <v>9080</v>
      </c>
      <c r="E2" s="57" t="s">
        <v>9081</v>
      </c>
      <c r="F2" s="57" t="s">
        <v>5334</v>
      </c>
      <c r="G2" s="57" t="s">
        <v>9082</v>
      </c>
      <c r="H2" s="57" t="s">
        <v>9083</v>
      </c>
      <c r="I2" s="34" t="s">
        <v>40</v>
      </c>
      <c r="J2" s="57" t="s">
        <v>9084</v>
      </c>
      <c r="K2" s="57" t="s">
        <v>9085</v>
      </c>
    </row>
    <row r="3" customFormat="false" ht="79.85" hidden="false" customHeight="false" outlineLevel="0" collapsed="false">
      <c r="D3" s="61"/>
      <c r="E3" s="61"/>
      <c r="F3" s="61"/>
      <c r="G3" s="57" t="s">
        <v>9086</v>
      </c>
      <c r="H3" s="57" t="s">
        <v>3792</v>
      </c>
      <c r="I3" s="34"/>
      <c r="J3" s="57" t="s">
        <v>3792</v>
      </c>
      <c r="K3" s="57" t="s">
        <v>9087</v>
      </c>
    </row>
    <row r="4" customFormat="false" ht="102.2" hidden="false" customHeight="false" outlineLevel="0" collapsed="false">
      <c r="D4" s="57" t="s">
        <v>9088</v>
      </c>
      <c r="E4" s="57" t="s">
        <v>9089</v>
      </c>
      <c r="F4" s="57" t="s">
        <v>5342</v>
      </c>
      <c r="G4" s="57" t="s">
        <v>9090</v>
      </c>
      <c r="H4" s="57" t="s">
        <v>9091</v>
      </c>
      <c r="I4" s="37" t="s">
        <v>50</v>
      </c>
      <c r="J4" s="57" t="s">
        <v>9092</v>
      </c>
      <c r="K4" s="57" t="s">
        <v>9093</v>
      </c>
    </row>
    <row r="5" customFormat="false" ht="68.65" hidden="false" customHeight="false" outlineLevel="0" collapsed="false">
      <c r="D5" s="61"/>
      <c r="E5" s="61"/>
      <c r="F5" s="61"/>
      <c r="G5" s="57" t="s">
        <v>9094</v>
      </c>
      <c r="H5" s="57" t="s">
        <v>3792</v>
      </c>
      <c r="I5" s="37"/>
      <c r="J5" s="57" t="s">
        <v>3792</v>
      </c>
      <c r="K5" s="57" t="s">
        <v>9095</v>
      </c>
    </row>
    <row r="6" customFormat="false" ht="79.85" hidden="false" customHeight="false" outlineLevel="0" collapsed="false">
      <c r="D6" s="0" t="s">
        <v>9096</v>
      </c>
      <c r="E6" s="0" t="s">
        <v>9097</v>
      </c>
      <c r="F6" s="0" t="s">
        <v>5334</v>
      </c>
      <c r="G6" s="57" t="s">
        <v>9098</v>
      </c>
      <c r="H6" s="57" t="s">
        <v>9099</v>
      </c>
      <c r="I6" s="34" t="s">
        <v>40</v>
      </c>
      <c r="J6" s="57" t="s">
        <v>9100</v>
      </c>
      <c r="K6" s="57" t="s">
        <v>9101</v>
      </c>
    </row>
    <row r="7" customFormat="false" ht="57.45" hidden="false" customHeight="false" outlineLevel="0" collapsed="false">
      <c r="D7" s="62"/>
      <c r="E7" s="62"/>
      <c r="F7" s="62"/>
      <c r="G7" s="57" t="s">
        <v>9102</v>
      </c>
      <c r="H7" s="57" t="s">
        <v>3792</v>
      </c>
      <c r="I7" s="34"/>
      <c r="J7" s="57" t="s">
        <v>3792</v>
      </c>
      <c r="K7" s="57" t="s">
        <v>9103</v>
      </c>
    </row>
    <row r="8" customFormat="false" ht="91" hidden="false" customHeight="false" outlineLevel="0" collapsed="false">
      <c r="D8" s="0" t="s">
        <v>9104</v>
      </c>
      <c r="E8" s="0" t="s">
        <v>9105</v>
      </c>
      <c r="F8" s="0" t="s">
        <v>5334</v>
      </c>
      <c r="G8" s="57" t="s">
        <v>9106</v>
      </c>
      <c r="H8" s="57" t="s">
        <v>9107</v>
      </c>
      <c r="I8" s="39" t="s">
        <v>67</v>
      </c>
      <c r="J8" s="57" t="s">
        <v>9108</v>
      </c>
      <c r="K8" s="57" t="s">
        <v>9109</v>
      </c>
    </row>
    <row r="9" customFormat="false" ht="46.25" hidden="false" customHeight="false" outlineLevel="0" collapsed="false">
      <c r="D9" s="62"/>
      <c r="E9" s="62"/>
      <c r="F9" s="62"/>
      <c r="G9" s="57" t="s">
        <v>9110</v>
      </c>
      <c r="H9" s="57" t="s">
        <v>3792</v>
      </c>
      <c r="I9" s="39"/>
      <c r="J9" s="57" t="s">
        <v>3792</v>
      </c>
      <c r="K9" s="57" t="s">
        <v>9111</v>
      </c>
    </row>
    <row r="10" customFormat="false" ht="79.85" hidden="false" customHeight="false" outlineLevel="0" collapsed="false">
      <c r="D10" s="0" t="s">
        <v>9112</v>
      </c>
      <c r="E10" s="0" t="s">
        <v>9113</v>
      </c>
      <c r="F10" s="0" t="s">
        <v>5342</v>
      </c>
      <c r="G10" s="57" t="s">
        <v>9114</v>
      </c>
      <c r="H10" s="57" t="s">
        <v>9115</v>
      </c>
      <c r="I10" s="34" t="s">
        <v>40</v>
      </c>
      <c r="J10" s="57" t="s">
        <v>9116</v>
      </c>
      <c r="K10" s="57" t="s">
        <v>9117</v>
      </c>
    </row>
    <row r="11" customFormat="false" ht="57.45" hidden="false" customHeight="false" outlineLevel="0" collapsed="false">
      <c r="C11" s="65"/>
      <c r="D11" s="65"/>
      <c r="E11" s="65"/>
      <c r="F11" s="65"/>
      <c r="G11" s="57" t="s">
        <v>9118</v>
      </c>
      <c r="H11" s="57" t="s">
        <v>3792</v>
      </c>
      <c r="I11" s="34"/>
      <c r="J11" s="57" t="s">
        <v>3792</v>
      </c>
      <c r="K11" s="57" t="s">
        <v>9119</v>
      </c>
    </row>
    <row r="12" customFormat="false" ht="79.85" hidden="false" customHeight="false" outlineLevel="0" collapsed="false">
      <c r="C12" s="57" t="s">
        <v>9120</v>
      </c>
      <c r="D12" s="0" t="s">
        <v>9121</v>
      </c>
      <c r="E12" s="0" t="s">
        <v>9122</v>
      </c>
      <c r="F12" s="0" t="s">
        <v>5334</v>
      </c>
      <c r="G12" s="57" t="s">
        <v>9123</v>
      </c>
      <c r="H12" s="57" t="s">
        <v>9124</v>
      </c>
      <c r="I12" s="37" t="s">
        <v>50</v>
      </c>
      <c r="J12" s="57" t="s">
        <v>9125</v>
      </c>
      <c r="K12" s="57" t="s">
        <v>9126</v>
      </c>
    </row>
    <row r="13" customFormat="false" ht="57.45" hidden="false" customHeight="false" outlineLevel="0" collapsed="false">
      <c r="D13" s="62"/>
      <c r="E13" s="62"/>
      <c r="F13" s="62"/>
      <c r="G13" s="57" t="s">
        <v>9127</v>
      </c>
      <c r="H13" s="57" t="s">
        <v>3792</v>
      </c>
      <c r="I13" s="37"/>
      <c r="J13" s="57" t="s">
        <v>3792</v>
      </c>
      <c r="K13" s="57" t="s">
        <v>9128</v>
      </c>
    </row>
    <row r="14" customFormat="false" ht="79.85" hidden="false" customHeight="false" outlineLevel="0" collapsed="false">
      <c r="D14" s="0" t="s">
        <v>9129</v>
      </c>
      <c r="E14" s="0" t="s">
        <v>9130</v>
      </c>
      <c r="F14" s="0" t="s">
        <v>5342</v>
      </c>
      <c r="G14" s="57" t="s">
        <v>9131</v>
      </c>
      <c r="H14" s="57" t="s">
        <v>9132</v>
      </c>
      <c r="I14" s="34" t="s">
        <v>40</v>
      </c>
      <c r="J14" s="57" t="s">
        <v>9133</v>
      </c>
      <c r="K14" s="57" t="s">
        <v>9134</v>
      </c>
    </row>
    <row r="15" customFormat="false" ht="57.45" hidden="false" customHeight="false" outlineLevel="0" collapsed="false">
      <c r="D15" s="62"/>
      <c r="E15" s="62"/>
      <c r="F15" s="62"/>
      <c r="G15" s="57" t="s">
        <v>9135</v>
      </c>
      <c r="H15" s="57" t="s">
        <v>3792</v>
      </c>
      <c r="I15" s="34"/>
      <c r="J15" s="57" t="s">
        <v>3792</v>
      </c>
      <c r="K15" s="57" t="s">
        <v>9136</v>
      </c>
    </row>
    <row r="16" customFormat="false" ht="68.65" hidden="false" customHeight="false" outlineLevel="0" collapsed="false">
      <c r="D16" s="0" t="s">
        <v>9137</v>
      </c>
      <c r="E16" s="0" t="s">
        <v>9138</v>
      </c>
      <c r="F16" s="0" t="s">
        <v>5342</v>
      </c>
      <c r="G16" s="57" t="s">
        <v>9139</v>
      </c>
      <c r="H16" s="57" t="s">
        <v>9140</v>
      </c>
      <c r="I16" s="39" t="s">
        <v>67</v>
      </c>
      <c r="J16" s="57" t="s">
        <v>9141</v>
      </c>
      <c r="K16" s="57" t="s">
        <v>9142</v>
      </c>
    </row>
    <row r="17" customFormat="false" ht="46.25" hidden="false" customHeight="false" outlineLevel="0" collapsed="false">
      <c r="D17" s="62"/>
      <c r="E17" s="62"/>
      <c r="F17" s="62"/>
      <c r="G17" s="57" t="s">
        <v>9143</v>
      </c>
      <c r="H17" s="57" t="s">
        <v>3792</v>
      </c>
      <c r="I17" s="39"/>
      <c r="J17" s="57" t="s">
        <v>3792</v>
      </c>
      <c r="K17" s="57" t="s">
        <v>9144</v>
      </c>
    </row>
    <row r="18" customFormat="false" ht="79.85" hidden="false" customHeight="false" outlineLevel="0" collapsed="false">
      <c r="D18" s="0" t="s">
        <v>9145</v>
      </c>
      <c r="E18" s="0" t="s">
        <v>9146</v>
      </c>
      <c r="F18" s="0" t="s">
        <v>5334</v>
      </c>
      <c r="G18" s="57" t="s">
        <v>9147</v>
      </c>
      <c r="H18" s="57" t="s">
        <v>9148</v>
      </c>
      <c r="I18" s="34" t="s">
        <v>40</v>
      </c>
      <c r="J18" s="57" t="s">
        <v>9149</v>
      </c>
      <c r="K18" s="57" t="s">
        <v>9150</v>
      </c>
    </row>
    <row r="19" customFormat="false" ht="46.25" hidden="false" customHeight="false" outlineLevel="0" collapsed="false">
      <c r="D19" s="62"/>
      <c r="E19" s="62"/>
      <c r="F19" s="62"/>
      <c r="G19" s="57" t="s">
        <v>9151</v>
      </c>
      <c r="H19" s="57" t="s">
        <v>3792</v>
      </c>
      <c r="I19" s="34"/>
      <c r="J19" s="57" t="s">
        <v>3792</v>
      </c>
      <c r="K19" s="57" t="s">
        <v>9152</v>
      </c>
    </row>
    <row r="20" customFormat="false" ht="79.85" hidden="false" customHeight="false" outlineLevel="0" collapsed="false">
      <c r="D20" s="0" t="s">
        <v>9153</v>
      </c>
      <c r="E20" s="0" t="s">
        <v>9154</v>
      </c>
      <c r="F20" s="0" t="s">
        <v>5342</v>
      </c>
      <c r="G20" s="57" t="s">
        <v>9155</v>
      </c>
      <c r="H20" s="57" t="s">
        <v>9156</v>
      </c>
      <c r="I20" s="37" t="s">
        <v>50</v>
      </c>
      <c r="J20" s="57" t="s">
        <v>9157</v>
      </c>
      <c r="K20" s="57" t="s">
        <v>9158</v>
      </c>
    </row>
    <row r="21" customFormat="false" ht="57.45" hidden="false" customHeight="false" outlineLevel="0" collapsed="false">
      <c r="C21" s="65"/>
      <c r="D21" s="65"/>
      <c r="E21" s="65"/>
      <c r="F21" s="65"/>
      <c r="G21" s="57" t="s">
        <v>9159</v>
      </c>
      <c r="H21" s="57" t="s">
        <v>3792</v>
      </c>
      <c r="I21" s="37"/>
      <c r="J21" s="57" t="s">
        <v>3792</v>
      </c>
      <c r="K21" s="57" t="s">
        <v>9160</v>
      </c>
    </row>
    <row r="22" customFormat="false" ht="79.85" hidden="false" customHeight="false" outlineLevel="0" collapsed="false">
      <c r="C22" s="0" t="s">
        <v>9161</v>
      </c>
      <c r="D22" s="0" t="s">
        <v>9162</v>
      </c>
      <c r="E22" s="0" t="s">
        <v>9163</v>
      </c>
      <c r="F22" s="0" t="s">
        <v>5334</v>
      </c>
      <c r="G22" s="57" t="s">
        <v>9164</v>
      </c>
      <c r="H22" s="57" t="s">
        <v>9165</v>
      </c>
      <c r="I22" s="34" t="s">
        <v>40</v>
      </c>
      <c r="J22" s="57" t="s">
        <v>9166</v>
      </c>
      <c r="K22" s="57" t="s">
        <v>9167</v>
      </c>
    </row>
    <row r="23" customFormat="false" ht="57.45" hidden="false" customHeight="false" outlineLevel="0" collapsed="false">
      <c r="D23" s="62"/>
      <c r="E23" s="62"/>
      <c r="F23" s="62"/>
      <c r="G23" s="57" t="s">
        <v>9168</v>
      </c>
      <c r="H23" s="57" t="s">
        <v>3792</v>
      </c>
      <c r="I23" s="34"/>
      <c r="J23" s="57" t="s">
        <v>3792</v>
      </c>
      <c r="K23" s="57" t="s">
        <v>9169</v>
      </c>
    </row>
    <row r="24" customFormat="false" ht="57.45" hidden="false" customHeight="false" outlineLevel="0" collapsed="false">
      <c r="D24" s="0" t="s">
        <v>9170</v>
      </c>
      <c r="E24" s="0" t="s">
        <v>9171</v>
      </c>
      <c r="F24" s="0" t="s">
        <v>5342</v>
      </c>
      <c r="G24" s="57" t="s">
        <v>9172</v>
      </c>
      <c r="H24" s="57" t="s">
        <v>9173</v>
      </c>
      <c r="I24" s="39" t="s">
        <v>67</v>
      </c>
      <c r="J24" s="57" t="s">
        <v>9174</v>
      </c>
      <c r="K24" s="57" t="s">
        <v>9175</v>
      </c>
    </row>
    <row r="25" customFormat="false" ht="46.25" hidden="false" customHeight="false" outlineLevel="0" collapsed="false">
      <c r="D25" s="62"/>
      <c r="E25" s="62"/>
      <c r="F25" s="62"/>
      <c r="G25" s="57" t="s">
        <v>9176</v>
      </c>
      <c r="H25" s="57" t="s">
        <v>3792</v>
      </c>
      <c r="I25" s="39"/>
      <c r="J25" s="57" t="s">
        <v>3792</v>
      </c>
      <c r="K25" s="57" t="s">
        <v>9177</v>
      </c>
    </row>
    <row r="26" customFormat="false" ht="57.45" hidden="false" customHeight="false" outlineLevel="0" collapsed="false">
      <c r="D26" s="0" t="s">
        <v>9178</v>
      </c>
      <c r="E26" s="0" t="s">
        <v>9179</v>
      </c>
      <c r="F26" s="0" t="s">
        <v>5334</v>
      </c>
      <c r="G26" s="57" t="s">
        <v>9180</v>
      </c>
      <c r="H26" s="57" t="s">
        <v>9181</v>
      </c>
      <c r="I26" s="34" t="s">
        <v>40</v>
      </c>
      <c r="J26" s="57" t="s">
        <v>9182</v>
      </c>
      <c r="K26" s="57" t="s">
        <v>9183</v>
      </c>
    </row>
    <row r="27" customFormat="false" ht="46.25" hidden="false" customHeight="false" outlineLevel="0" collapsed="false">
      <c r="D27" s="62"/>
      <c r="E27" s="62"/>
      <c r="F27" s="62"/>
      <c r="G27" s="57" t="s">
        <v>9184</v>
      </c>
      <c r="H27" s="57" t="s">
        <v>3792</v>
      </c>
      <c r="I27" s="34"/>
      <c r="J27" s="57" t="s">
        <v>3792</v>
      </c>
      <c r="K27" s="57" t="s">
        <v>9185</v>
      </c>
    </row>
    <row r="28" customFormat="false" ht="68.65" hidden="false" customHeight="false" outlineLevel="0" collapsed="false">
      <c r="D28" s="0" t="s">
        <v>9186</v>
      </c>
      <c r="E28" s="0" t="s">
        <v>9187</v>
      </c>
      <c r="F28" s="0" t="s">
        <v>5334</v>
      </c>
      <c r="G28" s="57" t="s">
        <v>9188</v>
      </c>
      <c r="H28" s="57" t="s">
        <v>9189</v>
      </c>
      <c r="I28" s="37" t="s">
        <v>50</v>
      </c>
      <c r="J28" s="57" t="s">
        <v>9190</v>
      </c>
      <c r="K28" s="57" t="s">
        <v>9191</v>
      </c>
    </row>
    <row r="29" customFormat="false" ht="35.05" hidden="false" customHeight="false" outlineLevel="0" collapsed="false">
      <c r="D29" s="62"/>
      <c r="E29" s="62"/>
      <c r="F29" s="62"/>
      <c r="G29" s="57" t="s">
        <v>9192</v>
      </c>
      <c r="H29" s="57" t="s">
        <v>3792</v>
      </c>
      <c r="I29" s="37"/>
      <c r="J29" s="57" t="s">
        <v>3792</v>
      </c>
      <c r="K29" s="57" t="s">
        <v>9193</v>
      </c>
    </row>
    <row r="30" customFormat="false" ht="68.65" hidden="false" customHeight="false" outlineLevel="0" collapsed="false">
      <c r="D30" s="0" t="s">
        <v>9194</v>
      </c>
      <c r="E30" s="0" t="s">
        <v>9195</v>
      </c>
      <c r="F30" s="0" t="s">
        <v>5342</v>
      </c>
      <c r="G30" s="57" t="s">
        <v>9196</v>
      </c>
      <c r="H30" s="57" t="s">
        <v>9197</v>
      </c>
      <c r="I30" s="34" t="s">
        <v>40</v>
      </c>
      <c r="J30" s="57" t="s">
        <v>9198</v>
      </c>
      <c r="K30" s="57" t="s">
        <v>9199</v>
      </c>
    </row>
    <row r="31" customFormat="false" ht="35.05" hidden="false" customHeight="false" outlineLevel="0" collapsed="false">
      <c r="C31" s="65"/>
      <c r="D31" s="65"/>
      <c r="E31" s="65"/>
      <c r="F31" s="65"/>
      <c r="G31" s="57" t="s">
        <v>9200</v>
      </c>
      <c r="H31" s="57" t="s">
        <v>3792</v>
      </c>
      <c r="I31" s="34"/>
      <c r="J31" s="57" t="s">
        <v>3792</v>
      </c>
      <c r="K31" s="57" t="s">
        <v>9201</v>
      </c>
    </row>
    <row r="32" customFormat="false" ht="79.85" hidden="false" customHeight="false" outlineLevel="0" collapsed="false">
      <c r="C32" s="0" t="s">
        <v>9202</v>
      </c>
      <c r="D32" s="0" t="s">
        <v>9203</v>
      </c>
      <c r="E32" s="0" t="s">
        <v>9204</v>
      </c>
      <c r="F32" s="0" t="s">
        <v>5342</v>
      </c>
      <c r="G32" s="57" t="s">
        <v>9205</v>
      </c>
      <c r="H32" s="57" t="s">
        <v>9206</v>
      </c>
      <c r="I32" s="39" t="s">
        <v>67</v>
      </c>
      <c r="J32" s="57" t="s">
        <v>9207</v>
      </c>
      <c r="K32" s="57" t="s">
        <v>9208</v>
      </c>
    </row>
    <row r="33" customFormat="false" ht="35.05" hidden="false" customHeight="false" outlineLevel="0" collapsed="false">
      <c r="D33" s="62"/>
      <c r="E33" s="62"/>
      <c r="F33" s="62"/>
      <c r="G33" s="57" t="s">
        <v>9209</v>
      </c>
      <c r="H33" s="57" t="s">
        <v>3792</v>
      </c>
      <c r="I33" s="39"/>
      <c r="J33" s="57" t="s">
        <v>3792</v>
      </c>
      <c r="K33" s="57" t="s">
        <v>9210</v>
      </c>
    </row>
    <row r="34" customFormat="false" ht="79.85" hidden="false" customHeight="false" outlineLevel="0" collapsed="false">
      <c r="D34" s="0" t="s">
        <v>9211</v>
      </c>
      <c r="E34" s="0" t="s">
        <v>9212</v>
      </c>
      <c r="F34" s="0" t="s">
        <v>5334</v>
      </c>
      <c r="G34" s="57" t="s">
        <v>9213</v>
      </c>
      <c r="H34" s="57" t="s">
        <v>9214</v>
      </c>
      <c r="I34" s="34" t="s">
        <v>40</v>
      </c>
      <c r="J34" s="57" t="s">
        <v>9215</v>
      </c>
      <c r="K34" s="57" t="s">
        <v>9216</v>
      </c>
    </row>
    <row r="35" customFormat="false" ht="46.25" hidden="false" customHeight="false" outlineLevel="0" collapsed="false">
      <c r="D35" s="62"/>
      <c r="E35" s="62"/>
      <c r="F35" s="62"/>
      <c r="G35" s="57" t="s">
        <v>9217</v>
      </c>
      <c r="H35" s="57" t="s">
        <v>3792</v>
      </c>
      <c r="I35" s="34"/>
      <c r="J35" s="57" t="s">
        <v>3792</v>
      </c>
      <c r="K35" s="57" t="s">
        <v>9218</v>
      </c>
    </row>
    <row r="36" customFormat="false" ht="68.65" hidden="false" customHeight="false" outlineLevel="0" collapsed="false">
      <c r="D36" s="0" t="s">
        <v>9219</v>
      </c>
      <c r="E36" s="0" t="s">
        <v>9220</v>
      </c>
      <c r="F36" s="0" t="s">
        <v>5334</v>
      </c>
      <c r="G36" s="57" t="s">
        <v>9090</v>
      </c>
      <c r="H36" s="57" t="s">
        <v>9221</v>
      </c>
      <c r="I36" s="37" t="s">
        <v>50</v>
      </c>
      <c r="J36" s="57" t="s">
        <v>9222</v>
      </c>
      <c r="K36" s="57" t="s">
        <v>9223</v>
      </c>
    </row>
    <row r="37" customFormat="false" ht="46.25" hidden="false" customHeight="false" outlineLevel="0" collapsed="false">
      <c r="D37" s="62"/>
      <c r="E37" s="62"/>
      <c r="F37" s="62"/>
      <c r="G37" s="57" t="s">
        <v>9094</v>
      </c>
      <c r="H37" s="57" t="s">
        <v>3792</v>
      </c>
      <c r="I37" s="37"/>
      <c r="J37" s="57" t="s">
        <v>3792</v>
      </c>
      <c r="K37" s="57" t="s">
        <v>9224</v>
      </c>
    </row>
    <row r="38" customFormat="false" ht="79.85" hidden="false" customHeight="false" outlineLevel="0" collapsed="false">
      <c r="D38" s="0" t="s">
        <v>9225</v>
      </c>
      <c r="E38" s="0" t="s">
        <v>9226</v>
      </c>
      <c r="F38" s="0" t="s">
        <v>5342</v>
      </c>
      <c r="G38" s="57" t="s">
        <v>9098</v>
      </c>
      <c r="H38" s="57" t="s">
        <v>9227</v>
      </c>
      <c r="I38" s="34" t="s">
        <v>40</v>
      </c>
      <c r="J38" s="57" t="s">
        <v>9228</v>
      </c>
      <c r="K38" s="57" t="s">
        <v>9229</v>
      </c>
    </row>
    <row r="39" customFormat="false" ht="46.25" hidden="false" customHeight="false" outlineLevel="0" collapsed="false">
      <c r="D39" s="62"/>
      <c r="E39" s="62"/>
      <c r="F39" s="62"/>
      <c r="G39" s="57" t="s">
        <v>9102</v>
      </c>
      <c r="H39" s="57" t="s">
        <v>3792</v>
      </c>
      <c r="I39" s="34"/>
      <c r="J39" s="57" t="s">
        <v>3792</v>
      </c>
      <c r="K39" s="57" t="s">
        <v>9230</v>
      </c>
    </row>
    <row r="40" customFormat="false" ht="79.85" hidden="false" customHeight="false" outlineLevel="0" collapsed="false">
      <c r="D40" s="0" t="s">
        <v>9231</v>
      </c>
      <c r="E40" s="0" t="s">
        <v>9232</v>
      </c>
      <c r="F40" s="0" t="s">
        <v>5342</v>
      </c>
      <c r="G40" s="57" t="s">
        <v>9106</v>
      </c>
      <c r="H40" s="57" t="s">
        <v>9233</v>
      </c>
      <c r="I40" s="39" t="s">
        <v>67</v>
      </c>
      <c r="J40" s="57" t="s">
        <v>9234</v>
      </c>
      <c r="K40" s="57" t="s">
        <v>9235</v>
      </c>
    </row>
    <row r="41" customFormat="false" ht="46.25" hidden="false" customHeight="false" outlineLevel="0" collapsed="false">
      <c r="C41" s="65"/>
      <c r="D41" s="65"/>
      <c r="E41" s="65"/>
      <c r="F41" s="65"/>
      <c r="G41" s="57" t="s">
        <v>9110</v>
      </c>
      <c r="H41" s="57" t="s">
        <v>3792</v>
      </c>
      <c r="I41" s="39"/>
      <c r="J41" s="57" t="s">
        <v>3792</v>
      </c>
      <c r="K41" s="57" t="s">
        <v>9236</v>
      </c>
    </row>
    <row r="42" customFormat="false" ht="113.4" hidden="false" customHeight="false" outlineLevel="0" collapsed="false">
      <c r="C42" s="0" t="s">
        <v>9237</v>
      </c>
      <c r="D42" s="0" t="s">
        <v>9238</v>
      </c>
      <c r="E42" s="0" t="s">
        <v>9239</v>
      </c>
      <c r="F42" s="0" t="s">
        <v>5334</v>
      </c>
      <c r="G42" s="57" t="s">
        <v>9114</v>
      </c>
      <c r="H42" s="57" t="s">
        <v>9240</v>
      </c>
      <c r="I42" s="34" t="s">
        <v>40</v>
      </c>
      <c r="J42" s="57" t="s">
        <v>9241</v>
      </c>
      <c r="K42" s="57" t="s">
        <v>9242</v>
      </c>
    </row>
    <row r="43" customFormat="false" ht="35.05" hidden="false" customHeight="false" outlineLevel="0" collapsed="false">
      <c r="D43" s="62"/>
      <c r="E43" s="62"/>
      <c r="F43" s="62"/>
      <c r="G43" s="57" t="s">
        <v>9118</v>
      </c>
      <c r="H43" s="57" t="s">
        <v>3792</v>
      </c>
      <c r="I43" s="34"/>
      <c r="J43" s="57" t="s">
        <v>3792</v>
      </c>
      <c r="K43" s="57" t="s">
        <v>9243</v>
      </c>
    </row>
    <row r="44" customFormat="false" ht="68.65" hidden="false" customHeight="false" outlineLevel="0" collapsed="false">
      <c r="D44" s="0" t="s">
        <v>9244</v>
      </c>
      <c r="E44" s="0" t="s">
        <v>9245</v>
      </c>
      <c r="F44" s="0" t="s">
        <v>5342</v>
      </c>
      <c r="G44" s="57" t="s">
        <v>9123</v>
      </c>
      <c r="H44" s="57" t="s">
        <v>9246</v>
      </c>
      <c r="I44" s="37" t="s">
        <v>50</v>
      </c>
      <c r="J44" s="57" t="s">
        <v>9247</v>
      </c>
      <c r="K44" s="57" t="s">
        <v>9248</v>
      </c>
    </row>
    <row r="45" customFormat="false" ht="35.05" hidden="false" customHeight="false" outlineLevel="0" collapsed="false">
      <c r="D45" s="62"/>
      <c r="E45" s="62"/>
      <c r="F45" s="62"/>
      <c r="G45" s="57" t="s">
        <v>9127</v>
      </c>
      <c r="H45" s="57" t="s">
        <v>3792</v>
      </c>
      <c r="I45" s="37"/>
      <c r="J45" s="57" t="s">
        <v>3792</v>
      </c>
      <c r="K45" s="57" t="s">
        <v>9249</v>
      </c>
    </row>
    <row r="46" customFormat="false" ht="79.85" hidden="false" customHeight="false" outlineLevel="0" collapsed="false">
      <c r="D46" s="0" t="s">
        <v>9250</v>
      </c>
      <c r="E46" s="0" t="s">
        <v>9251</v>
      </c>
      <c r="F46" s="0" t="s">
        <v>5342</v>
      </c>
      <c r="G46" s="57" t="s">
        <v>9131</v>
      </c>
      <c r="H46" s="57" t="s">
        <v>9252</v>
      </c>
      <c r="I46" s="34" t="s">
        <v>40</v>
      </c>
      <c r="J46" s="57" t="s">
        <v>9253</v>
      </c>
      <c r="K46" s="57" t="s">
        <v>9254</v>
      </c>
    </row>
    <row r="47" customFormat="false" ht="46.25" hidden="false" customHeight="false" outlineLevel="0" collapsed="false">
      <c r="D47" s="62"/>
      <c r="E47" s="62"/>
      <c r="F47" s="62"/>
      <c r="G47" s="57" t="s">
        <v>9135</v>
      </c>
      <c r="H47" s="57" t="s">
        <v>3792</v>
      </c>
      <c r="I47" s="34"/>
      <c r="J47" s="57" t="s">
        <v>3792</v>
      </c>
      <c r="K47" s="57" t="s">
        <v>9255</v>
      </c>
    </row>
    <row r="48" customFormat="false" ht="79.85" hidden="false" customHeight="false" outlineLevel="0" collapsed="false">
      <c r="D48" s="0" t="s">
        <v>9256</v>
      </c>
      <c r="E48" s="0" t="s">
        <v>9257</v>
      </c>
      <c r="F48" s="0" t="s">
        <v>5334</v>
      </c>
      <c r="G48" s="57" t="s">
        <v>9139</v>
      </c>
      <c r="H48" s="57" t="s">
        <v>9258</v>
      </c>
      <c r="I48" s="39" t="s">
        <v>67</v>
      </c>
      <c r="J48" s="57" t="s">
        <v>9259</v>
      </c>
      <c r="K48" s="57" t="s">
        <v>9260</v>
      </c>
    </row>
    <row r="49" customFormat="false" ht="35.05" hidden="false" customHeight="false" outlineLevel="0" collapsed="false">
      <c r="D49" s="62"/>
      <c r="E49" s="62"/>
      <c r="F49" s="62"/>
      <c r="G49" s="57" t="s">
        <v>9261</v>
      </c>
      <c r="H49" s="57" t="s">
        <v>3792</v>
      </c>
      <c r="I49" s="39"/>
      <c r="J49" s="57" t="s">
        <v>3792</v>
      </c>
      <c r="K49" s="57" t="s">
        <v>9262</v>
      </c>
    </row>
    <row r="50" customFormat="false" ht="79.85" hidden="false" customHeight="false" outlineLevel="0" collapsed="false">
      <c r="D50" s="0" t="s">
        <v>9263</v>
      </c>
      <c r="E50" s="0" t="s">
        <v>9264</v>
      </c>
      <c r="F50" s="0" t="s">
        <v>5342</v>
      </c>
      <c r="G50" s="57" t="s">
        <v>9265</v>
      </c>
      <c r="H50" s="57" t="s">
        <v>9266</v>
      </c>
      <c r="I50" s="34" t="s">
        <v>40</v>
      </c>
      <c r="J50" s="57" t="s">
        <v>9267</v>
      </c>
      <c r="K50" s="57" t="s">
        <v>9268</v>
      </c>
    </row>
    <row r="51" customFormat="false" ht="46.25" hidden="false" customHeight="false" outlineLevel="0" collapsed="false">
      <c r="C51" s="65"/>
      <c r="D51" s="65"/>
      <c r="E51" s="65"/>
      <c r="F51" s="65"/>
      <c r="G51" s="57" t="s">
        <v>9269</v>
      </c>
      <c r="H51" s="57" t="s">
        <v>3792</v>
      </c>
      <c r="I51" s="34"/>
      <c r="J51" s="57" t="s">
        <v>3792</v>
      </c>
      <c r="K51" s="57" t="s">
        <v>9270</v>
      </c>
    </row>
    <row r="52" customFormat="false" ht="68.65" hidden="false" customHeight="false" outlineLevel="0" collapsed="false">
      <c r="C52" s="57" t="s">
        <v>9271</v>
      </c>
      <c r="D52" s="0" t="s">
        <v>9272</v>
      </c>
      <c r="E52" s="0" t="s">
        <v>9273</v>
      </c>
      <c r="F52" s="0" t="s">
        <v>5334</v>
      </c>
      <c r="G52" s="57" t="s">
        <v>9274</v>
      </c>
      <c r="H52" s="57" t="s">
        <v>9275</v>
      </c>
      <c r="I52" s="37" t="s">
        <v>50</v>
      </c>
      <c r="J52" s="57" t="s">
        <v>9276</v>
      </c>
      <c r="K52" s="57" t="s">
        <v>9277</v>
      </c>
    </row>
    <row r="53" customFormat="false" ht="35.05" hidden="false" customHeight="false" outlineLevel="0" collapsed="false">
      <c r="D53" s="62"/>
      <c r="E53" s="62"/>
      <c r="F53" s="62"/>
      <c r="G53" s="57" t="s">
        <v>9278</v>
      </c>
      <c r="H53" s="57" t="s">
        <v>3792</v>
      </c>
      <c r="I53" s="37"/>
      <c r="J53" s="57" t="s">
        <v>3792</v>
      </c>
      <c r="K53" s="57" t="s">
        <v>9279</v>
      </c>
    </row>
    <row r="54" customFormat="false" ht="68.65" hidden="false" customHeight="false" outlineLevel="0" collapsed="false">
      <c r="D54" s="0" t="s">
        <v>9280</v>
      </c>
      <c r="E54" s="0" t="s">
        <v>9281</v>
      </c>
      <c r="F54" s="0" t="s">
        <v>5334</v>
      </c>
      <c r="G54" s="57" t="s">
        <v>9282</v>
      </c>
      <c r="H54" s="57" t="s">
        <v>9283</v>
      </c>
      <c r="I54" s="34" t="s">
        <v>40</v>
      </c>
      <c r="J54" s="57" t="s">
        <v>9284</v>
      </c>
      <c r="K54" s="57" t="s">
        <v>9285</v>
      </c>
    </row>
    <row r="55" customFormat="false" ht="35.05" hidden="false" customHeight="false" outlineLevel="0" collapsed="false">
      <c r="D55" s="62"/>
      <c r="E55" s="62"/>
      <c r="F55" s="62"/>
      <c r="G55" s="57" t="s">
        <v>9286</v>
      </c>
      <c r="H55" s="57" t="s">
        <v>3792</v>
      </c>
      <c r="I55" s="34"/>
      <c r="J55" s="57" t="s">
        <v>3792</v>
      </c>
      <c r="K55" s="57" t="s">
        <v>9287</v>
      </c>
    </row>
    <row r="56" customFormat="false" ht="68.65" hidden="false" customHeight="false" outlineLevel="0" collapsed="false">
      <c r="D56" s="0" t="s">
        <v>9288</v>
      </c>
      <c r="E56" s="0" t="s">
        <v>9289</v>
      </c>
      <c r="F56" s="0" t="s">
        <v>5342</v>
      </c>
      <c r="G56" s="57" t="s">
        <v>9290</v>
      </c>
      <c r="H56" s="57" t="s">
        <v>9291</v>
      </c>
      <c r="I56" s="39" t="s">
        <v>67</v>
      </c>
      <c r="J56" s="57" t="s">
        <v>9292</v>
      </c>
      <c r="K56" s="57" t="s">
        <v>9293</v>
      </c>
    </row>
    <row r="57" customFormat="false" ht="46.25" hidden="false" customHeight="false" outlineLevel="0" collapsed="false">
      <c r="D57" s="62"/>
      <c r="E57" s="62"/>
      <c r="F57" s="62"/>
      <c r="G57" s="57" t="s">
        <v>9294</v>
      </c>
      <c r="H57" s="57" t="s">
        <v>3792</v>
      </c>
      <c r="I57" s="39"/>
      <c r="J57" s="57" t="s">
        <v>3792</v>
      </c>
      <c r="K57" s="57" t="s">
        <v>9295</v>
      </c>
    </row>
    <row r="58" customFormat="false" ht="68.65" hidden="false" customHeight="false" outlineLevel="0" collapsed="false">
      <c r="D58" s="0" t="s">
        <v>9296</v>
      </c>
      <c r="E58" s="0" t="s">
        <v>9297</v>
      </c>
      <c r="F58" s="0" t="s">
        <v>5334</v>
      </c>
      <c r="G58" s="57" t="s">
        <v>9298</v>
      </c>
      <c r="H58" s="57" t="s">
        <v>9299</v>
      </c>
      <c r="I58" s="34" t="s">
        <v>40</v>
      </c>
      <c r="J58" s="57" t="s">
        <v>9300</v>
      </c>
      <c r="K58" s="57" t="s">
        <v>9301</v>
      </c>
    </row>
    <row r="59" customFormat="false" ht="46.25" hidden="false" customHeight="false" outlineLevel="0" collapsed="false">
      <c r="D59" s="62"/>
      <c r="E59" s="62"/>
      <c r="F59" s="62"/>
      <c r="G59" s="57" t="s">
        <v>9302</v>
      </c>
      <c r="H59" s="57" t="s">
        <v>3792</v>
      </c>
      <c r="I59" s="34"/>
      <c r="J59" s="57" t="s">
        <v>3792</v>
      </c>
      <c r="K59" s="57" t="s">
        <v>9303</v>
      </c>
    </row>
    <row r="60" customFormat="false" ht="68.65" hidden="false" customHeight="false" outlineLevel="0" collapsed="false">
      <c r="D60" s="0" t="s">
        <v>9304</v>
      </c>
      <c r="E60" s="0" t="s">
        <v>9305</v>
      </c>
      <c r="F60" s="0" t="s">
        <v>5334</v>
      </c>
      <c r="G60" s="57" t="s">
        <v>9306</v>
      </c>
      <c r="H60" s="57" t="s">
        <v>9307</v>
      </c>
      <c r="I60" s="37" t="s">
        <v>50</v>
      </c>
      <c r="J60" s="57" t="s">
        <v>9308</v>
      </c>
      <c r="K60" s="57" t="s">
        <v>9309</v>
      </c>
    </row>
    <row r="61" customFormat="false" ht="46.25" hidden="false" customHeight="false" outlineLevel="0" collapsed="false">
      <c r="C61" s="65"/>
      <c r="D61" s="65"/>
      <c r="E61" s="65"/>
      <c r="F61" s="65"/>
      <c r="G61" s="57" t="s">
        <v>9310</v>
      </c>
      <c r="H61" s="57" t="s">
        <v>3792</v>
      </c>
      <c r="I61" s="37"/>
      <c r="J61" s="57" t="s">
        <v>3792</v>
      </c>
      <c r="K61" s="57" t="s">
        <v>9311</v>
      </c>
    </row>
    <row r="62" customFormat="false" ht="91" hidden="false" customHeight="false" outlineLevel="0" collapsed="false">
      <c r="C62" s="57" t="s">
        <v>9312</v>
      </c>
      <c r="D62" s="0" t="s">
        <v>9313</v>
      </c>
      <c r="E62" s="0" t="s">
        <v>9314</v>
      </c>
      <c r="F62" s="0" t="s">
        <v>5342</v>
      </c>
      <c r="G62" s="57" t="s">
        <v>9315</v>
      </c>
      <c r="H62" s="57" t="s">
        <v>9316</v>
      </c>
      <c r="I62" s="34" t="s">
        <v>40</v>
      </c>
      <c r="J62" s="57" t="s">
        <v>9317</v>
      </c>
      <c r="K62" s="57" t="s">
        <v>9318</v>
      </c>
    </row>
    <row r="63" customFormat="false" ht="35.05" hidden="false" customHeight="false" outlineLevel="0" collapsed="false">
      <c r="D63" s="62"/>
      <c r="E63" s="62"/>
      <c r="F63" s="62"/>
      <c r="G63" s="57" t="s">
        <v>9319</v>
      </c>
      <c r="H63" s="57" t="s">
        <v>3792</v>
      </c>
      <c r="I63" s="34"/>
      <c r="J63" s="57" t="s">
        <v>3792</v>
      </c>
      <c r="K63" s="57" t="s">
        <v>9320</v>
      </c>
    </row>
    <row r="64" customFormat="false" ht="68.65" hidden="false" customHeight="false" outlineLevel="0" collapsed="false">
      <c r="D64" s="0" t="s">
        <v>9321</v>
      </c>
      <c r="E64" s="0" t="s">
        <v>9322</v>
      </c>
      <c r="F64" s="0" t="s">
        <v>5334</v>
      </c>
      <c r="G64" s="57" t="s">
        <v>9323</v>
      </c>
      <c r="H64" s="57" t="s">
        <v>9324</v>
      </c>
      <c r="I64" s="39" t="s">
        <v>67</v>
      </c>
      <c r="J64" s="57" t="s">
        <v>9325</v>
      </c>
      <c r="K64" s="57" t="s">
        <v>9326</v>
      </c>
    </row>
    <row r="65" customFormat="false" ht="35.05" hidden="false" customHeight="false" outlineLevel="0" collapsed="false">
      <c r="D65" s="62"/>
      <c r="E65" s="62"/>
      <c r="F65" s="62"/>
      <c r="G65" s="57" t="s">
        <v>9327</v>
      </c>
      <c r="H65" s="57" t="s">
        <v>3792</v>
      </c>
      <c r="I65" s="39"/>
      <c r="J65" s="57" t="s">
        <v>3792</v>
      </c>
      <c r="K65" s="57" t="s">
        <v>9328</v>
      </c>
    </row>
    <row r="66" customFormat="false" ht="91" hidden="false" customHeight="false" outlineLevel="0" collapsed="false">
      <c r="D66" s="0" t="s">
        <v>9329</v>
      </c>
      <c r="E66" s="0" t="s">
        <v>9330</v>
      </c>
      <c r="F66" s="0" t="s">
        <v>5342</v>
      </c>
      <c r="G66" s="57" t="s">
        <v>9331</v>
      </c>
      <c r="H66" s="57" t="s">
        <v>9332</v>
      </c>
      <c r="I66" s="34" t="s">
        <v>40</v>
      </c>
      <c r="J66" s="57" t="s">
        <v>9333</v>
      </c>
      <c r="K66" s="57" t="s">
        <v>9334</v>
      </c>
    </row>
    <row r="67" customFormat="false" ht="46.25" hidden="false" customHeight="false" outlineLevel="0" collapsed="false">
      <c r="D67" s="62"/>
      <c r="E67" s="62"/>
      <c r="F67" s="62"/>
      <c r="G67" s="57" t="s">
        <v>9335</v>
      </c>
      <c r="H67" s="57" t="s">
        <v>3792</v>
      </c>
      <c r="I67" s="34"/>
      <c r="J67" s="57" t="s">
        <v>3792</v>
      </c>
      <c r="K67" s="57" t="s">
        <v>9336</v>
      </c>
    </row>
    <row r="68" customFormat="false" ht="79.85" hidden="false" customHeight="false" outlineLevel="0" collapsed="false">
      <c r="D68" s="0" t="s">
        <v>9337</v>
      </c>
      <c r="E68" s="0" t="s">
        <v>9338</v>
      </c>
      <c r="F68" s="0" t="s">
        <v>5342</v>
      </c>
      <c r="G68" s="57" t="s">
        <v>9339</v>
      </c>
      <c r="H68" s="57" t="s">
        <v>9340</v>
      </c>
      <c r="I68" s="37" t="s">
        <v>50</v>
      </c>
      <c r="J68" s="57" t="s">
        <v>9341</v>
      </c>
      <c r="K68" s="57" t="s">
        <v>9342</v>
      </c>
    </row>
    <row r="69" customFormat="false" ht="35.05" hidden="false" customHeight="false" outlineLevel="0" collapsed="false">
      <c r="D69" s="62"/>
      <c r="E69" s="62"/>
      <c r="F69" s="62"/>
      <c r="G69" s="57" t="s">
        <v>9343</v>
      </c>
      <c r="H69" s="57" t="s">
        <v>3792</v>
      </c>
      <c r="I69" s="37"/>
      <c r="J69" s="57" t="s">
        <v>3792</v>
      </c>
      <c r="K69" s="57" t="s">
        <v>9344</v>
      </c>
    </row>
    <row r="70" customFormat="false" ht="68.65" hidden="false" customHeight="false" outlineLevel="0" collapsed="false">
      <c r="D70" s="0" t="s">
        <v>9345</v>
      </c>
      <c r="E70" s="0" t="s">
        <v>9346</v>
      </c>
      <c r="F70" s="0" t="s">
        <v>5334</v>
      </c>
      <c r="G70" s="57" t="s">
        <v>9347</v>
      </c>
      <c r="H70" s="57" t="s">
        <v>9348</v>
      </c>
      <c r="I70" s="34" t="s">
        <v>40</v>
      </c>
      <c r="J70" s="57" t="s">
        <v>9349</v>
      </c>
      <c r="K70" s="57" t="s">
        <v>9350</v>
      </c>
    </row>
    <row r="71" customFormat="false" ht="57.45" hidden="false" customHeight="false" outlineLevel="0" collapsed="false">
      <c r="C71" s="65"/>
      <c r="D71" s="65"/>
      <c r="E71" s="65"/>
      <c r="F71" s="65"/>
      <c r="G71" s="57" t="s">
        <v>9351</v>
      </c>
      <c r="H71" s="57" t="s">
        <v>3792</v>
      </c>
      <c r="I71" s="34"/>
      <c r="J71" s="57" t="s">
        <v>3792</v>
      </c>
      <c r="K71" s="57" t="s">
        <v>9352</v>
      </c>
    </row>
    <row r="72" customFormat="false" ht="79.85" hidden="false" customHeight="false" outlineLevel="0" collapsed="false">
      <c r="C72" s="57" t="s">
        <v>9353</v>
      </c>
      <c r="D72" s="0" t="s">
        <v>9354</v>
      </c>
      <c r="E72" s="0" t="s">
        <v>9355</v>
      </c>
      <c r="F72" s="0" t="s">
        <v>5334</v>
      </c>
      <c r="G72" s="57" t="s">
        <v>9356</v>
      </c>
      <c r="H72" s="57" t="s">
        <v>9357</v>
      </c>
      <c r="I72" s="39" t="s">
        <v>67</v>
      </c>
      <c r="J72" s="57" t="s">
        <v>9358</v>
      </c>
      <c r="K72" s="57" t="s">
        <v>9359</v>
      </c>
    </row>
    <row r="73" customFormat="false" ht="57.45" hidden="false" customHeight="false" outlineLevel="0" collapsed="false">
      <c r="D73" s="62"/>
      <c r="E73" s="62"/>
      <c r="F73" s="62"/>
      <c r="G73" s="57" t="s">
        <v>9360</v>
      </c>
      <c r="H73" s="57" t="s">
        <v>3792</v>
      </c>
      <c r="I73" s="39"/>
      <c r="J73" s="57" t="s">
        <v>3792</v>
      </c>
      <c r="K73" s="57" t="s">
        <v>9361</v>
      </c>
    </row>
    <row r="74" customFormat="false" ht="91" hidden="false" customHeight="false" outlineLevel="0" collapsed="false">
      <c r="D74" s="0" t="s">
        <v>9362</v>
      </c>
      <c r="E74" s="0" t="s">
        <v>9363</v>
      </c>
      <c r="F74" s="0" t="s">
        <v>5342</v>
      </c>
      <c r="G74" s="57" t="s">
        <v>9364</v>
      </c>
      <c r="H74" s="57" t="s">
        <v>9365</v>
      </c>
      <c r="I74" s="34" t="s">
        <v>40</v>
      </c>
      <c r="J74" s="57" t="s">
        <v>9366</v>
      </c>
      <c r="K74" s="57" t="s">
        <v>9367</v>
      </c>
    </row>
    <row r="75" customFormat="false" ht="46.25" hidden="false" customHeight="false" outlineLevel="0" collapsed="false">
      <c r="D75" s="62"/>
      <c r="E75" s="62"/>
      <c r="F75" s="62"/>
      <c r="G75" s="57" t="s">
        <v>9368</v>
      </c>
      <c r="H75" s="57" t="s">
        <v>3792</v>
      </c>
      <c r="I75" s="34"/>
      <c r="J75" s="57" t="s">
        <v>3792</v>
      </c>
      <c r="K75" s="57" t="s">
        <v>9369</v>
      </c>
    </row>
    <row r="76" customFormat="false" ht="68.65" hidden="false" customHeight="false" outlineLevel="0" collapsed="false">
      <c r="D76" s="0" t="s">
        <v>9370</v>
      </c>
      <c r="E76" s="0" t="s">
        <v>9371</v>
      </c>
      <c r="F76" s="0" t="s">
        <v>5334</v>
      </c>
      <c r="G76" s="57" t="s">
        <v>9372</v>
      </c>
      <c r="H76" s="57" t="s">
        <v>9373</v>
      </c>
      <c r="I76" s="37" t="s">
        <v>50</v>
      </c>
      <c r="J76" s="57" t="s">
        <v>9374</v>
      </c>
      <c r="K76" s="57" t="s">
        <v>9375</v>
      </c>
    </row>
    <row r="77" customFormat="false" ht="35.05" hidden="false" customHeight="false" outlineLevel="0" collapsed="false">
      <c r="D77" s="62"/>
      <c r="E77" s="62"/>
      <c r="F77" s="62"/>
      <c r="G77" s="57" t="s">
        <v>9376</v>
      </c>
      <c r="H77" s="57" t="s">
        <v>3792</v>
      </c>
      <c r="I77" s="37"/>
      <c r="J77" s="57" t="s">
        <v>3792</v>
      </c>
      <c r="K77" s="57" t="s">
        <v>9377</v>
      </c>
    </row>
    <row r="78" customFormat="false" ht="79.85" hidden="false" customHeight="false" outlineLevel="0" collapsed="false">
      <c r="D78" s="0" t="s">
        <v>9378</v>
      </c>
      <c r="E78" s="0" t="s">
        <v>9379</v>
      </c>
      <c r="F78" s="0" t="s">
        <v>5334</v>
      </c>
      <c r="G78" s="57" t="s">
        <v>9380</v>
      </c>
      <c r="H78" s="57" t="s">
        <v>9381</v>
      </c>
      <c r="I78" s="34" t="s">
        <v>40</v>
      </c>
      <c r="J78" s="57" t="s">
        <v>9382</v>
      </c>
      <c r="K78" s="57" t="s">
        <v>9383</v>
      </c>
    </row>
    <row r="79" customFormat="false" ht="35.05" hidden="false" customHeight="false" outlineLevel="0" collapsed="false">
      <c r="D79" s="62"/>
      <c r="E79" s="62"/>
      <c r="F79" s="62"/>
      <c r="G79" s="57" t="s">
        <v>9384</v>
      </c>
      <c r="H79" s="57" t="s">
        <v>3792</v>
      </c>
      <c r="I79" s="34"/>
      <c r="J79" s="57" t="s">
        <v>3792</v>
      </c>
      <c r="K79" s="57" t="s">
        <v>9385</v>
      </c>
    </row>
    <row r="80" customFormat="false" ht="57.45" hidden="false" customHeight="false" outlineLevel="0" collapsed="false">
      <c r="D80" s="0" t="s">
        <v>9386</v>
      </c>
      <c r="E80" s="0" t="s">
        <v>9387</v>
      </c>
      <c r="F80" s="0" t="s">
        <v>5334</v>
      </c>
      <c r="G80" s="57" t="s">
        <v>9388</v>
      </c>
      <c r="H80" s="57" t="s">
        <v>9389</v>
      </c>
      <c r="I80" s="39" t="s">
        <v>67</v>
      </c>
      <c r="J80" s="57" t="s">
        <v>9390</v>
      </c>
      <c r="K80" s="57" t="s">
        <v>9391</v>
      </c>
    </row>
    <row r="81" customFormat="false" ht="35.05" hidden="false" customHeight="false" outlineLevel="0" collapsed="false">
      <c r="C81" s="65"/>
      <c r="D81" s="65"/>
      <c r="E81" s="65"/>
      <c r="F81" s="65"/>
      <c r="G81" s="57" t="s">
        <v>9392</v>
      </c>
      <c r="H81" s="57" t="s">
        <v>3792</v>
      </c>
      <c r="I81" s="39"/>
      <c r="J81" s="57" t="s">
        <v>3792</v>
      </c>
      <c r="K81" s="57" t="s">
        <v>9393</v>
      </c>
    </row>
    <row r="82" customFormat="false" ht="79.85" hidden="false" customHeight="false" outlineLevel="0" collapsed="false">
      <c r="C82" s="0" t="s">
        <v>9394</v>
      </c>
      <c r="D82" s="0" t="s">
        <v>9395</v>
      </c>
      <c r="E82" s="0" t="s">
        <v>9396</v>
      </c>
      <c r="F82" s="0" t="s">
        <v>5342</v>
      </c>
      <c r="G82" s="57" t="s">
        <v>9397</v>
      </c>
      <c r="H82" s="57" t="s">
        <v>9398</v>
      </c>
      <c r="I82" s="34" t="s">
        <v>40</v>
      </c>
      <c r="J82" s="57" t="s">
        <v>9399</v>
      </c>
      <c r="K82" s="57" t="s">
        <v>9400</v>
      </c>
    </row>
    <row r="83" customFormat="false" ht="35.05" hidden="false" customHeight="false" outlineLevel="0" collapsed="false">
      <c r="D83" s="62"/>
      <c r="E83" s="62"/>
      <c r="F83" s="62"/>
      <c r="G83" s="57" t="s">
        <v>9401</v>
      </c>
      <c r="H83" s="57" t="s">
        <v>3792</v>
      </c>
      <c r="I83" s="34"/>
      <c r="J83" s="57" t="s">
        <v>3792</v>
      </c>
      <c r="K83" s="57" t="s">
        <v>9402</v>
      </c>
    </row>
    <row r="84" customFormat="false" ht="68.65" hidden="false" customHeight="false" outlineLevel="0" collapsed="false">
      <c r="D84" s="0" t="s">
        <v>9403</v>
      </c>
      <c r="E84" s="0" t="s">
        <v>9404</v>
      </c>
      <c r="F84" s="0" t="s">
        <v>5334</v>
      </c>
      <c r="G84" s="57" t="s">
        <v>9405</v>
      </c>
      <c r="H84" s="57" t="s">
        <v>9406</v>
      </c>
      <c r="I84" s="37" t="s">
        <v>50</v>
      </c>
      <c r="J84" s="57" t="s">
        <v>9407</v>
      </c>
      <c r="K84" s="57" t="s">
        <v>9408</v>
      </c>
    </row>
    <row r="85" customFormat="false" ht="35.05" hidden="false" customHeight="false" outlineLevel="0" collapsed="false">
      <c r="D85" s="62"/>
      <c r="E85" s="62"/>
      <c r="F85" s="62"/>
      <c r="G85" s="57" t="s">
        <v>9409</v>
      </c>
      <c r="H85" s="57" t="s">
        <v>3792</v>
      </c>
      <c r="I85" s="37"/>
      <c r="J85" s="57" t="s">
        <v>3792</v>
      </c>
      <c r="K85" s="57" t="s">
        <v>9410</v>
      </c>
    </row>
    <row r="86" customFormat="false" ht="57.45" hidden="false" customHeight="false" outlineLevel="0" collapsed="false">
      <c r="D86" s="0" t="s">
        <v>9411</v>
      </c>
      <c r="E86" s="0" t="s">
        <v>9412</v>
      </c>
      <c r="F86" s="0" t="s">
        <v>5334</v>
      </c>
      <c r="G86" s="57" t="s">
        <v>9413</v>
      </c>
      <c r="H86" s="57" t="s">
        <v>9414</v>
      </c>
      <c r="I86" s="34" t="s">
        <v>40</v>
      </c>
      <c r="J86" s="57" t="s">
        <v>9415</v>
      </c>
      <c r="K86" s="57" t="s">
        <v>9416</v>
      </c>
    </row>
    <row r="87" customFormat="false" ht="35.05" hidden="false" customHeight="false" outlineLevel="0" collapsed="false">
      <c r="D87" s="62"/>
      <c r="E87" s="62"/>
      <c r="F87" s="62"/>
      <c r="G87" s="57" t="s">
        <v>9417</v>
      </c>
      <c r="H87" s="57" t="s">
        <v>3792</v>
      </c>
      <c r="I87" s="34"/>
      <c r="J87" s="57" t="s">
        <v>3792</v>
      </c>
      <c r="K87" s="57" t="s">
        <v>9418</v>
      </c>
    </row>
    <row r="88" customFormat="false" ht="57.45" hidden="false" customHeight="false" outlineLevel="0" collapsed="false">
      <c r="D88" s="0" t="s">
        <v>9419</v>
      </c>
      <c r="E88" s="0" t="s">
        <v>9420</v>
      </c>
      <c r="F88" s="0" t="s">
        <v>5342</v>
      </c>
      <c r="G88" s="57" t="s">
        <v>9421</v>
      </c>
      <c r="H88" s="57" t="s">
        <v>9422</v>
      </c>
      <c r="I88" s="39" t="s">
        <v>67</v>
      </c>
      <c r="J88" s="57" t="s">
        <v>9423</v>
      </c>
      <c r="K88" s="57" t="s">
        <v>9424</v>
      </c>
    </row>
    <row r="89" customFormat="false" ht="35.05" hidden="false" customHeight="false" outlineLevel="0" collapsed="false">
      <c r="D89" s="62"/>
      <c r="E89" s="62"/>
      <c r="F89" s="62"/>
      <c r="G89" s="57" t="s">
        <v>9425</v>
      </c>
      <c r="H89" s="57" t="s">
        <v>3792</v>
      </c>
      <c r="I89" s="39"/>
      <c r="J89" s="57" t="s">
        <v>3792</v>
      </c>
      <c r="K89" s="57" t="s">
        <v>9426</v>
      </c>
    </row>
    <row r="90" customFormat="false" ht="57.45" hidden="false" customHeight="false" outlineLevel="0" collapsed="false">
      <c r="D90" s="0" t="s">
        <v>9427</v>
      </c>
      <c r="E90" s="0" t="s">
        <v>9428</v>
      </c>
      <c r="F90" s="0" t="s">
        <v>5342</v>
      </c>
      <c r="G90" s="57" t="s">
        <v>9429</v>
      </c>
      <c r="H90" s="57" t="s">
        <v>9430</v>
      </c>
      <c r="I90" s="34" t="s">
        <v>40</v>
      </c>
      <c r="J90" s="57" t="s">
        <v>9431</v>
      </c>
      <c r="K90" s="57" t="s">
        <v>9432</v>
      </c>
    </row>
    <row r="91" customFormat="false" ht="46.25" hidden="false" customHeight="false" outlineLevel="0" collapsed="false">
      <c r="C91" s="65"/>
      <c r="D91" s="65"/>
      <c r="E91" s="65"/>
      <c r="F91" s="65"/>
      <c r="G91" s="57" t="s">
        <v>9433</v>
      </c>
      <c r="H91" s="57" t="s">
        <v>3792</v>
      </c>
      <c r="I91" s="34"/>
      <c r="J91" s="57" t="s">
        <v>3792</v>
      </c>
      <c r="K91" s="57" t="s">
        <v>9434</v>
      </c>
    </row>
    <row r="92" customFormat="false" ht="79.85" hidden="false" customHeight="false" outlineLevel="0" collapsed="false">
      <c r="C92" s="0" t="s">
        <v>9435</v>
      </c>
      <c r="D92" s="0" t="s">
        <v>9436</v>
      </c>
      <c r="E92" s="0" t="s">
        <v>9437</v>
      </c>
      <c r="F92" s="0" t="s">
        <v>5334</v>
      </c>
      <c r="G92" s="57" t="s">
        <v>9438</v>
      </c>
      <c r="H92" s="57" t="s">
        <v>9439</v>
      </c>
      <c r="I92" s="37" t="s">
        <v>50</v>
      </c>
      <c r="J92" s="57" t="s">
        <v>9440</v>
      </c>
      <c r="K92" s="57" t="s">
        <v>9441</v>
      </c>
    </row>
    <row r="93" customFormat="false" ht="35.05" hidden="false" customHeight="false" outlineLevel="0" collapsed="false">
      <c r="D93" s="62"/>
      <c r="E93" s="62"/>
      <c r="F93" s="62"/>
      <c r="G93" s="57" t="s">
        <v>9442</v>
      </c>
      <c r="H93" s="57" t="s">
        <v>3792</v>
      </c>
      <c r="I93" s="37"/>
      <c r="J93" s="57" t="s">
        <v>3792</v>
      </c>
      <c r="K93" s="57" t="s">
        <v>9443</v>
      </c>
    </row>
    <row r="94" customFormat="false" ht="68.65" hidden="false" customHeight="false" outlineLevel="0" collapsed="false">
      <c r="D94" s="0" t="s">
        <v>9444</v>
      </c>
      <c r="E94" s="0" t="s">
        <v>9445</v>
      </c>
      <c r="F94" s="0" t="s">
        <v>5334</v>
      </c>
      <c r="G94" s="57" t="s">
        <v>9446</v>
      </c>
      <c r="H94" s="57" t="s">
        <v>9447</v>
      </c>
      <c r="I94" s="34" t="s">
        <v>40</v>
      </c>
      <c r="J94" s="57" t="s">
        <v>9448</v>
      </c>
      <c r="K94" s="57" t="s">
        <v>9449</v>
      </c>
    </row>
    <row r="95" customFormat="false" ht="35.05" hidden="false" customHeight="false" outlineLevel="0" collapsed="false">
      <c r="D95" s="62"/>
      <c r="E95" s="62"/>
      <c r="F95" s="62"/>
      <c r="G95" s="57" t="s">
        <v>9450</v>
      </c>
      <c r="H95" s="57" t="s">
        <v>3792</v>
      </c>
      <c r="I95" s="34"/>
      <c r="J95" s="57" t="s">
        <v>3792</v>
      </c>
      <c r="K95" s="57" t="s">
        <v>9451</v>
      </c>
    </row>
    <row r="96" customFormat="false" ht="79.85" hidden="false" customHeight="false" outlineLevel="0" collapsed="false">
      <c r="D96" s="0" t="s">
        <v>9452</v>
      </c>
      <c r="E96" s="0" t="s">
        <v>9453</v>
      </c>
      <c r="F96" s="0" t="s">
        <v>5342</v>
      </c>
      <c r="G96" s="57" t="s">
        <v>9454</v>
      </c>
      <c r="H96" s="57" t="s">
        <v>9455</v>
      </c>
      <c r="I96" s="39" t="s">
        <v>67</v>
      </c>
      <c r="J96" s="57" t="s">
        <v>9456</v>
      </c>
      <c r="K96" s="57" t="s">
        <v>9457</v>
      </c>
    </row>
    <row r="97" customFormat="false" ht="46.25" hidden="false" customHeight="false" outlineLevel="0" collapsed="false">
      <c r="D97" s="62"/>
      <c r="E97" s="62"/>
      <c r="F97" s="62"/>
      <c r="G97" s="57" t="s">
        <v>9458</v>
      </c>
      <c r="H97" s="57" t="s">
        <v>3792</v>
      </c>
      <c r="I97" s="39"/>
      <c r="J97" s="57" t="s">
        <v>3792</v>
      </c>
      <c r="K97" s="57" t="s">
        <v>9459</v>
      </c>
    </row>
    <row r="98" customFormat="false" ht="79.85" hidden="false" customHeight="false" outlineLevel="0" collapsed="false">
      <c r="D98" s="0" t="s">
        <v>9460</v>
      </c>
      <c r="E98" s="0" t="s">
        <v>9461</v>
      </c>
      <c r="F98" s="0" t="s">
        <v>5342</v>
      </c>
      <c r="G98" s="57" t="s">
        <v>9462</v>
      </c>
      <c r="H98" s="57" t="s">
        <v>9463</v>
      </c>
      <c r="I98" s="34" t="s">
        <v>40</v>
      </c>
      <c r="J98" s="57" t="s">
        <v>9464</v>
      </c>
      <c r="K98" s="57" t="s">
        <v>9465</v>
      </c>
    </row>
    <row r="99" customFormat="false" ht="35.05" hidden="false" customHeight="false" outlineLevel="0" collapsed="false">
      <c r="D99" s="62"/>
      <c r="E99" s="62"/>
      <c r="F99" s="62"/>
      <c r="G99" s="57" t="s">
        <v>9466</v>
      </c>
      <c r="H99" s="57" t="s">
        <v>3792</v>
      </c>
      <c r="I99" s="34"/>
      <c r="J99" s="57" t="s">
        <v>3792</v>
      </c>
      <c r="K99" s="57" t="s">
        <v>3792</v>
      </c>
    </row>
    <row r="100" customFormat="false" ht="79.85" hidden="false" customHeight="false" outlineLevel="0" collapsed="false">
      <c r="D100" s="0" t="s">
        <v>9467</v>
      </c>
      <c r="E100" s="0" t="s">
        <v>9468</v>
      </c>
      <c r="F100" s="0" t="s">
        <v>5342</v>
      </c>
      <c r="G100" s="57" t="s">
        <v>9469</v>
      </c>
      <c r="H100" s="57" t="s">
        <v>9470</v>
      </c>
      <c r="I100" s="37" t="s">
        <v>50</v>
      </c>
      <c r="J100" s="57" t="s">
        <v>9471</v>
      </c>
      <c r="K100" s="57" t="s">
        <v>9472</v>
      </c>
    </row>
    <row r="101" customFormat="false" ht="46.25" hidden="false" customHeight="false" outlineLevel="0" collapsed="false">
      <c r="B101" s="69"/>
      <c r="C101" s="69"/>
      <c r="D101" s="69"/>
      <c r="E101" s="69"/>
      <c r="F101" s="69"/>
      <c r="G101" s="57" t="s">
        <v>9473</v>
      </c>
      <c r="H101" s="69"/>
      <c r="I101" s="37"/>
      <c r="J101" s="57" t="s">
        <v>3792</v>
      </c>
      <c r="K101" s="57" t="s">
        <v>3792</v>
      </c>
    </row>
    <row r="102" customFormat="false" ht="68.65" hidden="false" customHeight="false" outlineLevel="0" collapsed="false">
      <c r="B102" s="0" t="s">
        <v>9474</v>
      </c>
      <c r="C102" s="57" t="s">
        <v>9475</v>
      </c>
      <c r="D102" s="0" t="s">
        <v>9476</v>
      </c>
      <c r="E102" s="0" t="s">
        <v>9477</v>
      </c>
      <c r="F102" s="0" t="s">
        <v>5334</v>
      </c>
      <c r="G102" s="57" t="s">
        <v>9478</v>
      </c>
      <c r="H102" s="57" t="s">
        <v>9479</v>
      </c>
      <c r="I102" s="34" t="s">
        <v>40</v>
      </c>
      <c r="J102" s="57" t="s">
        <v>9480</v>
      </c>
      <c r="K102" s="57" t="s">
        <v>9481</v>
      </c>
    </row>
    <row r="103" customFormat="false" ht="35.05" hidden="false" customHeight="false" outlineLevel="0" collapsed="false">
      <c r="D103" s="62"/>
      <c r="E103" s="62"/>
      <c r="F103" s="62"/>
      <c r="G103" s="57" t="s">
        <v>9482</v>
      </c>
      <c r="H103" s="57" t="s">
        <v>3792</v>
      </c>
      <c r="I103" s="34"/>
      <c r="J103" s="57" t="s">
        <v>3792</v>
      </c>
      <c r="K103" s="57" t="s">
        <v>3792</v>
      </c>
    </row>
    <row r="104" customFormat="false" ht="79.85" hidden="false" customHeight="false" outlineLevel="0" collapsed="false">
      <c r="D104" s="0" t="s">
        <v>9483</v>
      </c>
      <c r="E104" s="0" t="s">
        <v>9484</v>
      </c>
      <c r="F104" s="0" t="s">
        <v>5342</v>
      </c>
      <c r="G104" s="57" t="s">
        <v>9485</v>
      </c>
      <c r="H104" s="57" t="s">
        <v>9486</v>
      </c>
      <c r="I104" s="39" t="s">
        <v>67</v>
      </c>
      <c r="J104" s="57" t="s">
        <v>9487</v>
      </c>
      <c r="K104" s="57" t="s">
        <v>9488</v>
      </c>
    </row>
    <row r="105" customFormat="false" ht="46.25" hidden="false" customHeight="false" outlineLevel="0" collapsed="false">
      <c r="D105" s="62"/>
      <c r="E105" s="62"/>
      <c r="F105" s="62"/>
      <c r="G105" s="57" t="s">
        <v>9489</v>
      </c>
      <c r="H105" s="57" t="s">
        <v>3792</v>
      </c>
      <c r="I105" s="39"/>
      <c r="J105" s="57" t="s">
        <v>3792</v>
      </c>
      <c r="K105" s="57" t="s">
        <v>3792</v>
      </c>
    </row>
    <row r="106" customFormat="false" ht="79.85" hidden="false" customHeight="false" outlineLevel="0" collapsed="false">
      <c r="D106" s="0" t="s">
        <v>9490</v>
      </c>
      <c r="E106" s="0" t="s">
        <v>9491</v>
      </c>
      <c r="F106" s="0" t="s">
        <v>5334</v>
      </c>
      <c r="H106" s="57" t="s">
        <v>9492</v>
      </c>
      <c r="I106" s="34" t="s">
        <v>40</v>
      </c>
      <c r="J106" s="57" t="s">
        <v>9493</v>
      </c>
      <c r="K106" s="57" t="s">
        <v>9494</v>
      </c>
    </row>
    <row r="107" customFormat="false" ht="12.8" hidden="false" customHeight="false" outlineLevel="0" collapsed="false">
      <c r="D107" s="62"/>
      <c r="E107" s="62"/>
      <c r="F107" s="62"/>
      <c r="G107" s="62"/>
      <c r="H107" s="57" t="s">
        <v>3792</v>
      </c>
      <c r="I107" s="34"/>
      <c r="J107" s="57" t="s">
        <v>3792</v>
      </c>
      <c r="K107" s="57" t="s">
        <v>3792</v>
      </c>
    </row>
    <row r="108" customFormat="false" ht="91" hidden="false" customHeight="false" outlineLevel="0" collapsed="false">
      <c r="D108" s="0" t="s">
        <v>9495</v>
      </c>
      <c r="E108" s="0" t="s">
        <v>9496</v>
      </c>
      <c r="F108" s="0" t="s">
        <v>5342</v>
      </c>
      <c r="H108" s="57" t="s">
        <v>9497</v>
      </c>
      <c r="I108" s="37" t="s">
        <v>50</v>
      </c>
      <c r="J108" s="57" t="s">
        <v>9498</v>
      </c>
      <c r="K108" s="57" t="s">
        <v>9499</v>
      </c>
    </row>
    <row r="109" customFormat="false" ht="12.8" hidden="false" customHeight="false" outlineLevel="0" collapsed="false">
      <c r="D109" s="62"/>
      <c r="E109" s="62"/>
      <c r="F109" s="62"/>
      <c r="G109" s="62"/>
      <c r="H109" s="57" t="s">
        <v>3792</v>
      </c>
      <c r="I109" s="37"/>
      <c r="J109" s="57" t="s">
        <v>3792</v>
      </c>
      <c r="K109" s="57" t="s">
        <v>3792</v>
      </c>
    </row>
    <row r="110" customFormat="false" ht="68.65" hidden="false" customHeight="false" outlineLevel="0" collapsed="false">
      <c r="C110" s="72"/>
      <c r="D110" s="0" t="s">
        <v>9500</v>
      </c>
      <c r="E110" s="0" t="s">
        <v>9501</v>
      </c>
      <c r="F110" s="0" t="s">
        <v>5334</v>
      </c>
      <c r="H110" s="57" t="s">
        <v>9502</v>
      </c>
      <c r="I110" s="34" t="s">
        <v>40</v>
      </c>
      <c r="J110" s="57" t="s">
        <v>9503</v>
      </c>
      <c r="K110" s="57" t="s">
        <v>9504</v>
      </c>
    </row>
    <row r="111" customFormat="false" ht="12.8" hidden="false" customHeight="false" outlineLevel="0" collapsed="false">
      <c r="C111" s="65"/>
      <c r="D111" s="65"/>
      <c r="E111" s="65"/>
      <c r="F111" s="65"/>
      <c r="G111" s="65"/>
      <c r="H111" s="57" t="s">
        <v>3792</v>
      </c>
      <c r="I111" s="34"/>
      <c r="J111" s="57" t="s">
        <v>3792</v>
      </c>
      <c r="K111" s="57" t="s">
        <v>3792</v>
      </c>
    </row>
    <row r="112" customFormat="false" ht="68.65" hidden="false" customHeight="false" outlineLevel="0" collapsed="false">
      <c r="C112" s="57" t="s">
        <v>9505</v>
      </c>
      <c r="D112" s="0" t="s">
        <v>9506</v>
      </c>
      <c r="E112" s="0" t="s">
        <v>9507</v>
      </c>
      <c r="F112" s="0" t="s">
        <v>5342</v>
      </c>
      <c r="G112" s="57" t="s">
        <v>9508</v>
      </c>
      <c r="H112" s="57" t="s">
        <v>9509</v>
      </c>
      <c r="I112" s="39" t="s">
        <v>67</v>
      </c>
      <c r="J112" s="57" t="s">
        <v>9510</v>
      </c>
      <c r="K112" s="57" t="s">
        <v>9511</v>
      </c>
    </row>
    <row r="113" customFormat="false" ht="35.05" hidden="false" customHeight="false" outlineLevel="0" collapsed="false">
      <c r="D113" s="62"/>
      <c r="E113" s="62"/>
      <c r="F113" s="62"/>
      <c r="G113" s="57" t="s">
        <v>9512</v>
      </c>
      <c r="H113" s="57" t="s">
        <v>3792</v>
      </c>
      <c r="I113" s="39"/>
      <c r="J113" s="57" t="s">
        <v>3792</v>
      </c>
      <c r="K113" s="57" t="s">
        <v>3792</v>
      </c>
    </row>
    <row r="114" customFormat="false" ht="79.85" hidden="false" customHeight="false" outlineLevel="0" collapsed="false">
      <c r="D114" s="0" t="s">
        <v>9513</v>
      </c>
      <c r="E114" s="0" t="s">
        <v>9514</v>
      </c>
      <c r="F114" s="0" t="s">
        <v>5334</v>
      </c>
      <c r="G114" s="57" t="s">
        <v>9515</v>
      </c>
      <c r="H114" s="57" t="s">
        <v>9516</v>
      </c>
      <c r="I114" s="34" t="s">
        <v>40</v>
      </c>
      <c r="J114" s="57" t="s">
        <v>9517</v>
      </c>
      <c r="K114" s="57" t="s">
        <v>9518</v>
      </c>
    </row>
    <row r="115" customFormat="false" ht="35.05" hidden="false" customHeight="false" outlineLevel="0" collapsed="false">
      <c r="D115" s="62"/>
      <c r="E115" s="62"/>
      <c r="F115" s="62"/>
      <c r="G115" s="57" t="s">
        <v>9519</v>
      </c>
      <c r="H115" s="57" t="s">
        <v>3792</v>
      </c>
      <c r="I115" s="34"/>
      <c r="J115" s="57" t="s">
        <v>3792</v>
      </c>
      <c r="K115" s="57" t="s">
        <v>3792</v>
      </c>
    </row>
    <row r="116" customFormat="false" ht="79.85" hidden="false" customHeight="false" outlineLevel="0" collapsed="false">
      <c r="D116" s="0" t="s">
        <v>9520</v>
      </c>
      <c r="E116" s="0" t="s">
        <v>9521</v>
      </c>
      <c r="F116" s="0" t="s">
        <v>5342</v>
      </c>
      <c r="G116" s="57" t="s">
        <v>9522</v>
      </c>
      <c r="H116" s="57" t="s">
        <v>9523</v>
      </c>
      <c r="I116" s="37" t="s">
        <v>50</v>
      </c>
      <c r="J116" s="57" t="s">
        <v>9524</v>
      </c>
      <c r="K116" s="57" t="s">
        <v>9525</v>
      </c>
    </row>
    <row r="117" customFormat="false" ht="35.05" hidden="false" customHeight="false" outlineLevel="0" collapsed="false">
      <c r="D117" s="62"/>
      <c r="E117" s="62"/>
      <c r="F117" s="62"/>
      <c r="G117" s="57" t="s">
        <v>9526</v>
      </c>
      <c r="H117" s="57" t="s">
        <v>3792</v>
      </c>
      <c r="I117" s="37"/>
      <c r="J117" s="57" t="s">
        <v>3792</v>
      </c>
      <c r="K117" s="57" t="s">
        <v>3792</v>
      </c>
    </row>
    <row r="118" customFormat="false" ht="68.65" hidden="false" customHeight="false" outlineLevel="0" collapsed="false">
      <c r="D118" s="0" t="s">
        <v>9527</v>
      </c>
      <c r="E118" s="0" t="s">
        <v>9528</v>
      </c>
      <c r="F118" s="0" t="s">
        <v>5342</v>
      </c>
      <c r="G118" s="57" t="s">
        <v>9529</v>
      </c>
      <c r="H118" s="57" t="s">
        <v>9530</v>
      </c>
      <c r="I118" s="34" t="s">
        <v>40</v>
      </c>
      <c r="J118" s="57" t="s">
        <v>9531</v>
      </c>
      <c r="K118" s="57" t="s">
        <v>9532</v>
      </c>
    </row>
    <row r="119" customFormat="false" ht="35.05" hidden="false" customHeight="false" outlineLevel="0" collapsed="false">
      <c r="D119" s="62"/>
      <c r="E119" s="62"/>
      <c r="F119" s="62"/>
      <c r="G119" s="57" t="s">
        <v>9533</v>
      </c>
      <c r="H119" s="57" t="s">
        <v>3792</v>
      </c>
      <c r="I119" s="34"/>
      <c r="J119" s="57" t="s">
        <v>3792</v>
      </c>
      <c r="K119" s="57" t="s">
        <v>3792</v>
      </c>
    </row>
    <row r="120" customFormat="false" ht="68.65" hidden="false" customHeight="false" outlineLevel="0" collapsed="false">
      <c r="D120" s="0" t="s">
        <v>9534</v>
      </c>
      <c r="E120" s="0" t="s">
        <v>9535</v>
      </c>
      <c r="F120" s="0" t="s">
        <v>5334</v>
      </c>
      <c r="G120" s="57" t="s">
        <v>9536</v>
      </c>
      <c r="H120" s="57" t="s">
        <v>9537</v>
      </c>
      <c r="I120" s="39" t="s">
        <v>67</v>
      </c>
      <c r="J120" s="57" t="s">
        <v>9538</v>
      </c>
      <c r="K120" s="57" t="s">
        <v>9539</v>
      </c>
    </row>
    <row r="121" customFormat="false" ht="46.25" hidden="false" customHeight="false" outlineLevel="0" collapsed="false">
      <c r="C121" s="65"/>
      <c r="D121" s="65"/>
      <c r="E121" s="65"/>
      <c r="F121" s="65"/>
      <c r="G121" s="57" t="s">
        <v>9540</v>
      </c>
      <c r="H121" s="57" t="s">
        <v>3792</v>
      </c>
      <c r="I121" s="39"/>
      <c r="J121" s="57" t="s">
        <v>3792</v>
      </c>
      <c r="K121" s="57" t="s">
        <v>3792</v>
      </c>
    </row>
    <row r="122" customFormat="false" ht="79.85" hidden="false" customHeight="false" outlineLevel="0" collapsed="false">
      <c r="C122" s="0" t="s">
        <v>9541</v>
      </c>
      <c r="D122" s="0" t="s">
        <v>9542</v>
      </c>
      <c r="E122" s="0" t="s">
        <v>9543</v>
      </c>
      <c r="F122" s="0" t="s">
        <v>5342</v>
      </c>
      <c r="G122" s="57" t="s">
        <v>9544</v>
      </c>
      <c r="H122" s="57" t="s">
        <v>9545</v>
      </c>
      <c r="I122" s="34" t="s">
        <v>40</v>
      </c>
      <c r="J122" s="57" t="s">
        <v>9546</v>
      </c>
      <c r="K122" s="57" t="s">
        <v>9547</v>
      </c>
    </row>
    <row r="123" customFormat="false" ht="35.05" hidden="false" customHeight="false" outlineLevel="0" collapsed="false">
      <c r="D123" s="62"/>
      <c r="E123" s="62"/>
      <c r="F123" s="62"/>
      <c r="G123" s="57" t="s">
        <v>9548</v>
      </c>
      <c r="H123" s="57" t="s">
        <v>3792</v>
      </c>
      <c r="I123" s="34"/>
      <c r="J123" s="57" t="s">
        <v>3792</v>
      </c>
      <c r="K123" s="57" t="s">
        <v>3792</v>
      </c>
    </row>
    <row r="124" customFormat="false" ht="68.65" hidden="false" customHeight="false" outlineLevel="0" collapsed="false">
      <c r="D124" s="0" t="s">
        <v>9549</v>
      </c>
      <c r="E124" s="0" t="s">
        <v>9550</v>
      </c>
      <c r="F124" s="0" t="s">
        <v>5334</v>
      </c>
      <c r="G124" s="57" t="s">
        <v>9551</v>
      </c>
      <c r="H124" s="57" t="s">
        <v>9552</v>
      </c>
      <c r="I124" s="37" t="s">
        <v>50</v>
      </c>
      <c r="J124" s="57" t="s">
        <v>9553</v>
      </c>
      <c r="K124" s="57" t="s">
        <v>9554</v>
      </c>
    </row>
    <row r="125" customFormat="false" ht="46.25" hidden="false" customHeight="false" outlineLevel="0" collapsed="false">
      <c r="D125" s="62"/>
      <c r="E125" s="62"/>
      <c r="F125" s="62"/>
      <c r="G125" s="57" t="s">
        <v>9555</v>
      </c>
      <c r="H125" s="57" t="s">
        <v>3792</v>
      </c>
      <c r="I125" s="37"/>
      <c r="J125" s="57" t="s">
        <v>3792</v>
      </c>
      <c r="K125" s="57" t="s">
        <v>3792</v>
      </c>
    </row>
    <row r="126" customFormat="false" ht="57.45" hidden="false" customHeight="false" outlineLevel="0" collapsed="false">
      <c r="D126" s="0" t="s">
        <v>9556</v>
      </c>
      <c r="E126" s="0" t="s">
        <v>9557</v>
      </c>
      <c r="F126" s="0" t="s">
        <v>5342</v>
      </c>
      <c r="G126" s="57" t="s">
        <v>9558</v>
      </c>
      <c r="H126" s="57" t="s">
        <v>9559</v>
      </c>
      <c r="I126" s="34" t="s">
        <v>40</v>
      </c>
      <c r="J126" s="57" t="s">
        <v>9560</v>
      </c>
      <c r="K126" s="57" t="s">
        <v>9561</v>
      </c>
    </row>
    <row r="127" customFormat="false" ht="46.25" hidden="false" customHeight="false" outlineLevel="0" collapsed="false">
      <c r="D127" s="62"/>
      <c r="E127" s="62"/>
      <c r="F127" s="62"/>
      <c r="G127" s="57" t="s">
        <v>9562</v>
      </c>
      <c r="H127" s="57" t="s">
        <v>3792</v>
      </c>
      <c r="I127" s="34"/>
      <c r="J127" s="57" t="s">
        <v>3792</v>
      </c>
      <c r="K127" s="57" t="s">
        <v>3792</v>
      </c>
    </row>
    <row r="128" customFormat="false" ht="68.65" hidden="false" customHeight="false" outlineLevel="0" collapsed="false">
      <c r="D128" s="0" t="s">
        <v>9563</v>
      </c>
      <c r="E128" s="0" t="s">
        <v>9564</v>
      </c>
      <c r="F128" s="0" t="s">
        <v>5342</v>
      </c>
      <c r="G128" s="57" t="s">
        <v>9565</v>
      </c>
      <c r="H128" s="57" t="s">
        <v>9566</v>
      </c>
      <c r="I128" s="39" t="s">
        <v>67</v>
      </c>
      <c r="J128" s="57" t="s">
        <v>9567</v>
      </c>
      <c r="K128" s="57" t="s">
        <v>9568</v>
      </c>
    </row>
    <row r="129" customFormat="false" ht="35.05" hidden="false" customHeight="false" outlineLevel="0" collapsed="false">
      <c r="D129" s="62"/>
      <c r="E129" s="62"/>
      <c r="F129" s="62"/>
      <c r="G129" s="57" t="s">
        <v>9569</v>
      </c>
      <c r="H129" s="57" t="s">
        <v>3792</v>
      </c>
      <c r="I129" s="39"/>
      <c r="J129" s="57" t="s">
        <v>3792</v>
      </c>
      <c r="K129" s="57" t="s">
        <v>3792</v>
      </c>
    </row>
    <row r="130" customFormat="false" ht="57.45" hidden="false" customHeight="false" outlineLevel="0" collapsed="false">
      <c r="D130" s="0" t="s">
        <v>9570</v>
      </c>
      <c r="E130" s="0" t="s">
        <v>9571</v>
      </c>
      <c r="F130" s="0" t="s">
        <v>5334</v>
      </c>
      <c r="G130" s="57" t="s">
        <v>9572</v>
      </c>
      <c r="H130" s="57" t="s">
        <v>9573</v>
      </c>
      <c r="I130" s="34" t="s">
        <v>40</v>
      </c>
      <c r="J130" s="57" t="s">
        <v>9574</v>
      </c>
      <c r="K130" s="57" t="s">
        <v>9575</v>
      </c>
    </row>
    <row r="131" customFormat="false" ht="46.25" hidden="false" customHeight="false" outlineLevel="0" collapsed="false">
      <c r="C131" s="65"/>
      <c r="D131" s="65"/>
      <c r="E131" s="65"/>
      <c r="F131" s="65"/>
      <c r="G131" s="57" t="s">
        <v>9576</v>
      </c>
      <c r="H131" s="57" t="s">
        <v>3792</v>
      </c>
      <c r="I131" s="34"/>
      <c r="J131" s="57" t="s">
        <v>3792</v>
      </c>
      <c r="K131" s="57" t="s">
        <v>3792</v>
      </c>
    </row>
    <row r="132" customFormat="false" ht="68.65" hidden="false" customHeight="false" outlineLevel="0" collapsed="false">
      <c r="C132" s="57" t="s">
        <v>9577</v>
      </c>
      <c r="D132" s="0" t="s">
        <v>9578</v>
      </c>
      <c r="E132" s="0" t="s">
        <v>9579</v>
      </c>
      <c r="F132" s="0" t="s">
        <v>5334</v>
      </c>
      <c r="G132" s="57" t="s">
        <v>9580</v>
      </c>
      <c r="H132" s="57" t="s">
        <v>9581</v>
      </c>
      <c r="I132" s="37" t="s">
        <v>50</v>
      </c>
      <c r="J132" s="57" t="s">
        <v>9582</v>
      </c>
      <c r="K132" s="57" t="s">
        <v>9583</v>
      </c>
    </row>
    <row r="133" customFormat="false" ht="35.05" hidden="false" customHeight="false" outlineLevel="0" collapsed="false">
      <c r="D133" s="62"/>
      <c r="E133" s="62"/>
      <c r="F133" s="62"/>
      <c r="G133" s="57" t="s">
        <v>9584</v>
      </c>
      <c r="H133" s="57" t="s">
        <v>3792</v>
      </c>
      <c r="I133" s="37"/>
      <c r="J133" s="57" t="s">
        <v>3792</v>
      </c>
      <c r="K133" s="57" t="s">
        <v>3792</v>
      </c>
    </row>
    <row r="134" customFormat="false" ht="79.85" hidden="false" customHeight="false" outlineLevel="0" collapsed="false">
      <c r="D134" s="0" t="s">
        <v>9585</v>
      </c>
      <c r="E134" s="0" t="s">
        <v>9586</v>
      </c>
      <c r="F134" s="0" t="s">
        <v>5342</v>
      </c>
      <c r="G134" s="57" t="s">
        <v>9587</v>
      </c>
      <c r="H134" s="57" t="s">
        <v>9588</v>
      </c>
      <c r="I134" s="34" t="s">
        <v>40</v>
      </c>
      <c r="J134" s="57" t="s">
        <v>9589</v>
      </c>
      <c r="K134" s="57" t="s">
        <v>9590</v>
      </c>
    </row>
    <row r="135" customFormat="false" ht="46.25" hidden="false" customHeight="false" outlineLevel="0" collapsed="false">
      <c r="D135" s="62"/>
      <c r="E135" s="62"/>
      <c r="F135" s="62"/>
      <c r="G135" s="57" t="s">
        <v>9591</v>
      </c>
      <c r="H135" s="57" t="s">
        <v>3792</v>
      </c>
      <c r="I135" s="34"/>
      <c r="J135" s="57" t="s">
        <v>3792</v>
      </c>
      <c r="K135" s="57" t="s">
        <v>3792</v>
      </c>
    </row>
    <row r="136" customFormat="false" ht="57.45" hidden="false" customHeight="false" outlineLevel="0" collapsed="false">
      <c r="D136" s="0" t="s">
        <v>9592</v>
      </c>
      <c r="E136" s="0" t="s">
        <v>9593</v>
      </c>
      <c r="F136" s="0" t="s">
        <v>5334</v>
      </c>
      <c r="G136" s="57" t="s">
        <v>9594</v>
      </c>
      <c r="H136" s="57" t="s">
        <v>9595</v>
      </c>
      <c r="I136" s="39" t="s">
        <v>67</v>
      </c>
      <c r="J136" s="57" t="s">
        <v>9596</v>
      </c>
      <c r="K136" s="57" t="s">
        <v>9597</v>
      </c>
    </row>
    <row r="137" customFormat="false" ht="35.05" hidden="false" customHeight="false" outlineLevel="0" collapsed="false">
      <c r="D137" s="62"/>
      <c r="E137" s="62"/>
      <c r="F137" s="62"/>
      <c r="G137" s="57" t="s">
        <v>9598</v>
      </c>
      <c r="H137" s="57" t="s">
        <v>3792</v>
      </c>
      <c r="I137" s="39"/>
      <c r="J137" s="57" t="s">
        <v>3792</v>
      </c>
      <c r="K137" s="57" t="s">
        <v>3792</v>
      </c>
    </row>
    <row r="138" customFormat="false" ht="68.65" hidden="false" customHeight="false" outlineLevel="0" collapsed="false">
      <c r="D138" s="0" t="s">
        <v>9599</v>
      </c>
      <c r="E138" s="0" t="s">
        <v>9600</v>
      </c>
      <c r="F138" s="0" t="s">
        <v>5342</v>
      </c>
      <c r="G138" s="57" t="s">
        <v>9601</v>
      </c>
      <c r="H138" s="57" t="s">
        <v>9602</v>
      </c>
      <c r="I138" s="34" t="s">
        <v>40</v>
      </c>
      <c r="J138" s="57" t="s">
        <v>9603</v>
      </c>
      <c r="K138" s="57" t="s">
        <v>9604</v>
      </c>
    </row>
    <row r="139" customFormat="false" ht="46.25" hidden="false" customHeight="false" outlineLevel="0" collapsed="false">
      <c r="D139" s="62"/>
      <c r="E139" s="62"/>
      <c r="F139" s="62"/>
      <c r="G139" s="57" t="s">
        <v>9605</v>
      </c>
      <c r="H139" s="57" t="s">
        <v>3792</v>
      </c>
      <c r="I139" s="34"/>
      <c r="J139" s="57" t="s">
        <v>3792</v>
      </c>
      <c r="K139" s="57" t="s">
        <v>3792</v>
      </c>
    </row>
    <row r="140" customFormat="false" ht="57.45" hidden="false" customHeight="false" outlineLevel="0" collapsed="false">
      <c r="D140" s="0" t="s">
        <v>9606</v>
      </c>
      <c r="E140" s="0" t="s">
        <v>9607</v>
      </c>
      <c r="F140" s="0" t="s">
        <v>5342</v>
      </c>
      <c r="G140" s="57" t="s">
        <v>9608</v>
      </c>
      <c r="H140" s="57" t="s">
        <v>9609</v>
      </c>
      <c r="I140" s="37" t="s">
        <v>50</v>
      </c>
      <c r="J140" s="57" t="s">
        <v>9610</v>
      </c>
      <c r="K140" s="57" t="s">
        <v>9611</v>
      </c>
    </row>
    <row r="141" customFormat="false" ht="46.25" hidden="false" customHeight="false" outlineLevel="0" collapsed="false">
      <c r="C141" s="65"/>
      <c r="D141" s="65"/>
      <c r="E141" s="65"/>
      <c r="F141" s="65"/>
      <c r="G141" s="57" t="s">
        <v>9612</v>
      </c>
      <c r="H141" s="57" t="s">
        <v>3792</v>
      </c>
      <c r="I141" s="37"/>
      <c r="J141" s="57" t="s">
        <v>3792</v>
      </c>
      <c r="K141" s="57" t="s">
        <v>3792</v>
      </c>
    </row>
    <row r="142" customFormat="false" ht="79.85" hidden="false" customHeight="false" outlineLevel="0" collapsed="false">
      <c r="C142" s="0" t="s">
        <v>9613</v>
      </c>
      <c r="D142" s="0" t="s">
        <v>9614</v>
      </c>
      <c r="E142" s="0" t="s">
        <v>9615</v>
      </c>
      <c r="F142" s="0" t="s">
        <v>5334</v>
      </c>
      <c r="G142" s="57" t="s">
        <v>9616</v>
      </c>
      <c r="H142" s="57" t="s">
        <v>9617</v>
      </c>
      <c r="I142" s="34" t="s">
        <v>40</v>
      </c>
      <c r="J142" s="57" t="s">
        <v>9618</v>
      </c>
      <c r="K142" s="57" t="s">
        <v>9619</v>
      </c>
    </row>
    <row r="143" customFormat="false" ht="46.25" hidden="false" customHeight="false" outlineLevel="0" collapsed="false">
      <c r="D143" s="62"/>
      <c r="E143" s="62"/>
      <c r="F143" s="62"/>
      <c r="G143" s="57" t="s">
        <v>9620</v>
      </c>
      <c r="H143" s="57" t="s">
        <v>3792</v>
      </c>
      <c r="I143" s="34"/>
      <c r="J143" s="57" t="s">
        <v>3792</v>
      </c>
      <c r="K143" s="57" t="s">
        <v>3792</v>
      </c>
    </row>
    <row r="144" customFormat="false" ht="68.65" hidden="false" customHeight="false" outlineLevel="0" collapsed="false">
      <c r="D144" s="0" t="s">
        <v>9621</v>
      </c>
      <c r="E144" s="0" t="s">
        <v>9622</v>
      </c>
      <c r="F144" s="0" t="s">
        <v>5342</v>
      </c>
      <c r="G144" s="57" t="s">
        <v>9623</v>
      </c>
      <c r="H144" s="57" t="s">
        <v>9624</v>
      </c>
      <c r="I144" s="39" t="s">
        <v>67</v>
      </c>
      <c r="J144" s="57" t="s">
        <v>9625</v>
      </c>
      <c r="K144" s="57" t="s">
        <v>9626</v>
      </c>
    </row>
    <row r="145" customFormat="false" ht="46.25" hidden="false" customHeight="false" outlineLevel="0" collapsed="false">
      <c r="D145" s="62"/>
      <c r="E145" s="62"/>
      <c r="F145" s="62"/>
      <c r="G145" s="57" t="s">
        <v>9627</v>
      </c>
      <c r="H145" s="57" t="s">
        <v>3792</v>
      </c>
      <c r="I145" s="39"/>
      <c r="J145" s="57" t="s">
        <v>3792</v>
      </c>
      <c r="K145" s="57" t="s">
        <v>3792</v>
      </c>
    </row>
    <row r="146" customFormat="false" ht="79.85" hidden="false" customHeight="false" outlineLevel="0" collapsed="false">
      <c r="D146" s="0" t="s">
        <v>9628</v>
      </c>
      <c r="E146" s="0" t="s">
        <v>9629</v>
      </c>
      <c r="F146" s="0" t="s">
        <v>5342</v>
      </c>
      <c r="G146" s="57" t="s">
        <v>9630</v>
      </c>
      <c r="H146" s="57" t="s">
        <v>9631</v>
      </c>
      <c r="I146" s="34" t="s">
        <v>40</v>
      </c>
      <c r="J146" s="57" t="s">
        <v>9632</v>
      </c>
      <c r="K146" s="57" t="s">
        <v>9633</v>
      </c>
    </row>
    <row r="147" customFormat="false" ht="57.45" hidden="false" customHeight="false" outlineLevel="0" collapsed="false">
      <c r="D147" s="62"/>
      <c r="E147" s="62"/>
      <c r="F147" s="62"/>
      <c r="G147" s="57" t="s">
        <v>9634</v>
      </c>
      <c r="H147" s="57" t="s">
        <v>3792</v>
      </c>
      <c r="I147" s="34"/>
      <c r="J147" s="57" t="s">
        <v>3792</v>
      </c>
      <c r="K147" s="57" t="s">
        <v>3792</v>
      </c>
    </row>
    <row r="148" customFormat="false" ht="57.45" hidden="false" customHeight="false" outlineLevel="0" collapsed="false">
      <c r="D148" s="0" t="s">
        <v>9635</v>
      </c>
      <c r="E148" s="0" t="s">
        <v>9636</v>
      </c>
      <c r="F148" s="0" t="s">
        <v>5334</v>
      </c>
      <c r="G148" s="57" t="s">
        <v>9637</v>
      </c>
      <c r="H148" s="57" t="s">
        <v>9638</v>
      </c>
      <c r="I148" s="37" t="s">
        <v>50</v>
      </c>
      <c r="J148" s="57" t="s">
        <v>9639</v>
      </c>
      <c r="K148" s="57" t="s">
        <v>9640</v>
      </c>
    </row>
    <row r="149" customFormat="false" ht="35.05" hidden="false" customHeight="false" outlineLevel="0" collapsed="false">
      <c r="D149" s="62"/>
      <c r="E149" s="62"/>
      <c r="F149" s="62"/>
      <c r="G149" s="57" t="s">
        <v>9641</v>
      </c>
      <c r="H149" s="57" t="s">
        <v>3792</v>
      </c>
      <c r="I149" s="37"/>
      <c r="J149" s="57" t="s">
        <v>3792</v>
      </c>
      <c r="K149" s="57" t="s">
        <v>3792</v>
      </c>
    </row>
    <row r="150" customFormat="false" ht="57.45" hidden="false" customHeight="false" outlineLevel="0" collapsed="false">
      <c r="D150" s="0" t="s">
        <v>9642</v>
      </c>
      <c r="E150" s="0" t="s">
        <v>9643</v>
      </c>
      <c r="F150" s="0" t="s">
        <v>5334</v>
      </c>
      <c r="G150" s="57" t="s">
        <v>9644</v>
      </c>
      <c r="H150" s="57" t="s">
        <v>9645</v>
      </c>
      <c r="I150" s="34" t="s">
        <v>40</v>
      </c>
      <c r="J150" s="57" t="s">
        <v>9646</v>
      </c>
      <c r="K150" s="57" t="s">
        <v>9647</v>
      </c>
    </row>
    <row r="151" customFormat="false" ht="46.25" hidden="false" customHeight="false" outlineLevel="0" collapsed="false">
      <c r="C151" s="65"/>
      <c r="D151" s="65"/>
      <c r="E151" s="65"/>
      <c r="F151" s="65"/>
      <c r="G151" s="57" t="s">
        <v>9648</v>
      </c>
      <c r="H151" s="57" t="s">
        <v>3792</v>
      </c>
      <c r="I151" s="34"/>
      <c r="J151" s="57" t="s">
        <v>3792</v>
      </c>
      <c r="K151" s="57" t="s">
        <v>3792</v>
      </c>
    </row>
    <row r="152" customFormat="false" ht="68.65" hidden="false" customHeight="false" outlineLevel="0" collapsed="false">
      <c r="C152" s="57" t="s">
        <v>9649</v>
      </c>
      <c r="D152" s="0" t="s">
        <v>9650</v>
      </c>
      <c r="E152" s="0" t="s">
        <v>9651</v>
      </c>
      <c r="F152" s="0" t="s">
        <v>5334</v>
      </c>
      <c r="G152" s="57" t="s">
        <v>9652</v>
      </c>
      <c r="H152" s="57" t="s">
        <v>9653</v>
      </c>
      <c r="I152" s="39" t="s">
        <v>67</v>
      </c>
      <c r="J152" s="57" t="s">
        <v>9654</v>
      </c>
      <c r="K152" s="57" t="s">
        <v>9655</v>
      </c>
    </row>
    <row r="153" customFormat="false" ht="46.25" hidden="false" customHeight="false" outlineLevel="0" collapsed="false">
      <c r="D153" s="62"/>
      <c r="E153" s="62"/>
      <c r="F153" s="62"/>
      <c r="G153" s="57" t="s">
        <v>9656</v>
      </c>
      <c r="H153" s="57" t="s">
        <v>3792</v>
      </c>
      <c r="I153" s="39"/>
      <c r="J153" s="57" t="s">
        <v>3792</v>
      </c>
      <c r="K153" s="57" t="s">
        <v>3792</v>
      </c>
    </row>
    <row r="154" customFormat="false" ht="68.65" hidden="false" customHeight="false" outlineLevel="0" collapsed="false">
      <c r="D154" s="0" t="s">
        <v>9657</v>
      </c>
      <c r="E154" s="0" t="s">
        <v>9658</v>
      </c>
      <c r="F154" s="0" t="s">
        <v>5342</v>
      </c>
      <c r="G154" s="57" t="s">
        <v>9652</v>
      </c>
      <c r="H154" s="57" t="s">
        <v>9659</v>
      </c>
      <c r="I154" s="34" t="s">
        <v>40</v>
      </c>
      <c r="J154" s="57" t="s">
        <v>9660</v>
      </c>
      <c r="K154" s="57" t="s">
        <v>9661</v>
      </c>
    </row>
    <row r="155" customFormat="false" ht="46.25" hidden="false" customHeight="false" outlineLevel="0" collapsed="false">
      <c r="D155" s="62"/>
      <c r="E155" s="62"/>
      <c r="F155" s="62"/>
      <c r="G155" s="57" t="s">
        <v>9656</v>
      </c>
      <c r="H155" s="57" t="s">
        <v>3792</v>
      </c>
      <c r="I155" s="34"/>
      <c r="J155" s="57" t="s">
        <v>3792</v>
      </c>
      <c r="K155" s="57" t="s">
        <v>3792</v>
      </c>
    </row>
    <row r="156" customFormat="false" ht="57.45" hidden="false" customHeight="false" outlineLevel="0" collapsed="false">
      <c r="D156" s="0" t="s">
        <v>9662</v>
      </c>
      <c r="E156" s="0" t="s">
        <v>9663</v>
      </c>
      <c r="F156" s="0" t="s">
        <v>5342</v>
      </c>
      <c r="G156" s="57" t="s">
        <v>9664</v>
      </c>
      <c r="H156" s="57" t="s">
        <v>9665</v>
      </c>
      <c r="I156" s="34" t="s">
        <v>40</v>
      </c>
      <c r="J156" s="57" t="s">
        <v>9666</v>
      </c>
      <c r="K156" s="57" t="s">
        <v>9667</v>
      </c>
    </row>
    <row r="157" customFormat="false" ht="35.05" hidden="false" customHeight="false" outlineLevel="0" collapsed="false">
      <c r="D157" s="62"/>
      <c r="E157" s="62"/>
      <c r="F157" s="62"/>
      <c r="G157" s="57" t="s">
        <v>9668</v>
      </c>
      <c r="H157" s="57" t="s">
        <v>3792</v>
      </c>
      <c r="I157" s="34"/>
      <c r="J157" s="57" t="s">
        <v>3792</v>
      </c>
      <c r="K157" s="62"/>
    </row>
    <row r="158" customFormat="false" ht="66.85" hidden="false" customHeight="false" outlineLevel="0" collapsed="false">
      <c r="D158" s="0" t="s">
        <v>9669</v>
      </c>
      <c r="E158" s="0" t="s">
        <v>9670</v>
      </c>
      <c r="F158" s="0" t="s">
        <v>5334</v>
      </c>
      <c r="G158" s="57" t="s">
        <v>9671</v>
      </c>
      <c r="H158" s="57" t="s">
        <v>9672</v>
      </c>
      <c r="I158" s="39" t="s">
        <v>67</v>
      </c>
      <c r="J158" s="57" t="s">
        <v>9673</v>
      </c>
      <c r="K158" s="57" t="s">
        <v>9085</v>
      </c>
    </row>
    <row r="159" customFormat="false" ht="66.85" hidden="false" customHeight="false" outlineLevel="0" collapsed="false">
      <c r="D159" s="62"/>
      <c r="E159" s="62"/>
      <c r="F159" s="62"/>
      <c r="G159" s="57" t="s">
        <v>9674</v>
      </c>
      <c r="H159" s="57" t="s">
        <v>3792</v>
      </c>
      <c r="I159" s="39"/>
      <c r="J159" s="57" t="s">
        <v>3792</v>
      </c>
      <c r="K159" s="57" t="s">
        <v>9087</v>
      </c>
    </row>
    <row r="160" customFormat="false" ht="77.7" hidden="false" customHeight="false" outlineLevel="0" collapsed="false">
      <c r="D160" s="0" t="s">
        <v>9675</v>
      </c>
      <c r="E160" s="0" t="s">
        <v>9676</v>
      </c>
      <c r="F160" s="0" t="s">
        <v>5342</v>
      </c>
      <c r="G160" s="57" t="s">
        <v>9677</v>
      </c>
      <c r="H160" s="57" t="s">
        <v>9678</v>
      </c>
      <c r="I160" s="37" t="s">
        <v>50</v>
      </c>
      <c r="J160" s="57" t="s">
        <v>9679</v>
      </c>
      <c r="K160" s="57" t="s">
        <v>9093</v>
      </c>
    </row>
    <row r="161" customFormat="false" ht="66.85" hidden="false" customHeight="false" outlineLevel="0" collapsed="false">
      <c r="C161" s="65"/>
      <c r="D161" s="65"/>
      <c r="E161" s="65"/>
      <c r="F161" s="65"/>
      <c r="G161" s="57" t="s">
        <v>9680</v>
      </c>
      <c r="H161" s="57" t="s">
        <v>3792</v>
      </c>
      <c r="I161" s="37"/>
      <c r="J161" s="57" t="s">
        <v>3792</v>
      </c>
      <c r="K161" s="57" t="s">
        <v>9095</v>
      </c>
    </row>
    <row r="162" customFormat="false" ht="55.95" hidden="false" customHeight="false" outlineLevel="0" collapsed="false">
      <c r="C162" s="57" t="s">
        <v>9681</v>
      </c>
      <c r="D162" s="0" t="s">
        <v>9682</v>
      </c>
      <c r="E162" s="0" t="s">
        <v>9683</v>
      </c>
      <c r="F162" s="0" t="s">
        <v>5342</v>
      </c>
      <c r="G162" s="57" t="s">
        <v>9684</v>
      </c>
      <c r="H162" s="57" t="s">
        <v>9685</v>
      </c>
      <c r="I162" s="37" t="s">
        <v>50</v>
      </c>
      <c r="J162" s="57" t="s">
        <v>9686</v>
      </c>
      <c r="K162" s="57" t="s">
        <v>9101</v>
      </c>
    </row>
    <row r="163" customFormat="false" ht="55.95" hidden="false" customHeight="false" outlineLevel="0" collapsed="false">
      <c r="D163" s="62"/>
      <c r="E163" s="62"/>
      <c r="F163" s="62"/>
      <c r="G163" s="57" t="s">
        <v>9687</v>
      </c>
      <c r="H163" s="57" t="s">
        <v>3792</v>
      </c>
      <c r="I163" s="37"/>
      <c r="J163" s="57" t="s">
        <v>3792</v>
      </c>
      <c r="K163" s="57" t="s">
        <v>9103</v>
      </c>
    </row>
    <row r="164" customFormat="false" ht="55.95" hidden="false" customHeight="false" outlineLevel="0" collapsed="false">
      <c r="D164" s="0" t="s">
        <v>9688</v>
      </c>
      <c r="E164" s="0" t="s">
        <v>9689</v>
      </c>
      <c r="F164" s="0" t="s">
        <v>5334</v>
      </c>
      <c r="G164" s="57" t="s">
        <v>9690</v>
      </c>
      <c r="H164" s="57" t="s">
        <v>9691</v>
      </c>
      <c r="I164" s="39" t="s">
        <v>67</v>
      </c>
      <c r="J164" s="57" t="s">
        <v>9692</v>
      </c>
      <c r="K164" s="57" t="s">
        <v>9109</v>
      </c>
    </row>
    <row r="165" customFormat="false" ht="45.05" hidden="false" customHeight="false" outlineLevel="0" collapsed="false">
      <c r="D165" s="62"/>
      <c r="E165" s="62"/>
      <c r="F165" s="62"/>
      <c r="G165" s="57" t="s">
        <v>9693</v>
      </c>
      <c r="H165" s="57" t="s">
        <v>3792</v>
      </c>
      <c r="I165" s="39"/>
      <c r="J165" s="57" t="s">
        <v>3792</v>
      </c>
      <c r="K165" s="57" t="s">
        <v>9111</v>
      </c>
    </row>
    <row r="166" customFormat="false" ht="77.7" hidden="false" customHeight="false" outlineLevel="0" collapsed="false">
      <c r="D166" s="0" t="s">
        <v>9694</v>
      </c>
      <c r="E166" s="0" t="s">
        <v>9695</v>
      </c>
      <c r="F166" s="0" t="s">
        <v>5334</v>
      </c>
      <c r="G166" s="57" t="s">
        <v>9696</v>
      </c>
      <c r="H166" s="57" t="s">
        <v>9697</v>
      </c>
      <c r="I166" s="34" t="s">
        <v>40</v>
      </c>
      <c r="J166" s="57" t="s">
        <v>9698</v>
      </c>
      <c r="K166" s="57" t="s">
        <v>9117</v>
      </c>
    </row>
    <row r="167" customFormat="false" ht="55.95" hidden="false" customHeight="false" outlineLevel="0" collapsed="false">
      <c r="D167" s="62"/>
      <c r="E167" s="62"/>
      <c r="F167" s="62"/>
      <c r="G167" s="57" t="s">
        <v>9699</v>
      </c>
      <c r="H167" s="57" t="s">
        <v>3792</v>
      </c>
      <c r="I167" s="34"/>
      <c r="J167" s="57" t="s">
        <v>3792</v>
      </c>
      <c r="K167" s="57" t="s">
        <v>9119</v>
      </c>
    </row>
    <row r="168" customFormat="false" ht="66.85" hidden="false" customHeight="false" outlineLevel="0" collapsed="false">
      <c r="D168" s="0" t="s">
        <v>9700</v>
      </c>
      <c r="E168" s="0" t="s">
        <v>9701</v>
      </c>
      <c r="F168" s="0" t="s">
        <v>5342</v>
      </c>
      <c r="G168" s="57" t="s">
        <v>9702</v>
      </c>
      <c r="H168" s="57" t="s">
        <v>9703</v>
      </c>
      <c r="I168" s="39" t="s">
        <v>67</v>
      </c>
      <c r="J168" s="57" t="s">
        <v>9704</v>
      </c>
      <c r="K168" s="57" t="s">
        <v>9126</v>
      </c>
    </row>
    <row r="169" customFormat="false" ht="55.95" hidden="false" customHeight="false" outlineLevel="0" collapsed="false">
      <c r="D169" s="62"/>
      <c r="E169" s="62"/>
      <c r="F169" s="62"/>
      <c r="G169" s="57" t="s">
        <v>9705</v>
      </c>
      <c r="H169" s="57" t="s">
        <v>3792</v>
      </c>
      <c r="I169" s="39"/>
      <c r="J169" s="57" t="s">
        <v>3792</v>
      </c>
      <c r="K169" s="57" t="s">
        <v>9128</v>
      </c>
    </row>
    <row r="170" customFormat="false" ht="77.7" hidden="false" customHeight="false" outlineLevel="0" collapsed="false">
      <c r="D170" s="0" t="s">
        <v>9706</v>
      </c>
      <c r="E170" s="0" t="s">
        <v>9707</v>
      </c>
      <c r="F170" s="0" t="s">
        <v>5334</v>
      </c>
      <c r="G170" s="57" t="s">
        <v>9708</v>
      </c>
      <c r="H170" s="57" t="s">
        <v>9709</v>
      </c>
      <c r="I170" s="37" t="s">
        <v>50</v>
      </c>
      <c r="J170" s="57" t="s">
        <v>9710</v>
      </c>
      <c r="K170" s="57" t="s">
        <v>9134</v>
      </c>
    </row>
    <row r="171" customFormat="false" ht="55.95" hidden="false" customHeight="false" outlineLevel="0" collapsed="false">
      <c r="C171" s="65"/>
      <c r="D171" s="65"/>
      <c r="E171" s="65"/>
      <c r="F171" s="65"/>
      <c r="G171" s="57" t="s">
        <v>9711</v>
      </c>
      <c r="H171" s="57" t="s">
        <v>3792</v>
      </c>
      <c r="I171" s="37"/>
      <c r="J171" s="57" t="s">
        <v>3792</v>
      </c>
      <c r="K171" s="57" t="s">
        <v>9136</v>
      </c>
    </row>
    <row r="172" customFormat="false" ht="66.85" hidden="false" customHeight="false" outlineLevel="0" collapsed="false">
      <c r="C172" s="57" t="s">
        <v>9712</v>
      </c>
      <c r="D172" s="0" t="s">
        <v>9713</v>
      </c>
      <c r="E172" s="0" t="s">
        <v>9714</v>
      </c>
      <c r="F172" s="0" t="s">
        <v>5342</v>
      </c>
      <c r="G172" s="57" t="s">
        <v>9715</v>
      </c>
      <c r="H172" s="57" t="s">
        <v>9716</v>
      </c>
      <c r="I172" s="37" t="s">
        <v>50</v>
      </c>
      <c r="J172" s="57" t="s">
        <v>9717</v>
      </c>
      <c r="K172" s="57" t="s">
        <v>9142</v>
      </c>
    </row>
    <row r="173" customFormat="false" ht="45.05" hidden="false" customHeight="false" outlineLevel="0" collapsed="false">
      <c r="D173" s="62"/>
      <c r="E173" s="62"/>
      <c r="F173" s="62"/>
      <c r="G173" s="57" t="s">
        <v>9718</v>
      </c>
      <c r="H173" s="57" t="s">
        <v>3792</v>
      </c>
      <c r="I173" s="37"/>
      <c r="J173" s="57" t="s">
        <v>3792</v>
      </c>
      <c r="K173" s="57" t="s">
        <v>9144</v>
      </c>
    </row>
    <row r="174" customFormat="false" ht="66.85" hidden="false" customHeight="false" outlineLevel="0" collapsed="false">
      <c r="D174" s="0" t="s">
        <v>9719</v>
      </c>
      <c r="E174" s="0" t="s">
        <v>9720</v>
      </c>
      <c r="F174" s="0" t="s">
        <v>5342</v>
      </c>
      <c r="G174" s="57" t="s">
        <v>9721</v>
      </c>
      <c r="H174" s="57" t="s">
        <v>9722</v>
      </c>
      <c r="I174" s="39" t="s">
        <v>67</v>
      </c>
      <c r="J174" s="57" t="s">
        <v>9723</v>
      </c>
      <c r="K174" s="57" t="s">
        <v>9150</v>
      </c>
    </row>
    <row r="175" customFormat="false" ht="45.05" hidden="false" customHeight="false" outlineLevel="0" collapsed="false">
      <c r="D175" s="62"/>
      <c r="E175" s="62"/>
      <c r="F175" s="62"/>
      <c r="G175" s="57" t="s">
        <v>9724</v>
      </c>
      <c r="H175" s="57" t="s">
        <v>3792</v>
      </c>
      <c r="I175" s="39"/>
      <c r="J175" s="57" t="s">
        <v>3792</v>
      </c>
      <c r="K175" s="57" t="s">
        <v>9152</v>
      </c>
    </row>
    <row r="176" customFormat="false" ht="55.95" hidden="false" customHeight="false" outlineLevel="0" collapsed="false">
      <c r="D176" s="0" t="s">
        <v>9725</v>
      </c>
      <c r="E176" s="0" t="s">
        <v>9726</v>
      </c>
      <c r="F176" s="0" t="s">
        <v>5334</v>
      </c>
      <c r="G176" s="57" t="s">
        <v>9727</v>
      </c>
      <c r="H176" s="57" t="s">
        <v>9728</v>
      </c>
      <c r="I176" s="34" t="s">
        <v>40</v>
      </c>
      <c r="J176" s="57" t="s">
        <v>9729</v>
      </c>
      <c r="K176" s="57" t="s">
        <v>9158</v>
      </c>
    </row>
    <row r="177" customFormat="false" ht="55.95" hidden="false" customHeight="false" outlineLevel="0" collapsed="false">
      <c r="D177" s="62"/>
      <c r="E177" s="62"/>
      <c r="F177" s="62"/>
      <c r="G177" s="57" t="s">
        <v>9730</v>
      </c>
      <c r="H177" s="57" t="s">
        <v>3792</v>
      </c>
      <c r="I177" s="34"/>
      <c r="J177" s="57" t="s">
        <v>3792</v>
      </c>
      <c r="K177" s="57" t="s">
        <v>9160</v>
      </c>
    </row>
    <row r="178" customFormat="false" ht="66.85" hidden="false" customHeight="false" outlineLevel="0" collapsed="false">
      <c r="D178" s="0" t="s">
        <v>9731</v>
      </c>
      <c r="E178" s="0" t="s">
        <v>9732</v>
      </c>
      <c r="F178" s="0" t="s">
        <v>5334</v>
      </c>
      <c r="G178" s="57" t="s">
        <v>9733</v>
      </c>
      <c r="H178" s="57" t="s">
        <v>9734</v>
      </c>
      <c r="I178" s="39" t="s">
        <v>67</v>
      </c>
      <c r="J178" s="57" t="s">
        <v>9735</v>
      </c>
      <c r="K178" s="57" t="s">
        <v>9167</v>
      </c>
    </row>
    <row r="179" customFormat="false" ht="55.95" hidden="false" customHeight="false" outlineLevel="0" collapsed="false">
      <c r="D179" s="62"/>
      <c r="E179" s="62"/>
      <c r="F179" s="62"/>
      <c r="G179" s="57" t="s">
        <v>9736</v>
      </c>
      <c r="H179" s="57" t="s">
        <v>3792</v>
      </c>
      <c r="I179" s="39"/>
      <c r="J179" s="57" t="s">
        <v>3792</v>
      </c>
      <c r="K179" s="57" t="s">
        <v>9169</v>
      </c>
    </row>
    <row r="180" customFormat="false" ht="55.95" hidden="false" customHeight="false" outlineLevel="0" collapsed="false">
      <c r="D180" s="0" t="s">
        <v>9737</v>
      </c>
      <c r="E180" s="0" t="s">
        <v>9738</v>
      </c>
      <c r="F180" s="0" t="s">
        <v>5342</v>
      </c>
      <c r="G180" s="57" t="s">
        <v>9739</v>
      </c>
      <c r="H180" s="57" t="s">
        <v>9740</v>
      </c>
      <c r="I180" s="37" t="s">
        <v>50</v>
      </c>
      <c r="J180" s="57" t="s">
        <v>9741</v>
      </c>
      <c r="K180" s="57" t="s">
        <v>9175</v>
      </c>
    </row>
    <row r="181" customFormat="false" ht="45.05" hidden="false" customHeight="false" outlineLevel="0" collapsed="false">
      <c r="C181" s="65"/>
      <c r="D181" s="65"/>
      <c r="E181" s="65"/>
      <c r="F181" s="65"/>
      <c r="G181" s="57" t="s">
        <v>9742</v>
      </c>
      <c r="H181" s="57" t="s">
        <v>3792</v>
      </c>
      <c r="I181" s="37"/>
      <c r="J181" s="57" t="s">
        <v>3792</v>
      </c>
      <c r="K181" s="57" t="s">
        <v>9177</v>
      </c>
    </row>
    <row r="182" customFormat="false" ht="55.95" hidden="false" customHeight="false" outlineLevel="0" collapsed="false">
      <c r="C182" s="57" t="s">
        <v>9743</v>
      </c>
      <c r="D182" s="0" t="s">
        <v>9744</v>
      </c>
      <c r="E182" s="0" t="s">
        <v>9745</v>
      </c>
      <c r="F182" s="0" t="s">
        <v>5342</v>
      </c>
      <c r="G182" s="57" t="s">
        <v>9739</v>
      </c>
      <c r="H182" s="57" t="s">
        <v>9746</v>
      </c>
      <c r="I182" s="37" t="s">
        <v>50</v>
      </c>
      <c r="J182" s="57" t="s">
        <v>9747</v>
      </c>
      <c r="K182" s="57" t="s">
        <v>9183</v>
      </c>
    </row>
    <row r="183" customFormat="false" ht="34.2" hidden="false" customHeight="false" outlineLevel="0" collapsed="false">
      <c r="D183" s="62"/>
      <c r="E183" s="62"/>
      <c r="F183" s="62"/>
      <c r="G183" s="57" t="s">
        <v>9742</v>
      </c>
      <c r="H183" s="57" t="s">
        <v>3792</v>
      </c>
      <c r="I183" s="37"/>
      <c r="J183" s="57" t="s">
        <v>3792</v>
      </c>
      <c r="K183" s="57" t="s">
        <v>9185</v>
      </c>
    </row>
    <row r="184" customFormat="false" ht="77.7" hidden="false" customHeight="false" outlineLevel="0" collapsed="false">
      <c r="D184" s="0" t="s">
        <v>9748</v>
      </c>
      <c r="E184" s="0" t="s">
        <v>9749</v>
      </c>
      <c r="F184" s="0" t="s">
        <v>5334</v>
      </c>
      <c r="G184" s="57" t="s">
        <v>9750</v>
      </c>
      <c r="H184" s="57" t="s">
        <v>9751</v>
      </c>
      <c r="I184" s="39" t="s">
        <v>67</v>
      </c>
      <c r="J184" s="57" t="s">
        <v>9752</v>
      </c>
      <c r="K184" s="57" t="s">
        <v>9191</v>
      </c>
    </row>
    <row r="185" customFormat="false" ht="34.2" hidden="false" customHeight="false" outlineLevel="0" collapsed="false">
      <c r="D185" s="62"/>
      <c r="E185" s="62"/>
      <c r="F185" s="62"/>
      <c r="G185" s="57" t="s">
        <v>9753</v>
      </c>
      <c r="H185" s="57" t="s">
        <v>3792</v>
      </c>
      <c r="I185" s="39"/>
      <c r="J185" s="57" t="s">
        <v>3792</v>
      </c>
      <c r="K185" s="57" t="s">
        <v>9193</v>
      </c>
    </row>
    <row r="186" customFormat="false" ht="55.95" hidden="false" customHeight="false" outlineLevel="0" collapsed="false">
      <c r="D186" s="0" t="s">
        <v>9754</v>
      </c>
      <c r="E186" s="0" t="s">
        <v>9755</v>
      </c>
      <c r="F186" s="0" t="s">
        <v>5334</v>
      </c>
      <c r="G186" s="57" t="s">
        <v>9756</v>
      </c>
      <c r="H186" s="57" t="s">
        <v>9757</v>
      </c>
      <c r="I186" s="34" t="s">
        <v>40</v>
      </c>
      <c r="J186" s="57" t="s">
        <v>9758</v>
      </c>
      <c r="K186" s="57" t="s">
        <v>9199</v>
      </c>
    </row>
    <row r="187" customFormat="false" ht="34.2" hidden="false" customHeight="false" outlineLevel="0" collapsed="false">
      <c r="D187" s="62"/>
      <c r="E187" s="62"/>
      <c r="F187" s="62"/>
      <c r="G187" s="57" t="s">
        <v>9759</v>
      </c>
      <c r="H187" s="57" t="s">
        <v>3792</v>
      </c>
      <c r="I187" s="34"/>
      <c r="J187" s="57" t="s">
        <v>3792</v>
      </c>
      <c r="K187" s="57" t="s">
        <v>9201</v>
      </c>
    </row>
    <row r="188" customFormat="false" ht="55.95" hidden="false" customHeight="false" outlineLevel="0" collapsed="false">
      <c r="D188" s="0" t="s">
        <v>9760</v>
      </c>
      <c r="E188" s="0" t="s">
        <v>9761</v>
      </c>
      <c r="F188" s="0" t="s">
        <v>5342</v>
      </c>
      <c r="G188" s="57" t="s">
        <v>9762</v>
      </c>
      <c r="H188" s="57" t="s">
        <v>9763</v>
      </c>
      <c r="I188" s="39" t="s">
        <v>67</v>
      </c>
      <c r="J188" s="57" t="s">
        <v>9764</v>
      </c>
      <c r="K188" s="57" t="s">
        <v>9208</v>
      </c>
    </row>
    <row r="189" customFormat="false" ht="45.05" hidden="false" customHeight="false" outlineLevel="0" collapsed="false">
      <c r="D189" s="62"/>
      <c r="E189" s="62"/>
      <c r="F189" s="62"/>
      <c r="G189" s="57" t="s">
        <v>9765</v>
      </c>
      <c r="H189" s="57" t="s">
        <v>3792</v>
      </c>
      <c r="I189" s="39"/>
      <c r="J189" s="57" t="s">
        <v>3792</v>
      </c>
      <c r="K189" s="57" t="s">
        <v>9210</v>
      </c>
    </row>
    <row r="190" customFormat="false" ht="66.85" hidden="false" customHeight="false" outlineLevel="0" collapsed="false">
      <c r="D190" s="0" t="s">
        <v>9766</v>
      </c>
      <c r="E190" s="0" t="s">
        <v>9767</v>
      </c>
      <c r="F190" s="0" t="s">
        <v>5334</v>
      </c>
      <c r="G190" s="57" t="s">
        <v>9768</v>
      </c>
      <c r="H190" s="57" t="s">
        <v>9769</v>
      </c>
      <c r="I190" s="37" t="s">
        <v>50</v>
      </c>
      <c r="J190" s="57" t="s">
        <v>9770</v>
      </c>
      <c r="K190" s="57" t="s">
        <v>9216</v>
      </c>
    </row>
    <row r="191" customFormat="false" ht="45.05" hidden="false" customHeight="false" outlineLevel="0" collapsed="false">
      <c r="B191" s="69"/>
      <c r="C191" s="69"/>
      <c r="D191" s="65"/>
      <c r="E191" s="65"/>
      <c r="F191" s="65"/>
      <c r="G191" s="57" t="s">
        <v>9771</v>
      </c>
      <c r="H191" s="57" t="s">
        <v>3792</v>
      </c>
      <c r="I191" s="37"/>
      <c r="J191" s="57" t="s">
        <v>3792</v>
      </c>
      <c r="K191" s="57" t="s">
        <v>9218</v>
      </c>
    </row>
    <row r="192" customFormat="false" ht="77.7" hidden="false" customHeight="false" outlineLevel="0" collapsed="false">
      <c r="B192" s="0" t="s">
        <v>9474</v>
      </c>
      <c r="C192" s="57" t="s">
        <v>9475</v>
      </c>
      <c r="D192" s="0" t="s">
        <v>9476</v>
      </c>
      <c r="E192" s="0" t="s">
        <v>9772</v>
      </c>
      <c r="F192" s="0" t="s">
        <v>5334</v>
      </c>
      <c r="G192" s="57" t="s">
        <v>9773</v>
      </c>
      <c r="H192" s="57" t="s">
        <v>9479</v>
      </c>
      <c r="I192" s="37" t="s">
        <v>50</v>
      </c>
      <c r="J192" s="57" t="s">
        <v>9774</v>
      </c>
      <c r="K192" s="57" t="s">
        <v>9223</v>
      </c>
    </row>
    <row r="193" customFormat="false" ht="45.05" hidden="false" customHeight="false" outlineLevel="0" collapsed="false">
      <c r="D193" s="62"/>
      <c r="E193" s="62"/>
      <c r="F193" s="62"/>
      <c r="G193" s="57" t="s">
        <v>9775</v>
      </c>
      <c r="H193" s="57" t="s">
        <v>3792</v>
      </c>
      <c r="I193" s="37"/>
      <c r="J193" s="57" t="s">
        <v>3792</v>
      </c>
      <c r="K193" s="57" t="s">
        <v>9224</v>
      </c>
    </row>
    <row r="194" customFormat="false" ht="77.7" hidden="false" customHeight="false" outlineLevel="0" collapsed="false">
      <c r="D194" s="0" t="s">
        <v>9483</v>
      </c>
      <c r="E194" s="0" t="s">
        <v>9776</v>
      </c>
      <c r="F194" s="0" t="s">
        <v>5342</v>
      </c>
      <c r="G194" s="57" t="s">
        <v>9777</v>
      </c>
      <c r="H194" s="57" t="s">
        <v>9486</v>
      </c>
      <c r="I194" s="39" t="s">
        <v>67</v>
      </c>
      <c r="J194" s="57" t="s">
        <v>9778</v>
      </c>
      <c r="K194" s="57" t="s">
        <v>9229</v>
      </c>
    </row>
    <row r="195" customFormat="false" ht="34.2" hidden="false" customHeight="false" outlineLevel="0" collapsed="false">
      <c r="D195" s="62"/>
      <c r="E195" s="62"/>
      <c r="F195" s="62"/>
      <c r="G195" s="57" t="s">
        <v>9779</v>
      </c>
      <c r="H195" s="57" t="s">
        <v>3792</v>
      </c>
      <c r="I195" s="39"/>
      <c r="J195" s="57" t="s">
        <v>3792</v>
      </c>
      <c r="K195" s="57" t="s">
        <v>9230</v>
      </c>
    </row>
    <row r="196" customFormat="false" ht="77.7" hidden="false" customHeight="false" outlineLevel="0" collapsed="false">
      <c r="D196" s="0" t="s">
        <v>9490</v>
      </c>
      <c r="E196" s="0" t="s">
        <v>9780</v>
      </c>
      <c r="F196" s="0" t="s">
        <v>5334</v>
      </c>
      <c r="G196" s="57" t="s">
        <v>9781</v>
      </c>
      <c r="H196" s="57" t="s">
        <v>9492</v>
      </c>
      <c r="I196" s="34" t="s">
        <v>40</v>
      </c>
      <c r="J196" s="57" t="s">
        <v>9782</v>
      </c>
      <c r="K196" s="57" t="s">
        <v>9235</v>
      </c>
    </row>
    <row r="197" customFormat="false" ht="45.05" hidden="false" customHeight="false" outlineLevel="0" collapsed="false">
      <c r="D197" s="62"/>
      <c r="E197" s="62"/>
      <c r="F197" s="62"/>
      <c r="G197" s="57" t="s">
        <v>9783</v>
      </c>
      <c r="H197" s="57" t="s">
        <v>3792</v>
      </c>
      <c r="I197" s="34"/>
      <c r="J197" s="57" t="s">
        <v>3792</v>
      </c>
      <c r="K197" s="57" t="s">
        <v>9236</v>
      </c>
    </row>
    <row r="198" customFormat="false" ht="66.85" hidden="false" customHeight="false" outlineLevel="0" collapsed="false">
      <c r="D198" s="0" t="s">
        <v>9495</v>
      </c>
      <c r="E198" s="0" t="s">
        <v>9784</v>
      </c>
      <c r="F198" s="0" t="s">
        <v>5342</v>
      </c>
      <c r="G198" s="73" t="s">
        <v>9785</v>
      </c>
      <c r="H198" s="57" t="s">
        <v>9497</v>
      </c>
      <c r="I198" s="39" t="s">
        <v>67</v>
      </c>
      <c r="J198" s="57" t="s">
        <v>9786</v>
      </c>
      <c r="K198" s="57" t="s">
        <v>9242</v>
      </c>
    </row>
    <row r="199" customFormat="false" ht="34.2" hidden="false" customHeight="false" outlineLevel="0" collapsed="false">
      <c r="D199" s="62"/>
      <c r="E199" s="62"/>
      <c r="F199" s="62"/>
      <c r="G199" s="57" t="s">
        <v>9787</v>
      </c>
      <c r="H199" s="57" t="s">
        <v>3792</v>
      </c>
      <c r="I199" s="39"/>
      <c r="J199" s="57" t="s">
        <v>3792</v>
      </c>
      <c r="K199" s="57" t="s">
        <v>9243</v>
      </c>
    </row>
    <row r="200" customFormat="false" ht="111.9" hidden="false" customHeight="false" outlineLevel="0" collapsed="false">
      <c r="C200" s="72"/>
      <c r="D200" s="47" t="s">
        <v>9500</v>
      </c>
      <c r="E200" s="47" t="s">
        <v>9788</v>
      </c>
      <c r="F200" s="47" t="s">
        <v>5342</v>
      </c>
      <c r="G200" s="57" t="s">
        <v>9789</v>
      </c>
      <c r="H200" s="57" t="s">
        <v>9502</v>
      </c>
      <c r="I200" s="37" t="s">
        <v>50</v>
      </c>
      <c r="J200" s="57" t="s">
        <v>9790</v>
      </c>
      <c r="K200" s="57" t="s">
        <v>9248</v>
      </c>
    </row>
    <row r="201" customFormat="false" ht="34.2" hidden="false" customHeight="false" outlineLevel="0" collapsed="false">
      <c r="C201" s="65"/>
      <c r="D201" s="65"/>
      <c r="E201" s="65"/>
      <c r="F201" s="65"/>
      <c r="G201" s="57" t="s">
        <v>9791</v>
      </c>
      <c r="H201" s="65"/>
      <c r="I201" s="37"/>
      <c r="J201" s="57" t="s">
        <v>3792</v>
      </c>
      <c r="K201" s="57" t="s">
        <v>9249</v>
      </c>
    </row>
    <row r="202" customFormat="false" ht="77.7" hidden="false" customHeight="false" outlineLevel="0" collapsed="false">
      <c r="C202" s="57" t="s">
        <v>9505</v>
      </c>
      <c r="D202" s="0" t="s">
        <v>9506</v>
      </c>
      <c r="E202" s="0" t="s">
        <v>9792</v>
      </c>
      <c r="F202" s="0" t="s">
        <v>5334</v>
      </c>
      <c r="G202" s="57" t="s">
        <v>9789</v>
      </c>
      <c r="H202" s="57" t="s">
        <v>9793</v>
      </c>
      <c r="I202" s="34" t="s">
        <v>40</v>
      </c>
      <c r="J202" s="57" t="s">
        <v>9794</v>
      </c>
      <c r="K202" s="57" t="s">
        <v>9254</v>
      </c>
    </row>
    <row r="203" customFormat="false" ht="45.05" hidden="false" customHeight="false" outlineLevel="0" collapsed="false">
      <c r="D203" s="62"/>
      <c r="E203" s="62"/>
      <c r="F203" s="62"/>
      <c r="G203" s="57" t="s">
        <v>9791</v>
      </c>
      <c r="H203" s="57" t="s">
        <v>3792</v>
      </c>
      <c r="I203" s="34"/>
      <c r="J203" s="57" t="s">
        <v>3792</v>
      </c>
      <c r="K203" s="57" t="s">
        <v>9255</v>
      </c>
    </row>
    <row r="204" customFormat="false" ht="66.85" hidden="false" customHeight="false" outlineLevel="0" collapsed="false">
      <c r="D204" s="0" t="s">
        <v>9513</v>
      </c>
      <c r="E204" s="0" t="s">
        <v>9795</v>
      </c>
      <c r="F204" s="0" t="s">
        <v>5334</v>
      </c>
      <c r="G204" s="57" t="s">
        <v>9796</v>
      </c>
      <c r="H204" s="57" t="s">
        <v>9797</v>
      </c>
      <c r="I204" s="37" t="s">
        <v>50</v>
      </c>
      <c r="J204" s="57" t="s">
        <v>9798</v>
      </c>
      <c r="K204" s="57" t="s">
        <v>9260</v>
      </c>
    </row>
    <row r="205" customFormat="false" ht="34.2" hidden="false" customHeight="false" outlineLevel="0" collapsed="false">
      <c r="D205" s="62"/>
      <c r="E205" s="62"/>
      <c r="F205" s="62"/>
      <c r="G205" s="57" t="s">
        <v>9799</v>
      </c>
      <c r="H205" s="57" t="s">
        <v>3792</v>
      </c>
      <c r="I205" s="37"/>
      <c r="J205" s="57" t="s">
        <v>3792</v>
      </c>
      <c r="K205" s="57" t="s">
        <v>9262</v>
      </c>
    </row>
    <row r="206" customFormat="false" ht="66.85" hidden="false" customHeight="false" outlineLevel="0" collapsed="false">
      <c r="D206" s="0" t="s">
        <v>9520</v>
      </c>
      <c r="E206" s="0" t="s">
        <v>9800</v>
      </c>
      <c r="F206" s="0" t="s">
        <v>5342</v>
      </c>
      <c r="G206" s="57" t="s">
        <v>9801</v>
      </c>
      <c r="H206" s="57" t="s">
        <v>9802</v>
      </c>
      <c r="I206" s="34" t="s">
        <v>40</v>
      </c>
      <c r="J206" s="57" t="s">
        <v>9803</v>
      </c>
      <c r="K206" s="57" t="s">
        <v>9268</v>
      </c>
    </row>
    <row r="207" customFormat="false" ht="45.05" hidden="false" customHeight="false" outlineLevel="0" collapsed="false">
      <c r="D207" s="62"/>
      <c r="E207" s="62"/>
      <c r="F207" s="62"/>
      <c r="G207" s="57" t="s">
        <v>9804</v>
      </c>
      <c r="H207" s="57" t="s">
        <v>3792</v>
      </c>
      <c r="I207" s="34"/>
      <c r="J207" s="57" t="s">
        <v>3792</v>
      </c>
      <c r="K207" s="57" t="s">
        <v>9270</v>
      </c>
    </row>
    <row r="208" customFormat="false" ht="77.7" hidden="false" customHeight="false" outlineLevel="0" collapsed="false">
      <c r="D208" s="0" t="s">
        <v>9527</v>
      </c>
      <c r="E208" s="0" t="s">
        <v>9805</v>
      </c>
      <c r="F208" s="0" t="s">
        <v>5334</v>
      </c>
      <c r="G208" s="57" t="s">
        <v>9806</v>
      </c>
      <c r="H208" s="57" t="s">
        <v>9807</v>
      </c>
      <c r="I208" s="39" t="s">
        <v>67</v>
      </c>
      <c r="J208" s="57" t="s">
        <v>9808</v>
      </c>
      <c r="K208" s="57" t="s">
        <v>9277</v>
      </c>
    </row>
    <row r="209" customFormat="false" ht="34.2" hidden="false" customHeight="false" outlineLevel="0" collapsed="false">
      <c r="D209" s="62"/>
      <c r="E209" s="62"/>
      <c r="F209" s="62"/>
      <c r="G209" s="57" t="s">
        <v>9809</v>
      </c>
      <c r="H209" s="57" t="s">
        <v>3792</v>
      </c>
      <c r="I209" s="39"/>
      <c r="J209" s="57" t="s">
        <v>3792</v>
      </c>
      <c r="K209" s="57" t="s">
        <v>9279</v>
      </c>
    </row>
    <row r="210" customFormat="false" ht="77.7" hidden="false" customHeight="false" outlineLevel="0" collapsed="false">
      <c r="D210" s="0" t="s">
        <v>9534</v>
      </c>
      <c r="E210" s="0" t="s">
        <v>9810</v>
      </c>
      <c r="F210" s="0" t="s">
        <v>5334</v>
      </c>
      <c r="G210" s="57" t="s">
        <v>9811</v>
      </c>
      <c r="H210" s="57" t="s">
        <v>9812</v>
      </c>
      <c r="I210" s="34" t="s">
        <v>40</v>
      </c>
      <c r="J210" s="57" t="s">
        <v>9813</v>
      </c>
      <c r="K210" s="57" t="s">
        <v>9285</v>
      </c>
    </row>
    <row r="211" customFormat="false" ht="34.2" hidden="false" customHeight="false" outlineLevel="0" collapsed="false">
      <c r="C211" s="65"/>
      <c r="D211" s="65"/>
      <c r="E211" s="65"/>
      <c r="F211" s="65"/>
      <c r="G211" s="57" t="s">
        <v>9814</v>
      </c>
      <c r="H211" s="57" t="s">
        <v>3792</v>
      </c>
      <c r="I211" s="34"/>
      <c r="J211" s="57" t="s">
        <v>3792</v>
      </c>
      <c r="K211" s="57" t="s">
        <v>9287</v>
      </c>
    </row>
    <row r="212" customFormat="false" ht="77.7" hidden="false" customHeight="false" outlineLevel="0" collapsed="false">
      <c r="C212" s="0" t="s">
        <v>9541</v>
      </c>
      <c r="D212" s="0" t="s">
        <v>9542</v>
      </c>
      <c r="E212" s="0" t="s">
        <v>9815</v>
      </c>
      <c r="F212" s="0" t="s">
        <v>5334</v>
      </c>
      <c r="G212" s="57" t="s">
        <v>9816</v>
      </c>
      <c r="H212" s="57" t="s">
        <v>9817</v>
      </c>
      <c r="I212" s="37" t="s">
        <v>50</v>
      </c>
      <c r="J212" s="57" t="s">
        <v>9818</v>
      </c>
      <c r="K212" s="57" t="s">
        <v>9293</v>
      </c>
    </row>
    <row r="213" customFormat="false" ht="45.05" hidden="false" customHeight="false" outlineLevel="0" collapsed="false">
      <c r="D213" s="62"/>
      <c r="E213" s="62"/>
      <c r="F213" s="62"/>
      <c r="G213" s="57" t="s">
        <v>9819</v>
      </c>
      <c r="H213" s="57" t="s">
        <v>3792</v>
      </c>
      <c r="I213" s="37"/>
      <c r="J213" s="57" t="s">
        <v>3792</v>
      </c>
      <c r="K213" s="57" t="s">
        <v>9295</v>
      </c>
    </row>
    <row r="214" customFormat="false" ht="77.7" hidden="false" customHeight="false" outlineLevel="0" collapsed="false">
      <c r="D214" s="0" t="s">
        <v>9549</v>
      </c>
      <c r="E214" s="0" t="s">
        <v>9820</v>
      </c>
      <c r="F214" s="0" t="s">
        <v>5342</v>
      </c>
      <c r="G214" s="57" t="s">
        <v>9821</v>
      </c>
      <c r="H214" s="57" t="s">
        <v>9822</v>
      </c>
      <c r="I214" s="34" t="s">
        <v>40</v>
      </c>
      <c r="J214" s="57" t="s">
        <v>9823</v>
      </c>
      <c r="K214" s="57" t="s">
        <v>9301</v>
      </c>
    </row>
    <row r="215" customFormat="false" ht="45.05" hidden="false" customHeight="false" outlineLevel="0" collapsed="false">
      <c r="D215" s="62"/>
      <c r="E215" s="62"/>
      <c r="F215" s="62"/>
      <c r="G215" s="57" t="s">
        <v>9824</v>
      </c>
      <c r="H215" s="57" t="s">
        <v>3792</v>
      </c>
      <c r="I215" s="34"/>
      <c r="J215" s="57" t="s">
        <v>3792</v>
      </c>
      <c r="K215" s="57" t="s">
        <v>9303</v>
      </c>
    </row>
    <row r="216" customFormat="false" ht="90.15" hidden="false" customHeight="false" outlineLevel="0" collapsed="false">
      <c r="D216" s="0" t="s">
        <v>9556</v>
      </c>
      <c r="E216" s="0" t="s">
        <v>9825</v>
      </c>
      <c r="F216" s="0" t="s">
        <v>5342</v>
      </c>
      <c r="G216" s="57" t="s">
        <v>9826</v>
      </c>
      <c r="H216" s="57" t="s">
        <v>9827</v>
      </c>
      <c r="I216" s="39" t="s">
        <v>67</v>
      </c>
      <c r="J216" s="57" t="s">
        <v>9828</v>
      </c>
      <c r="K216" s="57" t="s">
        <v>9309</v>
      </c>
    </row>
    <row r="217" customFormat="false" ht="45.05" hidden="false" customHeight="false" outlineLevel="0" collapsed="false">
      <c r="D217" s="62"/>
      <c r="E217" s="62"/>
      <c r="F217" s="62"/>
      <c r="G217" s="57" t="s">
        <v>9829</v>
      </c>
      <c r="H217" s="57" t="s">
        <v>3792</v>
      </c>
      <c r="I217" s="39"/>
      <c r="J217" s="57" t="s">
        <v>3792</v>
      </c>
      <c r="K217" s="57" t="s">
        <v>9311</v>
      </c>
    </row>
    <row r="218" customFormat="false" ht="77.7" hidden="false" customHeight="false" outlineLevel="0" collapsed="false">
      <c r="D218" s="0" t="s">
        <v>9563</v>
      </c>
      <c r="E218" s="0" t="s">
        <v>9830</v>
      </c>
      <c r="F218" s="0" t="s">
        <v>5342</v>
      </c>
      <c r="G218" s="57" t="s">
        <v>9831</v>
      </c>
      <c r="H218" s="57" t="s">
        <v>9832</v>
      </c>
      <c r="I218" s="34" t="s">
        <v>40</v>
      </c>
      <c r="J218" s="57" t="s">
        <v>9833</v>
      </c>
      <c r="K218" s="57" t="s">
        <v>9318</v>
      </c>
    </row>
    <row r="219" customFormat="false" ht="34.2" hidden="false" customHeight="false" outlineLevel="0" collapsed="false">
      <c r="D219" s="62"/>
      <c r="E219" s="62"/>
      <c r="F219" s="62"/>
      <c r="G219" s="57" t="s">
        <v>9834</v>
      </c>
      <c r="H219" s="57" t="s">
        <v>3792</v>
      </c>
      <c r="I219" s="34"/>
      <c r="J219" s="57" t="s">
        <v>3792</v>
      </c>
      <c r="K219" s="57" t="s">
        <v>9320</v>
      </c>
    </row>
    <row r="220" customFormat="false" ht="66.85" hidden="false" customHeight="false" outlineLevel="0" collapsed="false">
      <c r="D220" s="0" t="s">
        <v>9570</v>
      </c>
      <c r="E220" s="0" t="s">
        <v>9835</v>
      </c>
      <c r="F220" s="0" t="s">
        <v>5342</v>
      </c>
      <c r="G220" s="57" t="s">
        <v>9836</v>
      </c>
      <c r="H220" s="57" t="s">
        <v>9837</v>
      </c>
      <c r="I220" s="37" t="s">
        <v>50</v>
      </c>
      <c r="J220" s="57" t="s">
        <v>9838</v>
      </c>
      <c r="K220" s="57" t="s">
        <v>9326</v>
      </c>
    </row>
    <row r="221" customFormat="false" ht="34.2" hidden="false" customHeight="false" outlineLevel="0" collapsed="false">
      <c r="C221" s="65"/>
      <c r="D221" s="65"/>
      <c r="E221" s="65"/>
      <c r="F221" s="65"/>
      <c r="G221" s="57" t="s">
        <v>9839</v>
      </c>
      <c r="H221" s="57" t="s">
        <v>3792</v>
      </c>
      <c r="I221" s="37"/>
      <c r="J221" s="57" t="s">
        <v>3792</v>
      </c>
      <c r="K221" s="57" t="s">
        <v>9328</v>
      </c>
    </row>
    <row r="222" customFormat="false" ht="90.15" hidden="false" customHeight="false" outlineLevel="0" collapsed="false">
      <c r="C222" s="57" t="s">
        <v>9577</v>
      </c>
      <c r="D222" s="0" t="s">
        <v>9578</v>
      </c>
      <c r="E222" s="0" t="s">
        <v>9840</v>
      </c>
      <c r="F222" s="0" t="s">
        <v>5334</v>
      </c>
      <c r="G222" s="57" t="s">
        <v>9841</v>
      </c>
      <c r="H222" s="57" t="s">
        <v>9842</v>
      </c>
      <c r="I222" s="34" t="s">
        <v>40</v>
      </c>
      <c r="J222" s="57" t="s">
        <v>9843</v>
      </c>
      <c r="K222" s="57" t="s">
        <v>9334</v>
      </c>
    </row>
    <row r="223" customFormat="false" ht="45.05" hidden="false" customHeight="false" outlineLevel="0" collapsed="false">
      <c r="D223" s="62"/>
      <c r="E223" s="62"/>
      <c r="F223" s="62"/>
      <c r="G223" s="57" t="s">
        <v>9844</v>
      </c>
      <c r="H223" s="57" t="s">
        <v>3792</v>
      </c>
      <c r="I223" s="34"/>
      <c r="J223" s="57" t="s">
        <v>3792</v>
      </c>
      <c r="K223" s="57" t="s">
        <v>9336</v>
      </c>
    </row>
    <row r="224" customFormat="false" ht="77.7" hidden="false" customHeight="false" outlineLevel="0" collapsed="false">
      <c r="D224" s="0" t="s">
        <v>9585</v>
      </c>
      <c r="E224" s="0" t="s">
        <v>9845</v>
      </c>
      <c r="F224" s="0" t="s">
        <v>5342</v>
      </c>
      <c r="G224" s="57" t="s">
        <v>9846</v>
      </c>
      <c r="H224" s="57" t="s">
        <v>9847</v>
      </c>
      <c r="I224" s="39" t="s">
        <v>67</v>
      </c>
      <c r="J224" s="57" t="s">
        <v>9848</v>
      </c>
      <c r="K224" s="57" t="s">
        <v>9342</v>
      </c>
    </row>
    <row r="225" customFormat="false" ht="34.2" hidden="false" customHeight="false" outlineLevel="0" collapsed="false">
      <c r="D225" s="62"/>
      <c r="E225" s="62"/>
      <c r="F225" s="62"/>
      <c r="G225" s="57" t="s">
        <v>9849</v>
      </c>
      <c r="H225" s="57" t="s">
        <v>3792</v>
      </c>
      <c r="I225" s="39"/>
      <c r="J225" s="57" t="s">
        <v>3792</v>
      </c>
      <c r="K225" s="57" t="s">
        <v>9344</v>
      </c>
    </row>
    <row r="226" customFormat="false" ht="77.7" hidden="false" customHeight="false" outlineLevel="0" collapsed="false">
      <c r="D226" s="0" t="s">
        <v>9592</v>
      </c>
      <c r="E226" s="0" t="s">
        <v>9850</v>
      </c>
      <c r="F226" s="0" t="s">
        <v>5342</v>
      </c>
      <c r="G226" s="57" t="s">
        <v>9851</v>
      </c>
      <c r="H226" s="57" t="s">
        <v>9852</v>
      </c>
      <c r="I226" s="34" t="s">
        <v>40</v>
      </c>
      <c r="J226" s="57" t="s">
        <v>9853</v>
      </c>
      <c r="K226" s="57" t="s">
        <v>9350</v>
      </c>
    </row>
    <row r="227" customFormat="false" ht="55.95" hidden="false" customHeight="false" outlineLevel="0" collapsed="false">
      <c r="D227" s="62"/>
      <c r="E227" s="62"/>
      <c r="F227" s="62"/>
      <c r="G227" s="57" t="s">
        <v>9854</v>
      </c>
      <c r="H227" s="57" t="s">
        <v>3792</v>
      </c>
      <c r="I227" s="34"/>
      <c r="J227" s="57" t="s">
        <v>3792</v>
      </c>
      <c r="K227" s="57" t="s">
        <v>9352</v>
      </c>
    </row>
    <row r="228" customFormat="false" ht="77.7" hidden="false" customHeight="false" outlineLevel="0" collapsed="false">
      <c r="D228" s="0" t="s">
        <v>9599</v>
      </c>
      <c r="E228" s="0" t="s">
        <v>9855</v>
      </c>
      <c r="F228" s="0" t="s">
        <v>5334</v>
      </c>
      <c r="G228" s="57" t="s">
        <v>9856</v>
      </c>
      <c r="H228" s="57" t="s">
        <v>9857</v>
      </c>
      <c r="I228" s="37" t="s">
        <v>50</v>
      </c>
      <c r="J228" s="57" t="s">
        <v>9858</v>
      </c>
      <c r="K228" s="57" t="s">
        <v>9359</v>
      </c>
    </row>
    <row r="229" customFormat="false" ht="55.95" hidden="false" customHeight="false" outlineLevel="0" collapsed="false">
      <c r="D229" s="62"/>
      <c r="E229" s="62"/>
      <c r="F229" s="62"/>
      <c r="G229" s="57" t="s">
        <v>9859</v>
      </c>
      <c r="H229" s="57" t="s">
        <v>3792</v>
      </c>
      <c r="I229" s="37"/>
      <c r="J229" s="57" t="s">
        <v>3792</v>
      </c>
      <c r="K229" s="57" t="s">
        <v>9361</v>
      </c>
    </row>
    <row r="230" customFormat="false" ht="101.05" hidden="false" customHeight="false" outlineLevel="0" collapsed="false">
      <c r="D230" s="0" t="s">
        <v>9606</v>
      </c>
      <c r="E230" s="0" t="s">
        <v>9860</v>
      </c>
      <c r="F230" s="0" t="s">
        <v>5334</v>
      </c>
      <c r="G230" s="57" t="s">
        <v>9608</v>
      </c>
      <c r="H230" s="57" t="s">
        <v>9861</v>
      </c>
      <c r="I230" s="34" t="s">
        <v>40</v>
      </c>
      <c r="J230" s="57" t="s">
        <v>9862</v>
      </c>
      <c r="K230" s="57" t="s">
        <v>9367</v>
      </c>
    </row>
    <row r="231" customFormat="false" ht="45.05" hidden="false" customHeight="false" outlineLevel="0" collapsed="false">
      <c r="C231" s="65"/>
      <c r="D231" s="65"/>
      <c r="E231" s="65"/>
      <c r="F231" s="65"/>
      <c r="G231" s="57" t="s">
        <v>9612</v>
      </c>
      <c r="H231" s="57" t="s">
        <v>3792</v>
      </c>
      <c r="I231" s="34"/>
      <c r="J231" s="57" t="s">
        <v>3792</v>
      </c>
      <c r="K231" s="57" t="s">
        <v>9369</v>
      </c>
    </row>
    <row r="232" customFormat="false" ht="101.05" hidden="false" customHeight="false" outlineLevel="0" collapsed="false">
      <c r="C232" s="0" t="s">
        <v>9613</v>
      </c>
      <c r="D232" s="0" t="s">
        <v>9614</v>
      </c>
      <c r="E232" s="0" t="s">
        <v>9863</v>
      </c>
      <c r="F232" s="0" t="s">
        <v>5342</v>
      </c>
      <c r="G232" s="57" t="s">
        <v>9616</v>
      </c>
      <c r="H232" s="57" t="s">
        <v>9864</v>
      </c>
      <c r="I232" s="39" t="s">
        <v>67</v>
      </c>
      <c r="J232" s="57" t="s">
        <v>9865</v>
      </c>
      <c r="K232" s="57" t="s">
        <v>9375</v>
      </c>
    </row>
    <row r="233" customFormat="false" ht="45.05" hidden="false" customHeight="false" outlineLevel="0" collapsed="false">
      <c r="D233" s="62"/>
      <c r="E233" s="62"/>
      <c r="F233" s="62"/>
      <c r="G233" s="57" t="s">
        <v>9620</v>
      </c>
      <c r="H233" s="57" t="s">
        <v>3792</v>
      </c>
      <c r="I233" s="39"/>
      <c r="J233" s="57" t="s">
        <v>3792</v>
      </c>
      <c r="K233" s="57" t="s">
        <v>9377</v>
      </c>
    </row>
    <row r="234" customFormat="false" ht="101.05" hidden="false" customHeight="false" outlineLevel="0" collapsed="false">
      <c r="D234" s="0" t="s">
        <v>9621</v>
      </c>
      <c r="E234" s="0" t="s">
        <v>9866</v>
      </c>
      <c r="F234" s="0" t="s">
        <v>5334</v>
      </c>
      <c r="G234" s="57" t="s">
        <v>9623</v>
      </c>
      <c r="H234" s="57" t="s">
        <v>9867</v>
      </c>
      <c r="I234" s="34" t="s">
        <v>40</v>
      </c>
      <c r="J234" s="57" t="s">
        <v>9868</v>
      </c>
      <c r="K234" s="57" t="s">
        <v>9383</v>
      </c>
    </row>
    <row r="235" customFormat="false" ht="45.05" hidden="false" customHeight="false" outlineLevel="0" collapsed="false">
      <c r="D235" s="62"/>
      <c r="E235" s="62"/>
      <c r="F235" s="62"/>
      <c r="G235" s="57" t="s">
        <v>9627</v>
      </c>
      <c r="H235" s="57" t="s">
        <v>3792</v>
      </c>
      <c r="I235" s="34"/>
      <c r="J235" s="57" t="s">
        <v>3792</v>
      </c>
      <c r="K235" s="57" t="s">
        <v>9385</v>
      </c>
    </row>
    <row r="236" customFormat="false" ht="90.15" hidden="false" customHeight="false" outlineLevel="0" collapsed="false">
      <c r="D236" s="0" t="s">
        <v>9628</v>
      </c>
      <c r="E236" s="0" t="s">
        <v>9869</v>
      </c>
      <c r="F236" s="0" t="s">
        <v>5334</v>
      </c>
      <c r="G236" s="57" t="s">
        <v>9630</v>
      </c>
      <c r="H236" s="57" t="s">
        <v>9870</v>
      </c>
      <c r="I236" s="37" t="s">
        <v>50</v>
      </c>
      <c r="J236" s="57" t="s">
        <v>9871</v>
      </c>
      <c r="K236" s="57" t="s">
        <v>9391</v>
      </c>
    </row>
    <row r="237" customFormat="false" ht="55.95" hidden="false" customHeight="false" outlineLevel="0" collapsed="false">
      <c r="D237" s="62"/>
      <c r="E237" s="62"/>
      <c r="F237" s="62"/>
      <c r="G237" s="57" t="s">
        <v>9634</v>
      </c>
      <c r="H237" s="57" t="s">
        <v>3792</v>
      </c>
      <c r="I237" s="37"/>
      <c r="J237" s="57" t="s">
        <v>3792</v>
      </c>
      <c r="K237" s="57" t="s">
        <v>9393</v>
      </c>
    </row>
    <row r="238" customFormat="false" ht="77.7" hidden="false" customHeight="false" outlineLevel="0" collapsed="false">
      <c r="D238" s="0" t="s">
        <v>9635</v>
      </c>
      <c r="E238" s="0" t="s">
        <v>9636</v>
      </c>
      <c r="F238" s="0" t="s">
        <v>5342</v>
      </c>
      <c r="G238" s="57" t="s">
        <v>9637</v>
      </c>
      <c r="H238" s="57" t="s">
        <v>9872</v>
      </c>
      <c r="I238" s="34" t="s">
        <v>40</v>
      </c>
      <c r="J238" s="57" t="s">
        <v>9873</v>
      </c>
      <c r="K238" s="57" t="s">
        <v>9400</v>
      </c>
    </row>
    <row r="239" customFormat="false" ht="34.2" hidden="false" customHeight="false" outlineLevel="0" collapsed="false">
      <c r="D239" s="62"/>
      <c r="E239" s="62"/>
      <c r="F239" s="62"/>
      <c r="G239" s="57" t="s">
        <v>9641</v>
      </c>
      <c r="H239" s="57" t="s">
        <v>3792</v>
      </c>
      <c r="I239" s="34"/>
      <c r="J239" s="57" t="s">
        <v>3792</v>
      </c>
      <c r="K239" s="57" t="s">
        <v>9402</v>
      </c>
    </row>
    <row r="240" customFormat="false" ht="111.9" hidden="false" customHeight="false" outlineLevel="0" collapsed="false">
      <c r="D240" s="0" t="s">
        <v>9642</v>
      </c>
      <c r="E240" s="0" t="s">
        <v>9874</v>
      </c>
      <c r="F240" s="0" t="s">
        <v>5334</v>
      </c>
      <c r="G240" s="57" t="s">
        <v>9644</v>
      </c>
      <c r="H240" s="57" t="s">
        <v>9875</v>
      </c>
      <c r="I240" s="39" t="s">
        <v>67</v>
      </c>
      <c r="J240" s="57" t="s">
        <v>9876</v>
      </c>
      <c r="K240" s="57" t="s">
        <v>9408</v>
      </c>
    </row>
    <row r="241" customFormat="false" ht="45.05" hidden="false" customHeight="false" outlineLevel="0" collapsed="false">
      <c r="C241" s="65"/>
      <c r="D241" s="65"/>
      <c r="E241" s="65"/>
      <c r="F241" s="65"/>
      <c r="G241" s="57" t="s">
        <v>9648</v>
      </c>
      <c r="H241" s="57" t="s">
        <v>3792</v>
      </c>
      <c r="I241" s="39"/>
      <c r="J241" s="57" t="s">
        <v>3792</v>
      </c>
      <c r="K241" s="57" t="s">
        <v>9410</v>
      </c>
    </row>
    <row r="242" customFormat="false" ht="77.7" hidden="false" customHeight="false" outlineLevel="0" collapsed="false">
      <c r="C242" s="57" t="s">
        <v>9649</v>
      </c>
      <c r="D242" s="0" t="s">
        <v>9650</v>
      </c>
      <c r="E242" s="0" t="s">
        <v>9877</v>
      </c>
      <c r="F242" s="0" t="s">
        <v>5342</v>
      </c>
      <c r="G242" s="57" t="s">
        <v>9652</v>
      </c>
      <c r="H242" s="57" t="s">
        <v>9878</v>
      </c>
      <c r="I242" s="34" t="s">
        <v>40</v>
      </c>
      <c r="J242" s="57" t="s">
        <v>9879</v>
      </c>
      <c r="K242" s="57" t="s">
        <v>9416</v>
      </c>
    </row>
    <row r="243" customFormat="false" ht="45.05" hidden="false" customHeight="false" outlineLevel="0" collapsed="false">
      <c r="D243" s="62"/>
      <c r="E243" s="62"/>
      <c r="F243" s="62"/>
      <c r="G243" s="57" t="s">
        <v>9656</v>
      </c>
      <c r="H243" s="57" t="s">
        <v>3792</v>
      </c>
      <c r="I243" s="34"/>
      <c r="J243" s="57" t="s">
        <v>3792</v>
      </c>
      <c r="K243" s="57" t="s">
        <v>9418</v>
      </c>
    </row>
    <row r="244" customFormat="false" ht="66.85" hidden="false" customHeight="false" outlineLevel="0" collapsed="false">
      <c r="D244" s="0" t="s">
        <v>9657</v>
      </c>
      <c r="E244" s="0" t="s">
        <v>9880</v>
      </c>
      <c r="F244" s="0" t="s">
        <v>5334</v>
      </c>
      <c r="G244" s="57" t="s">
        <v>9881</v>
      </c>
      <c r="H244" s="57" t="s">
        <v>9882</v>
      </c>
      <c r="I244" s="37" t="s">
        <v>50</v>
      </c>
      <c r="J244" s="57" t="s">
        <v>9883</v>
      </c>
      <c r="K244" s="57" t="s">
        <v>9424</v>
      </c>
    </row>
    <row r="245" customFormat="false" ht="34.2" hidden="false" customHeight="false" outlineLevel="0" collapsed="false">
      <c r="D245" s="62"/>
      <c r="E245" s="62"/>
      <c r="F245" s="62"/>
      <c r="G245" s="57" t="s">
        <v>9884</v>
      </c>
      <c r="H245" s="57" t="s">
        <v>3792</v>
      </c>
      <c r="I245" s="37"/>
      <c r="J245" s="57" t="s">
        <v>3792</v>
      </c>
      <c r="K245" s="57" t="s">
        <v>9426</v>
      </c>
    </row>
    <row r="246" customFormat="false" ht="66.85" hidden="false" customHeight="false" outlineLevel="0" collapsed="false">
      <c r="D246" s="0" t="s">
        <v>9662</v>
      </c>
      <c r="E246" s="0" t="s">
        <v>9885</v>
      </c>
      <c r="F246" s="0" t="s">
        <v>5342</v>
      </c>
      <c r="G246" s="57" t="s">
        <v>9664</v>
      </c>
      <c r="H246" s="57" t="s">
        <v>9886</v>
      </c>
      <c r="I246" s="34" t="s">
        <v>40</v>
      </c>
      <c r="J246" s="57" t="s">
        <v>9887</v>
      </c>
      <c r="K246" s="57" t="s">
        <v>9432</v>
      </c>
    </row>
    <row r="247" customFormat="false" ht="45.05" hidden="false" customHeight="false" outlineLevel="0" collapsed="false">
      <c r="D247" s="62"/>
      <c r="E247" s="62"/>
      <c r="F247" s="62"/>
      <c r="G247" s="57" t="s">
        <v>9668</v>
      </c>
      <c r="H247" s="57" t="s">
        <v>3792</v>
      </c>
      <c r="I247" s="34"/>
      <c r="J247" s="57" t="s">
        <v>3792</v>
      </c>
      <c r="K247" s="57" t="s">
        <v>9434</v>
      </c>
    </row>
    <row r="248" customFormat="false" ht="90.15" hidden="false" customHeight="false" outlineLevel="0" collapsed="false">
      <c r="D248" s="0" t="s">
        <v>9669</v>
      </c>
      <c r="E248" s="0" t="s">
        <v>9888</v>
      </c>
      <c r="F248" s="0" t="s">
        <v>5334</v>
      </c>
      <c r="G248" s="57" t="s">
        <v>9671</v>
      </c>
      <c r="H248" s="57" t="s">
        <v>9889</v>
      </c>
      <c r="I248" s="39" t="s">
        <v>67</v>
      </c>
      <c r="J248" s="57" t="s">
        <v>9890</v>
      </c>
      <c r="K248" s="57" t="s">
        <v>9441</v>
      </c>
    </row>
    <row r="249" customFormat="false" ht="34.2" hidden="false" customHeight="false" outlineLevel="0" collapsed="false">
      <c r="D249" s="62"/>
      <c r="E249" s="62"/>
      <c r="F249" s="62"/>
      <c r="G249" s="57" t="s">
        <v>9674</v>
      </c>
      <c r="H249" s="57" t="s">
        <v>3792</v>
      </c>
      <c r="I249" s="39"/>
      <c r="J249" s="57" t="s">
        <v>3792</v>
      </c>
      <c r="K249" s="57" t="s">
        <v>9443</v>
      </c>
    </row>
    <row r="250" customFormat="false" ht="90.15" hidden="false" customHeight="false" outlineLevel="0" collapsed="false">
      <c r="D250" s="0" t="s">
        <v>9675</v>
      </c>
      <c r="E250" s="0" t="s">
        <v>9891</v>
      </c>
      <c r="F250" s="0" t="s">
        <v>5342</v>
      </c>
      <c r="G250" s="57" t="s">
        <v>9677</v>
      </c>
      <c r="H250" s="57" t="s">
        <v>9892</v>
      </c>
      <c r="I250" s="34" t="s">
        <v>40</v>
      </c>
      <c r="J250" s="57" t="s">
        <v>9893</v>
      </c>
      <c r="K250" s="57" t="s">
        <v>9449</v>
      </c>
    </row>
    <row r="251" customFormat="false" ht="45.05" hidden="false" customHeight="false" outlineLevel="0" collapsed="false">
      <c r="C251" s="65"/>
      <c r="D251" s="65"/>
      <c r="E251" s="65"/>
      <c r="F251" s="65"/>
      <c r="G251" s="57" t="s">
        <v>9680</v>
      </c>
      <c r="H251" s="57" t="s">
        <v>3792</v>
      </c>
      <c r="I251" s="34"/>
      <c r="J251" s="57" t="s">
        <v>3792</v>
      </c>
      <c r="K251" s="57" t="s">
        <v>9451</v>
      </c>
    </row>
    <row r="252" customFormat="false" ht="77.7" hidden="false" customHeight="false" outlineLevel="0" collapsed="false">
      <c r="C252" s="57" t="s">
        <v>9681</v>
      </c>
      <c r="D252" s="0" t="s">
        <v>9682</v>
      </c>
      <c r="E252" s="0" t="s">
        <v>9894</v>
      </c>
      <c r="F252" s="0" t="s">
        <v>5334</v>
      </c>
      <c r="G252" s="57" t="s">
        <v>9684</v>
      </c>
      <c r="H252" s="57" t="s">
        <v>9895</v>
      </c>
      <c r="I252" s="37" t="s">
        <v>50</v>
      </c>
      <c r="J252" s="57" t="s">
        <v>9896</v>
      </c>
      <c r="K252" s="57" t="s">
        <v>9457</v>
      </c>
    </row>
    <row r="253" customFormat="false" ht="45.05" hidden="false" customHeight="false" outlineLevel="0" collapsed="false">
      <c r="D253" s="62"/>
      <c r="E253" s="62"/>
      <c r="F253" s="62"/>
      <c r="G253" s="57" t="s">
        <v>9687</v>
      </c>
      <c r="H253" s="57" t="s">
        <v>3792</v>
      </c>
      <c r="I253" s="37"/>
      <c r="J253" s="57" t="s">
        <v>3792</v>
      </c>
      <c r="K253" s="57" t="s">
        <v>9459</v>
      </c>
    </row>
    <row r="254" customFormat="false" ht="66.85" hidden="false" customHeight="false" outlineLevel="0" collapsed="false">
      <c r="D254" s="0" t="s">
        <v>9688</v>
      </c>
      <c r="E254" s="0" t="s">
        <v>9897</v>
      </c>
      <c r="F254" s="0" t="s">
        <v>5342</v>
      </c>
      <c r="G254" s="57" t="s">
        <v>9690</v>
      </c>
      <c r="H254" s="57" t="s">
        <v>9898</v>
      </c>
      <c r="I254" s="34" t="s">
        <v>40</v>
      </c>
      <c r="J254" s="57" t="s">
        <v>9899</v>
      </c>
      <c r="K254" s="57" t="s">
        <v>9465</v>
      </c>
    </row>
    <row r="255" customFormat="false" ht="21.75" hidden="false" customHeight="false" outlineLevel="0" collapsed="false">
      <c r="D255" s="62"/>
      <c r="E255" s="62"/>
      <c r="F255" s="62"/>
      <c r="G255" s="57" t="s">
        <v>9693</v>
      </c>
      <c r="H255" s="57" t="s">
        <v>3792</v>
      </c>
      <c r="I255" s="34"/>
      <c r="J255" s="57" t="s">
        <v>3792</v>
      </c>
      <c r="K255" s="57" t="s">
        <v>3792</v>
      </c>
    </row>
    <row r="256" customFormat="false" ht="77.7" hidden="false" customHeight="false" outlineLevel="0" collapsed="false">
      <c r="D256" s="0" t="s">
        <v>9694</v>
      </c>
      <c r="E256" s="0" t="s">
        <v>9900</v>
      </c>
      <c r="F256" s="0" t="s">
        <v>5342</v>
      </c>
      <c r="G256" s="57" t="s">
        <v>9696</v>
      </c>
      <c r="H256" s="57" t="s">
        <v>9697</v>
      </c>
      <c r="I256" s="39" t="s">
        <v>67</v>
      </c>
      <c r="J256" s="57" t="s">
        <v>9901</v>
      </c>
      <c r="K256" s="57" t="s">
        <v>9472</v>
      </c>
    </row>
    <row r="257" customFormat="false" ht="34.2" hidden="false" customHeight="false" outlineLevel="0" collapsed="false">
      <c r="D257" s="62"/>
      <c r="E257" s="62"/>
      <c r="F257" s="62"/>
      <c r="G257" s="57" t="s">
        <v>9699</v>
      </c>
      <c r="H257" s="57" t="s">
        <v>3792</v>
      </c>
      <c r="I257" s="39"/>
      <c r="J257" s="57" t="s">
        <v>3792</v>
      </c>
      <c r="K257" s="57" t="s">
        <v>3792</v>
      </c>
    </row>
    <row r="258" customFormat="false" ht="66.85" hidden="false" customHeight="false" outlineLevel="0" collapsed="false">
      <c r="D258" s="0" t="s">
        <v>9700</v>
      </c>
      <c r="E258" s="0" t="s">
        <v>9701</v>
      </c>
      <c r="F258" s="0" t="s">
        <v>5334</v>
      </c>
      <c r="G258" s="57" t="s">
        <v>9702</v>
      </c>
      <c r="H258" s="57" t="s">
        <v>9902</v>
      </c>
      <c r="I258" s="34" t="s">
        <v>40</v>
      </c>
      <c r="J258" s="57" t="s">
        <v>9903</v>
      </c>
      <c r="K258" s="57" t="s">
        <v>9481</v>
      </c>
    </row>
    <row r="259" customFormat="false" ht="21.75" hidden="false" customHeight="false" outlineLevel="0" collapsed="false">
      <c r="D259" s="62"/>
      <c r="E259" s="62"/>
      <c r="F259" s="62"/>
      <c r="G259" s="57" t="s">
        <v>9705</v>
      </c>
      <c r="H259" s="57" t="s">
        <v>3792</v>
      </c>
      <c r="I259" s="34"/>
      <c r="J259" s="57" t="s">
        <v>3792</v>
      </c>
      <c r="K259" s="57" t="s">
        <v>3792</v>
      </c>
    </row>
    <row r="260" customFormat="false" ht="77.7" hidden="false" customHeight="false" outlineLevel="0" collapsed="false">
      <c r="D260" s="0" t="s">
        <v>9706</v>
      </c>
      <c r="E260" s="0" t="s">
        <v>9707</v>
      </c>
      <c r="F260" s="0" t="s">
        <v>5334</v>
      </c>
      <c r="G260" s="57" t="s">
        <v>9708</v>
      </c>
      <c r="H260" s="57" t="s">
        <v>9904</v>
      </c>
      <c r="I260" s="37" t="s">
        <v>50</v>
      </c>
      <c r="J260" s="57" t="s">
        <v>9905</v>
      </c>
      <c r="K260" s="57" t="s">
        <v>9488</v>
      </c>
    </row>
    <row r="261" customFormat="false" ht="34.2" hidden="false" customHeight="false" outlineLevel="0" collapsed="false">
      <c r="C261" s="65"/>
      <c r="D261" s="65"/>
      <c r="E261" s="65"/>
      <c r="F261" s="65"/>
      <c r="G261" s="57" t="s">
        <v>9711</v>
      </c>
      <c r="H261" s="57" t="s">
        <v>3792</v>
      </c>
      <c r="I261" s="37"/>
      <c r="J261" s="57" t="s">
        <v>3792</v>
      </c>
      <c r="K261" s="57" t="s">
        <v>3792</v>
      </c>
    </row>
    <row r="262" customFormat="false" ht="66.85" hidden="false" customHeight="false" outlineLevel="0" collapsed="false">
      <c r="C262" s="57" t="s">
        <v>9712</v>
      </c>
      <c r="D262" s="0" t="s">
        <v>9713</v>
      </c>
      <c r="E262" s="0" t="s">
        <v>9906</v>
      </c>
      <c r="F262" s="0" t="s">
        <v>5342</v>
      </c>
      <c r="G262" s="57" t="s">
        <v>9715</v>
      </c>
      <c r="H262" s="57" t="s">
        <v>9907</v>
      </c>
      <c r="I262" s="34" t="s">
        <v>40</v>
      </c>
      <c r="J262" s="57" t="s">
        <v>9908</v>
      </c>
      <c r="K262" s="57" t="s">
        <v>9494</v>
      </c>
    </row>
    <row r="263" customFormat="false" ht="34.2" hidden="false" customHeight="false" outlineLevel="0" collapsed="false">
      <c r="D263" s="62"/>
      <c r="E263" s="62"/>
      <c r="F263" s="62"/>
      <c r="G263" s="57" t="s">
        <v>9718</v>
      </c>
      <c r="H263" s="57" t="s">
        <v>3792</v>
      </c>
      <c r="I263" s="34"/>
      <c r="J263" s="57" t="s">
        <v>3792</v>
      </c>
      <c r="K263" s="57" t="s">
        <v>3792</v>
      </c>
    </row>
    <row r="264" customFormat="false" ht="66.85" hidden="false" customHeight="false" outlineLevel="0" collapsed="false">
      <c r="D264" s="0" t="s">
        <v>9719</v>
      </c>
      <c r="E264" s="0" t="s">
        <v>9909</v>
      </c>
      <c r="F264" s="0" t="s">
        <v>5342</v>
      </c>
      <c r="G264" s="57" t="s">
        <v>9721</v>
      </c>
      <c r="H264" s="57" t="s">
        <v>9910</v>
      </c>
      <c r="I264" s="39" t="s">
        <v>67</v>
      </c>
      <c r="J264" s="57" t="s">
        <v>9911</v>
      </c>
      <c r="K264" s="57" t="s">
        <v>9499</v>
      </c>
    </row>
    <row r="265" customFormat="false" ht="21.75" hidden="false" customHeight="false" outlineLevel="0" collapsed="false">
      <c r="D265" s="62"/>
      <c r="E265" s="62"/>
      <c r="F265" s="62"/>
      <c r="G265" s="57" t="s">
        <v>9724</v>
      </c>
      <c r="H265" s="57" t="s">
        <v>3792</v>
      </c>
      <c r="I265" s="39"/>
      <c r="J265" s="57" t="s">
        <v>3792</v>
      </c>
      <c r="K265" s="57" t="s">
        <v>3792</v>
      </c>
    </row>
    <row r="266" customFormat="false" ht="55.95" hidden="false" customHeight="false" outlineLevel="0" collapsed="false">
      <c r="D266" s="0" t="s">
        <v>9725</v>
      </c>
      <c r="E266" s="0" t="s">
        <v>9912</v>
      </c>
      <c r="F266" s="0" t="s">
        <v>5334</v>
      </c>
      <c r="G266" s="57" t="s">
        <v>9727</v>
      </c>
      <c r="H266" s="57" t="s">
        <v>9913</v>
      </c>
      <c r="I266" s="34" t="s">
        <v>40</v>
      </c>
      <c r="J266" s="57" t="s">
        <v>9914</v>
      </c>
      <c r="K266" s="57" t="s">
        <v>9504</v>
      </c>
    </row>
    <row r="267" customFormat="false" ht="21.75" hidden="false" customHeight="false" outlineLevel="0" collapsed="false">
      <c r="D267" s="62"/>
      <c r="E267" s="62"/>
      <c r="F267" s="62"/>
      <c r="G267" s="57" t="s">
        <v>9730</v>
      </c>
      <c r="H267" s="57" t="s">
        <v>3792</v>
      </c>
      <c r="I267" s="34"/>
      <c r="J267" s="57" t="s">
        <v>3792</v>
      </c>
      <c r="K267" s="57" t="s">
        <v>3792</v>
      </c>
    </row>
    <row r="268" customFormat="false" ht="66.85" hidden="false" customHeight="false" outlineLevel="0" collapsed="false">
      <c r="D268" s="0" t="s">
        <v>9731</v>
      </c>
      <c r="E268" s="0" t="s">
        <v>9915</v>
      </c>
      <c r="F268" s="0" t="s">
        <v>5334</v>
      </c>
      <c r="G268" s="57" t="s">
        <v>9733</v>
      </c>
      <c r="H268" s="57" t="s">
        <v>9916</v>
      </c>
      <c r="I268" s="37" t="s">
        <v>50</v>
      </c>
      <c r="J268" s="57" t="s">
        <v>9917</v>
      </c>
      <c r="K268" s="57" t="s">
        <v>9511</v>
      </c>
    </row>
    <row r="269" customFormat="false" ht="21.75" hidden="false" customHeight="false" outlineLevel="0" collapsed="false">
      <c r="D269" s="62"/>
      <c r="E269" s="62"/>
      <c r="F269" s="62"/>
      <c r="G269" s="57" t="s">
        <v>9736</v>
      </c>
      <c r="H269" s="57" t="s">
        <v>3792</v>
      </c>
      <c r="I269" s="37"/>
      <c r="J269" s="57" t="s">
        <v>3792</v>
      </c>
      <c r="K269" s="57" t="s">
        <v>3792</v>
      </c>
    </row>
    <row r="270" customFormat="false" ht="66.85" hidden="false" customHeight="false" outlineLevel="0" collapsed="false">
      <c r="D270" s="0" t="s">
        <v>9737</v>
      </c>
      <c r="E270" s="0" t="s">
        <v>9738</v>
      </c>
      <c r="F270" s="0" t="s">
        <v>5334</v>
      </c>
      <c r="G270" s="57" t="s">
        <v>9739</v>
      </c>
      <c r="H270" s="57" t="s">
        <v>9918</v>
      </c>
      <c r="I270" s="34" t="s">
        <v>40</v>
      </c>
      <c r="J270" s="57" t="s">
        <v>9919</v>
      </c>
      <c r="K270" s="57" t="s">
        <v>9518</v>
      </c>
    </row>
    <row r="271" customFormat="false" ht="21.75" hidden="false" customHeight="false" outlineLevel="0" collapsed="false">
      <c r="C271" s="65"/>
      <c r="D271" s="65"/>
      <c r="E271" s="65"/>
      <c r="F271" s="65"/>
      <c r="G271" s="57" t="s">
        <v>9742</v>
      </c>
      <c r="H271" s="57" t="s">
        <v>3792</v>
      </c>
      <c r="I271" s="34"/>
      <c r="J271" s="57" t="s">
        <v>3792</v>
      </c>
      <c r="K271" s="57" t="s">
        <v>3792</v>
      </c>
    </row>
    <row r="272" customFormat="false" ht="55.95" hidden="false" customHeight="false" outlineLevel="0" collapsed="false">
      <c r="C272" s="57" t="s">
        <v>9743</v>
      </c>
      <c r="D272" s="0" t="s">
        <v>9744</v>
      </c>
      <c r="E272" s="0" t="s">
        <v>9745</v>
      </c>
      <c r="F272" s="0" t="s">
        <v>5342</v>
      </c>
      <c r="G272" s="57" t="s">
        <v>9920</v>
      </c>
      <c r="H272" s="57" t="s">
        <v>9921</v>
      </c>
      <c r="I272" s="39" t="s">
        <v>67</v>
      </c>
      <c r="J272" s="57" t="s">
        <v>9922</v>
      </c>
      <c r="K272" s="57" t="s">
        <v>9525</v>
      </c>
    </row>
    <row r="273" customFormat="false" ht="21.75" hidden="false" customHeight="false" outlineLevel="0" collapsed="false">
      <c r="D273" s="62"/>
      <c r="E273" s="62"/>
      <c r="F273" s="62"/>
      <c r="G273" s="57" t="s">
        <v>9923</v>
      </c>
      <c r="H273" s="57" t="s">
        <v>3792</v>
      </c>
      <c r="I273" s="39"/>
      <c r="J273" s="57" t="s">
        <v>3792</v>
      </c>
      <c r="K273" s="57" t="s">
        <v>3792</v>
      </c>
    </row>
    <row r="274" customFormat="false" ht="55.95" hidden="false" customHeight="false" outlineLevel="0" collapsed="false">
      <c r="D274" s="0" t="s">
        <v>9748</v>
      </c>
      <c r="E274" s="0" t="s">
        <v>9749</v>
      </c>
      <c r="F274" s="0" t="s">
        <v>5334</v>
      </c>
      <c r="G274" s="57" t="s">
        <v>9750</v>
      </c>
      <c r="H274" s="57" t="s">
        <v>9924</v>
      </c>
      <c r="I274" s="34" t="s">
        <v>40</v>
      </c>
      <c r="J274" s="57" t="s">
        <v>9925</v>
      </c>
      <c r="K274" s="57" t="s">
        <v>9532</v>
      </c>
    </row>
    <row r="275" customFormat="false" ht="21.75" hidden="false" customHeight="false" outlineLevel="0" collapsed="false">
      <c r="D275" s="62"/>
      <c r="E275" s="62"/>
      <c r="F275" s="62"/>
      <c r="G275" s="57" t="s">
        <v>9753</v>
      </c>
      <c r="H275" s="57" t="s">
        <v>3792</v>
      </c>
      <c r="I275" s="34"/>
      <c r="J275" s="57" t="s">
        <v>3792</v>
      </c>
      <c r="K275" s="57" t="s">
        <v>3792</v>
      </c>
    </row>
    <row r="276" customFormat="false" ht="77.7" hidden="false" customHeight="false" outlineLevel="0" collapsed="false">
      <c r="D276" s="0" t="s">
        <v>9754</v>
      </c>
      <c r="E276" s="0" t="s">
        <v>9926</v>
      </c>
      <c r="F276" s="0" t="s">
        <v>5342</v>
      </c>
      <c r="G276" s="57" t="s">
        <v>9756</v>
      </c>
      <c r="H276" s="57" t="s">
        <v>9927</v>
      </c>
      <c r="I276" s="37" t="s">
        <v>50</v>
      </c>
      <c r="J276" s="57" t="s">
        <v>9928</v>
      </c>
      <c r="K276" s="57" t="s">
        <v>9539</v>
      </c>
    </row>
    <row r="277" customFormat="false" ht="21.75" hidden="false" customHeight="false" outlineLevel="0" collapsed="false">
      <c r="D277" s="62"/>
      <c r="E277" s="62"/>
      <c r="F277" s="62"/>
      <c r="G277" s="57" t="s">
        <v>9759</v>
      </c>
      <c r="H277" s="57" t="s">
        <v>3792</v>
      </c>
      <c r="I277" s="37"/>
      <c r="J277" s="57" t="s">
        <v>3792</v>
      </c>
      <c r="K277" s="57" t="s">
        <v>3792</v>
      </c>
    </row>
    <row r="278" customFormat="false" ht="66.85" hidden="false" customHeight="false" outlineLevel="0" collapsed="false">
      <c r="D278" s="0" t="s">
        <v>9760</v>
      </c>
      <c r="E278" s="0" t="s">
        <v>9929</v>
      </c>
      <c r="F278" s="0" t="s">
        <v>5334</v>
      </c>
      <c r="G278" s="57" t="s">
        <v>9762</v>
      </c>
      <c r="H278" s="57" t="s">
        <v>9930</v>
      </c>
      <c r="I278" s="34" t="s">
        <v>40</v>
      </c>
      <c r="J278" s="57" t="s">
        <v>9931</v>
      </c>
      <c r="K278" s="57" t="s">
        <v>9547</v>
      </c>
    </row>
    <row r="279" customFormat="false" ht="45.05" hidden="false" customHeight="false" outlineLevel="0" collapsed="false">
      <c r="D279" s="62"/>
      <c r="E279" s="62"/>
      <c r="F279" s="62"/>
      <c r="G279" s="57" t="s">
        <v>9765</v>
      </c>
      <c r="H279" s="57" t="s">
        <v>3792</v>
      </c>
      <c r="I279" s="34"/>
      <c r="J279" s="57" t="s">
        <v>3792</v>
      </c>
      <c r="K279" s="57" t="s">
        <v>3792</v>
      </c>
    </row>
    <row r="280" customFormat="false" ht="77.7" hidden="false" customHeight="false" outlineLevel="0" collapsed="false">
      <c r="D280" s="0" t="s">
        <v>9766</v>
      </c>
      <c r="E280" s="0" t="s">
        <v>9932</v>
      </c>
      <c r="F280" s="0" t="s">
        <v>5342</v>
      </c>
      <c r="G280" s="57" t="s">
        <v>9768</v>
      </c>
      <c r="H280" s="57" t="s">
        <v>9933</v>
      </c>
      <c r="I280" s="39" t="s">
        <v>67</v>
      </c>
      <c r="J280" s="57" t="s">
        <v>9934</v>
      </c>
      <c r="K280" s="57" t="s">
        <v>9554</v>
      </c>
    </row>
    <row r="281" customFormat="false" ht="45.05" hidden="false" customHeight="false" outlineLevel="0" collapsed="false">
      <c r="B281" s="69"/>
      <c r="C281" s="69"/>
      <c r="D281" s="69"/>
      <c r="E281" s="69"/>
      <c r="F281" s="69"/>
      <c r="G281" s="57" t="s">
        <v>9771</v>
      </c>
      <c r="H281" s="57" t="s">
        <v>3792</v>
      </c>
      <c r="I281" s="39"/>
      <c r="J281" s="57" t="s">
        <v>3792</v>
      </c>
      <c r="K281" s="57" t="s">
        <v>3792</v>
      </c>
    </row>
    <row r="282" customFormat="false" ht="77.7" hidden="false" customHeight="false" outlineLevel="0" collapsed="false">
      <c r="B282" s="0" t="s">
        <v>9935</v>
      </c>
      <c r="C282" s="57" t="s">
        <v>9936</v>
      </c>
      <c r="D282" s="0" t="s">
        <v>9937</v>
      </c>
      <c r="E282" s="0" t="s">
        <v>9938</v>
      </c>
      <c r="F282" s="0" t="s">
        <v>5334</v>
      </c>
      <c r="G282" s="57" t="s">
        <v>9773</v>
      </c>
      <c r="H282" s="57" t="s">
        <v>9939</v>
      </c>
      <c r="I282" s="34" t="s">
        <v>40</v>
      </c>
      <c r="J282" s="57" t="s">
        <v>9940</v>
      </c>
      <c r="K282" s="57" t="s">
        <v>9561</v>
      </c>
    </row>
    <row r="283" customFormat="false" ht="21.75" hidden="false" customHeight="false" outlineLevel="0" collapsed="false">
      <c r="D283" s="62"/>
      <c r="E283" s="62"/>
      <c r="F283" s="62"/>
      <c r="G283" s="57" t="s">
        <v>9775</v>
      </c>
      <c r="H283" s="57" t="s">
        <v>3792</v>
      </c>
      <c r="I283" s="34"/>
      <c r="J283" s="57" t="s">
        <v>3792</v>
      </c>
      <c r="K283" s="57" t="s">
        <v>3792</v>
      </c>
    </row>
    <row r="284" customFormat="false" ht="77.7" hidden="false" customHeight="false" outlineLevel="0" collapsed="false">
      <c r="D284" s="0" t="s">
        <v>9941</v>
      </c>
      <c r="E284" s="0" t="s">
        <v>9942</v>
      </c>
      <c r="F284" s="0" t="s">
        <v>5334</v>
      </c>
      <c r="G284" s="57" t="s">
        <v>9777</v>
      </c>
      <c r="H284" s="57" t="s">
        <v>9943</v>
      </c>
      <c r="I284" s="37" t="s">
        <v>50</v>
      </c>
      <c r="J284" s="57" t="s">
        <v>9944</v>
      </c>
      <c r="K284" s="57" t="s">
        <v>9568</v>
      </c>
    </row>
    <row r="285" customFormat="false" ht="21.75" hidden="false" customHeight="false" outlineLevel="0" collapsed="false">
      <c r="D285" s="62"/>
      <c r="E285" s="62"/>
      <c r="F285" s="62"/>
      <c r="G285" s="57" t="s">
        <v>9779</v>
      </c>
      <c r="H285" s="57" t="s">
        <v>3792</v>
      </c>
      <c r="I285" s="37"/>
      <c r="J285" s="57" t="s">
        <v>3792</v>
      </c>
      <c r="K285" s="57" t="s">
        <v>3792</v>
      </c>
    </row>
    <row r="286" customFormat="false" ht="77.7" hidden="false" customHeight="false" outlineLevel="0" collapsed="false">
      <c r="D286" s="0" t="s">
        <v>9945</v>
      </c>
      <c r="E286" s="0" t="s">
        <v>9946</v>
      </c>
      <c r="F286" s="0" t="s">
        <v>5334</v>
      </c>
      <c r="G286" s="57" t="s">
        <v>9947</v>
      </c>
      <c r="H286" s="57" t="s">
        <v>9948</v>
      </c>
      <c r="I286" s="34" t="s">
        <v>40</v>
      </c>
      <c r="J286" s="57" t="s">
        <v>9949</v>
      </c>
      <c r="K286" s="57" t="s">
        <v>9575</v>
      </c>
    </row>
    <row r="287" customFormat="false" ht="45.05" hidden="false" customHeight="false" outlineLevel="0" collapsed="false">
      <c r="D287" s="62"/>
      <c r="E287" s="62"/>
      <c r="F287" s="62"/>
      <c r="G287" s="57" t="s">
        <v>9950</v>
      </c>
      <c r="H287" s="57" t="s">
        <v>3792</v>
      </c>
      <c r="I287" s="34"/>
      <c r="J287" s="57" t="s">
        <v>3792</v>
      </c>
      <c r="K287" s="57" t="s">
        <v>3792</v>
      </c>
    </row>
    <row r="288" customFormat="false" ht="77.7" hidden="false" customHeight="false" outlineLevel="0" collapsed="false">
      <c r="D288" s="0" t="s">
        <v>9951</v>
      </c>
      <c r="E288" s="0" t="s">
        <v>9952</v>
      </c>
      <c r="F288" s="0" t="s">
        <v>5342</v>
      </c>
      <c r="G288" s="57" t="s">
        <v>9947</v>
      </c>
      <c r="H288" s="57" t="s">
        <v>9953</v>
      </c>
      <c r="I288" s="39" t="s">
        <v>67</v>
      </c>
      <c r="J288" s="57" t="s">
        <v>9954</v>
      </c>
      <c r="K288" s="57" t="s">
        <v>9583</v>
      </c>
    </row>
    <row r="289" customFormat="false" ht="45.05" hidden="false" customHeight="false" outlineLevel="0" collapsed="false">
      <c r="D289" s="62"/>
      <c r="E289" s="62"/>
      <c r="F289" s="62"/>
      <c r="G289" s="57" t="s">
        <v>9950</v>
      </c>
      <c r="H289" s="57" t="s">
        <v>3792</v>
      </c>
      <c r="I289" s="39"/>
      <c r="J289" s="57" t="s">
        <v>3792</v>
      </c>
      <c r="K289" s="57" t="s">
        <v>3792</v>
      </c>
    </row>
    <row r="290" customFormat="false" ht="90.15" hidden="false" customHeight="false" outlineLevel="0" collapsed="false">
      <c r="C290" s="72"/>
      <c r="D290" s="47" t="s">
        <v>9955</v>
      </c>
      <c r="E290" s="47" t="s">
        <v>9956</v>
      </c>
      <c r="F290" s="47" t="s">
        <v>5342</v>
      </c>
      <c r="G290" s="57" t="s">
        <v>9957</v>
      </c>
      <c r="H290" s="57" t="s">
        <v>9958</v>
      </c>
      <c r="I290" s="34" t="s">
        <v>40</v>
      </c>
      <c r="J290" s="57" t="s">
        <v>9959</v>
      </c>
      <c r="K290" s="57" t="s">
        <v>9590</v>
      </c>
    </row>
    <row r="291" customFormat="false" ht="45.05" hidden="false" customHeight="false" outlineLevel="0" collapsed="false">
      <c r="C291" s="65"/>
      <c r="D291" s="65"/>
      <c r="E291" s="65"/>
      <c r="F291" s="65"/>
      <c r="G291" s="57" t="s">
        <v>9960</v>
      </c>
      <c r="H291" s="57" t="s">
        <v>3792</v>
      </c>
      <c r="I291" s="34"/>
      <c r="J291" s="57" t="s">
        <v>3792</v>
      </c>
      <c r="K291" s="57" t="s">
        <v>3792</v>
      </c>
    </row>
    <row r="292" customFormat="false" ht="77.7" hidden="false" customHeight="false" outlineLevel="0" collapsed="false">
      <c r="C292" s="57" t="s">
        <v>9961</v>
      </c>
      <c r="D292" s="0" t="s">
        <v>9962</v>
      </c>
      <c r="E292" s="0" t="s">
        <v>9963</v>
      </c>
      <c r="F292" s="0" t="s">
        <v>5334</v>
      </c>
      <c r="G292" s="57" t="s">
        <v>9964</v>
      </c>
      <c r="H292" s="57" t="s">
        <v>9965</v>
      </c>
      <c r="I292" s="37" t="s">
        <v>50</v>
      </c>
      <c r="J292" s="57" t="s">
        <v>9966</v>
      </c>
      <c r="K292" s="57" t="s">
        <v>9597</v>
      </c>
    </row>
    <row r="293" customFormat="false" ht="21.75" hidden="false" customHeight="false" outlineLevel="0" collapsed="false">
      <c r="D293" s="62"/>
      <c r="E293" s="62"/>
      <c r="F293" s="62"/>
      <c r="G293" s="57" t="s">
        <v>9967</v>
      </c>
      <c r="H293" s="57" t="s">
        <v>3792</v>
      </c>
      <c r="I293" s="37"/>
      <c r="J293" s="57" t="s">
        <v>3792</v>
      </c>
      <c r="K293" s="57" t="s">
        <v>3792</v>
      </c>
    </row>
    <row r="294" customFormat="false" ht="77.7" hidden="false" customHeight="false" outlineLevel="0" collapsed="false">
      <c r="D294" s="0" t="s">
        <v>9968</v>
      </c>
      <c r="E294" s="0" t="s">
        <v>9969</v>
      </c>
      <c r="F294" s="0" t="s">
        <v>5342</v>
      </c>
      <c r="G294" s="57" t="s">
        <v>9970</v>
      </c>
      <c r="H294" s="57" t="s">
        <v>9971</v>
      </c>
      <c r="I294" s="34" t="s">
        <v>40</v>
      </c>
      <c r="J294" s="57" t="s">
        <v>9972</v>
      </c>
      <c r="K294" s="57" t="s">
        <v>9604</v>
      </c>
    </row>
    <row r="295" customFormat="false" ht="21.75" hidden="false" customHeight="false" outlineLevel="0" collapsed="false">
      <c r="D295" s="62"/>
      <c r="E295" s="62"/>
      <c r="F295" s="62"/>
      <c r="G295" s="57" t="s">
        <v>9973</v>
      </c>
      <c r="H295" s="57" t="s">
        <v>3792</v>
      </c>
      <c r="I295" s="34"/>
      <c r="J295" s="62"/>
      <c r="K295" s="57" t="s">
        <v>3792</v>
      </c>
    </row>
    <row r="296" customFormat="false" ht="111.9" hidden="false" customHeight="false" outlineLevel="0" collapsed="false">
      <c r="D296" s="0" t="s">
        <v>9974</v>
      </c>
      <c r="E296" s="0" t="s">
        <v>9975</v>
      </c>
      <c r="F296" s="0" t="s">
        <v>5342</v>
      </c>
      <c r="G296" s="57" t="s">
        <v>9976</v>
      </c>
      <c r="H296" s="57" t="s">
        <v>9977</v>
      </c>
      <c r="I296" s="39" t="s">
        <v>67</v>
      </c>
      <c r="J296" s="57" t="s">
        <v>9978</v>
      </c>
      <c r="K296" s="57" t="s">
        <v>9611</v>
      </c>
    </row>
    <row r="297" customFormat="false" ht="34.2" hidden="false" customHeight="false" outlineLevel="0" collapsed="false">
      <c r="D297" s="62"/>
      <c r="E297" s="62"/>
      <c r="F297" s="62"/>
      <c r="G297" s="57" t="s">
        <v>9979</v>
      </c>
      <c r="H297" s="57" t="s">
        <v>3792</v>
      </c>
      <c r="I297" s="39"/>
      <c r="J297" s="57" t="s">
        <v>3792</v>
      </c>
      <c r="K297" s="57" t="s">
        <v>3792</v>
      </c>
    </row>
    <row r="298" customFormat="false" ht="101.05" hidden="false" customHeight="false" outlineLevel="0" collapsed="false">
      <c r="D298" s="0" t="s">
        <v>9980</v>
      </c>
      <c r="E298" s="0" t="s">
        <v>9981</v>
      </c>
      <c r="F298" s="0" t="s">
        <v>5334</v>
      </c>
      <c r="G298" s="57" t="s">
        <v>9982</v>
      </c>
      <c r="H298" s="57" t="s">
        <v>9983</v>
      </c>
      <c r="I298" s="34" t="s">
        <v>40</v>
      </c>
      <c r="J298" s="57" t="s">
        <v>9984</v>
      </c>
      <c r="K298" s="57" t="s">
        <v>9619</v>
      </c>
    </row>
    <row r="299" customFormat="false" ht="34.2" hidden="false" customHeight="false" outlineLevel="0" collapsed="false">
      <c r="D299" s="62"/>
      <c r="E299" s="62"/>
      <c r="F299" s="62"/>
      <c r="G299" s="57" t="s">
        <v>9985</v>
      </c>
      <c r="H299" s="57" t="s">
        <v>3792</v>
      </c>
      <c r="I299" s="34"/>
      <c r="J299" s="57" t="s">
        <v>3792</v>
      </c>
      <c r="K299" s="57" t="s">
        <v>3792</v>
      </c>
    </row>
    <row r="300" customFormat="false" ht="77.7" hidden="false" customHeight="false" outlineLevel="0" collapsed="false">
      <c r="D300" s="0" t="s">
        <v>9986</v>
      </c>
      <c r="E300" s="0" t="s">
        <v>9987</v>
      </c>
      <c r="F300" s="0" t="s">
        <v>5342</v>
      </c>
      <c r="G300" s="57" t="s">
        <v>9988</v>
      </c>
      <c r="H300" s="57" t="s">
        <v>9989</v>
      </c>
      <c r="I300" s="37" t="s">
        <v>50</v>
      </c>
      <c r="J300" s="57" t="s">
        <v>9990</v>
      </c>
      <c r="K300" s="57" t="s">
        <v>9626</v>
      </c>
    </row>
    <row r="301" customFormat="false" ht="21.75" hidden="false" customHeight="false" outlineLevel="0" collapsed="false">
      <c r="C301" s="65"/>
      <c r="D301" s="65"/>
      <c r="E301" s="65"/>
      <c r="F301" s="65"/>
      <c r="G301" s="57" t="s">
        <v>9991</v>
      </c>
      <c r="H301" s="57" t="s">
        <v>3792</v>
      </c>
      <c r="I301" s="37"/>
      <c r="J301" s="57" t="s">
        <v>3792</v>
      </c>
      <c r="K301" s="57" t="s">
        <v>3792</v>
      </c>
    </row>
    <row r="302" customFormat="false" ht="77.7" hidden="false" customHeight="false" outlineLevel="0" collapsed="false">
      <c r="C302" s="57" t="s">
        <v>9992</v>
      </c>
      <c r="D302" s="0" t="s">
        <v>9993</v>
      </c>
      <c r="E302" s="0" t="s">
        <v>9994</v>
      </c>
      <c r="F302" s="0" t="s">
        <v>5342</v>
      </c>
      <c r="G302" s="57" t="s">
        <v>9995</v>
      </c>
      <c r="H302" s="57" t="s">
        <v>9996</v>
      </c>
      <c r="I302" s="34" t="s">
        <v>40</v>
      </c>
      <c r="J302" s="57" t="s">
        <v>9997</v>
      </c>
      <c r="K302" s="57" t="s">
        <v>9633</v>
      </c>
    </row>
    <row r="303" customFormat="false" ht="34.2" hidden="false" customHeight="false" outlineLevel="0" collapsed="false">
      <c r="D303" s="62"/>
      <c r="E303" s="62"/>
      <c r="F303" s="62"/>
      <c r="G303" s="57" t="s">
        <v>9998</v>
      </c>
      <c r="H303" s="57" t="s">
        <v>3792</v>
      </c>
      <c r="I303" s="34"/>
      <c r="J303" s="57" t="s">
        <v>3792</v>
      </c>
      <c r="K303" s="57" t="s">
        <v>3792</v>
      </c>
    </row>
    <row r="304" customFormat="false" ht="90.15" hidden="false" customHeight="false" outlineLevel="0" collapsed="false">
      <c r="D304" s="0" t="s">
        <v>9999</v>
      </c>
      <c r="E304" s="0" t="s">
        <v>10000</v>
      </c>
      <c r="F304" s="0" t="s">
        <v>5334</v>
      </c>
      <c r="G304" s="57" t="s">
        <v>10001</v>
      </c>
      <c r="H304" s="57" t="s">
        <v>10002</v>
      </c>
      <c r="I304" s="39" t="s">
        <v>67</v>
      </c>
      <c r="J304" s="57" t="s">
        <v>10003</v>
      </c>
      <c r="K304" s="57" t="s">
        <v>9640</v>
      </c>
    </row>
    <row r="305" customFormat="false" ht="45.05" hidden="false" customHeight="false" outlineLevel="0" collapsed="false">
      <c r="D305" s="62"/>
      <c r="E305" s="62"/>
      <c r="F305" s="62"/>
      <c r="G305" s="57" t="s">
        <v>10004</v>
      </c>
      <c r="H305" s="57" t="s">
        <v>3792</v>
      </c>
      <c r="I305" s="39"/>
      <c r="J305" s="57" t="s">
        <v>3792</v>
      </c>
      <c r="K305" s="57" t="s">
        <v>3792</v>
      </c>
    </row>
    <row r="306" customFormat="false" ht="90.15" hidden="false" customHeight="false" outlineLevel="0" collapsed="false">
      <c r="D306" s="0" t="s">
        <v>10005</v>
      </c>
      <c r="E306" s="0" t="s">
        <v>10006</v>
      </c>
      <c r="F306" s="0" t="s">
        <v>5334</v>
      </c>
      <c r="G306" s="57" t="s">
        <v>10007</v>
      </c>
      <c r="H306" s="57" t="s">
        <v>10008</v>
      </c>
      <c r="I306" s="34" t="s">
        <v>40</v>
      </c>
      <c r="J306" s="57" t="s">
        <v>10009</v>
      </c>
      <c r="K306" s="57" t="s">
        <v>9647</v>
      </c>
    </row>
    <row r="307" customFormat="false" ht="21.75" hidden="false" customHeight="false" outlineLevel="0" collapsed="false">
      <c r="D307" s="62"/>
      <c r="E307" s="62"/>
      <c r="F307" s="62"/>
      <c r="G307" s="57" t="s">
        <v>10010</v>
      </c>
      <c r="H307" s="57" t="s">
        <v>3792</v>
      </c>
      <c r="I307" s="34"/>
      <c r="J307" s="57" t="s">
        <v>3792</v>
      </c>
      <c r="K307" s="57" t="s">
        <v>3792</v>
      </c>
    </row>
    <row r="308" customFormat="false" ht="101.05" hidden="false" customHeight="false" outlineLevel="0" collapsed="false">
      <c r="D308" s="0" t="s">
        <v>10011</v>
      </c>
      <c r="E308" s="0" t="s">
        <v>10012</v>
      </c>
      <c r="F308" s="0" t="s">
        <v>5334</v>
      </c>
      <c r="G308" s="57" t="s">
        <v>10013</v>
      </c>
      <c r="H308" s="57" t="s">
        <v>10014</v>
      </c>
      <c r="I308" s="37" t="s">
        <v>50</v>
      </c>
      <c r="J308" s="57" t="s">
        <v>10015</v>
      </c>
      <c r="K308" s="57" t="s">
        <v>9655</v>
      </c>
    </row>
    <row r="309" customFormat="false" ht="34.2" hidden="false" customHeight="false" outlineLevel="0" collapsed="false">
      <c r="D309" s="62"/>
      <c r="E309" s="62"/>
      <c r="F309" s="62"/>
      <c r="G309" s="57" t="s">
        <v>10016</v>
      </c>
      <c r="H309" s="57" t="s">
        <v>3792</v>
      </c>
      <c r="I309" s="37"/>
      <c r="J309" s="57" t="s">
        <v>3792</v>
      </c>
      <c r="K309" s="57" t="s">
        <v>3792</v>
      </c>
    </row>
    <row r="310" customFormat="false" ht="66.85" hidden="false" customHeight="false" outlineLevel="0" collapsed="false">
      <c r="D310" s="0" t="s">
        <v>10017</v>
      </c>
      <c r="E310" s="0" t="s">
        <v>10018</v>
      </c>
      <c r="F310" s="0" t="s">
        <v>5342</v>
      </c>
      <c r="G310" s="57" t="s">
        <v>10019</v>
      </c>
      <c r="H310" s="57" t="s">
        <v>10020</v>
      </c>
      <c r="I310" s="34" t="s">
        <v>40</v>
      </c>
      <c r="J310" s="57" t="s">
        <v>10021</v>
      </c>
      <c r="K310" s="57" t="s">
        <v>9661</v>
      </c>
    </row>
    <row r="311" customFormat="false" ht="34.2" hidden="false" customHeight="false" outlineLevel="0" collapsed="false">
      <c r="C311" s="65"/>
      <c r="D311" s="65"/>
      <c r="E311" s="65"/>
      <c r="F311" s="65"/>
      <c r="G311" s="57" t="s">
        <v>10022</v>
      </c>
      <c r="H311" s="57" t="s">
        <v>3792</v>
      </c>
      <c r="I311" s="34"/>
      <c r="J311" s="57" t="s">
        <v>3792</v>
      </c>
      <c r="K311" s="57" t="s">
        <v>3792</v>
      </c>
    </row>
    <row r="312" customFormat="false" ht="77.7" hidden="false" customHeight="false" outlineLevel="0" collapsed="false">
      <c r="C312" s="57" t="s">
        <v>10023</v>
      </c>
      <c r="D312" s="0" t="s">
        <v>10024</v>
      </c>
      <c r="E312" s="0" t="s">
        <v>10025</v>
      </c>
      <c r="F312" s="0" t="s">
        <v>5334</v>
      </c>
      <c r="G312" s="57" t="s">
        <v>10026</v>
      </c>
      <c r="H312" s="57" t="s">
        <v>10027</v>
      </c>
      <c r="I312" s="39" t="s">
        <v>67</v>
      </c>
      <c r="J312" s="57" t="s">
        <v>10028</v>
      </c>
      <c r="K312" s="57" t="s">
        <v>9667</v>
      </c>
    </row>
    <row r="313" customFormat="false" ht="21.75" hidden="false" customHeight="false" outlineLevel="0" collapsed="false">
      <c r="D313" s="62"/>
      <c r="E313" s="62"/>
      <c r="F313" s="62"/>
      <c r="G313" s="57" t="s">
        <v>10029</v>
      </c>
      <c r="H313" s="57" t="s">
        <v>3792</v>
      </c>
      <c r="I313" s="39"/>
      <c r="J313" s="57" t="s">
        <v>3792</v>
      </c>
      <c r="K313" s="62"/>
    </row>
    <row r="314" customFormat="false" ht="66.85" hidden="false" customHeight="false" outlineLevel="0" collapsed="false">
      <c r="D314" s="0" t="s">
        <v>10030</v>
      </c>
      <c r="E314" s="0" t="s">
        <v>10031</v>
      </c>
      <c r="F314" s="0" t="s">
        <v>5342</v>
      </c>
      <c r="G314" s="57" t="s">
        <v>10032</v>
      </c>
      <c r="H314" s="57" t="s">
        <v>10033</v>
      </c>
      <c r="I314" s="34" t="s">
        <v>40</v>
      </c>
      <c r="J314" s="57" t="s">
        <v>10034</v>
      </c>
      <c r="K314" s="57" t="s">
        <v>9085</v>
      </c>
    </row>
    <row r="315" customFormat="false" ht="66.85" hidden="false" customHeight="false" outlineLevel="0" collapsed="false">
      <c r="D315" s="62"/>
      <c r="E315" s="62"/>
      <c r="F315" s="62"/>
      <c r="G315" s="57" t="s">
        <v>10035</v>
      </c>
      <c r="H315" s="57" t="s">
        <v>3792</v>
      </c>
      <c r="I315" s="34"/>
      <c r="J315" s="57" t="s">
        <v>3792</v>
      </c>
      <c r="K315" s="57" t="s">
        <v>9087</v>
      </c>
    </row>
    <row r="316" customFormat="false" ht="90.15" hidden="false" customHeight="false" outlineLevel="0" collapsed="false">
      <c r="D316" s="0" t="s">
        <v>10036</v>
      </c>
      <c r="E316" s="0" t="s">
        <v>10037</v>
      </c>
      <c r="F316" s="0" t="s">
        <v>5342</v>
      </c>
      <c r="G316" s="57" t="s">
        <v>10038</v>
      </c>
      <c r="H316" s="57" t="s">
        <v>10039</v>
      </c>
      <c r="I316" s="37" t="s">
        <v>50</v>
      </c>
      <c r="J316" s="57" t="s">
        <v>10040</v>
      </c>
      <c r="K316" s="57" t="s">
        <v>9093</v>
      </c>
    </row>
    <row r="317" customFormat="false" ht="66.85" hidden="false" customHeight="false" outlineLevel="0" collapsed="false">
      <c r="D317" s="62"/>
      <c r="E317" s="62"/>
      <c r="F317" s="62"/>
      <c r="G317" s="57" t="s">
        <v>10041</v>
      </c>
      <c r="H317" s="57" t="s">
        <v>3792</v>
      </c>
      <c r="I317" s="37"/>
      <c r="J317" s="57" t="s">
        <v>3792</v>
      </c>
      <c r="K317" s="57" t="s">
        <v>9095</v>
      </c>
    </row>
    <row r="318" customFormat="false" ht="90.15" hidden="false" customHeight="false" outlineLevel="0" collapsed="false">
      <c r="D318" s="0" t="s">
        <v>10042</v>
      </c>
      <c r="E318" s="0" t="s">
        <v>10043</v>
      </c>
      <c r="F318" s="0" t="s">
        <v>5334</v>
      </c>
      <c r="G318" s="57" t="s">
        <v>10044</v>
      </c>
      <c r="H318" s="57" t="s">
        <v>10045</v>
      </c>
      <c r="I318" s="34" t="s">
        <v>40</v>
      </c>
      <c r="J318" s="57" t="s">
        <v>10046</v>
      </c>
      <c r="K318" s="57" t="s">
        <v>9101</v>
      </c>
    </row>
    <row r="319" customFormat="false" ht="55.95" hidden="false" customHeight="false" outlineLevel="0" collapsed="false">
      <c r="D319" s="62"/>
      <c r="E319" s="62"/>
      <c r="F319" s="62"/>
      <c r="G319" s="57" t="s">
        <v>10047</v>
      </c>
      <c r="H319" s="57" t="s">
        <v>3792</v>
      </c>
      <c r="I319" s="34"/>
      <c r="J319" s="57" t="s">
        <v>3792</v>
      </c>
      <c r="K319" s="57" t="s">
        <v>9103</v>
      </c>
    </row>
    <row r="320" customFormat="false" ht="90.15" hidden="false" customHeight="false" outlineLevel="0" collapsed="false">
      <c r="D320" s="0" t="s">
        <v>10048</v>
      </c>
      <c r="E320" s="0" t="s">
        <v>10049</v>
      </c>
      <c r="F320" s="0" t="s">
        <v>5334</v>
      </c>
      <c r="G320" s="57" t="s">
        <v>10050</v>
      </c>
      <c r="H320" s="57" t="s">
        <v>10051</v>
      </c>
      <c r="I320" s="39" t="s">
        <v>67</v>
      </c>
      <c r="J320" s="57" t="s">
        <v>10052</v>
      </c>
      <c r="K320" s="57" t="s">
        <v>9109</v>
      </c>
    </row>
    <row r="321" customFormat="false" ht="45.05" hidden="false" customHeight="false" outlineLevel="0" collapsed="false">
      <c r="C321" s="65"/>
      <c r="D321" s="65"/>
      <c r="E321" s="65"/>
      <c r="F321" s="65"/>
      <c r="G321" s="57" t="s">
        <v>10053</v>
      </c>
      <c r="H321" s="57" t="s">
        <v>3792</v>
      </c>
      <c r="I321" s="39"/>
      <c r="J321" s="57" t="s">
        <v>3792</v>
      </c>
      <c r="K321" s="57" t="s">
        <v>9111</v>
      </c>
    </row>
    <row r="322" customFormat="false" ht="77.7" hidden="false" customHeight="false" outlineLevel="0" collapsed="false">
      <c r="C322" s="57" t="s">
        <v>10054</v>
      </c>
      <c r="D322" s="0" t="s">
        <v>10055</v>
      </c>
      <c r="E322" s="0" t="s">
        <v>10056</v>
      </c>
      <c r="F322" s="0" t="s">
        <v>5342</v>
      </c>
      <c r="G322" s="57" t="s">
        <v>10057</v>
      </c>
      <c r="H322" s="57" t="s">
        <v>10058</v>
      </c>
      <c r="I322" s="34" t="s">
        <v>40</v>
      </c>
      <c r="J322" s="57" t="s">
        <v>10059</v>
      </c>
      <c r="K322" s="57" t="s">
        <v>9117</v>
      </c>
    </row>
    <row r="323" customFormat="false" ht="55.95" hidden="false" customHeight="false" outlineLevel="0" collapsed="false">
      <c r="D323" s="62"/>
      <c r="E323" s="62"/>
      <c r="F323" s="62"/>
      <c r="G323" s="57" t="s">
        <v>10060</v>
      </c>
      <c r="H323" s="57" t="s">
        <v>3792</v>
      </c>
      <c r="I323" s="34"/>
      <c r="J323" s="57" t="s">
        <v>3792</v>
      </c>
      <c r="K323" s="57" t="s">
        <v>9119</v>
      </c>
    </row>
    <row r="324" customFormat="false" ht="77.7" hidden="false" customHeight="false" outlineLevel="0" collapsed="false">
      <c r="D324" s="0" t="s">
        <v>10061</v>
      </c>
      <c r="E324" s="0" t="s">
        <v>10062</v>
      </c>
      <c r="F324" s="0" t="s">
        <v>5342</v>
      </c>
      <c r="G324" s="57" t="s">
        <v>10063</v>
      </c>
      <c r="H324" s="57" t="s">
        <v>10064</v>
      </c>
      <c r="I324" s="37" t="s">
        <v>50</v>
      </c>
      <c r="J324" s="57" t="s">
        <v>10065</v>
      </c>
      <c r="K324" s="57" t="s">
        <v>9126</v>
      </c>
    </row>
    <row r="325" customFormat="false" ht="55.95" hidden="false" customHeight="false" outlineLevel="0" collapsed="false">
      <c r="D325" s="62"/>
      <c r="E325" s="62"/>
      <c r="F325" s="62"/>
      <c r="G325" s="57" t="s">
        <v>10066</v>
      </c>
      <c r="H325" s="57" t="s">
        <v>3792</v>
      </c>
      <c r="I325" s="37"/>
      <c r="J325" s="57" t="s">
        <v>3792</v>
      </c>
      <c r="K325" s="57" t="s">
        <v>9128</v>
      </c>
    </row>
    <row r="326" customFormat="false" ht="90.15" hidden="false" customHeight="false" outlineLevel="0" collapsed="false">
      <c r="D326" s="0" t="s">
        <v>10067</v>
      </c>
      <c r="E326" s="0" t="s">
        <v>10068</v>
      </c>
      <c r="F326" s="0" t="s">
        <v>5334</v>
      </c>
      <c r="G326" s="57" t="s">
        <v>10069</v>
      </c>
      <c r="H326" s="57" t="s">
        <v>10070</v>
      </c>
      <c r="I326" s="34" t="s">
        <v>40</v>
      </c>
      <c r="J326" s="57" t="s">
        <v>10071</v>
      </c>
      <c r="K326" s="57" t="s">
        <v>9134</v>
      </c>
    </row>
    <row r="327" customFormat="false" ht="55.95" hidden="false" customHeight="false" outlineLevel="0" collapsed="false">
      <c r="D327" s="62"/>
      <c r="E327" s="62"/>
      <c r="F327" s="62"/>
      <c r="G327" s="57" t="s">
        <v>10072</v>
      </c>
      <c r="H327" s="57" t="s">
        <v>3792</v>
      </c>
      <c r="I327" s="34"/>
      <c r="J327" s="57" t="s">
        <v>3792</v>
      </c>
      <c r="K327" s="57" t="s">
        <v>9136</v>
      </c>
    </row>
    <row r="328" customFormat="false" ht="77.7" hidden="false" customHeight="false" outlineLevel="0" collapsed="false">
      <c r="D328" s="0" t="s">
        <v>10073</v>
      </c>
      <c r="E328" s="0" t="s">
        <v>10074</v>
      </c>
      <c r="F328" s="0" t="s">
        <v>5334</v>
      </c>
      <c r="G328" s="57" t="s">
        <v>10075</v>
      </c>
      <c r="H328" s="57" t="s">
        <v>10076</v>
      </c>
      <c r="I328" s="39" t="s">
        <v>67</v>
      </c>
      <c r="J328" s="57" t="s">
        <v>10077</v>
      </c>
      <c r="K328" s="57" t="s">
        <v>9142</v>
      </c>
    </row>
    <row r="329" customFormat="false" ht="45.05" hidden="false" customHeight="false" outlineLevel="0" collapsed="false">
      <c r="D329" s="62"/>
      <c r="E329" s="62"/>
      <c r="F329" s="62"/>
      <c r="G329" s="57" t="s">
        <v>10078</v>
      </c>
      <c r="H329" s="57" t="s">
        <v>3792</v>
      </c>
      <c r="I329" s="39"/>
      <c r="J329" s="57" t="s">
        <v>3792</v>
      </c>
      <c r="K329" s="57" t="s">
        <v>9144</v>
      </c>
    </row>
    <row r="330" customFormat="false" ht="77.7" hidden="false" customHeight="false" outlineLevel="0" collapsed="false">
      <c r="D330" s="0" t="s">
        <v>10079</v>
      </c>
      <c r="E330" s="0" t="s">
        <v>10080</v>
      </c>
      <c r="F330" s="0" t="s">
        <v>5342</v>
      </c>
      <c r="G330" s="73" t="s">
        <v>10081</v>
      </c>
      <c r="H330" s="57" t="s">
        <v>10082</v>
      </c>
      <c r="I330" s="34" t="s">
        <v>40</v>
      </c>
      <c r="J330" s="57" t="s">
        <v>10083</v>
      </c>
      <c r="K330" s="57" t="s">
        <v>9150</v>
      </c>
    </row>
    <row r="331" customFormat="false" ht="45.05" hidden="false" customHeight="false" outlineLevel="0" collapsed="false">
      <c r="C331" s="65"/>
      <c r="D331" s="65"/>
      <c r="E331" s="65"/>
      <c r="F331" s="65"/>
      <c r="G331" s="57" t="s">
        <v>10084</v>
      </c>
      <c r="H331" s="57" t="s">
        <v>3792</v>
      </c>
      <c r="I331" s="34"/>
      <c r="J331" s="57" t="s">
        <v>3792</v>
      </c>
      <c r="K331" s="57" t="s">
        <v>9152</v>
      </c>
    </row>
    <row r="332" customFormat="false" ht="101.05" hidden="false" customHeight="false" outlineLevel="0" collapsed="false">
      <c r="C332" s="57" t="s">
        <v>10085</v>
      </c>
      <c r="D332" s="0" t="s">
        <v>10086</v>
      </c>
      <c r="E332" s="0" t="s">
        <v>10087</v>
      </c>
      <c r="F332" s="0" t="s">
        <v>5342</v>
      </c>
      <c r="G332" s="57" t="s">
        <v>10088</v>
      </c>
      <c r="H332" s="57" t="s">
        <v>10089</v>
      </c>
      <c r="I332" s="37" t="s">
        <v>50</v>
      </c>
      <c r="J332" s="57" t="s">
        <v>10090</v>
      </c>
      <c r="K332" s="57" t="s">
        <v>9158</v>
      </c>
    </row>
    <row r="333" customFormat="false" ht="55.95" hidden="false" customHeight="false" outlineLevel="0" collapsed="false">
      <c r="D333" s="62"/>
      <c r="E333" s="62"/>
      <c r="F333" s="62"/>
      <c r="G333" s="57" t="s">
        <v>10091</v>
      </c>
      <c r="H333" s="57" t="s">
        <v>3792</v>
      </c>
      <c r="I333" s="37"/>
      <c r="J333" s="57" t="s">
        <v>3792</v>
      </c>
      <c r="K333" s="57" t="s">
        <v>9160</v>
      </c>
    </row>
    <row r="334" customFormat="false" ht="77.7" hidden="false" customHeight="false" outlineLevel="0" collapsed="false">
      <c r="D334" s="0" t="s">
        <v>10092</v>
      </c>
      <c r="E334" s="0" t="s">
        <v>10093</v>
      </c>
      <c r="F334" s="0" t="s">
        <v>5334</v>
      </c>
      <c r="G334" s="57" t="s">
        <v>10094</v>
      </c>
      <c r="H334" s="57" t="s">
        <v>10095</v>
      </c>
      <c r="I334" s="34" t="s">
        <v>40</v>
      </c>
      <c r="J334" s="57" t="s">
        <v>10096</v>
      </c>
      <c r="K334" s="57" t="s">
        <v>9167</v>
      </c>
    </row>
    <row r="335" customFormat="false" ht="55.95" hidden="false" customHeight="false" outlineLevel="0" collapsed="false">
      <c r="D335" s="62"/>
      <c r="E335" s="62"/>
      <c r="F335" s="62"/>
      <c r="G335" s="57" t="s">
        <v>10097</v>
      </c>
      <c r="H335" s="57" t="s">
        <v>3792</v>
      </c>
      <c r="I335" s="34"/>
      <c r="J335" s="57" t="s">
        <v>3792</v>
      </c>
      <c r="K335" s="57" t="s">
        <v>9169</v>
      </c>
    </row>
    <row r="336" customFormat="false" ht="101.05" hidden="false" customHeight="false" outlineLevel="0" collapsed="false">
      <c r="D336" s="0" t="s">
        <v>10098</v>
      </c>
      <c r="E336" s="0" t="s">
        <v>10099</v>
      </c>
      <c r="F336" s="0" t="s">
        <v>5342</v>
      </c>
      <c r="G336" s="57" t="s">
        <v>10100</v>
      </c>
      <c r="H336" s="57" t="s">
        <v>10101</v>
      </c>
      <c r="I336" s="39" t="s">
        <v>67</v>
      </c>
      <c r="J336" s="57" t="s">
        <v>10102</v>
      </c>
      <c r="K336" s="57" t="s">
        <v>9175</v>
      </c>
    </row>
    <row r="337" customFormat="false" ht="45.05" hidden="false" customHeight="false" outlineLevel="0" collapsed="false">
      <c r="D337" s="62"/>
      <c r="E337" s="62"/>
      <c r="F337" s="62"/>
      <c r="G337" s="57" t="s">
        <v>10103</v>
      </c>
      <c r="H337" s="57" t="s">
        <v>3792</v>
      </c>
      <c r="I337" s="39"/>
      <c r="J337" s="57" t="s">
        <v>3792</v>
      </c>
      <c r="K337" s="57" t="s">
        <v>9177</v>
      </c>
    </row>
    <row r="338" customFormat="false" ht="66.85" hidden="false" customHeight="false" outlineLevel="0" collapsed="false">
      <c r="D338" s="0" t="s">
        <v>10104</v>
      </c>
      <c r="E338" s="0" t="s">
        <v>10105</v>
      </c>
      <c r="F338" s="0" t="s">
        <v>5334</v>
      </c>
      <c r="G338" s="57" t="s">
        <v>10106</v>
      </c>
      <c r="H338" s="57" t="s">
        <v>10107</v>
      </c>
      <c r="I338" s="34" t="s">
        <v>40</v>
      </c>
      <c r="J338" s="57" t="s">
        <v>10108</v>
      </c>
      <c r="K338" s="57" t="s">
        <v>9183</v>
      </c>
    </row>
    <row r="339" customFormat="false" ht="34.2" hidden="false" customHeight="false" outlineLevel="0" collapsed="false">
      <c r="D339" s="62"/>
      <c r="E339" s="62"/>
      <c r="F339" s="62"/>
      <c r="G339" s="57" t="s">
        <v>10109</v>
      </c>
      <c r="H339" s="57" t="s">
        <v>3792</v>
      </c>
      <c r="I339" s="34"/>
      <c r="J339" s="57" t="s">
        <v>3792</v>
      </c>
      <c r="K339" s="57" t="s">
        <v>9185</v>
      </c>
    </row>
    <row r="340" customFormat="false" ht="77.7" hidden="false" customHeight="false" outlineLevel="0" collapsed="false">
      <c r="D340" s="0" t="s">
        <v>10110</v>
      </c>
      <c r="E340" s="0" t="s">
        <v>10111</v>
      </c>
      <c r="F340" s="0" t="s">
        <v>5342</v>
      </c>
      <c r="G340" s="57" t="s">
        <v>10112</v>
      </c>
      <c r="H340" s="57" t="s">
        <v>10113</v>
      </c>
      <c r="I340" s="37" t="s">
        <v>50</v>
      </c>
      <c r="J340" s="57" t="s">
        <v>10114</v>
      </c>
      <c r="K340" s="57" t="s">
        <v>9191</v>
      </c>
    </row>
    <row r="341" customFormat="false" ht="34.2" hidden="false" customHeight="false" outlineLevel="0" collapsed="false">
      <c r="C341" s="65"/>
      <c r="D341" s="65"/>
      <c r="E341" s="65"/>
      <c r="F341" s="65"/>
      <c r="G341" s="57" t="s">
        <v>10115</v>
      </c>
      <c r="H341" s="57" t="s">
        <v>3792</v>
      </c>
      <c r="I341" s="37"/>
      <c r="J341" s="57" t="s">
        <v>3792</v>
      </c>
      <c r="K341" s="57" t="s">
        <v>9193</v>
      </c>
    </row>
    <row r="342" customFormat="false" ht="77.7" hidden="false" customHeight="false" outlineLevel="0" collapsed="false">
      <c r="C342" s="57" t="s">
        <v>10116</v>
      </c>
      <c r="D342" s="0" t="s">
        <v>10117</v>
      </c>
      <c r="E342" s="0" t="s">
        <v>10118</v>
      </c>
      <c r="F342" s="0" t="s">
        <v>5334</v>
      </c>
      <c r="G342" s="57" t="s">
        <v>10119</v>
      </c>
      <c r="H342" s="57" t="s">
        <v>10120</v>
      </c>
      <c r="I342" s="34" t="s">
        <v>40</v>
      </c>
      <c r="J342" s="57" t="s">
        <v>10121</v>
      </c>
      <c r="K342" s="57" t="s">
        <v>9199</v>
      </c>
    </row>
    <row r="343" customFormat="false" ht="34.2" hidden="false" customHeight="false" outlineLevel="0" collapsed="false">
      <c r="D343" s="62"/>
      <c r="E343" s="62"/>
      <c r="F343" s="62"/>
      <c r="G343" s="57" t="s">
        <v>10122</v>
      </c>
      <c r="H343" s="57" t="s">
        <v>3792</v>
      </c>
      <c r="I343" s="34"/>
      <c r="J343" s="57" t="s">
        <v>3792</v>
      </c>
      <c r="K343" s="57" t="s">
        <v>9201</v>
      </c>
    </row>
    <row r="344" customFormat="false" ht="101.05" hidden="false" customHeight="false" outlineLevel="0" collapsed="false">
      <c r="D344" s="0" t="s">
        <v>10123</v>
      </c>
      <c r="E344" s="0" t="s">
        <v>10124</v>
      </c>
      <c r="F344" s="0" t="s">
        <v>5334</v>
      </c>
      <c r="G344" s="57" t="s">
        <v>10125</v>
      </c>
      <c r="H344" s="57" t="s">
        <v>10126</v>
      </c>
      <c r="I344" s="39" t="s">
        <v>67</v>
      </c>
      <c r="J344" s="57" t="s">
        <v>10127</v>
      </c>
      <c r="K344" s="57" t="s">
        <v>9208</v>
      </c>
    </row>
    <row r="345" customFormat="false" ht="34.2" hidden="false" customHeight="false" outlineLevel="0" collapsed="false">
      <c r="D345" s="62"/>
      <c r="E345" s="62"/>
      <c r="F345" s="62"/>
      <c r="G345" s="57" t="s">
        <v>10128</v>
      </c>
      <c r="H345" s="57" t="s">
        <v>3792</v>
      </c>
      <c r="I345" s="39"/>
      <c r="J345" s="57" t="s">
        <v>3792</v>
      </c>
      <c r="K345" s="57" t="s">
        <v>9210</v>
      </c>
    </row>
    <row r="346" customFormat="false" ht="77.7" hidden="false" customHeight="false" outlineLevel="0" collapsed="false">
      <c r="D346" s="0" t="s">
        <v>10129</v>
      </c>
      <c r="E346" s="0" t="s">
        <v>10130</v>
      </c>
      <c r="F346" s="0" t="s">
        <v>5342</v>
      </c>
      <c r="G346" s="57" t="s">
        <v>10131</v>
      </c>
      <c r="H346" s="57" t="s">
        <v>10132</v>
      </c>
      <c r="I346" s="34" t="s">
        <v>40</v>
      </c>
      <c r="J346" s="57" t="s">
        <v>10133</v>
      </c>
      <c r="K346" s="57" t="s">
        <v>9216</v>
      </c>
    </row>
    <row r="347" customFormat="false" ht="45.05" hidden="false" customHeight="false" outlineLevel="0" collapsed="false">
      <c r="D347" s="62"/>
      <c r="E347" s="62"/>
      <c r="F347" s="62"/>
      <c r="G347" s="57" t="s">
        <v>10134</v>
      </c>
      <c r="H347" s="57" t="s">
        <v>3792</v>
      </c>
      <c r="I347" s="34"/>
      <c r="J347" s="57" t="s">
        <v>3792</v>
      </c>
      <c r="K347" s="57" t="s">
        <v>9218</v>
      </c>
    </row>
    <row r="348" customFormat="false" ht="77.7" hidden="false" customHeight="false" outlineLevel="0" collapsed="false">
      <c r="D348" s="0" t="s">
        <v>10135</v>
      </c>
      <c r="E348" s="0" t="s">
        <v>10136</v>
      </c>
      <c r="F348" s="0" t="s">
        <v>5334</v>
      </c>
      <c r="G348" s="57" t="s">
        <v>10137</v>
      </c>
      <c r="H348" s="57" t="s">
        <v>10138</v>
      </c>
      <c r="I348" s="37" t="s">
        <v>50</v>
      </c>
      <c r="J348" s="57" t="s">
        <v>10139</v>
      </c>
      <c r="K348" s="57" t="s">
        <v>9223</v>
      </c>
    </row>
    <row r="349" customFormat="false" ht="45.05" hidden="false" customHeight="false" outlineLevel="0" collapsed="false">
      <c r="D349" s="62"/>
      <c r="E349" s="62"/>
      <c r="F349" s="62"/>
      <c r="G349" s="57" t="s">
        <v>10140</v>
      </c>
      <c r="H349" s="57" t="s">
        <v>3792</v>
      </c>
      <c r="I349" s="37"/>
      <c r="J349" s="57" t="s">
        <v>3792</v>
      </c>
      <c r="K349" s="57" t="s">
        <v>9224</v>
      </c>
    </row>
    <row r="350" customFormat="false" ht="77.7" hidden="false" customHeight="false" outlineLevel="0" collapsed="false">
      <c r="D350" s="0" t="s">
        <v>10141</v>
      </c>
      <c r="E350" s="0" t="s">
        <v>10142</v>
      </c>
      <c r="F350" s="0" t="s">
        <v>5334</v>
      </c>
      <c r="G350" s="73" t="s">
        <v>10143</v>
      </c>
      <c r="H350" s="57" t="s">
        <v>10144</v>
      </c>
      <c r="I350" s="34" t="s">
        <v>40</v>
      </c>
      <c r="J350" s="57" t="s">
        <v>10145</v>
      </c>
      <c r="K350" s="57" t="s">
        <v>9229</v>
      </c>
    </row>
    <row r="351" customFormat="false" ht="34.2" hidden="false" customHeight="false" outlineLevel="0" collapsed="false">
      <c r="C351" s="65"/>
      <c r="D351" s="65"/>
      <c r="E351" s="65"/>
      <c r="F351" s="65"/>
      <c r="G351" s="57" t="s">
        <v>10146</v>
      </c>
      <c r="H351" s="57" t="s">
        <v>3792</v>
      </c>
      <c r="I351" s="34"/>
      <c r="J351" s="57" t="s">
        <v>3792</v>
      </c>
      <c r="K351" s="57" t="s">
        <v>9230</v>
      </c>
    </row>
    <row r="352" customFormat="false" ht="66.85" hidden="false" customHeight="false" outlineLevel="0" collapsed="false">
      <c r="C352" s="57" t="s">
        <v>10147</v>
      </c>
      <c r="D352" s="0" t="s">
        <v>10148</v>
      </c>
      <c r="E352" s="0" t="s">
        <v>10149</v>
      </c>
      <c r="F352" s="0" t="s">
        <v>5342</v>
      </c>
      <c r="G352" s="57" t="s">
        <v>10150</v>
      </c>
      <c r="H352" s="57" t="s">
        <v>10151</v>
      </c>
      <c r="I352" s="39" t="s">
        <v>67</v>
      </c>
      <c r="J352" s="57" t="s">
        <v>10152</v>
      </c>
      <c r="K352" s="57" t="s">
        <v>9235</v>
      </c>
    </row>
    <row r="353" customFormat="false" ht="45.05" hidden="false" customHeight="false" outlineLevel="0" collapsed="false">
      <c r="D353" s="62"/>
      <c r="E353" s="62"/>
      <c r="F353" s="62"/>
      <c r="G353" s="57" t="s">
        <v>10153</v>
      </c>
      <c r="H353" s="57" t="s">
        <v>3792</v>
      </c>
      <c r="I353" s="39"/>
      <c r="J353" s="57" t="s">
        <v>3792</v>
      </c>
      <c r="K353" s="57" t="s">
        <v>9236</v>
      </c>
    </row>
    <row r="354" customFormat="false" ht="77.7" hidden="false" customHeight="false" outlineLevel="0" collapsed="false">
      <c r="D354" s="0" t="s">
        <v>10154</v>
      </c>
      <c r="E354" s="0" t="s">
        <v>10155</v>
      </c>
      <c r="F354" s="0" t="s">
        <v>5342</v>
      </c>
      <c r="G354" s="57" t="s">
        <v>10156</v>
      </c>
      <c r="H354" s="57" t="s">
        <v>10157</v>
      </c>
      <c r="I354" s="34" t="s">
        <v>40</v>
      </c>
      <c r="J354" s="57" t="s">
        <v>10158</v>
      </c>
      <c r="K354" s="57" t="s">
        <v>9242</v>
      </c>
    </row>
    <row r="355" customFormat="false" ht="34.2" hidden="false" customHeight="false" outlineLevel="0" collapsed="false">
      <c r="D355" s="62"/>
      <c r="E355" s="62"/>
      <c r="F355" s="62"/>
      <c r="G355" s="57" t="s">
        <v>10159</v>
      </c>
      <c r="H355" s="57" t="s">
        <v>3792</v>
      </c>
      <c r="I355" s="34"/>
      <c r="J355" s="57" t="s">
        <v>3792</v>
      </c>
      <c r="K355" s="57" t="s">
        <v>9243</v>
      </c>
    </row>
    <row r="356" customFormat="false" ht="77.7" hidden="false" customHeight="false" outlineLevel="0" collapsed="false">
      <c r="D356" s="0" t="s">
        <v>10160</v>
      </c>
      <c r="E356" s="0" t="s">
        <v>10161</v>
      </c>
      <c r="F356" s="0" t="s">
        <v>5342</v>
      </c>
      <c r="G356" s="57" t="s">
        <v>10162</v>
      </c>
      <c r="H356" s="57" t="s">
        <v>10163</v>
      </c>
      <c r="I356" s="34" t="s">
        <v>40</v>
      </c>
      <c r="J356" s="57" t="s">
        <v>10164</v>
      </c>
      <c r="K356" s="57" t="s">
        <v>9248</v>
      </c>
    </row>
    <row r="357" customFormat="false" ht="34.2" hidden="false" customHeight="false" outlineLevel="0" collapsed="false">
      <c r="D357" s="62"/>
      <c r="E357" s="62"/>
      <c r="F357" s="62"/>
      <c r="G357" s="57" t="s">
        <v>10165</v>
      </c>
      <c r="H357" s="57" t="s">
        <v>3792</v>
      </c>
      <c r="I357" s="34"/>
      <c r="J357" s="57" t="s">
        <v>3792</v>
      </c>
      <c r="K357" s="57" t="s">
        <v>9249</v>
      </c>
    </row>
    <row r="358" customFormat="false" ht="77.7" hidden="false" customHeight="false" outlineLevel="0" collapsed="false">
      <c r="D358" s="0" t="s">
        <v>10166</v>
      </c>
      <c r="E358" s="0" t="s">
        <v>10167</v>
      </c>
      <c r="F358" s="0" t="s">
        <v>5334</v>
      </c>
      <c r="G358" s="57" t="s">
        <v>10162</v>
      </c>
      <c r="H358" s="57" t="s">
        <v>10168</v>
      </c>
      <c r="I358" s="39" t="s">
        <v>67</v>
      </c>
      <c r="J358" s="57" t="s">
        <v>10169</v>
      </c>
      <c r="K358" s="57" t="s">
        <v>9254</v>
      </c>
    </row>
    <row r="359" customFormat="false" ht="45.05" hidden="false" customHeight="false" outlineLevel="0" collapsed="false">
      <c r="D359" s="62"/>
      <c r="E359" s="62"/>
      <c r="F359" s="62"/>
      <c r="G359" s="57" t="s">
        <v>10165</v>
      </c>
      <c r="H359" s="57" t="s">
        <v>3792</v>
      </c>
      <c r="I359" s="39"/>
      <c r="J359" s="57" t="s">
        <v>3792</v>
      </c>
      <c r="K359" s="57" t="s">
        <v>9255</v>
      </c>
    </row>
    <row r="360" customFormat="false" ht="77.7" hidden="false" customHeight="false" outlineLevel="0" collapsed="false">
      <c r="D360" s="0" t="s">
        <v>10170</v>
      </c>
      <c r="E360" s="0" t="s">
        <v>10171</v>
      </c>
      <c r="F360" s="0" t="s">
        <v>5342</v>
      </c>
      <c r="G360" s="57" t="s">
        <v>10172</v>
      </c>
      <c r="H360" s="57" t="s">
        <v>10173</v>
      </c>
      <c r="I360" s="37" t="s">
        <v>50</v>
      </c>
      <c r="J360" s="57" t="s">
        <v>10174</v>
      </c>
      <c r="K360" s="57" t="s">
        <v>9260</v>
      </c>
    </row>
    <row r="361" customFormat="false" ht="34.2" hidden="false" customHeight="false" outlineLevel="0" collapsed="false">
      <c r="C361" s="65"/>
      <c r="D361" s="65"/>
      <c r="E361" s="65"/>
      <c r="F361" s="65"/>
      <c r="G361" s="57" t="s">
        <v>10175</v>
      </c>
      <c r="H361" s="57" t="s">
        <v>3792</v>
      </c>
      <c r="I361" s="37"/>
      <c r="J361" s="57" t="s">
        <v>3792</v>
      </c>
      <c r="K361" s="57" t="s">
        <v>9262</v>
      </c>
    </row>
    <row r="362" customFormat="false" ht="77.7" hidden="false" customHeight="false" outlineLevel="0" collapsed="false">
      <c r="C362" s="57" t="s">
        <v>10176</v>
      </c>
      <c r="D362" s="0" t="s">
        <v>10177</v>
      </c>
      <c r="E362" s="0" t="s">
        <v>10178</v>
      </c>
      <c r="F362" s="0" t="s">
        <v>5334</v>
      </c>
      <c r="G362" s="57" t="s">
        <v>10179</v>
      </c>
      <c r="H362" s="57" t="s">
        <v>10180</v>
      </c>
      <c r="I362" s="37" t="s">
        <v>50</v>
      </c>
      <c r="J362" s="57" t="s">
        <v>10181</v>
      </c>
      <c r="K362" s="57" t="s">
        <v>9268</v>
      </c>
    </row>
    <row r="363" customFormat="false" ht="45.05" hidden="false" customHeight="false" outlineLevel="0" collapsed="false">
      <c r="D363" s="62"/>
      <c r="E363" s="62"/>
      <c r="F363" s="62"/>
      <c r="G363" s="57" t="s">
        <v>10182</v>
      </c>
      <c r="H363" s="57" t="s">
        <v>3792</v>
      </c>
      <c r="I363" s="37"/>
      <c r="J363" s="57" t="s">
        <v>3792</v>
      </c>
      <c r="K363" s="57" t="s">
        <v>9270</v>
      </c>
    </row>
    <row r="364" customFormat="false" ht="77.7" hidden="false" customHeight="false" outlineLevel="0" collapsed="false">
      <c r="D364" s="0" t="s">
        <v>10183</v>
      </c>
      <c r="E364" s="0" t="s">
        <v>10184</v>
      </c>
      <c r="F364" s="0" t="s">
        <v>5342</v>
      </c>
      <c r="G364" s="57" t="s">
        <v>10185</v>
      </c>
      <c r="H364" s="57" t="s">
        <v>10186</v>
      </c>
      <c r="I364" s="39" t="s">
        <v>67</v>
      </c>
      <c r="J364" s="57" t="s">
        <v>10187</v>
      </c>
      <c r="K364" s="57" t="s">
        <v>9277</v>
      </c>
    </row>
    <row r="365" customFormat="false" ht="34.2" hidden="false" customHeight="false" outlineLevel="0" collapsed="false">
      <c r="D365" s="62"/>
      <c r="E365" s="62"/>
      <c r="F365" s="62"/>
      <c r="G365" s="57" t="s">
        <v>10188</v>
      </c>
      <c r="H365" s="57" t="s">
        <v>3792</v>
      </c>
      <c r="I365" s="39"/>
      <c r="J365" s="57" t="s">
        <v>3792</v>
      </c>
      <c r="K365" s="57" t="s">
        <v>9279</v>
      </c>
    </row>
    <row r="366" customFormat="false" ht="77.7" hidden="false" customHeight="false" outlineLevel="0" collapsed="false">
      <c r="D366" s="0" t="s">
        <v>10189</v>
      </c>
      <c r="E366" s="0" t="s">
        <v>10190</v>
      </c>
      <c r="F366" s="0" t="s">
        <v>5334</v>
      </c>
      <c r="G366" s="57" t="s">
        <v>10191</v>
      </c>
      <c r="H366" s="57" t="s">
        <v>10192</v>
      </c>
      <c r="I366" s="34" t="s">
        <v>40</v>
      </c>
      <c r="J366" s="57" t="s">
        <v>10193</v>
      </c>
      <c r="K366" s="57" t="s">
        <v>9285</v>
      </c>
    </row>
    <row r="367" customFormat="false" ht="34.2" hidden="false" customHeight="false" outlineLevel="0" collapsed="false">
      <c r="D367" s="62"/>
      <c r="E367" s="62"/>
      <c r="F367" s="62"/>
      <c r="G367" s="57" t="s">
        <v>10194</v>
      </c>
      <c r="H367" s="57" t="s">
        <v>3792</v>
      </c>
      <c r="I367" s="34"/>
      <c r="J367" s="57" t="s">
        <v>3792</v>
      </c>
      <c r="K367" s="57" t="s">
        <v>9287</v>
      </c>
    </row>
    <row r="368" customFormat="false" ht="66.85" hidden="false" customHeight="false" outlineLevel="0" collapsed="false">
      <c r="D368" s="0" t="s">
        <v>10195</v>
      </c>
      <c r="E368" s="0" t="s">
        <v>10196</v>
      </c>
      <c r="F368" s="0" t="s">
        <v>5334</v>
      </c>
      <c r="G368" s="57" t="s">
        <v>10197</v>
      </c>
      <c r="H368" s="57" t="s">
        <v>10198</v>
      </c>
      <c r="I368" s="39" t="s">
        <v>67</v>
      </c>
      <c r="J368" s="57" t="s">
        <v>10199</v>
      </c>
      <c r="K368" s="57" t="s">
        <v>9293</v>
      </c>
    </row>
    <row r="369" customFormat="false" ht="45.05" hidden="false" customHeight="false" outlineLevel="0" collapsed="false">
      <c r="D369" s="62"/>
      <c r="E369" s="62"/>
      <c r="F369" s="62"/>
      <c r="G369" s="57" t="s">
        <v>10200</v>
      </c>
      <c r="H369" s="57" t="s">
        <v>3792</v>
      </c>
      <c r="I369" s="39"/>
      <c r="J369" s="57" t="s">
        <v>3792</v>
      </c>
      <c r="K369" s="57" t="s">
        <v>9295</v>
      </c>
    </row>
    <row r="370" customFormat="false" ht="90.15" hidden="false" customHeight="false" outlineLevel="0" collapsed="false">
      <c r="D370" s="0" t="s">
        <v>10201</v>
      </c>
      <c r="E370" s="0" t="s">
        <v>10202</v>
      </c>
      <c r="F370" s="0" t="s">
        <v>5334</v>
      </c>
      <c r="G370" s="57" t="s">
        <v>10203</v>
      </c>
      <c r="H370" s="57" t="s">
        <v>10204</v>
      </c>
      <c r="I370" s="37" t="s">
        <v>50</v>
      </c>
      <c r="J370" s="57" t="s">
        <v>10205</v>
      </c>
      <c r="K370" s="57" t="s">
        <v>9301</v>
      </c>
    </row>
    <row r="371" customFormat="false" ht="45.05" hidden="false" customHeight="false" outlineLevel="0" collapsed="false">
      <c r="C371" s="65"/>
      <c r="D371" s="65"/>
      <c r="E371" s="65"/>
      <c r="F371" s="65"/>
      <c r="G371" s="57" t="s">
        <v>10206</v>
      </c>
      <c r="H371" s="57" t="s">
        <v>3792</v>
      </c>
      <c r="I371" s="37"/>
      <c r="J371" s="57" t="s">
        <v>3792</v>
      </c>
      <c r="K371" s="57" t="s">
        <v>9303</v>
      </c>
    </row>
    <row r="372" customFormat="false" ht="90.15" hidden="false" customHeight="false" outlineLevel="0" collapsed="false">
      <c r="C372" s="57" t="s">
        <v>10207</v>
      </c>
      <c r="D372" s="0" t="s">
        <v>10208</v>
      </c>
      <c r="E372" s="0" t="s">
        <v>10209</v>
      </c>
      <c r="F372" s="0" t="s">
        <v>5342</v>
      </c>
      <c r="G372" s="57" t="s">
        <v>10210</v>
      </c>
      <c r="H372" s="57" t="s">
        <v>10211</v>
      </c>
      <c r="I372" s="37" t="s">
        <v>50</v>
      </c>
      <c r="J372" s="57" t="s">
        <v>10212</v>
      </c>
      <c r="K372" s="57" t="s">
        <v>9309</v>
      </c>
    </row>
    <row r="373" customFormat="false" ht="45.05" hidden="false" customHeight="false" outlineLevel="0" collapsed="false">
      <c r="D373" s="62"/>
      <c r="E373" s="62"/>
      <c r="F373" s="62"/>
      <c r="G373" s="57" t="s">
        <v>10213</v>
      </c>
      <c r="H373" s="57" t="s">
        <v>3792</v>
      </c>
      <c r="I373" s="37"/>
      <c r="J373" s="57" t="s">
        <v>3792</v>
      </c>
      <c r="K373" s="57" t="s">
        <v>9311</v>
      </c>
    </row>
    <row r="374" customFormat="false" ht="77.7" hidden="false" customHeight="false" outlineLevel="0" collapsed="false">
      <c r="D374" s="0" t="s">
        <v>10214</v>
      </c>
      <c r="E374" s="0" t="s">
        <v>10215</v>
      </c>
      <c r="F374" s="0" t="s">
        <v>5334</v>
      </c>
      <c r="G374" s="57" t="s">
        <v>10216</v>
      </c>
      <c r="H374" s="57" t="s">
        <v>10217</v>
      </c>
      <c r="I374" s="39" t="s">
        <v>67</v>
      </c>
      <c r="J374" s="57" t="s">
        <v>10218</v>
      </c>
      <c r="K374" s="57" t="s">
        <v>9318</v>
      </c>
    </row>
    <row r="375" customFormat="false" ht="34.2" hidden="false" customHeight="false" outlineLevel="0" collapsed="false">
      <c r="D375" s="62"/>
      <c r="E375" s="62"/>
      <c r="F375" s="62"/>
      <c r="G375" s="57" t="s">
        <v>10219</v>
      </c>
      <c r="H375" s="57" t="s">
        <v>3792</v>
      </c>
      <c r="I375" s="39"/>
      <c r="J375" s="57" t="s">
        <v>3792</v>
      </c>
      <c r="K375" s="57" t="s">
        <v>9320</v>
      </c>
    </row>
    <row r="376" customFormat="false" ht="77.7" hidden="false" customHeight="false" outlineLevel="0" collapsed="false">
      <c r="D376" s="0" t="s">
        <v>10220</v>
      </c>
      <c r="E376" s="0" t="s">
        <v>10221</v>
      </c>
      <c r="F376" s="0" t="s">
        <v>5334</v>
      </c>
      <c r="G376" s="57" t="s">
        <v>10222</v>
      </c>
      <c r="H376" s="57" t="s">
        <v>10223</v>
      </c>
      <c r="I376" s="34" t="s">
        <v>40</v>
      </c>
      <c r="J376" s="57" t="s">
        <v>10224</v>
      </c>
      <c r="K376" s="57" t="s">
        <v>9326</v>
      </c>
    </row>
    <row r="377" customFormat="false" ht="34.2" hidden="false" customHeight="false" outlineLevel="0" collapsed="false">
      <c r="D377" s="62"/>
      <c r="E377" s="62"/>
      <c r="F377" s="62"/>
      <c r="G377" s="57" t="s">
        <v>10225</v>
      </c>
      <c r="H377" s="57" t="s">
        <v>3792</v>
      </c>
      <c r="I377" s="34"/>
      <c r="J377" s="57" t="s">
        <v>3792</v>
      </c>
      <c r="K377" s="57" t="s">
        <v>9328</v>
      </c>
    </row>
    <row r="378" customFormat="false" ht="66.85" hidden="false" customHeight="false" outlineLevel="0" collapsed="false">
      <c r="D378" s="0" t="s">
        <v>10226</v>
      </c>
      <c r="E378" s="0" t="s">
        <v>10227</v>
      </c>
      <c r="F378" s="0" t="s">
        <v>5342</v>
      </c>
      <c r="G378" s="57" t="s">
        <v>10228</v>
      </c>
      <c r="H378" s="57" t="s">
        <v>10229</v>
      </c>
      <c r="I378" s="39" t="s">
        <v>67</v>
      </c>
      <c r="J378" s="57" t="s">
        <v>10230</v>
      </c>
      <c r="K378" s="57" t="s">
        <v>9334</v>
      </c>
    </row>
    <row r="379" customFormat="false" ht="45.05" hidden="false" customHeight="false" outlineLevel="0" collapsed="false">
      <c r="D379" s="62"/>
      <c r="E379" s="62"/>
      <c r="F379" s="62"/>
      <c r="G379" s="57" t="s">
        <v>10231</v>
      </c>
      <c r="H379" s="57" t="s">
        <v>3792</v>
      </c>
      <c r="I379" s="39"/>
      <c r="J379" s="57" t="s">
        <v>3792</v>
      </c>
      <c r="K379" s="57" t="s">
        <v>9336</v>
      </c>
    </row>
    <row r="380" customFormat="false" ht="90.15" hidden="false" customHeight="false" outlineLevel="0" collapsed="false">
      <c r="B380" s="69"/>
      <c r="D380" s="47" t="s">
        <v>10232</v>
      </c>
      <c r="E380" s="47" t="s">
        <v>10233</v>
      </c>
      <c r="F380" s="47" t="s">
        <v>5334</v>
      </c>
      <c r="G380" s="57" t="s">
        <v>10234</v>
      </c>
      <c r="H380" s="57" t="s">
        <v>10235</v>
      </c>
      <c r="I380" s="37" t="s">
        <v>50</v>
      </c>
      <c r="J380" s="57" t="s">
        <v>10236</v>
      </c>
      <c r="K380" s="57" t="s">
        <v>9342</v>
      </c>
    </row>
    <row r="381" customFormat="false" ht="34.2" hidden="false" customHeight="false" outlineLevel="0" collapsed="false">
      <c r="B381" s="69"/>
      <c r="C381" s="69"/>
      <c r="D381" s="69"/>
      <c r="E381" s="69"/>
      <c r="F381" s="69"/>
      <c r="G381" s="57" t="s">
        <v>10237</v>
      </c>
      <c r="H381" s="57" t="s">
        <v>3792</v>
      </c>
      <c r="I381" s="37"/>
      <c r="J381" s="57" t="s">
        <v>3792</v>
      </c>
      <c r="K381" s="57" t="s">
        <v>9344</v>
      </c>
    </row>
    <row r="382" customFormat="false" ht="77.7" hidden="false" customHeight="false" outlineLevel="0" collapsed="false">
      <c r="B382" s="57" t="s">
        <v>10238</v>
      </c>
      <c r="C382" s="57" t="s">
        <v>10239</v>
      </c>
      <c r="D382" s="0" t="s">
        <v>10240</v>
      </c>
      <c r="E382" s="0" t="s">
        <v>10241</v>
      </c>
      <c r="F382" s="0" t="s">
        <v>5342</v>
      </c>
      <c r="G382" s="57" t="s">
        <v>10242</v>
      </c>
      <c r="H382" s="57" t="s">
        <v>10243</v>
      </c>
      <c r="I382" s="37" t="s">
        <v>50</v>
      </c>
      <c r="J382" s="57" t="s">
        <v>10244</v>
      </c>
      <c r="K382" s="57" t="s">
        <v>9350</v>
      </c>
    </row>
    <row r="383" customFormat="false" ht="55.95" hidden="false" customHeight="false" outlineLevel="0" collapsed="false">
      <c r="D383" s="62"/>
      <c r="E383" s="62"/>
      <c r="F383" s="62"/>
      <c r="G383" s="57" t="s">
        <v>10245</v>
      </c>
      <c r="H383" s="57" t="s">
        <v>3792</v>
      </c>
      <c r="I383" s="37"/>
      <c r="J383" s="57" t="s">
        <v>3792</v>
      </c>
      <c r="K383" s="57" t="s">
        <v>9352</v>
      </c>
    </row>
    <row r="384" customFormat="false" ht="77.7" hidden="false" customHeight="false" outlineLevel="0" collapsed="false">
      <c r="D384" s="0" t="s">
        <v>10246</v>
      </c>
      <c r="E384" s="0" t="s">
        <v>10247</v>
      </c>
      <c r="F384" s="0" t="s">
        <v>5334</v>
      </c>
      <c r="G384" s="57" t="s">
        <v>10248</v>
      </c>
      <c r="H384" s="57" t="s">
        <v>10249</v>
      </c>
      <c r="I384" s="39" t="s">
        <v>67</v>
      </c>
      <c r="J384" s="57" t="s">
        <v>10250</v>
      </c>
      <c r="K384" s="57" t="s">
        <v>9359</v>
      </c>
    </row>
    <row r="385" customFormat="false" ht="55.95" hidden="false" customHeight="false" outlineLevel="0" collapsed="false">
      <c r="D385" s="62"/>
      <c r="E385" s="62"/>
      <c r="F385" s="62"/>
      <c r="G385" s="57" t="s">
        <v>10251</v>
      </c>
      <c r="H385" s="57" t="s">
        <v>3792</v>
      </c>
      <c r="I385" s="39"/>
      <c r="J385" s="57" t="s">
        <v>3792</v>
      </c>
      <c r="K385" s="57" t="s">
        <v>9361</v>
      </c>
    </row>
    <row r="386" customFormat="false" ht="66.85" hidden="false" customHeight="false" outlineLevel="0" collapsed="false">
      <c r="D386" s="0" t="s">
        <v>10252</v>
      </c>
      <c r="E386" s="0" t="s">
        <v>10253</v>
      </c>
      <c r="F386" s="0" t="s">
        <v>5334</v>
      </c>
      <c r="G386" s="57" t="s">
        <v>10254</v>
      </c>
      <c r="H386" s="57" t="s">
        <v>10255</v>
      </c>
      <c r="I386" s="34" t="s">
        <v>40</v>
      </c>
      <c r="J386" s="57" t="s">
        <v>10256</v>
      </c>
      <c r="K386" s="57" t="s">
        <v>9367</v>
      </c>
    </row>
    <row r="387" customFormat="false" ht="45.05" hidden="false" customHeight="false" outlineLevel="0" collapsed="false">
      <c r="D387" s="62"/>
      <c r="E387" s="62"/>
      <c r="F387" s="62"/>
      <c r="G387" s="57" t="s">
        <v>1145</v>
      </c>
      <c r="H387" s="57" t="s">
        <v>3792</v>
      </c>
      <c r="I387" s="34"/>
      <c r="J387" s="57" t="s">
        <v>3792</v>
      </c>
      <c r="K387" s="57" t="s">
        <v>9369</v>
      </c>
    </row>
    <row r="388" customFormat="false" ht="77.7" hidden="false" customHeight="false" outlineLevel="0" collapsed="false">
      <c r="D388" s="0" t="s">
        <v>10257</v>
      </c>
      <c r="E388" s="0" t="s">
        <v>10258</v>
      </c>
      <c r="F388" s="0" t="s">
        <v>5342</v>
      </c>
      <c r="G388" s="57" t="s">
        <v>10259</v>
      </c>
      <c r="H388" s="57" t="s">
        <v>10260</v>
      </c>
      <c r="I388" s="39" t="s">
        <v>67</v>
      </c>
      <c r="J388" s="57" t="s">
        <v>10261</v>
      </c>
      <c r="K388" s="57" t="s">
        <v>9375</v>
      </c>
    </row>
    <row r="389" customFormat="false" ht="34.2" hidden="false" customHeight="false" outlineLevel="0" collapsed="false">
      <c r="D389" s="62"/>
      <c r="E389" s="62"/>
      <c r="F389" s="62"/>
      <c r="G389" s="57" t="s">
        <v>10262</v>
      </c>
      <c r="H389" s="57" t="s">
        <v>3792</v>
      </c>
      <c r="I389" s="39"/>
      <c r="J389" s="57" t="s">
        <v>3792</v>
      </c>
      <c r="K389" s="57" t="s">
        <v>9377</v>
      </c>
    </row>
    <row r="390" customFormat="false" ht="77.7" hidden="false" customHeight="false" outlineLevel="0" collapsed="false">
      <c r="C390" s="72"/>
      <c r="D390" s="47" t="s">
        <v>10263</v>
      </c>
      <c r="E390" s="47" t="s">
        <v>10264</v>
      </c>
      <c r="F390" s="47" t="s">
        <v>5342</v>
      </c>
      <c r="G390" s="57" t="s">
        <v>10265</v>
      </c>
      <c r="H390" s="57" t="s">
        <v>10266</v>
      </c>
      <c r="I390" s="37" t="s">
        <v>50</v>
      </c>
      <c r="J390" s="57" t="s">
        <v>10267</v>
      </c>
      <c r="K390" s="57" t="s">
        <v>9383</v>
      </c>
    </row>
    <row r="391" customFormat="false" ht="34.2" hidden="false" customHeight="false" outlineLevel="0" collapsed="false">
      <c r="C391" s="65"/>
      <c r="D391" s="65"/>
      <c r="E391" s="65"/>
      <c r="F391" s="65"/>
      <c r="G391" s="57" t="s">
        <v>10268</v>
      </c>
      <c r="H391" s="57" t="s">
        <v>3792</v>
      </c>
      <c r="I391" s="37"/>
      <c r="J391" s="57" t="s">
        <v>3792</v>
      </c>
      <c r="K391" s="57" t="s">
        <v>9385</v>
      </c>
    </row>
    <row r="392" customFormat="false" ht="77.7" hidden="false" customHeight="false" outlineLevel="0" collapsed="false">
      <c r="C392" s="57" t="s">
        <v>10269</v>
      </c>
      <c r="D392" s="0" t="s">
        <v>10270</v>
      </c>
      <c r="E392" s="0" t="s">
        <v>10271</v>
      </c>
      <c r="F392" s="0" t="s">
        <v>5342</v>
      </c>
      <c r="G392" s="57" t="s">
        <v>10272</v>
      </c>
      <c r="H392" s="57" t="s">
        <v>10273</v>
      </c>
      <c r="I392" s="37" t="s">
        <v>50</v>
      </c>
      <c r="J392" s="57" t="s">
        <v>10274</v>
      </c>
      <c r="K392" s="57" t="s">
        <v>9391</v>
      </c>
    </row>
    <row r="393" customFormat="false" ht="34.2" hidden="false" customHeight="false" outlineLevel="0" collapsed="false">
      <c r="D393" s="62"/>
      <c r="E393" s="62"/>
      <c r="F393" s="62"/>
      <c r="G393" s="57" t="s">
        <v>10275</v>
      </c>
      <c r="H393" s="57" t="s">
        <v>3792</v>
      </c>
      <c r="I393" s="37"/>
      <c r="J393" s="57" t="s">
        <v>3792</v>
      </c>
      <c r="K393" s="57" t="s">
        <v>9393</v>
      </c>
    </row>
    <row r="394" customFormat="false" ht="77.7" hidden="false" customHeight="false" outlineLevel="0" collapsed="false">
      <c r="D394" s="0" t="s">
        <v>10276</v>
      </c>
      <c r="E394" s="0" t="s">
        <v>10277</v>
      </c>
      <c r="F394" s="0" t="s">
        <v>5334</v>
      </c>
      <c r="G394" s="57" t="s">
        <v>10278</v>
      </c>
      <c r="H394" s="57" t="s">
        <v>10279</v>
      </c>
      <c r="I394" s="39" t="s">
        <v>67</v>
      </c>
      <c r="J394" s="57" t="s">
        <v>10280</v>
      </c>
      <c r="K394" s="57" t="s">
        <v>9400</v>
      </c>
    </row>
    <row r="395" customFormat="false" ht="34.2" hidden="false" customHeight="false" outlineLevel="0" collapsed="false">
      <c r="D395" s="62"/>
      <c r="E395" s="62"/>
      <c r="F395" s="62"/>
      <c r="G395" s="57" t="s">
        <v>10281</v>
      </c>
      <c r="H395" s="57" t="s">
        <v>3792</v>
      </c>
      <c r="I395" s="39"/>
      <c r="J395" s="57" t="s">
        <v>3792</v>
      </c>
      <c r="K395" s="57" t="s">
        <v>9402</v>
      </c>
    </row>
    <row r="396" customFormat="false" ht="90.15" hidden="false" customHeight="false" outlineLevel="0" collapsed="false">
      <c r="D396" s="0" t="s">
        <v>10282</v>
      </c>
      <c r="E396" s="0" t="s">
        <v>10283</v>
      </c>
      <c r="F396" s="0" t="s">
        <v>5342</v>
      </c>
      <c r="G396" s="57" t="s">
        <v>10284</v>
      </c>
      <c r="H396" s="57" t="s">
        <v>10285</v>
      </c>
      <c r="I396" s="34" t="s">
        <v>40</v>
      </c>
      <c r="J396" s="57" t="s">
        <v>10286</v>
      </c>
      <c r="K396" s="57" t="s">
        <v>9408</v>
      </c>
    </row>
    <row r="397" customFormat="false" ht="34.2" hidden="false" customHeight="false" outlineLevel="0" collapsed="false">
      <c r="D397" s="62"/>
      <c r="E397" s="62"/>
      <c r="F397" s="62"/>
      <c r="G397" s="57" t="s">
        <v>10287</v>
      </c>
      <c r="H397" s="57" t="s">
        <v>3792</v>
      </c>
      <c r="I397" s="34"/>
      <c r="J397" s="57" t="s">
        <v>3792</v>
      </c>
      <c r="K397" s="57" t="s">
        <v>9410</v>
      </c>
    </row>
    <row r="398" customFormat="false" ht="77.7" hidden="false" customHeight="false" outlineLevel="0" collapsed="false">
      <c r="D398" s="0" t="s">
        <v>10288</v>
      </c>
      <c r="E398" s="0" t="s">
        <v>10289</v>
      </c>
      <c r="F398" s="0" t="s">
        <v>5334</v>
      </c>
      <c r="G398" s="57" t="s">
        <v>10290</v>
      </c>
      <c r="H398" s="57" t="s">
        <v>10291</v>
      </c>
      <c r="I398" s="39" t="s">
        <v>67</v>
      </c>
      <c r="J398" s="57" t="s">
        <v>10292</v>
      </c>
      <c r="K398" s="57" t="s">
        <v>9416</v>
      </c>
    </row>
    <row r="399" customFormat="false" ht="34.2" hidden="false" customHeight="false" outlineLevel="0" collapsed="false">
      <c r="D399" s="62"/>
      <c r="E399" s="62"/>
      <c r="F399" s="62"/>
      <c r="G399" s="57" t="s">
        <v>10293</v>
      </c>
      <c r="H399" s="57" t="s">
        <v>3792</v>
      </c>
      <c r="I399" s="39"/>
      <c r="J399" s="62"/>
      <c r="K399" s="57" t="s">
        <v>9418</v>
      </c>
    </row>
    <row r="400" customFormat="false" ht="66.85" hidden="false" customHeight="false" outlineLevel="0" collapsed="false">
      <c r="D400" s="0" t="s">
        <v>10294</v>
      </c>
      <c r="E400" s="0" t="s">
        <v>10295</v>
      </c>
      <c r="F400" s="0" t="s">
        <v>5342</v>
      </c>
      <c r="G400" s="57" t="s">
        <v>10296</v>
      </c>
      <c r="H400" s="57" t="s">
        <v>10297</v>
      </c>
      <c r="I400" s="37" t="s">
        <v>50</v>
      </c>
      <c r="J400" s="57" t="s">
        <v>10298</v>
      </c>
      <c r="K400" s="57" t="s">
        <v>9424</v>
      </c>
    </row>
    <row r="401" customFormat="false" ht="34.2" hidden="false" customHeight="false" outlineLevel="0" collapsed="false">
      <c r="C401" s="65"/>
      <c r="D401" s="65"/>
      <c r="E401" s="65"/>
      <c r="F401" s="65"/>
      <c r="G401" s="57" t="s">
        <v>10299</v>
      </c>
      <c r="H401" s="57" t="s">
        <v>3792</v>
      </c>
      <c r="I401" s="37"/>
      <c r="J401" s="57" t="s">
        <v>3792</v>
      </c>
      <c r="K401" s="57" t="s">
        <v>9426</v>
      </c>
    </row>
    <row r="402" customFormat="false" ht="90.15" hidden="false" customHeight="false" outlineLevel="0" collapsed="false">
      <c r="C402" s="0" t="s">
        <v>10300</v>
      </c>
      <c r="D402" s="0" t="s">
        <v>10301</v>
      </c>
      <c r="E402" s="0" t="s">
        <v>10302</v>
      </c>
      <c r="F402" s="0" t="s">
        <v>5334</v>
      </c>
      <c r="G402" s="57" t="s">
        <v>10303</v>
      </c>
      <c r="H402" s="57" t="s">
        <v>10304</v>
      </c>
      <c r="I402" s="34" t="s">
        <v>40</v>
      </c>
      <c r="J402" s="57" t="s">
        <v>10305</v>
      </c>
      <c r="K402" s="57" t="s">
        <v>9432</v>
      </c>
    </row>
    <row r="403" customFormat="false" ht="45.05" hidden="false" customHeight="false" outlineLevel="0" collapsed="false">
      <c r="D403" s="62"/>
      <c r="E403" s="62"/>
      <c r="F403" s="62"/>
      <c r="G403" s="57" t="s">
        <v>10306</v>
      </c>
      <c r="H403" s="57" t="s">
        <v>3792</v>
      </c>
      <c r="I403" s="34"/>
      <c r="J403" s="57" t="s">
        <v>3792</v>
      </c>
      <c r="K403" s="57" t="s">
        <v>9434</v>
      </c>
    </row>
    <row r="404" customFormat="false" ht="90.15" hidden="false" customHeight="false" outlineLevel="0" collapsed="false">
      <c r="D404" s="0" t="s">
        <v>10307</v>
      </c>
      <c r="E404" s="0" t="s">
        <v>10308</v>
      </c>
      <c r="F404" s="0" t="s">
        <v>5334</v>
      </c>
      <c r="G404" s="57" t="s">
        <v>10309</v>
      </c>
      <c r="H404" s="57" t="s">
        <v>10310</v>
      </c>
      <c r="I404" s="37" t="s">
        <v>50</v>
      </c>
      <c r="J404" s="57" t="s">
        <v>10311</v>
      </c>
      <c r="K404" s="57" t="s">
        <v>9441</v>
      </c>
    </row>
    <row r="405" customFormat="false" ht="34.2" hidden="false" customHeight="false" outlineLevel="0" collapsed="false">
      <c r="D405" s="62"/>
      <c r="E405" s="62"/>
      <c r="F405" s="62"/>
      <c r="G405" s="57" t="s">
        <v>10312</v>
      </c>
      <c r="H405" s="57" t="s">
        <v>3792</v>
      </c>
      <c r="I405" s="37"/>
      <c r="J405" s="57" t="s">
        <v>3792</v>
      </c>
      <c r="K405" s="57" t="s">
        <v>9443</v>
      </c>
    </row>
    <row r="406" customFormat="false" ht="90.15" hidden="false" customHeight="false" outlineLevel="0" collapsed="false">
      <c r="D406" s="0" t="s">
        <v>10313</v>
      </c>
      <c r="E406" s="0" t="s">
        <v>10314</v>
      </c>
      <c r="F406" s="0" t="s">
        <v>5342</v>
      </c>
      <c r="G406" s="57" t="s">
        <v>1290</v>
      </c>
      <c r="H406" s="57" t="s">
        <v>10315</v>
      </c>
      <c r="I406" s="34" t="s">
        <v>40</v>
      </c>
      <c r="J406" s="57" t="s">
        <v>10316</v>
      </c>
      <c r="K406" s="57" t="s">
        <v>9449</v>
      </c>
    </row>
    <row r="407" customFormat="false" ht="34.2" hidden="false" customHeight="false" outlineLevel="0" collapsed="false">
      <c r="D407" s="62"/>
      <c r="E407" s="62"/>
      <c r="F407" s="62"/>
      <c r="G407" s="57" t="s">
        <v>10317</v>
      </c>
      <c r="H407" s="57" t="s">
        <v>3792</v>
      </c>
      <c r="I407" s="34"/>
      <c r="J407" s="57" t="s">
        <v>3792</v>
      </c>
      <c r="K407" s="57" t="s">
        <v>9451</v>
      </c>
    </row>
    <row r="408" customFormat="false" ht="45.05" hidden="false" customHeight="false" outlineLevel="0" collapsed="false">
      <c r="D408" s="0" t="s">
        <v>10318</v>
      </c>
      <c r="E408" s="0" t="s">
        <v>10319</v>
      </c>
      <c r="F408" s="0" t="s">
        <v>5342</v>
      </c>
      <c r="G408" s="57" t="s">
        <v>10320</v>
      </c>
      <c r="H408" s="57" t="s">
        <v>10321</v>
      </c>
      <c r="I408" s="39" t="s">
        <v>67</v>
      </c>
      <c r="J408" s="57" t="s">
        <v>10322</v>
      </c>
      <c r="K408" s="57" t="s">
        <v>9457</v>
      </c>
    </row>
    <row r="409" customFormat="false" ht="45.05" hidden="false" customHeight="false" outlineLevel="0" collapsed="false">
      <c r="D409" s="62"/>
      <c r="E409" s="62"/>
      <c r="F409" s="62"/>
      <c r="G409" s="57" t="s">
        <v>10323</v>
      </c>
      <c r="H409" s="57" t="s">
        <v>3792</v>
      </c>
      <c r="I409" s="39"/>
      <c r="J409" s="57" t="s">
        <v>3792</v>
      </c>
      <c r="K409" s="57" t="s">
        <v>9459</v>
      </c>
    </row>
    <row r="410" customFormat="false" ht="66.85" hidden="false" customHeight="false" outlineLevel="0" collapsed="false">
      <c r="D410" s="0" t="s">
        <v>10324</v>
      </c>
      <c r="E410" s="0" t="s">
        <v>10325</v>
      </c>
      <c r="F410" s="0" t="s">
        <v>5342</v>
      </c>
      <c r="G410" s="57" t="s">
        <v>10326</v>
      </c>
      <c r="H410" s="57" t="s">
        <v>10327</v>
      </c>
      <c r="I410" s="34" t="s">
        <v>40</v>
      </c>
      <c r="J410" s="57" t="s">
        <v>10328</v>
      </c>
      <c r="K410" s="57" t="s">
        <v>9465</v>
      </c>
    </row>
    <row r="411" customFormat="false" ht="12.95" hidden="false" customHeight="false" outlineLevel="0" collapsed="false">
      <c r="C411" s="65"/>
      <c r="D411" s="65"/>
      <c r="E411" s="65"/>
      <c r="F411" s="65"/>
      <c r="G411" s="57" t="s">
        <v>10329</v>
      </c>
      <c r="H411" s="57" t="s">
        <v>3792</v>
      </c>
      <c r="I411" s="34"/>
      <c r="J411" s="57" t="s">
        <v>3792</v>
      </c>
      <c r="K411" s="57" t="s">
        <v>3792</v>
      </c>
    </row>
    <row r="412" customFormat="false" ht="66.85" hidden="false" customHeight="false" outlineLevel="0" collapsed="false">
      <c r="C412" s="57" t="s">
        <v>10330</v>
      </c>
      <c r="D412" s="0" t="s">
        <v>10331</v>
      </c>
      <c r="E412" s="0" t="s">
        <v>10332</v>
      </c>
      <c r="F412" s="0" t="s">
        <v>5334</v>
      </c>
      <c r="G412" s="57" t="s">
        <v>10333</v>
      </c>
      <c r="H412" s="57" t="s">
        <v>10334</v>
      </c>
      <c r="I412" s="37" t="s">
        <v>50</v>
      </c>
      <c r="J412" s="57" t="s">
        <v>10335</v>
      </c>
      <c r="K412" s="57" t="s">
        <v>9472</v>
      </c>
    </row>
    <row r="413" customFormat="false" ht="12.8" hidden="false" customHeight="false" outlineLevel="0" collapsed="false">
      <c r="D413" s="62"/>
      <c r="E413" s="62"/>
      <c r="F413" s="62"/>
      <c r="G413" s="57" t="s">
        <v>10336</v>
      </c>
      <c r="H413" s="57" t="s">
        <v>3792</v>
      </c>
      <c r="I413" s="37"/>
      <c r="J413" s="57" t="s">
        <v>3792</v>
      </c>
      <c r="K413" s="57" t="s">
        <v>3792</v>
      </c>
    </row>
    <row r="414" customFormat="false" ht="77.7" hidden="false" customHeight="false" outlineLevel="0" collapsed="false">
      <c r="D414" s="0" t="s">
        <v>10337</v>
      </c>
      <c r="E414" s="0" t="s">
        <v>10338</v>
      </c>
      <c r="F414" s="0" t="s">
        <v>5342</v>
      </c>
      <c r="G414" s="57" t="s">
        <v>10339</v>
      </c>
      <c r="H414" s="57" t="s">
        <v>10151</v>
      </c>
      <c r="I414" s="34" t="s">
        <v>40</v>
      </c>
      <c r="J414" s="57" t="s">
        <v>10340</v>
      </c>
      <c r="K414" s="57" t="s">
        <v>9481</v>
      </c>
    </row>
    <row r="415" customFormat="false" ht="12.8" hidden="false" customHeight="false" outlineLevel="0" collapsed="false">
      <c r="D415" s="62"/>
      <c r="E415" s="62"/>
      <c r="F415" s="62"/>
      <c r="G415" s="57" t="s">
        <v>10341</v>
      </c>
      <c r="H415" s="57" t="s">
        <v>3792</v>
      </c>
      <c r="I415" s="34"/>
      <c r="J415" s="57" t="s">
        <v>3792</v>
      </c>
      <c r="K415" s="57" t="s">
        <v>3792</v>
      </c>
    </row>
    <row r="416" customFormat="false" ht="77.7" hidden="false" customHeight="false" outlineLevel="0" collapsed="false">
      <c r="D416" s="0" t="s">
        <v>10342</v>
      </c>
      <c r="E416" s="0" t="s">
        <v>10343</v>
      </c>
      <c r="F416" s="0" t="s">
        <v>5334</v>
      </c>
      <c r="G416" s="57" t="s">
        <v>10344</v>
      </c>
      <c r="H416" s="57" t="s">
        <v>10157</v>
      </c>
      <c r="I416" s="39" t="s">
        <v>67</v>
      </c>
      <c r="J416" s="57" t="s">
        <v>10345</v>
      </c>
      <c r="K416" s="57" t="s">
        <v>9488</v>
      </c>
    </row>
    <row r="417" customFormat="false" ht="12.8" hidden="false" customHeight="false" outlineLevel="0" collapsed="false">
      <c r="D417" s="62"/>
      <c r="E417" s="62"/>
      <c r="F417" s="62"/>
      <c r="G417" s="57" t="s">
        <v>10346</v>
      </c>
      <c r="H417" s="57" t="s">
        <v>3792</v>
      </c>
      <c r="I417" s="39"/>
      <c r="J417" s="57" t="s">
        <v>3792</v>
      </c>
      <c r="K417" s="57" t="s">
        <v>3792</v>
      </c>
    </row>
    <row r="418" customFormat="false" ht="66.85" hidden="false" customHeight="false" outlineLevel="0" collapsed="false">
      <c r="D418" s="0" t="s">
        <v>10347</v>
      </c>
      <c r="E418" s="0" t="s">
        <v>10348</v>
      </c>
      <c r="F418" s="0" t="s">
        <v>5342</v>
      </c>
      <c r="G418" s="57" t="s">
        <v>10349</v>
      </c>
      <c r="H418" s="57" t="s">
        <v>10163</v>
      </c>
      <c r="I418" s="34" t="s">
        <v>40</v>
      </c>
      <c r="J418" s="57" t="s">
        <v>10350</v>
      </c>
      <c r="K418" s="57" t="s">
        <v>9494</v>
      </c>
    </row>
    <row r="419" customFormat="false" ht="12.8" hidden="false" customHeight="false" outlineLevel="0" collapsed="false">
      <c r="D419" s="62"/>
      <c r="E419" s="62"/>
      <c r="F419" s="62"/>
      <c r="G419" s="57" t="s">
        <v>1145</v>
      </c>
      <c r="H419" s="57" t="s">
        <v>3792</v>
      </c>
      <c r="I419" s="34"/>
      <c r="J419" s="57" t="s">
        <v>3792</v>
      </c>
      <c r="K419" s="57" t="s">
        <v>3792</v>
      </c>
    </row>
    <row r="420" customFormat="false" ht="55.95" hidden="false" customHeight="false" outlineLevel="0" collapsed="false">
      <c r="D420" s="0" t="s">
        <v>10351</v>
      </c>
      <c r="E420" s="0" t="s">
        <v>10352</v>
      </c>
      <c r="F420" s="0" t="s">
        <v>5342</v>
      </c>
      <c r="G420" s="57" t="s">
        <v>10353</v>
      </c>
      <c r="H420" s="57" t="s">
        <v>10168</v>
      </c>
      <c r="I420" s="37" t="s">
        <v>50</v>
      </c>
      <c r="J420" s="57" t="s">
        <v>10354</v>
      </c>
      <c r="K420" s="57" t="s">
        <v>9499</v>
      </c>
    </row>
    <row r="421" customFormat="false" ht="12.8" hidden="false" customHeight="false" outlineLevel="0" collapsed="false">
      <c r="C421" s="65"/>
      <c r="D421" s="65"/>
      <c r="E421" s="65"/>
      <c r="F421" s="65"/>
      <c r="G421" s="57" t="s">
        <v>10355</v>
      </c>
      <c r="H421" s="57" t="s">
        <v>3792</v>
      </c>
      <c r="I421" s="37"/>
      <c r="J421" s="57" t="s">
        <v>3792</v>
      </c>
      <c r="K421" s="57" t="s">
        <v>3792</v>
      </c>
    </row>
    <row r="422" customFormat="false" ht="90.15" hidden="false" customHeight="false" outlineLevel="0" collapsed="false">
      <c r="C422" s="57" t="s">
        <v>10356</v>
      </c>
      <c r="D422" s="0" t="s">
        <v>10357</v>
      </c>
      <c r="E422" s="0" t="s">
        <v>10358</v>
      </c>
      <c r="F422" s="0" t="s">
        <v>5342</v>
      </c>
      <c r="G422" s="57" t="s">
        <v>10359</v>
      </c>
      <c r="H422" s="57" t="s">
        <v>10173</v>
      </c>
      <c r="I422" s="34" t="s">
        <v>40</v>
      </c>
      <c r="J422" s="57" t="s">
        <v>10360</v>
      </c>
      <c r="K422" s="57" t="s">
        <v>9504</v>
      </c>
    </row>
    <row r="423" customFormat="false" ht="12.8" hidden="false" customHeight="false" outlineLevel="0" collapsed="false">
      <c r="D423" s="62"/>
      <c r="E423" s="62"/>
      <c r="F423" s="62"/>
      <c r="G423" s="57" t="s">
        <v>10361</v>
      </c>
      <c r="H423" s="57" t="s">
        <v>3792</v>
      </c>
      <c r="I423" s="34"/>
      <c r="J423" s="57" t="s">
        <v>3792</v>
      </c>
      <c r="K423" s="57" t="s">
        <v>3792</v>
      </c>
    </row>
    <row r="424" customFormat="false" ht="101.05" hidden="false" customHeight="false" outlineLevel="0" collapsed="false">
      <c r="D424" s="0" t="s">
        <v>10362</v>
      </c>
      <c r="E424" s="0" t="s">
        <v>10363</v>
      </c>
      <c r="F424" s="0" t="s">
        <v>5334</v>
      </c>
      <c r="G424" s="57" t="s">
        <v>10364</v>
      </c>
      <c r="H424" s="57" t="s">
        <v>10180</v>
      </c>
      <c r="I424" s="39" t="s">
        <v>67</v>
      </c>
      <c r="J424" s="57" t="s">
        <v>10365</v>
      </c>
      <c r="K424" s="57" t="s">
        <v>9511</v>
      </c>
    </row>
    <row r="425" customFormat="false" ht="12.8" hidden="false" customHeight="false" outlineLevel="0" collapsed="false">
      <c r="D425" s="62"/>
      <c r="E425" s="62"/>
      <c r="F425" s="62"/>
      <c r="G425" s="57" t="s">
        <v>10366</v>
      </c>
      <c r="H425" s="57" t="s">
        <v>3792</v>
      </c>
      <c r="I425" s="39"/>
      <c r="J425" s="57" t="s">
        <v>3792</v>
      </c>
      <c r="K425" s="57" t="s">
        <v>3792</v>
      </c>
    </row>
    <row r="426" customFormat="false" ht="77.7" hidden="false" customHeight="false" outlineLevel="0" collapsed="false">
      <c r="D426" s="0" t="s">
        <v>10367</v>
      </c>
      <c r="E426" s="0" t="s">
        <v>10368</v>
      </c>
      <c r="F426" s="0" t="s">
        <v>5334</v>
      </c>
      <c r="G426" s="57" t="s">
        <v>10369</v>
      </c>
      <c r="H426" s="57" t="s">
        <v>10186</v>
      </c>
      <c r="I426" s="34" t="s">
        <v>40</v>
      </c>
      <c r="J426" s="57" t="s">
        <v>10370</v>
      </c>
      <c r="K426" s="57" t="s">
        <v>9518</v>
      </c>
    </row>
    <row r="427" customFormat="false" ht="12.8" hidden="false" customHeight="false" outlineLevel="0" collapsed="false">
      <c r="D427" s="62"/>
      <c r="E427" s="62"/>
      <c r="F427" s="62"/>
      <c r="G427" s="57" t="s">
        <v>10371</v>
      </c>
      <c r="H427" s="57" t="s">
        <v>3792</v>
      </c>
      <c r="I427" s="34"/>
      <c r="J427" s="57" t="s">
        <v>3792</v>
      </c>
      <c r="K427" s="57" t="s">
        <v>3792</v>
      </c>
    </row>
    <row r="428" customFormat="false" ht="66.85" hidden="false" customHeight="false" outlineLevel="0" collapsed="false">
      <c r="D428" s="0" t="s">
        <v>10372</v>
      </c>
      <c r="E428" s="0" t="s">
        <v>10373</v>
      </c>
      <c r="F428" s="0" t="s">
        <v>5342</v>
      </c>
      <c r="G428" s="57" t="s">
        <v>1077</v>
      </c>
      <c r="H428" s="57" t="s">
        <v>10192</v>
      </c>
      <c r="I428" s="37" t="s">
        <v>50</v>
      </c>
      <c r="J428" s="57" t="s">
        <v>10374</v>
      </c>
      <c r="K428" s="57" t="s">
        <v>9525</v>
      </c>
    </row>
    <row r="429" customFormat="false" ht="12.8" hidden="false" customHeight="false" outlineLevel="0" collapsed="false">
      <c r="D429" s="62"/>
      <c r="E429" s="62"/>
      <c r="F429" s="62"/>
      <c r="G429" s="57" t="s">
        <v>10375</v>
      </c>
      <c r="H429" s="57" t="s">
        <v>3792</v>
      </c>
      <c r="I429" s="37"/>
      <c r="J429" s="57" t="s">
        <v>3792</v>
      </c>
      <c r="K429" s="57" t="s">
        <v>3792</v>
      </c>
    </row>
    <row r="430" customFormat="false" ht="90.15" hidden="false" customHeight="false" outlineLevel="0" collapsed="false">
      <c r="D430" s="0" t="s">
        <v>10376</v>
      </c>
      <c r="E430" s="0" t="s">
        <v>10377</v>
      </c>
      <c r="F430" s="0" t="s">
        <v>5334</v>
      </c>
      <c r="G430" s="57" t="s">
        <v>10378</v>
      </c>
      <c r="H430" s="57" t="s">
        <v>10198</v>
      </c>
      <c r="I430" s="34" t="s">
        <v>40</v>
      </c>
      <c r="J430" s="57" t="s">
        <v>10379</v>
      </c>
      <c r="K430" s="57" t="s">
        <v>9532</v>
      </c>
    </row>
    <row r="431" customFormat="false" ht="12.8" hidden="false" customHeight="false" outlineLevel="0" collapsed="false">
      <c r="C431" s="65"/>
      <c r="D431" s="65"/>
      <c r="E431" s="65"/>
      <c r="F431" s="65"/>
      <c r="G431" s="57" t="s">
        <v>10380</v>
      </c>
      <c r="H431" s="57" t="s">
        <v>3792</v>
      </c>
      <c r="I431" s="34"/>
      <c r="J431" s="57" t="s">
        <v>3792</v>
      </c>
      <c r="K431" s="57" t="s">
        <v>3792</v>
      </c>
    </row>
    <row r="432" customFormat="false" ht="66.85" hidden="false" customHeight="false" outlineLevel="0" collapsed="false">
      <c r="C432" s="0" t="s">
        <v>10381</v>
      </c>
      <c r="D432" s="0" t="s">
        <v>10382</v>
      </c>
      <c r="E432" s="0" t="s">
        <v>10383</v>
      </c>
      <c r="F432" s="0" t="s">
        <v>5334</v>
      </c>
      <c r="G432" s="57" t="s">
        <v>10384</v>
      </c>
      <c r="H432" s="57" t="s">
        <v>10204</v>
      </c>
      <c r="I432" s="39" t="s">
        <v>67</v>
      </c>
      <c r="J432" s="57" t="s">
        <v>10385</v>
      </c>
      <c r="K432" s="57" t="s">
        <v>9539</v>
      </c>
    </row>
    <row r="433" customFormat="false" ht="12.8" hidden="false" customHeight="false" outlineLevel="0" collapsed="false">
      <c r="D433" s="62"/>
      <c r="E433" s="62"/>
      <c r="F433" s="62"/>
      <c r="G433" s="57" t="s">
        <v>10386</v>
      </c>
      <c r="H433" s="57" t="s">
        <v>3792</v>
      </c>
      <c r="I433" s="39"/>
      <c r="J433" s="57" t="s">
        <v>3792</v>
      </c>
      <c r="K433" s="57" t="s">
        <v>3792</v>
      </c>
    </row>
    <row r="434" customFormat="false" ht="66.85" hidden="false" customHeight="false" outlineLevel="0" collapsed="false">
      <c r="D434" s="0" t="s">
        <v>10387</v>
      </c>
      <c r="E434" s="0" t="s">
        <v>10388</v>
      </c>
      <c r="F434" s="0" t="s">
        <v>5342</v>
      </c>
      <c r="G434" s="57" t="s">
        <v>10389</v>
      </c>
      <c r="H434" s="57" t="s">
        <v>10211</v>
      </c>
      <c r="I434" s="34" t="s">
        <v>40</v>
      </c>
      <c r="J434" s="57" t="s">
        <v>10390</v>
      </c>
      <c r="K434" s="57" t="s">
        <v>9547</v>
      </c>
    </row>
    <row r="435" customFormat="false" ht="12.8" hidden="false" customHeight="false" outlineLevel="0" collapsed="false">
      <c r="D435" s="62"/>
      <c r="E435" s="62"/>
      <c r="F435" s="62"/>
      <c r="G435" s="57" t="s">
        <v>10391</v>
      </c>
      <c r="H435" s="57" t="s">
        <v>3792</v>
      </c>
      <c r="I435" s="34"/>
      <c r="J435" s="57" t="s">
        <v>3792</v>
      </c>
      <c r="K435" s="57" t="s">
        <v>3792</v>
      </c>
    </row>
    <row r="436" customFormat="false" ht="55.95" hidden="false" customHeight="false" outlineLevel="0" collapsed="false">
      <c r="D436" s="0" t="s">
        <v>10392</v>
      </c>
      <c r="E436" s="0" t="s">
        <v>10393</v>
      </c>
      <c r="F436" s="0" t="s">
        <v>5342</v>
      </c>
      <c r="G436" s="57" t="s">
        <v>10394</v>
      </c>
      <c r="H436" s="57" t="s">
        <v>10217</v>
      </c>
      <c r="I436" s="37" t="s">
        <v>50</v>
      </c>
      <c r="J436" s="57" t="s">
        <v>10395</v>
      </c>
      <c r="K436" s="57" t="s">
        <v>9554</v>
      </c>
    </row>
    <row r="437" customFormat="false" ht="12.8" hidden="false" customHeight="false" outlineLevel="0" collapsed="false">
      <c r="D437" s="62"/>
      <c r="E437" s="62"/>
      <c r="F437" s="62"/>
      <c r="G437" s="57" t="s">
        <v>10396</v>
      </c>
      <c r="H437" s="57" t="s">
        <v>3792</v>
      </c>
      <c r="I437" s="37"/>
      <c r="J437" s="57" t="s">
        <v>3792</v>
      </c>
      <c r="K437" s="57" t="s">
        <v>3792</v>
      </c>
    </row>
    <row r="438" customFormat="false" ht="66.85" hidden="false" customHeight="false" outlineLevel="0" collapsed="false">
      <c r="D438" s="0" t="s">
        <v>10397</v>
      </c>
      <c r="E438" s="0" t="s">
        <v>10398</v>
      </c>
      <c r="F438" s="0" t="s">
        <v>5334</v>
      </c>
      <c r="G438" s="57" t="s">
        <v>10399</v>
      </c>
      <c r="H438" s="57" t="s">
        <v>10223</v>
      </c>
      <c r="I438" s="34" t="s">
        <v>40</v>
      </c>
      <c r="J438" s="57" t="s">
        <v>10400</v>
      </c>
      <c r="K438" s="57" t="s">
        <v>9561</v>
      </c>
    </row>
    <row r="439" customFormat="false" ht="12.8" hidden="false" customHeight="false" outlineLevel="0" collapsed="false">
      <c r="D439" s="62"/>
      <c r="E439" s="62"/>
      <c r="F439" s="62"/>
      <c r="G439" s="57" t="s">
        <v>10401</v>
      </c>
      <c r="H439" s="57" t="s">
        <v>3792</v>
      </c>
      <c r="I439" s="34"/>
      <c r="J439" s="57" t="s">
        <v>3792</v>
      </c>
      <c r="K439" s="57" t="s">
        <v>3792</v>
      </c>
    </row>
    <row r="440" customFormat="false" ht="66.85" hidden="false" customHeight="false" outlineLevel="0" collapsed="false">
      <c r="D440" s="0" t="s">
        <v>10402</v>
      </c>
      <c r="E440" s="0" t="s">
        <v>10403</v>
      </c>
      <c r="F440" s="0" t="s">
        <v>5342</v>
      </c>
      <c r="G440" s="57" t="s">
        <v>10404</v>
      </c>
      <c r="H440" s="57" t="s">
        <v>10229</v>
      </c>
      <c r="I440" s="39" t="s">
        <v>67</v>
      </c>
      <c r="J440" s="57" t="s">
        <v>10405</v>
      </c>
      <c r="K440" s="57" t="s">
        <v>9568</v>
      </c>
    </row>
    <row r="441" customFormat="false" ht="12.8" hidden="false" customHeight="false" outlineLevel="0" collapsed="false">
      <c r="C441" s="65"/>
      <c r="D441" s="65"/>
      <c r="E441" s="65"/>
      <c r="F441" s="65"/>
      <c r="G441" s="57" t="s">
        <v>10406</v>
      </c>
      <c r="H441" s="57" t="s">
        <v>3792</v>
      </c>
      <c r="I441" s="39"/>
      <c r="J441" s="57" t="s">
        <v>3792</v>
      </c>
      <c r="K441" s="57" t="s">
        <v>3792</v>
      </c>
    </row>
    <row r="442" customFormat="false" ht="77.7" hidden="false" customHeight="false" outlineLevel="0" collapsed="false">
      <c r="C442" s="0" t="s">
        <v>10407</v>
      </c>
      <c r="D442" s="0" t="s">
        <v>10408</v>
      </c>
      <c r="E442" s="0" t="s">
        <v>10409</v>
      </c>
      <c r="F442" s="0" t="s">
        <v>5342</v>
      </c>
      <c r="G442" s="57" t="s">
        <v>10410</v>
      </c>
      <c r="H442" s="57" t="s">
        <v>10235</v>
      </c>
      <c r="I442" s="34" t="s">
        <v>40</v>
      </c>
      <c r="J442" s="57" t="s">
        <v>10411</v>
      </c>
      <c r="K442" s="57" t="s">
        <v>9575</v>
      </c>
    </row>
    <row r="443" customFormat="false" ht="12.8" hidden="false" customHeight="false" outlineLevel="0" collapsed="false">
      <c r="D443" s="62"/>
      <c r="E443" s="62"/>
      <c r="F443" s="62"/>
      <c r="G443" s="57" t="s">
        <v>10412</v>
      </c>
      <c r="H443" s="57" t="s">
        <v>3792</v>
      </c>
      <c r="I443" s="34"/>
      <c r="J443" s="57" t="s">
        <v>3792</v>
      </c>
      <c r="K443" s="57" t="s">
        <v>3792</v>
      </c>
    </row>
    <row r="444" customFormat="false" ht="77.7" hidden="false" customHeight="false" outlineLevel="0" collapsed="false">
      <c r="D444" s="0" t="s">
        <v>10413</v>
      </c>
      <c r="E444" s="0" t="s">
        <v>10414</v>
      </c>
      <c r="F444" s="0" t="s">
        <v>5334</v>
      </c>
      <c r="G444" s="57" t="s">
        <v>10415</v>
      </c>
      <c r="H444" s="57" t="s">
        <v>10243</v>
      </c>
      <c r="I444" s="37" t="s">
        <v>50</v>
      </c>
      <c r="J444" s="57" t="s">
        <v>10416</v>
      </c>
      <c r="K444" s="57" t="s">
        <v>9583</v>
      </c>
    </row>
    <row r="445" customFormat="false" ht="12.8" hidden="false" customHeight="false" outlineLevel="0" collapsed="false">
      <c r="D445" s="62"/>
      <c r="E445" s="62"/>
      <c r="F445" s="62"/>
      <c r="G445" s="57" t="s">
        <v>10417</v>
      </c>
      <c r="H445" s="57" t="s">
        <v>3792</v>
      </c>
      <c r="I445" s="37"/>
      <c r="J445" s="57" t="s">
        <v>3792</v>
      </c>
      <c r="K445" s="57" t="s">
        <v>3792</v>
      </c>
    </row>
    <row r="446" customFormat="false" ht="77.7" hidden="false" customHeight="false" outlineLevel="0" collapsed="false">
      <c r="D446" s="0" t="s">
        <v>10418</v>
      </c>
      <c r="E446" s="0" t="s">
        <v>10419</v>
      </c>
      <c r="F446" s="0" t="s">
        <v>5334</v>
      </c>
      <c r="G446" s="57" t="s">
        <v>10420</v>
      </c>
      <c r="H446" s="57" t="s">
        <v>10249</v>
      </c>
      <c r="I446" s="34" t="s">
        <v>40</v>
      </c>
      <c r="J446" s="57" t="s">
        <v>10421</v>
      </c>
      <c r="K446" s="57" t="s">
        <v>9590</v>
      </c>
    </row>
    <row r="447" customFormat="false" ht="12.8" hidden="false" customHeight="false" outlineLevel="0" collapsed="false">
      <c r="D447" s="62"/>
      <c r="E447" s="62"/>
      <c r="F447" s="62"/>
      <c r="G447" s="57" t="s">
        <v>10422</v>
      </c>
      <c r="H447" s="57" t="s">
        <v>3792</v>
      </c>
      <c r="I447" s="34"/>
      <c r="J447" s="57" t="s">
        <v>3792</v>
      </c>
      <c r="K447" s="57" t="s">
        <v>3792</v>
      </c>
    </row>
    <row r="448" customFormat="false" ht="77.7" hidden="false" customHeight="false" outlineLevel="0" collapsed="false">
      <c r="D448" s="0" t="s">
        <v>10423</v>
      </c>
      <c r="E448" s="0" t="s">
        <v>10424</v>
      </c>
      <c r="F448" s="0" t="s">
        <v>5342</v>
      </c>
      <c r="G448" s="57" t="s">
        <v>10425</v>
      </c>
      <c r="H448" s="57" t="s">
        <v>10255</v>
      </c>
      <c r="I448" s="39" t="s">
        <v>67</v>
      </c>
      <c r="J448" s="57" t="s">
        <v>10426</v>
      </c>
      <c r="K448" s="57" t="s">
        <v>9597</v>
      </c>
    </row>
    <row r="449" customFormat="false" ht="12.8" hidden="false" customHeight="false" outlineLevel="0" collapsed="false">
      <c r="D449" s="62"/>
      <c r="E449" s="62"/>
      <c r="F449" s="62"/>
      <c r="G449" s="57" t="s">
        <v>10427</v>
      </c>
      <c r="H449" s="57" t="s">
        <v>3792</v>
      </c>
      <c r="I449" s="39"/>
      <c r="J449" s="57" t="s">
        <v>3792</v>
      </c>
      <c r="K449" s="57" t="s">
        <v>3792</v>
      </c>
    </row>
    <row r="450" customFormat="false" ht="66.85" hidden="false" customHeight="false" outlineLevel="0" collapsed="false">
      <c r="D450" s="0" t="s">
        <v>10428</v>
      </c>
      <c r="E450" s="0" t="s">
        <v>10429</v>
      </c>
      <c r="F450" s="0" t="s">
        <v>5342</v>
      </c>
      <c r="G450" s="57" t="s">
        <v>10430</v>
      </c>
      <c r="H450" s="57" t="s">
        <v>10260</v>
      </c>
      <c r="I450" s="34" t="s">
        <v>40</v>
      </c>
      <c r="J450" s="57" t="s">
        <v>10431</v>
      </c>
      <c r="K450" s="57" t="s">
        <v>9604</v>
      </c>
    </row>
    <row r="451" customFormat="false" ht="12.8" hidden="false" customHeight="false" outlineLevel="0" collapsed="false">
      <c r="B451" s="69"/>
      <c r="C451" s="69"/>
      <c r="D451" s="69"/>
      <c r="E451" s="69"/>
      <c r="F451" s="69"/>
      <c r="G451" s="57" t="s">
        <v>10432</v>
      </c>
      <c r="H451" s="57" t="s">
        <v>3792</v>
      </c>
      <c r="I451" s="34"/>
      <c r="J451" s="69"/>
      <c r="K451" s="57" t="s">
        <v>3792</v>
      </c>
    </row>
    <row r="452" customFormat="false" ht="12.8" hidden="false" customHeight="false" outlineLevel="0" collapsed="false">
      <c r="F452" s="57"/>
      <c r="H452" s="57"/>
      <c r="K452" s="57"/>
    </row>
    <row r="453" customFormat="false" ht="12.8" hidden="false" customHeight="false" outlineLevel="0" collapsed="false">
      <c r="H453" s="57"/>
      <c r="K453" s="57"/>
    </row>
    <row r="454" customFormat="false" ht="12.8" hidden="false" customHeight="false" outlineLevel="0" collapsed="false">
      <c r="H454" s="57"/>
      <c r="K454" s="57"/>
    </row>
    <row r="455" customFormat="false" ht="12.8" hidden="false" customHeight="false" outlineLevel="0" collapsed="false">
      <c r="G455" s="0" t="s">
        <v>10433</v>
      </c>
      <c r="H455" s="57"/>
      <c r="K455" s="57"/>
    </row>
    <row r="456" customFormat="false" ht="12.8" hidden="false" customHeight="false" outlineLevel="0" collapsed="false">
      <c r="H456" s="57"/>
      <c r="K456" s="57"/>
    </row>
    <row r="457" customFormat="false" ht="12.8" hidden="false" customHeight="false" outlineLevel="0" collapsed="false">
      <c r="H457" s="57"/>
      <c r="K457" s="57"/>
    </row>
    <row r="458" customFormat="false" ht="12.8" hidden="false" customHeight="false" outlineLevel="0" collapsed="false">
      <c r="H458" s="57"/>
      <c r="K458" s="57"/>
    </row>
    <row r="459" customFormat="false" ht="12.8" hidden="false" customHeight="false" outlineLevel="0" collapsed="false">
      <c r="H459" s="57"/>
      <c r="K459" s="57"/>
    </row>
    <row r="460" customFormat="false" ht="12.8" hidden="false" customHeight="false" outlineLevel="0" collapsed="false">
      <c r="H460" s="57"/>
      <c r="K460" s="57"/>
    </row>
    <row r="461" customFormat="false" ht="12.8" hidden="false" customHeight="false" outlineLevel="0" collapsed="false">
      <c r="H461" s="57"/>
      <c r="K461" s="57"/>
    </row>
    <row r="462" customFormat="false" ht="12.8" hidden="false" customHeight="false" outlineLevel="0" collapsed="false">
      <c r="H462" s="57"/>
      <c r="K462" s="57"/>
    </row>
    <row r="463" customFormat="false" ht="12.8" hidden="false" customHeight="false" outlineLevel="0" collapsed="false">
      <c r="H463" s="57"/>
      <c r="K463" s="57"/>
    </row>
    <row r="464" customFormat="false" ht="12.8" hidden="false" customHeight="false" outlineLevel="0" collapsed="false">
      <c r="H464" s="57"/>
      <c r="K464" s="57"/>
    </row>
    <row r="465" customFormat="false" ht="12.8" hidden="false" customHeight="false" outlineLevel="0" collapsed="false">
      <c r="H465" s="57"/>
      <c r="K465" s="57"/>
    </row>
    <row r="466" customFormat="false" ht="12.8" hidden="false" customHeight="false" outlineLevel="0" collapsed="false">
      <c r="H466" s="57"/>
      <c r="K466" s="57"/>
    </row>
    <row r="467" customFormat="false" ht="12.8" hidden="false" customHeight="false" outlineLevel="0" collapsed="false">
      <c r="H467" s="57"/>
      <c r="K467" s="57"/>
    </row>
    <row r="468" customFormat="false" ht="12.8" hidden="false" customHeight="false" outlineLevel="0" collapsed="false">
      <c r="H468" s="57"/>
      <c r="K468" s="57"/>
    </row>
    <row r="469" customFormat="false" ht="12.8" hidden="false" customHeight="false" outlineLevel="0" collapsed="false">
      <c r="H469" s="57"/>
      <c r="K469" s="62"/>
    </row>
    <row r="470" customFormat="false" ht="12.8" hidden="false" customHeight="false" outlineLevel="0" collapsed="false">
      <c r="H470" s="57"/>
    </row>
    <row r="471" customFormat="false" ht="12.8" hidden="false" customHeight="false" outlineLevel="0" collapsed="false">
      <c r="H471" s="57"/>
    </row>
    <row r="472" customFormat="false" ht="12.8" hidden="false" customHeight="false" outlineLevel="0" collapsed="false">
      <c r="H472" s="57"/>
    </row>
    <row r="473" customFormat="false" ht="12.8" hidden="false" customHeight="false" outlineLevel="0" collapsed="false">
      <c r="H473" s="57"/>
    </row>
    <row r="474" customFormat="false" ht="12.8" hidden="false" customHeight="false" outlineLevel="0" collapsed="false">
      <c r="H474" s="57"/>
    </row>
    <row r="475" customFormat="false" ht="12.8" hidden="false" customHeight="false" outlineLevel="0" collapsed="false">
      <c r="H475" s="57"/>
    </row>
    <row r="476" customFormat="false" ht="12.8" hidden="false" customHeight="false" outlineLevel="0" collapsed="false">
      <c r="H476" s="57"/>
    </row>
    <row r="477" customFormat="false" ht="12.8" hidden="false" customHeight="false" outlineLevel="0" collapsed="false">
      <c r="H477" s="57"/>
    </row>
    <row r="478" customFormat="false" ht="12.8" hidden="false" customHeight="false" outlineLevel="0" collapsed="false">
      <c r="H478" s="57"/>
    </row>
    <row r="479" customFormat="false" ht="12.8" hidden="false" customHeight="false" outlineLevel="0" collapsed="false">
      <c r="H479" s="57"/>
    </row>
    <row r="480" customFormat="false" ht="12.8" hidden="false" customHeight="false" outlineLevel="0" collapsed="false">
      <c r="H480" s="57"/>
    </row>
    <row r="481" customFormat="false" ht="12.8" hidden="false" customHeight="false" outlineLevel="0" collapsed="false">
      <c r="H481" s="57"/>
    </row>
    <row r="482" customFormat="false" ht="12.8" hidden="false" customHeight="false" outlineLevel="0" collapsed="false">
      <c r="H482" s="57"/>
    </row>
    <row r="483" customFormat="false" ht="12.8" hidden="false" customHeight="false" outlineLevel="0" collapsed="false">
      <c r="H483" s="57"/>
    </row>
    <row r="484" customFormat="false" ht="12.8" hidden="false" customHeight="false" outlineLevel="0" collapsed="false">
      <c r="H484" s="57"/>
    </row>
    <row r="485" customFormat="false" ht="12.8" hidden="false" customHeight="false" outlineLevel="0" collapsed="false">
      <c r="H485" s="57"/>
    </row>
    <row r="486" customFormat="false" ht="12.8" hidden="false" customHeight="false" outlineLevel="0" collapsed="false">
      <c r="H486" s="57"/>
    </row>
    <row r="487" customFormat="false" ht="12.8" hidden="false" customHeight="false" outlineLevel="0" collapsed="false">
      <c r="H487" s="57"/>
    </row>
    <row r="488" customFormat="false" ht="12.8" hidden="false" customHeight="false" outlineLevel="0" collapsed="false">
      <c r="H488" s="57"/>
    </row>
    <row r="489" customFormat="false" ht="12.8" hidden="false" customHeight="false" outlineLevel="0" collapsed="false">
      <c r="H489" s="57"/>
    </row>
    <row r="490" customFormat="false" ht="12.8" hidden="false" customHeight="false" outlineLevel="0" collapsed="false">
      <c r="H490" s="57"/>
    </row>
    <row r="491" customFormat="false" ht="12.8" hidden="false" customHeight="false" outlineLevel="0" collapsed="false">
      <c r="H491" s="57"/>
    </row>
    <row r="492" customFormat="false" ht="12.8" hidden="false" customHeight="false" outlineLevel="0" collapsed="false">
      <c r="H492" s="57"/>
    </row>
    <row r="493" customFormat="false" ht="12.8" hidden="false" customHeight="false" outlineLevel="0" collapsed="false">
      <c r="H493" s="57"/>
    </row>
    <row r="494" customFormat="false" ht="12.8" hidden="false" customHeight="false" outlineLevel="0" collapsed="false">
      <c r="H494" s="57"/>
    </row>
    <row r="495" customFormat="false" ht="12.8" hidden="false" customHeight="false" outlineLevel="0" collapsed="false">
      <c r="H495" s="57"/>
    </row>
    <row r="496" customFormat="false" ht="12.8" hidden="false" customHeight="false" outlineLevel="0" collapsed="false">
      <c r="H496" s="57"/>
    </row>
    <row r="497" customFormat="false" ht="12.8" hidden="false" customHeight="false" outlineLevel="0" collapsed="false">
      <c r="H497" s="57"/>
    </row>
    <row r="498" customFormat="false" ht="12.8" hidden="false" customHeight="false" outlineLevel="0" collapsed="false">
      <c r="H498" s="57"/>
    </row>
    <row r="499" customFormat="false" ht="12.8" hidden="false" customHeight="false" outlineLevel="0" collapsed="false">
      <c r="H499" s="57"/>
    </row>
    <row r="500" customFormat="false" ht="12.8" hidden="false" customHeight="false" outlineLevel="0" collapsed="false">
      <c r="H500" s="57"/>
    </row>
    <row r="501" customFormat="false" ht="12.8" hidden="false" customHeight="false" outlineLevel="0" collapsed="false">
      <c r="H501" s="57"/>
    </row>
    <row r="502" customFormat="false" ht="12.8" hidden="false" customHeight="false" outlineLevel="0" collapsed="false">
      <c r="H502" s="57"/>
    </row>
    <row r="503" customFormat="false" ht="12.8" hidden="false" customHeight="false" outlineLevel="0" collapsed="false">
      <c r="H503" s="57"/>
    </row>
    <row r="504" customFormat="false" ht="12.8" hidden="false" customHeight="false" outlineLevel="0" collapsed="false">
      <c r="H504" s="57"/>
    </row>
    <row r="505" customFormat="false" ht="12.8" hidden="false" customHeight="false" outlineLevel="0" collapsed="false">
      <c r="H505" s="57"/>
    </row>
    <row r="506" customFormat="false" ht="12.8" hidden="false" customHeight="false" outlineLevel="0" collapsed="false">
      <c r="H506" s="57"/>
    </row>
    <row r="507" customFormat="false" ht="12.8" hidden="false" customHeight="false" outlineLevel="0" collapsed="false">
      <c r="H507" s="57"/>
    </row>
    <row r="508" customFormat="false" ht="12.8" hidden="false" customHeight="false" outlineLevel="0" collapsed="false">
      <c r="H508" s="57"/>
    </row>
    <row r="509" customFormat="false" ht="12.8" hidden="false" customHeight="false" outlineLevel="0" collapsed="false">
      <c r="H509" s="57"/>
    </row>
    <row r="510" customFormat="false" ht="12.8" hidden="false" customHeight="false" outlineLevel="0" collapsed="false">
      <c r="H510" s="57"/>
    </row>
    <row r="511" customFormat="false" ht="12.8" hidden="false" customHeight="false" outlineLevel="0" collapsed="false">
      <c r="H511" s="57" t="s">
        <v>3792</v>
      </c>
    </row>
  </sheetData>
  <mergeCells count="225">
    <mergeCell ref="I2:I3"/>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I44:I45"/>
    <mergeCell ref="I46:I47"/>
    <mergeCell ref="I48:I49"/>
    <mergeCell ref="I50:I51"/>
    <mergeCell ref="I52:I53"/>
    <mergeCell ref="I54:I55"/>
    <mergeCell ref="I56:I57"/>
    <mergeCell ref="I58:I59"/>
    <mergeCell ref="I60:I61"/>
    <mergeCell ref="I62:I63"/>
    <mergeCell ref="I64:I65"/>
    <mergeCell ref="I66:I67"/>
    <mergeCell ref="I68:I69"/>
    <mergeCell ref="I70:I71"/>
    <mergeCell ref="I72:I73"/>
    <mergeCell ref="I74:I75"/>
    <mergeCell ref="I76:I77"/>
    <mergeCell ref="I78:I79"/>
    <mergeCell ref="I80:I81"/>
    <mergeCell ref="I82:I83"/>
    <mergeCell ref="I84:I85"/>
    <mergeCell ref="I86:I87"/>
    <mergeCell ref="I88:I89"/>
    <mergeCell ref="I90:I91"/>
    <mergeCell ref="I92:I93"/>
    <mergeCell ref="I94:I95"/>
    <mergeCell ref="I96:I97"/>
    <mergeCell ref="I98:I99"/>
    <mergeCell ref="I100:I101"/>
    <mergeCell ref="I102:I103"/>
    <mergeCell ref="I104:I105"/>
    <mergeCell ref="I106:I107"/>
    <mergeCell ref="I108:I109"/>
    <mergeCell ref="I110:I111"/>
    <mergeCell ref="I112:I113"/>
    <mergeCell ref="I114:I115"/>
    <mergeCell ref="I116:I117"/>
    <mergeCell ref="I118:I119"/>
    <mergeCell ref="I120:I121"/>
    <mergeCell ref="I122:I123"/>
    <mergeCell ref="I124:I125"/>
    <mergeCell ref="I126:I127"/>
    <mergeCell ref="I128:I129"/>
    <mergeCell ref="I130:I131"/>
    <mergeCell ref="I132:I133"/>
    <mergeCell ref="I134:I135"/>
    <mergeCell ref="I136:I137"/>
    <mergeCell ref="I138:I139"/>
    <mergeCell ref="I140:I141"/>
    <mergeCell ref="I142:I143"/>
    <mergeCell ref="I144:I145"/>
    <mergeCell ref="I146:I147"/>
    <mergeCell ref="I148:I149"/>
    <mergeCell ref="I150:I151"/>
    <mergeCell ref="I152:I153"/>
    <mergeCell ref="I154:I155"/>
    <mergeCell ref="I156:I157"/>
    <mergeCell ref="I158:I159"/>
    <mergeCell ref="I160:I161"/>
    <mergeCell ref="I162:I163"/>
    <mergeCell ref="I164:I165"/>
    <mergeCell ref="I166:I167"/>
    <mergeCell ref="I168:I169"/>
    <mergeCell ref="I170:I171"/>
    <mergeCell ref="I172:I173"/>
    <mergeCell ref="I174:I175"/>
    <mergeCell ref="I176:I177"/>
    <mergeCell ref="I178:I179"/>
    <mergeCell ref="I180:I181"/>
    <mergeCell ref="I182:I183"/>
    <mergeCell ref="I184:I185"/>
    <mergeCell ref="I186:I187"/>
    <mergeCell ref="I188:I189"/>
    <mergeCell ref="I190:I191"/>
    <mergeCell ref="I192:I193"/>
    <mergeCell ref="I194:I195"/>
    <mergeCell ref="I196:I197"/>
    <mergeCell ref="I198:I199"/>
    <mergeCell ref="I200:I201"/>
    <mergeCell ref="I202:I203"/>
    <mergeCell ref="I204:I205"/>
    <mergeCell ref="I206:I207"/>
    <mergeCell ref="I208:I209"/>
    <mergeCell ref="I210:I211"/>
    <mergeCell ref="I212:I213"/>
    <mergeCell ref="I214:I215"/>
    <mergeCell ref="I216:I217"/>
    <mergeCell ref="I218:I219"/>
    <mergeCell ref="I220:I221"/>
    <mergeCell ref="I222:I223"/>
    <mergeCell ref="I224:I225"/>
    <mergeCell ref="I226:I227"/>
    <mergeCell ref="I228:I229"/>
    <mergeCell ref="I230:I231"/>
    <mergeCell ref="I232:I233"/>
    <mergeCell ref="I234:I235"/>
    <mergeCell ref="I236:I237"/>
    <mergeCell ref="I238:I239"/>
    <mergeCell ref="I240:I241"/>
    <mergeCell ref="I242:I243"/>
    <mergeCell ref="I244:I245"/>
    <mergeCell ref="I246:I247"/>
    <mergeCell ref="I248:I249"/>
    <mergeCell ref="I250:I251"/>
    <mergeCell ref="I252:I253"/>
    <mergeCell ref="I254:I255"/>
    <mergeCell ref="I256:I257"/>
    <mergeCell ref="I258:I259"/>
    <mergeCell ref="I260:I261"/>
    <mergeCell ref="I262:I263"/>
    <mergeCell ref="I264:I265"/>
    <mergeCell ref="I266:I267"/>
    <mergeCell ref="I268:I269"/>
    <mergeCell ref="I270:I271"/>
    <mergeCell ref="I272:I273"/>
    <mergeCell ref="I274:I275"/>
    <mergeCell ref="I276:I277"/>
    <mergeCell ref="I278:I279"/>
    <mergeCell ref="I280:I281"/>
    <mergeCell ref="I282:I283"/>
    <mergeCell ref="I284:I285"/>
    <mergeCell ref="I286:I287"/>
    <mergeCell ref="I288:I289"/>
    <mergeCell ref="I290:I291"/>
    <mergeCell ref="I292:I293"/>
    <mergeCell ref="I294:I295"/>
    <mergeCell ref="I296:I297"/>
    <mergeCell ref="I298:I299"/>
    <mergeCell ref="I300:I301"/>
    <mergeCell ref="I302:I303"/>
    <mergeCell ref="I304:I305"/>
    <mergeCell ref="I306:I307"/>
    <mergeCell ref="I308:I309"/>
    <mergeCell ref="I310:I311"/>
    <mergeCell ref="I312:I313"/>
    <mergeCell ref="I314:I315"/>
    <mergeCell ref="I316:I317"/>
    <mergeCell ref="I318:I319"/>
    <mergeCell ref="I320:I321"/>
    <mergeCell ref="I322:I323"/>
    <mergeCell ref="I324:I325"/>
    <mergeCell ref="I326:I327"/>
    <mergeCell ref="I328:I329"/>
    <mergeCell ref="I330:I331"/>
    <mergeCell ref="I332:I333"/>
    <mergeCell ref="I334:I335"/>
    <mergeCell ref="I336:I337"/>
    <mergeCell ref="I338:I339"/>
    <mergeCell ref="I340:I341"/>
    <mergeCell ref="I342:I343"/>
    <mergeCell ref="I344:I345"/>
    <mergeCell ref="I346:I347"/>
    <mergeCell ref="I348:I349"/>
    <mergeCell ref="I350:I351"/>
    <mergeCell ref="I352:I353"/>
    <mergeCell ref="I354:I355"/>
    <mergeCell ref="I356:I357"/>
    <mergeCell ref="I358:I359"/>
    <mergeCell ref="I360:I361"/>
    <mergeCell ref="I362:I363"/>
    <mergeCell ref="I364:I365"/>
    <mergeCell ref="I366:I367"/>
    <mergeCell ref="I368:I369"/>
    <mergeCell ref="I370:I371"/>
    <mergeCell ref="I372:I373"/>
    <mergeCell ref="I374:I375"/>
    <mergeCell ref="I376:I377"/>
    <mergeCell ref="I378:I379"/>
    <mergeCell ref="I380:I381"/>
    <mergeCell ref="I382:I383"/>
    <mergeCell ref="I384:I385"/>
    <mergeCell ref="I386:I387"/>
    <mergeCell ref="I388:I389"/>
    <mergeCell ref="I390:I391"/>
    <mergeCell ref="I392:I393"/>
    <mergeCell ref="I394:I395"/>
    <mergeCell ref="I396:I397"/>
    <mergeCell ref="I398:I399"/>
    <mergeCell ref="I400:I401"/>
    <mergeCell ref="I402:I403"/>
    <mergeCell ref="I404:I405"/>
    <mergeCell ref="I406:I407"/>
    <mergeCell ref="I408:I409"/>
    <mergeCell ref="I410:I411"/>
    <mergeCell ref="I412:I413"/>
    <mergeCell ref="I414:I415"/>
    <mergeCell ref="I416:I417"/>
    <mergeCell ref="I418:I419"/>
    <mergeCell ref="I420:I421"/>
    <mergeCell ref="I422:I423"/>
    <mergeCell ref="I424:I425"/>
    <mergeCell ref="I426:I427"/>
    <mergeCell ref="I428:I429"/>
    <mergeCell ref="I430:I431"/>
    <mergeCell ref="I432:I433"/>
    <mergeCell ref="I434:I435"/>
    <mergeCell ref="I436:I437"/>
    <mergeCell ref="I438:I439"/>
    <mergeCell ref="I440:I441"/>
    <mergeCell ref="I442:I443"/>
    <mergeCell ref="I444:I445"/>
    <mergeCell ref="I446:I447"/>
    <mergeCell ref="I448:I449"/>
    <mergeCell ref="I450:I45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60"/>
  <sheetViews>
    <sheetView showFormulas="false" showGridLines="true" showRowColHeaders="true" showZeros="true" rightToLeft="false" tabSelected="false" showOutlineSymbols="true" defaultGridColor="true" view="normal" topLeftCell="D588" colorId="64" zoomScale="124" zoomScaleNormal="124"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32.06"/>
    <col collapsed="false" customWidth="true" hidden="false" outlineLevel="0" max="2" min="2" style="0" width="41.15"/>
    <col collapsed="false" customWidth="true" hidden="false" outlineLevel="0" max="3" min="3" style="0" width="19.33"/>
    <col collapsed="false" customWidth="true" hidden="false" outlineLevel="0" max="4" min="4" style="0" width="44.23"/>
    <col collapsed="false" customWidth="true" hidden="false" outlineLevel="0" max="5" min="5" style="0" width="50.42"/>
    <col collapsed="false" customWidth="true" hidden="false" outlineLevel="0" max="6" min="6" style="0" width="56.51"/>
    <col collapsed="false" customWidth="true" hidden="false" outlineLevel="0" max="7" min="7" style="0" width="62.31"/>
    <col collapsed="false" customWidth="true" hidden="false" outlineLevel="0" max="10" min="10" style="0" width="22.55"/>
    <col collapsed="false" customWidth="true" hidden="false" outlineLevel="0" max="11" min="11" style="0" width="111.58"/>
  </cols>
  <sheetData>
    <row r="1" customFormat="false" ht="15" hidden="false" customHeight="false" outlineLevel="0" collapsed="false">
      <c r="A1" s="45" t="s">
        <v>5328</v>
      </c>
      <c r="B1" s="45" t="s">
        <v>3775</v>
      </c>
      <c r="C1" s="46" t="s">
        <v>3776</v>
      </c>
      <c r="D1" s="46" t="s">
        <v>3777</v>
      </c>
      <c r="E1" s="46" t="s">
        <v>3778</v>
      </c>
      <c r="F1" s="46" t="s">
        <v>27</v>
      </c>
      <c r="G1" s="46" t="s">
        <v>3779</v>
      </c>
      <c r="H1" s="46" t="s">
        <v>28</v>
      </c>
      <c r="I1" s="45" t="s">
        <v>29</v>
      </c>
      <c r="J1" s="46" t="s">
        <v>3780</v>
      </c>
      <c r="K1" s="58" t="s">
        <v>3781</v>
      </c>
    </row>
    <row r="2" customFormat="false" ht="41.75" hidden="false" customHeight="true" outlineLevel="0" collapsed="false">
      <c r="A2" s="74" t="s">
        <v>10434</v>
      </c>
      <c r="B2" s="74" t="s">
        <v>10435</v>
      </c>
      <c r="C2" s="75" t="s">
        <v>10436</v>
      </c>
      <c r="D2" s="76" t="s">
        <v>10437</v>
      </c>
      <c r="E2" s="57" t="s">
        <v>10438</v>
      </c>
      <c r="F2" s="57" t="s">
        <v>3787</v>
      </c>
      <c r="G2" s="57" t="s">
        <v>10439</v>
      </c>
      <c r="H2" s="77" t="s">
        <v>10440</v>
      </c>
      <c r="I2" s="34" t="s">
        <v>40</v>
      </c>
      <c r="J2" s="78" t="s">
        <v>10441</v>
      </c>
      <c r="K2" s="79" t="s">
        <v>10442</v>
      </c>
    </row>
    <row r="3" customFormat="false" ht="55.2" hidden="false" customHeight="false" outlineLevel="0" collapsed="false">
      <c r="A3" s="74"/>
      <c r="B3" s="74"/>
      <c r="C3" s="74"/>
      <c r="D3" s="76"/>
      <c r="E3" s="57" t="s">
        <v>3792</v>
      </c>
      <c r="F3" s="57" t="s">
        <v>3792</v>
      </c>
      <c r="G3" s="57" t="s">
        <v>10443</v>
      </c>
      <c r="H3" s="77"/>
      <c r="I3" s="34"/>
      <c r="J3" s="78" t="s">
        <v>10444</v>
      </c>
      <c r="K3" s="79" t="s">
        <v>10445</v>
      </c>
    </row>
    <row r="4" customFormat="false" ht="55.2" hidden="false" customHeight="false" outlineLevel="0" collapsed="false">
      <c r="A4" s="74"/>
      <c r="B4" s="74"/>
      <c r="C4" s="74"/>
      <c r="D4" s="76" t="s">
        <v>10446</v>
      </c>
      <c r="E4" s="57" t="s">
        <v>10447</v>
      </c>
      <c r="F4" s="57" t="s">
        <v>3797</v>
      </c>
      <c r="G4" s="57" t="s">
        <v>10448</v>
      </c>
      <c r="H4" s="77" t="s">
        <v>10449</v>
      </c>
      <c r="I4" s="37" t="s">
        <v>50</v>
      </c>
      <c r="J4" s="78" t="s">
        <v>10450</v>
      </c>
      <c r="K4" s="79" t="s">
        <v>10451</v>
      </c>
    </row>
    <row r="5" customFormat="false" ht="41.75" hidden="false" customHeight="false" outlineLevel="0" collapsed="false">
      <c r="A5" s="74"/>
      <c r="B5" s="74"/>
      <c r="C5" s="74"/>
      <c r="D5" s="76"/>
      <c r="E5" s="57" t="s">
        <v>3792</v>
      </c>
      <c r="F5" s="57" t="s">
        <v>3792</v>
      </c>
      <c r="G5" s="57" t="s">
        <v>10452</v>
      </c>
      <c r="H5" s="77"/>
      <c r="I5" s="37"/>
      <c r="J5" s="78" t="s">
        <v>10453</v>
      </c>
      <c r="K5" s="79" t="s">
        <v>10454</v>
      </c>
    </row>
    <row r="6" customFormat="false" ht="55.2" hidden="false" customHeight="false" outlineLevel="0" collapsed="false">
      <c r="A6" s="74"/>
      <c r="B6" s="74"/>
      <c r="C6" s="74"/>
      <c r="D6" s="76" t="s">
        <v>10455</v>
      </c>
      <c r="E6" s="57" t="s">
        <v>10456</v>
      </c>
      <c r="F6" s="57" t="s">
        <v>3806</v>
      </c>
      <c r="G6" s="57" t="s">
        <v>10457</v>
      </c>
      <c r="H6" s="77" t="s">
        <v>10458</v>
      </c>
      <c r="I6" s="34" t="s">
        <v>40</v>
      </c>
      <c r="J6" s="78" t="s">
        <v>10459</v>
      </c>
      <c r="K6" s="79" t="s">
        <v>10460</v>
      </c>
    </row>
    <row r="7" customFormat="false" ht="41.75" hidden="false" customHeight="false" outlineLevel="0" collapsed="false">
      <c r="A7" s="74"/>
      <c r="B7" s="74"/>
      <c r="C7" s="74"/>
      <c r="D7" s="76"/>
      <c r="E7" s="57" t="s">
        <v>3792</v>
      </c>
      <c r="F7" s="57" t="s">
        <v>3792</v>
      </c>
      <c r="G7" s="57" t="s">
        <v>10461</v>
      </c>
      <c r="H7" s="77"/>
      <c r="I7" s="34"/>
      <c r="J7" s="78" t="s">
        <v>10462</v>
      </c>
      <c r="K7" s="79" t="s">
        <v>10463</v>
      </c>
    </row>
    <row r="8" customFormat="false" ht="40.4" hidden="false" customHeight="false" outlineLevel="0" collapsed="false">
      <c r="A8" s="74"/>
      <c r="B8" s="74"/>
      <c r="C8" s="74"/>
      <c r="D8" s="76" t="s">
        <v>10464</v>
      </c>
      <c r="E8" s="57" t="s">
        <v>10465</v>
      </c>
      <c r="F8" s="57" t="s">
        <v>3787</v>
      </c>
      <c r="G8" s="57" t="s">
        <v>10466</v>
      </c>
      <c r="H8" s="77" t="s">
        <v>10467</v>
      </c>
      <c r="I8" s="39" t="s">
        <v>67</v>
      </c>
      <c r="J8" s="78" t="s">
        <v>10468</v>
      </c>
      <c r="K8" s="79" t="s">
        <v>10469</v>
      </c>
    </row>
    <row r="9" customFormat="false" ht="27.95" hidden="false" customHeight="false" outlineLevel="0" collapsed="false">
      <c r="A9" s="74"/>
      <c r="B9" s="74"/>
      <c r="C9" s="74"/>
      <c r="D9" s="76"/>
      <c r="E9" s="57" t="s">
        <v>3792</v>
      </c>
      <c r="F9" s="57" t="s">
        <v>3792</v>
      </c>
      <c r="G9" s="57" t="s">
        <v>10470</v>
      </c>
      <c r="H9" s="77"/>
      <c r="I9" s="39"/>
      <c r="J9" s="78" t="s">
        <v>10471</v>
      </c>
      <c r="K9" s="79" t="s">
        <v>10472</v>
      </c>
    </row>
    <row r="10" customFormat="false" ht="41.75" hidden="false" customHeight="false" outlineLevel="0" collapsed="false">
      <c r="A10" s="74"/>
      <c r="B10" s="74"/>
      <c r="C10" s="74"/>
      <c r="D10" s="76" t="s">
        <v>10473</v>
      </c>
      <c r="E10" s="57" t="s">
        <v>10474</v>
      </c>
      <c r="F10" s="57" t="s">
        <v>3806</v>
      </c>
      <c r="G10" s="57" t="s">
        <v>10475</v>
      </c>
      <c r="H10" s="77" t="s">
        <v>10476</v>
      </c>
      <c r="I10" s="34" t="s">
        <v>40</v>
      </c>
      <c r="J10" s="78" t="s">
        <v>10477</v>
      </c>
      <c r="K10" s="79" t="s">
        <v>10478</v>
      </c>
    </row>
    <row r="11" customFormat="false" ht="27.95" hidden="false" customHeight="false" outlineLevel="0" collapsed="false">
      <c r="A11" s="74"/>
      <c r="B11" s="74"/>
      <c r="C11" s="74"/>
      <c r="D11" s="76"/>
      <c r="E11" s="57" t="s">
        <v>3792</v>
      </c>
      <c r="F11" s="57" t="s">
        <v>3792</v>
      </c>
      <c r="G11" s="57" t="s">
        <v>10479</v>
      </c>
      <c r="H11" s="77"/>
      <c r="I11" s="34"/>
      <c r="J11" s="78" t="s">
        <v>10480</v>
      </c>
      <c r="K11" s="79" t="s">
        <v>10481</v>
      </c>
    </row>
    <row r="12" customFormat="false" ht="41.75" hidden="false" customHeight="true" outlineLevel="0" collapsed="false">
      <c r="A12" s="74"/>
      <c r="B12" s="74"/>
      <c r="C12" s="75" t="s">
        <v>10482</v>
      </c>
      <c r="D12" s="76" t="s">
        <v>10483</v>
      </c>
      <c r="E12" s="57" t="s">
        <v>10484</v>
      </c>
      <c r="F12" s="57" t="s">
        <v>3797</v>
      </c>
      <c r="G12" s="57" t="s">
        <v>10485</v>
      </c>
      <c r="H12" s="77" t="s">
        <v>10486</v>
      </c>
      <c r="I12" s="37" t="s">
        <v>50</v>
      </c>
      <c r="J12" s="78" t="s">
        <v>10487</v>
      </c>
      <c r="K12" s="79" t="s">
        <v>10488</v>
      </c>
    </row>
    <row r="13" customFormat="false" ht="27.95" hidden="false" customHeight="false" outlineLevel="0" collapsed="false">
      <c r="A13" s="74"/>
      <c r="B13" s="74"/>
      <c r="C13" s="74"/>
      <c r="D13" s="76"/>
      <c r="E13" s="57" t="s">
        <v>3792</v>
      </c>
      <c r="F13" s="57" t="s">
        <v>3792</v>
      </c>
      <c r="G13" s="57" t="s">
        <v>10489</v>
      </c>
      <c r="H13" s="77"/>
      <c r="I13" s="37"/>
      <c r="J13" s="78" t="s">
        <v>10490</v>
      </c>
      <c r="K13" s="79" t="s">
        <v>10491</v>
      </c>
    </row>
    <row r="14" customFormat="false" ht="55.2" hidden="false" customHeight="false" outlineLevel="0" collapsed="false">
      <c r="A14" s="74"/>
      <c r="B14" s="74"/>
      <c r="C14" s="74"/>
      <c r="D14" s="76" t="s">
        <v>10492</v>
      </c>
      <c r="E14" s="57" t="s">
        <v>10493</v>
      </c>
      <c r="F14" s="57" t="s">
        <v>3787</v>
      </c>
      <c r="G14" s="57" t="s">
        <v>10494</v>
      </c>
      <c r="H14" s="77" t="s">
        <v>10495</v>
      </c>
      <c r="I14" s="34" t="s">
        <v>40</v>
      </c>
      <c r="J14" s="78" t="s">
        <v>10496</v>
      </c>
      <c r="K14" s="79" t="s">
        <v>10497</v>
      </c>
    </row>
    <row r="15" customFormat="false" ht="41.75" hidden="false" customHeight="false" outlineLevel="0" collapsed="false">
      <c r="A15" s="74"/>
      <c r="B15" s="74"/>
      <c r="C15" s="74"/>
      <c r="D15" s="76"/>
      <c r="E15" s="57" t="s">
        <v>3792</v>
      </c>
      <c r="F15" s="57" t="s">
        <v>3792</v>
      </c>
      <c r="G15" s="57" t="s">
        <v>10498</v>
      </c>
      <c r="H15" s="77"/>
      <c r="I15" s="34"/>
      <c r="J15" s="78" t="s">
        <v>10499</v>
      </c>
      <c r="K15" s="79" t="s">
        <v>10500</v>
      </c>
    </row>
    <row r="16" customFormat="false" ht="55.2" hidden="false" customHeight="false" outlineLevel="0" collapsed="false">
      <c r="A16" s="74"/>
      <c r="B16" s="74"/>
      <c r="C16" s="74"/>
      <c r="D16" s="76" t="s">
        <v>10501</v>
      </c>
      <c r="E16" s="57" t="s">
        <v>10502</v>
      </c>
      <c r="F16" s="57" t="s">
        <v>3797</v>
      </c>
      <c r="G16" s="57" t="s">
        <v>10503</v>
      </c>
      <c r="H16" s="77" t="s">
        <v>10504</v>
      </c>
      <c r="I16" s="39" t="s">
        <v>67</v>
      </c>
      <c r="J16" s="78" t="s">
        <v>10505</v>
      </c>
      <c r="K16" s="79" t="s">
        <v>10506</v>
      </c>
    </row>
    <row r="17" customFormat="false" ht="27.95" hidden="false" customHeight="false" outlineLevel="0" collapsed="false">
      <c r="A17" s="74"/>
      <c r="B17" s="74"/>
      <c r="C17" s="74"/>
      <c r="D17" s="76"/>
      <c r="E17" s="57" t="s">
        <v>3792</v>
      </c>
      <c r="F17" s="57" t="s">
        <v>3792</v>
      </c>
      <c r="G17" s="57" t="s">
        <v>10507</v>
      </c>
      <c r="H17" s="77"/>
      <c r="I17" s="39"/>
      <c r="J17" s="78" t="s">
        <v>10508</v>
      </c>
      <c r="K17" s="79" t="s">
        <v>10509</v>
      </c>
    </row>
    <row r="18" customFormat="false" ht="41.75" hidden="false" customHeight="false" outlineLevel="0" collapsed="false">
      <c r="A18" s="74"/>
      <c r="B18" s="74"/>
      <c r="C18" s="74"/>
      <c r="D18" s="76" t="s">
        <v>10510</v>
      </c>
      <c r="E18" s="57" t="s">
        <v>10511</v>
      </c>
      <c r="F18" s="57" t="s">
        <v>3806</v>
      </c>
      <c r="G18" s="57" t="s">
        <v>10512</v>
      </c>
      <c r="H18" s="77" t="s">
        <v>10513</v>
      </c>
      <c r="I18" s="34" t="s">
        <v>40</v>
      </c>
      <c r="J18" s="78" t="s">
        <v>10514</v>
      </c>
      <c r="K18" s="79" t="s">
        <v>10515</v>
      </c>
    </row>
    <row r="19" customFormat="false" ht="40.4" hidden="false" customHeight="false" outlineLevel="0" collapsed="false">
      <c r="A19" s="74"/>
      <c r="B19" s="74"/>
      <c r="C19" s="74"/>
      <c r="D19" s="76"/>
      <c r="E19" s="57" t="s">
        <v>3792</v>
      </c>
      <c r="F19" s="57" t="s">
        <v>3792</v>
      </c>
      <c r="G19" s="57" t="s">
        <v>10516</v>
      </c>
      <c r="H19" s="77"/>
      <c r="I19" s="34"/>
      <c r="J19" s="78" t="s">
        <v>10517</v>
      </c>
      <c r="K19" s="79" t="s">
        <v>10518</v>
      </c>
    </row>
    <row r="20" customFormat="false" ht="41.75" hidden="false" customHeight="false" outlineLevel="0" collapsed="false">
      <c r="A20" s="74"/>
      <c r="B20" s="74"/>
      <c r="C20" s="74"/>
      <c r="D20" s="76" t="s">
        <v>10519</v>
      </c>
      <c r="E20" s="57" t="s">
        <v>10520</v>
      </c>
      <c r="F20" s="57" t="s">
        <v>3797</v>
      </c>
      <c r="G20" s="57" t="s">
        <v>10521</v>
      </c>
      <c r="H20" s="77" t="s">
        <v>10522</v>
      </c>
      <c r="I20" s="37" t="s">
        <v>50</v>
      </c>
      <c r="J20" s="78" t="s">
        <v>10523</v>
      </c>
      <c r="K20" s="79" t="s">
        <v>10524</v>
      </c>
    </row>
    <row r="21" customFormat="false" ht="27.95" hidden="false" customHeight="false" outlineLevel="0" collapsed="false">
      <c r="A21" s="74"/>
      <c r="B21" s="74"/>
      <c r="C21" s="74"/>
      <c r="D21" s="76"/>
      <c r="E21" s="57" t="s">
        <v>3792</v>
      </c>
      <c r="F21" s="57" t="s">
        <v>3792</v>
      </c>
      <c r="G21" s="57" t="s">
        <v>10525</v>
      </c>
      <c r="H21" s="77"/>
      <c r="I21" s="37"/>
      <c r="J21" s="78" t="s">
        <v>10526</v>
      </c>
      <c r="K21" s="79" t="s">
        <v>10527</v>
      </c>
    </row>
    <row r="22" customFormat="false" ht="27.95" hidden="false" customHeight="true" outlineLevel="0" collapsed="false">
      <c r="A22" s="74"/>
      <c r="B22" s="74"/>
      <c r="C22" s="75" t="s">
        <v>10528</v>
      </c>
      <c r="D22" s="76" t="s">
        <v>10529</v>
      </c>
      <c r="E22" s="57" t="s">
        <v>10530</v>
      </c>
      <c r="F22" s="57" t="s">
        <v>3787</v>
      </c>
      <c r="G22" s="57" t="s">
        <v>10531</v>
      </c>
      <c r="H22" s="77" t="s">
        <v>10532</v>
      </c>
      <c r="I22" s="34" t="s">
        <v>40</v>
      </c>
      <c r="J22" s="78" t="s">
        <v>10533</v>
      </c>
      <c r="K22" s="79" t="s">
        <v>10534</v>
      </c>
    </row>
    <row r="23" customFormat="false" ht="54.4" hidden="false" customHeight="false" outlineLevel="0" collapsed="false">
      <c r="A23" s="74"/>
      <c r="B23" s="74"/>
      <c r="C23" s="74"/>
      <c r="D23" s="76"/>
      <c r="E23" s="57" t="s">
        <v>3792</v>
      </c>
      <c r="F23" s="57" t="s">
        <v>3792</v>
      </c>
      <c r="G23" s="57" t="s">
        <v>10535</v>
      </c>
      <c r="H23" s="77"/>
      <c r="I23" s="34"/>
      <c r="J23" s="78" t="s">
        <v>10536</v>
      </c>
      <c r="K23" s="79" t="s">
        <v>10537</v>
      </c>
    </row>
    <row r="24" customFormat="false" ht="55.2" hidden="false" customHeight="false" outlineLevel="0" collapsed="false">
      <c r="A24" s="74"/>
      <c r="B24" s="74"/>
      <c r="C24" s="74"/>
      <c r="D24" s="76" t="s">
        <v>10538</v>
      </c>
      <c r="E24" s="57" t="s">
        <v>10539</v>
      </c>
      <c r="F24" s="57" t="s">
        <v>3806</v>
      </c>
      <c r="G24" s="57" t="s">
        <v>10540</v>
      </c>
      <c r="H24" s="77" t="s">
        <v>10541</v>
      </c>
      <c r="I24" s="39" t="s">
        <v>67</v>
      </c>
      <c r="J24" s="78" t="s">
        <v>10542</v>
      </c>
      <c r="K24" s="79" t="s">
        <v>10543</v>
      </c>
    </row>
    <row r="25" customFormat="false" ht="27.95" hidden="false" customHeight="false" outlineLevel="0" collapsed="false">
      <c r="A25" s="74"/>
      <c r="B25" s="74"/>
      <c r="C25" s="74"/>
      <c r="D25" s="76"/>
      <c r="E25" s="57" t="s">
        <v>3792</v>
      </c>
      <c r="F25" s="57" t="s">
        <v>3792</v>
      </c>
      <c r="G25" s="57" t="s">
        <v>10544</v>
      </c>
      <c r="H25" s="77"/>
      <c r="I25" s="39"/>
      <c r="J25" s="78" t="s">
        <v>10545</v>
      </c>
      <c r="K25" s="79" t="s">
        <v>10546</v>
      </c>
    </row>
    <row r="26" customFormat="false" ht="41.75" hidden="false" customHeight="false" outlineLevel="0" collapsed="false">
      <c r="A26" s="74"/>
      <c r="B26" s="74"/>
      <c r="C26" s="74"/>
      <c r="D26" s="76" t="s">
        <v>10547</v>
      </c>
      <c r="E26" s="57" t="s">
        <v>10548</v>
      </c>
      <c r="F26" s="57" t="s">
        <v>3787</v>
      </c>
      <c r="G26" s="57" t="s">
        <v>10549</v>
      </c>
      <c r="H26" s="77" t="s">
        <v>10550</v>
      </c>
      <c r="I26" s="34" t="s">
        <v>40</v>
      </c>
      <c r="J26" s="78" t="s">
        <v>10551</v>
      </c>
      <c r="K26" s="79" t="s">
        <v>10552</v>
      </c>
    </row>
    <row r="27" customFormat="false" ht="27.95" hidden="false" customHeight="false" outlineLevel="0" collapsed="false">
      <c r="A27" s="74"/>
      <c r="B27" s="74"/>
      <c r="C27" s="74"/>
      <c r="D27" s="76"/>
      <c r="E27" s="57" t="s">
        <v>3792</v>
      </c>
      <c r="F27" s="57" t="s">
        <v>3792</v>
      </c>
      <c r="G27" s="57" t="s">
        <v>10553</v>
      </c>
      <c r="H27" s="77"/>
      <c r="I27" s="34"/>
      <c r="J27" s="78" t="s">
        <v>10554</v>
      </c>
      <c r="K27" s="79" t="s">
        <v>10555</v>
      </c>
    </row>
    <row r="28" customFormat="false" ht="27.95" hidden="false" customHeight="false" outlineLevel="0" collapsed="false">
      <c r="A28" s="74"/>
      <c r="B28" s="74"/>
      <c r="C28" s="74"/>
      <c r="D28" s="76" t="s">
        <v>10556</v>
      </c>
      <c r="E28" s="57" t="s">
        <v>10557</v>
      </c>
      <c r="F28" s="57" t="s">
        <v>3797</v>
      </c>
      <c r="G28" s="57" t="s">
        <v>10558</v>
      </c>
      <c r="H28" s="77" t="s">
        <v>10559</v>
      </c>
      <c r="I28" s="37" t="s">
        <v>50</v>
      </c>
      <c r="J28" s="78" t="s">
        <v>10560</v>
      </c>
      <c r="K28" s="79" t="s">
        <v>10561</v>
      </c>
    </row>
    <row r="29" customFormat="false" ht="27.95" hidden="false" customHeight="false" outlineLevel="0" collapsed="false">
      <c r="A29" s="74"/>
      <c r="B29" s="74"/>
      <c r="C29" s="74"/>
      <c r="D29" s="76"/>
      <c r="E29" s="57" t="s">
        <v>3792</v>
      </c>
      <c r="F29" s="57" t="s">
        <v>3792</v>
      </c>
      <c r="G29" s="57" t="s">
        <v>10562</v>
      </c>
      <c r="H29" s="77"/>
      <c r="I29" s="37"/>
      <c r="J29" s="78" t="s">
        <v>10563</v>
      </c>
      <c r="K29" s="79" t="s">
        <v>10564</v>
      </c>
    </row>
    <row r="30" customFormat="false" ht="41.75" hidden="false" customHeight="false" outlineLevel="0" collapsed="false">
      <c r="A30" s="74"/>
      <c r="B30" s="74"/>
      <c r="C30" s="74"/>
      <c r="D30" s="76" t="s">
        <v>10565</v>
      </c>
      <c r="E30" s="57" t="s">
        <v>10566</v>
      </c>
      <c r="F30" s="57" t="s">
        <v>3806</v>
      </c>
      <c r="G30" s="57" t="s">
        <v>10567</v>
      </c>
      <c r="H30" s="77" t="s">
        <v>10568</v>
      </c>
      <c r="I30" s="34" t="s">
        <v>40</v>
      </c>
      <c r="J30" s="78" t="s">
        <v>10569</v>
      </c>
      <c r="K30" s="79" t="s">
        <v>10570</v>
      </c>
    </row>
    <row r="31" customFormat="false" ht="27.95" hidden="false" customHeight="false" outlineLevel="0" collapsed="false">
      <c r="A31" s="74"/>
      <c r="B31" s="74"/>
      <c r="C31" s="74"/>
      <c r="D31" s="76"/>
      <c r="E31" s="57" t="s">
        <v>3792</v>
      </c>
      <c r="F31" s="57" t="s">
        <v>3792</v>
      </c>
      <c r="G31" s="57" t="s">
        <v>10571</v>
      </c>
      <c r="H31" s="77"/>
      <c r="I31" s="34"/>
      <c r="J31" s="78" t="s">
        <v>10572</v>
      </c>
      <c r="K31" s="79" t="s">
        <v>10573</v>
      </c>
    </row>
    <row r="32" customFormat="false" ht="55.2" hidden="false" customHeight="true" outlineLevel="0" collapsed="false">
      <c r="A32" s="74"/>
      <c r="B32" s="74"/>
      <c r="C32" s="75" t="s">
        <v>10574</v>
      </c>
      <c r="D32" s="76" t="s">
        <v>10575</v>
      </c>
      <c r="E32" s="57" t="s">
        <v>10576</v>
      </c>
      <c r="F32" s="57" t="s">
        <v>3797</v>
      </c>
      <c r="G32" s="57" t="s">
        <v>10577</v>
      </c>
      <c r="H32" s="77" t="s">
        <v>10578</v>
      </c>
      <c r="I32" s="39" t="s">
        <v>67</v>
      </c>
      <c r="J32" s="78" t="s">
        <v>10579</v>
      </c>
      <c r="K32" s="79" t="s">
        <v>10580</v>
      </c>
    </row>
    <row r="33" customFormat="false" ht="55.2" hidden="false" customHeight="false" outlineLevel="0" collapsed="false">
      <c r="A33" s="74"/>
      <c r="B33" s="74"/>
      <c r="C33" s="74"/>
      <c r="D33" s="76"/>
      <c r="E33" s="57" t="s">
        <v>3792</v>
      </c>
      <c r="F33" s="57" t="s">
        <v>3792</v>
      </c>
      <c r="G33" s="57" t="s">
        <v>10581</v>
      </c>
      <c r="H33" s="77"/>
      <c r="I33" s="39"/>
      <c r="J33" s="78" t="s">
        <v>10582</v>
      </c>
      <c r="K33" s="79" t="s">
        <v>10583</v>
      </c>
    </row>
    <row r="34" customFormat="false" ht="54.4" hidden="false" customHeight="false" outlineLevel="0" collapsed="false">
      <c r="A34" s="74"/>
      <c r="B34" s="74"/>
      <c r="C34" s="74"/>
      <c r="D34" s="76" t="s">
        <v>10584</v>
      </c>
      <c r="E34" s="57" t="s">
        <v>10585</v>
      </c>
      <c r="F34" s="57" t="s">
        <v>3787</v>
      </c>
      <c r="G34" s="57" t="s">
        <v>10586</v>
      </c>
      <c r="H34" s="77" t="s">
        <v>10587</v>
      </c>
      <c r="I34" s="34" t="s">
        <v>40</v>
      </c>
      <c r="J34" s="78" t="s">
        <v>10588</v>
      </c>
      <c r="K34" s="79" t="s">
        <v>10589</v>
      </c>
    </row>
    <row r="35" customFormat="false" ht="41.75" hidden="false" customHeight="false" outlineLevel="0" collapsed="false">
      <c r="A35" s="74"/>
      <c r="B35" s="74"/>
      <c r="C35" s="74"/>
      <c r="D35" s="76"/>
      <c r="E35" s="57" t="s">
        <v>3792</v>
      </c>
      <c r="F35" s="57" t="s">
        <v>3792</v>
      </c>
      <c r="G35" s="57" t="s">
        <v>10590</v>
      </c>
      <c r="H35" s="77"/>
      <c r="I35" s="34"/>
      <c r="J35" s="78" t="s">
        <v>10591</v>
      </c>
      <c r="K35" s="79" t="s">
        <v>10592</v>
      </c>
    </row>
    <row r="36" customFormat="false" ht="41.75" hidden="false" customHeight="false" outlineLevel="0" collapsed="false">
      <c r="A36" s="74"/>
      <c r="B36" s="74"/>
      <c r="C36" s="74"/>
      <c r="D36" s="76" t="s">
        <v>10593</v>
      </c>
      <c r="E36" s="57" t="s">
        <v>10594</v>
      </c>
      <c r="F36" s="57" t="s">
        <v>3806</v>
      </c>
      <c r="G36" s="57" t="s">
        <v>10595</v>
      </c>
      <c r="H36" s="77" t="s">
        <v>10596</v>
      </c>
      <c r="I36" s="37" t="s">
        <v>50</v>
      </c>
      <c r="J36" s="78" t="s">
        <v>10597</v>
      </c>
      <c r="K36" s="79" t="s">
        <v>10598</v>
      </c>
    </row>
    <row r="37" customFormat="false" ht="54.4" hidden="false" customHeight="false" outlineLevel="0" collapsed="false">
      <c r="A37" s="74"/>
      <c r="B37" s="74"/>
      <c r="C37" s="74"/>
      <c r="D37" s="76"/>
      <c r="E37" s="57" t="s">
        <v>3792</v>
      </c>
      <c r="F37" s="57" t="s">
        <v>3792</v>
      </c>
      <c r="G37" s="57" t="s">
        <v>10599</v>
      </c>
      <c r="H37" s="77"/>
      <c r="I37" s="37"/>
      <c r="J37" s="78" t="s">
        <v>10600</v>
      </c>
      <c r="K37" s="79" t="s">
        <v>10601</v>
      </c>
    </row>
    <row r="38" customFormat="false" ht="41.75" hidden="false" customHeight="false" outlineLevel="0" collapsed="false">
      <c r="A38" s="74"/>
      <c r="B38" s="74"/>
      <c r="C38" s="74"/>
      <c r="D38" s="76" t="s">
        <v>10602</v>
      </c>
      <c r="E38" s="57" t="s">
        <v>10603</v>
      </c>
      <c r="F38" s="57" t="s">
        <v>3787</v>
      </c>
      <c r="G38" s="57" t="s">
        <v>10604</v>
      </c>
      <c r="H38" s="77" t="s">
        <v>10605</v>
      </c>
      <c r="I38" s="34" t="s">
        <v>40</v>
      </c>
      <c r="J38" s="78" t="s">
        <v>10606</v>
      </c>
      <c r="K38" s="79" t="s">
        <v>10607</v>
      </c>
    </row>
    <row r="39" customFormat="false" ht="27.95" hidden="false" customHeight="false" outlineLevel="0" collapsed="false">
      <c r="A39" s="74"/>
      <c r="B39" s="74"/>
      <c r="C39" s="74"/>
      <c r="D39" s="76"/>
      <c r="E39" s="57" t="s">
        <v>3792</v>
      </c>
      <c r="F39" s="57" t="s">
        <v>3792</v>
      </c>
      <c r="G39" s="57" t="s">
        <v>10608</v>
      </c>
      <c r="H39" s="77"/>
      <c r="I39" s="34"/>
      <c r="J39" s="78" t="s">
        <v>10609</v>
      </c>
      <c r="K39" s="79" t="s">
        <v>10610</v>
      </c>
    </row>
    <row r="40" customFormat="false" ht="41.75" hidden="false" customHeight="false" outlineLevel="0" collapsed="false">
      <c r="A40" s="74"/>
      <c r="B40" s="74"/>
      <c r="C40" s="74"/>
      <c r="D40" s="76" t="s">
        <v>10611</v>
      </c>
      <c r="E40" s="57" t="s">
        <v>10612</v>
      </c>
      <c r="F40" s="57" t="s">
        <v>3797</v>
      </c>
      <c r="G40" s="57" t="s">
        <v>10613</v>
      </c>
      <c r="H40" s="77" t="s">
        <v>10614</v>
      </c>
      <c r="I40" s="39" t="s">
        <v>67</v>
      </c>
      <c r="J40" s="78" t="s">
        <v>10615</v>
      </c>
      <c r="K40" s="79" t="s">
        <v>10616</v>
      </c>
    </row>
    <row r="41" customFormat="false" ht="41.75" hidden="false" customHeight="false" outlineLevel="0" collapsed="false">
      <c r="A41" s="74"/>
      <c r="B41" s="74"/>
      <c r="C41" s="74"/>
      <c r="D41" s="76"/>
      <c r="E41" s="57" t="s">
        <v>3792</v>
      </c>
      <c r="F41" s="57" t="s">
        <v>3792</v>
      </c>
      <c r="G41" s="57" t="s">
        <v>10617</v>
      </c>
      <c r="H41" s="77"/>
      <c r="I41" s="39"/>
      <c r="J41" s="78" t="s">
        <v>10618</v>
      </c>
      <c r="K41" s="79" t="s">
        <v>10619</v>
      </c>
    </row>
    <row r="42" customFormat="false" ht="27.95" hidden="false" customHeight="true" outlineLevel="0" collapsed="false">
      <c r="A42" s="74"/>
      <c r="B42" s="74"/>
      <c r="C42" s="75" t="s">
        <v>10620</v>
      </c>
      <c r="D42" s="76" t="s">
        <v>10621</v>
      </c>
      <c r="E42" s="57" t="s">
        <v>10622</v>
      </c>
      <c r="F42" s="57" t="s">
        <v>3806</v>
      </c>
      <c r="G42" s="57" t="s">
        <v>10623</v>
      </c>
      <c r="H42" s="77" t="s">
        <v>10624</v>
      </c>
      <c r="I42" s="34" t="s">
        <v>40</v>
      </c>
      <c r="J42" s="78" t="s">
        <v>10625</v>
      </c>
      <c r="K42" s="79" t="s">
        <v>10626</v>
      </c>
    </row>
    <row r="43" customFormat="false" ht="41.75" hidden="false" customHeight="false" outlineLevel="0" collapsed="false">
      <c r="A43" s="74"/>
      <c r="B43" s="74"/>
      <c r="C43" s="74"/>
      <c r="D43" s="76"/>
      <c r="E43" s="57" t="s">
        <v>3792</v>
      </c>
      <c r="F43" s="57" t="s">
        <v>3792</v>
      </c>
      <c r="G43" s="57" t="s">
        <v>10627</v>
      </c>
      <c r="H43" s="77"/>
      <c r="I43" s="34"/>
      <c r="J43" s="78" t="s">
        <v>10628</v>
      </c>
      <c r="K43" s="79" t="s">
        <v>10629</v>
      </c>
    </row>
    <row r="44" customFormat="false" ht="34.2" hidden="false" customHeight="false" outlineLevel="0" collapsed="false">
      <c r="A44" s="74"/>
      <c r="B44" s="74"/>
      <c r="C44" s="74"/>
      <c r="D44" s="76" t="s">
        <v>10630</v>
      </c>
      <c r="E44" s="57" t="s">
        <v>10631</v>
      </c>
      <c r="F44" s="57" t="s">
        <v>3787</v>
      </c>
      <c r="G44" s="57" t="s">
        <v>10632</v>
      </c>
      <c r="H44" s="77" t="s">
        <v>10633</v>
      </c>
      <c r="I44" s="37" t="s">
        <v>50</v>
      </c>
      <c r="J44" s="78" t="s">
        <v>10634</v>
      </c>
      <c r="K44" s="79" t="s">
        <v>10635</v>
      </c>
    </row>
    <row r="45" customFormat="false" ht="55.2" hidden="false" customHeight="false" outlineLevel="0" collapsed="false">
      <c r="A45" s="74"/>
      <c r="B45" s="74"/>
      <c r="C45" s="74"/>
      <c r="D45" s="76"/>
      <c r="E45" s="57" t="s">
        <v>3792</v>
      </c>
      <c r="F45" s="57" t="s">
        <v>3792</v>
      </c>
      <c r="G45" s="57" t="s">
        <v>10636</v>
      </c>
      <c r="H45" s="77"/>
      <c r="I45" s="37"/>
      <c r="J45" s="78" t="s">
        <v>10637</v>
      </c>
      <c r="K45" s="79" t="s">
        <v>10638</v>
      </c>
    </row>
    <row r="46" customFormat="false" ht="66.85" hidden="false" customHeight="false" outlineLevel="0" collapsed="false">
      <c r="A46" s="74"/>
      <c r="B46" s="74"/>
      <c r="C46" s="74"/>
      <c r="D46" s="76" t="s">
        <v>10639</v>
      </c>
      <c r="E46" s="57" t="s">
        <v>10640</v>
      </c>
      <c r="F46" s="57" t="s">
        <v>3797</v>
      </c>
      <c r="G46" s="57" t="s">
        <v>10641</v>
      </c>
      <c r="H46" s="77" t="s">
        <v>10642</v>
      </c>
      <c r="I46" s="34" t="s">
        <v>40</v>
      </c>
      <c r="J46" s="78" t="s">
        <v>10643</v>
      </c>
      <c r="K46" s="79" t="s">
        <v>10644</v>
      </c>
    </row>
    <row r="47" customFormat="false" ht="55.2" hidden="false" customHeight="false" outlineLevel="0" collapsed="false">
      <c r="A47" s="74"/>
      <c r="B47" s="74"/>
      <c r="C47" s="74"/>
      <c r="D47" s="76"/>
      <c r="E47" s="57" t="s">
        <v>3792</v>
      </c>
      <c r="F47" s="57" t="s">
        <v>3792</v>
      </c>
      <c r="G47" s="57" t="s">
        <v>10645</v>
      </c>
      <c r="H47" s="77"/>
      <c r="I47" s="34"/>
      <c r="J47" s="78" t="s">
        <v>10646</v>
      </c>
      <c r="K47" s="79" t="s">
        <v>10647</v>
      </c>
    </row>
    <row r="48" customFormat="false" ht="41.75" hidden="false" customHeight="false" outlineLevel="0" collapsed="false">
      <c r="A48" s="74"/>
      <c r="B48" s="74"/>
      <c r="C48" s="74"/>
      <c r="D48" s="76" t="s">
        <v>10648</v>
      </c>
      <c r="E48" s="57" t="s">
        <v>10649</v>
      </c>
      <c r="F48" s="57" t="s">
        <v>3806</v>
      </c>
      <c r="G48" s="57" t="s">
        <v>10650</v>
      </c>
      <c r="H48" s="77" t="s">
        <v>10651</v>
      </c>
      <c r="I48" s="39" t="s">
        <v>67</v>
      </c>
      <c r="J48" s="78" t="s">
        <v>10652</v>
      </c>
      <c r="K48" s="79" t="s">
        <v>10653</v>
      </c>
    </row>
    <row r="49" customFormat="false" ht="27.95" hidden="false" customHeight="false" outlineLevel="0" collapsed="false">
      <c r="A49" s="74"/>
      <c r="B49" s="74"/>
      <c r="C49" s="74"/>
      <c r="D49" s="76"/>
      <c r="E49" s="57" t="s">
        <v>3792</v>
      </c>
      <c r="F49" s="57" t="s">
        <v>3792</v>
      </c>
      <c r="G49" s="57" t="s">
        <v>10654</v>
      </c>
      <c r="H49" s="77"/>
      <c r="I49" s="39"/>
      <c r="J49" s="78" t="s">
        <v>10471</v>
      </c>
      <c r="K49" s="79" t="s">
        <v>10655</v>
      </c>
    </row>
    <row r="50" customFormat="false" ht="55.2" hidden="false" customHeight="false" outlineLevel="0" collapsed="false">
      <c r="A50" s="74"/>
      <c r="B50" s="74"/>
      <c r="C50" s="74"/>
      <c r="D50" s="76" t="s">
        <v>10656</v>
      </c>
      <c r="E50" s="57" t="s">
        <v>10657</v>
      </c>
      <c r="F50" s="57" t="s">
        <v>3797</v>
      </c>
      <c r="G50" s="57" t="s">
        <v>10658</v>
      </c>
      <c r="H50" s="77" t="s">
        <v>10659</v>
      </c>
      <c r="I50" s="34" t="s">
        <v>40</v>
      </c>
      <c r="J50" s="78" t="s">
        <v>10660</v>
      </c>
      <c r="K50" s="79" t="s">
        <v>10661</v>
      </c>
    </row>
    <row r="51" customFormat="false" ht="41.75" hidden="false" customHeight="false" outlineLevel="0" collapsed="false">
      <c r="A51" s="74"/>
      <c r="B51" s="74"/>
      <c r="C51" s="74"/>
      <c r="D51" s="76"/>
      <c r="E51" s="57" t="s">
        <v>3792</v>
      </c>
      <c r="F51" s="57" t="s">
        <v>3792</v>
      </c>
      <c r="G51" s="57" t="s">
        <v>10662</v>
      </c>
      <c r="H51" s="77"/>
      <c r="I51" s="34"/>
      <c r="J51" s="78" t="s">
        <v>10663</v>
      </c>
      <c r="K51" s="79" t="s">
        <v>10664</v>
      </c>
    </row>
    <row r="52" customFormat="false" ht="54.4" hidden="false" customHeight="true" outlineLevel="0" collapsed="false">
      <c r="A52" s="74"/>
      <c r="B52" s="74"/>
      <c r="C52" s="75" t="s">
        <v>10665</v>
      </c>
      <c r="D52" s="76" t="s">
        <v>10666</v>
      </c>
      <c r="E52" s="57" t="s">
        <v>10667</v>
      </c>
      <c r="F52" s="57" t="s">
        <v>3787</v>
      </c>
      <c r="G52" s="57" t="s">
        <v>10668</v>
      </c>
      <c r="H52" s="77" t="s">
        <v>10669</v>
      </c>
      <c r="I52" s="37" t="s">
        <v>50</v>
      </c>
      <c r="J52" s="78" t="s">
        <v>10670</v>
      </c>
      <c r="K52" s="79" t="s">
        <v>10671</v>
      </c>
    </row>
    <row r="53" customFormat="false" ht="41.75" hidden="false" customHeight="false" outlineLevel="0" collapsed="false">
      <c r="A53" s="74"/>
      <c r="B53" s="74"/>
      <c r="C53" s="74"/>
      <c r="D53" s="76"/>
      <c r="E53" s="57" t="s">
        <v>3792</v>
      </c>
      <c r="F53" s="57" t="s">
        <v>3792</v>
      </c>
      <c r="G53" s="57" t="s">
        <v>10672</v>
      </c>
      <c r="H53" s="77"/>
      <c r="I53" s="37"/>
      <c r="J53" s="78" t="s">
        <v>10673</v>
      </c>
      <c r="K53" s="79" t="s">
        <v>10674</v>
      </c>
    </row>
    <row r="54" customFormat="false" ht="41.75" hidden="false" customHeight="false" outlineLevel="0" collapsed="false">
      <c r="A54" s="74"/>
      <c r="B54" s="74"/>
      <c r="C54" s="74"/>
      <c r="D54" s="76" t="s">
        <v>10675</v>
      </c>
      <c r="E54" s="57" t="s">
        <v>10676</v>
      </c>
      <c r="F54" s="57" t="s">
        <v>3806</v>
      </c>
      <c r="G54" s="57" t="s">
        <v>10677</v>
      </c>
      <c r="H54" s="77" t="s">
        <v>10678</v>
      </c>
      <c r="I54" s="34" t="s">
        <v>40</v>
      </c>
      <c r="J54" s="78" t="s">
        <v>10679</v>
      </c>
      <c r="K54" s="79" t="s">
        <v>10680</v>
      </c>
    </row>
    <row r="55" customFormat="false" ht="27.95" hidden="false" customHeight="false" outlineLevel="0" collapsed="false">
      <c r="A55" s="74"/>
      <c r="B55" s="74"/>
      <c r="C55" s="74"/>
      <c r="D55" s="76"/>
      <c r="E55" s="57" t="s">
        <v>3792</v>
      </c>
      <c r="F55" s="57" t="s">
        <v>3792</v>
      </c>
      <c r="G55" s="57" t="s">
        <v>10681</v>
      </c>
      <c r="H55" s="77"/>
      <c r="I55" s="34"/>
      <c r="J55" s="78" t="s">
        <v>10682</v>
      </c>
      <c r="K55" s="79" t="s">
        <v>10683</v>
      </c>
    </row>
    <row r="56" customFormat="false" ht="55.2" hidden="false" customHeight="false" outlineLevel="0" collapsed="false">
      <c r="A56" s="74"/>
      <c r="B56" s="74"/>
      <c r="C56" s="74"/>
      <c r="D56" s="76" t="s">
        <v>10684</v>
      </c>
      <c r="E56" s="57" t="s">
        <v>10685</v>
      </c>
      <c r="F56" s="57" t="s">
        <v>3787</v>
      </c>
      <c r="G56" s="57" t="s">
        <v>10686</v>
      </c>
      <c r="H56" s="77" t="s">
        <v>10687</v>
      </c>
      <c r="I56" s="39" t="s">
        <v>67</v>
      </c>
      <c r="J56" s="78" t="s">
        <v>10688</v>
      </c>
      <c r="K56" s="79" t="s">
        <v>10689</v>
      </c>
    </row>
    <row r="57" customFormat="false" ht="27.95" hidden="false" customHeight="false" outlineLevel="0" collapsed="false">
      <c r="A57" s="74"/>
      <c r="B57" s="74"/>
      <c r="C57" s="74"/>
      <c r="D57" s="76"/>
      <c r="E57" s="57" t="s">
        <v>3792</v>
      </c>
      <c r="F57" s="57" t="s">
        <v>3792</v>
      </c>
      <c r="G57" s="57" t="s">
        <v>10690</v>
      </c>
      <c r="H57" s="77"/>
      <c r="I57" s="39"/>
      <c r="J57" s="78" t="s">
        <v>10691</v>
      </c>
      <c r="K57" s="79" t="s">
        <v>10692</v>
      </c>
    </row>
    <row r="58" customFormat="false" ht="55.2" hidden="false" customHeight="false" outlineLevel="0" collapsed="false">
      <c r="A58" s="74"/>
      <c r="B58" s="74"/>
      <c r="C58" s="74"/>
      <c r="D58" s="76" t="s">
        <v>10693</v>
      </c>
      <c r="E58" s="57" t="s">
        <v>10694</v>
      </c>
      <c r="F58" s="57" t="s">
        <v>3806</v>
      </c>
      <c r="G58" s="57" t="s">
        <v>10695</v>
      </c>
      <c r="H58" s="77" t="s">
        <v>10696</v>
      </c>
      <c r="I58" s="34" t="s">
        <v>40</v>
      </c>
      <c r="J58" s="78" t="s">
        <v>10697</v>
      </c>
      <c r="K58" s="79" t="s">
        <v>10698</v>
      </c>
    </row>
    <row r="59" customFormat="false" ht="66.85" hidden="false" customHeight="false" outlineLevel="0" collapsed="false">
      <c r="A59" s="74"/>
      <c r="B59" s="74"/>
      <c r="C59" s="74"/>
      <c r="D59" s="76"/>
      <c r="E59" s="57" t="s">
        <v>3792</v>
      </c>
      <c r="F59" s="57" t="s">
        <v>3792</v>
      </c>
      <c r="G59" s="57" t="s">
        <v>10699</v>
      </c>
      <c r="H59" s="77"/>
      <c r="I59" s="34"/>
      <c r="J59" s="78" t="s">
        <v>10700</v>
      </c>
      <c r="K59" s="79" t="s">
        <v>10701</v>
      </c>
    </row>
    <row r="60" customFormat="false" ht="27.95" hidden="false" customHeight="false" outlineLevel="0" collapsed="false">
      <c r="A60" s="74"/>
      <c r="B60" s="74"/>
      <c r="C60" s="74"/>
      <c r="D60" s="76" t="s">
        <v>10702</v>
      </c>
      <c r="E60" s="57" t="s">
        <v>10703</v>
      </c>
      <c r="F60" s="57" t="s">
        <v>3797</v>
      </c>
      <c r="G60" s="57" t="s">
        <v>10704</v>
      </c>
      <c r="H60" s="77" t="s">
        <v>10705</v>
      </c>
      <c r="I60" s="37" t="s">
        <v>50</v>
      </c>
      <c r="J60" s="78" t="s">
        <v>10706</v>
      </c>
      <c r="K60" s="79" t="s">
        <v>10707</v>
      </c>
    </row>
    <row r="61" customFormat="false" ht="27.95" hidden="false" customHeight="false" outlineLevel="0" collapsed="false">
      <c r="A61" s="74"/>
      <c r="B61" s="74"/>
      <c r="C61" s="74"/>
      <c r="D61" s="76"/>
      <c r="E61" s="57" t="s">
        <v>3792</v>
      </c>
      <c r="F61" s="57" t="s">
        <v>3792</v>
      </c>
      <c r="G61" s="57" t="s">
        <v>10708</v>
      </c>
      <c r="H61" s="77"/>
      <c r="I61" s="37"/>
      <c r="J61" s="78" t="s">
        <v>10709</v>
      </c>
      <c r="K61" s="79" t="s">
        <v>10710</v>
      </c>
    </row>
    <row r="62" customFormat="false" ht="68.65" hidden="false" customHeight="true" outlineLevel="0" collapsed="false">
      <c r="A62" s="74"/>
      <c r="B62" s="74"/>
      <c r="C62" s="75" t="s">
        <v>10711</v>
      </c>
      <c r="D62" s="76" t="s">
        <v>10712</v>
      </c>
      <c r="E62" s="57" t="s">
        <v>10713</v>
      </c>
      <c r="F62" s="57" t="s">
        <v>3787</v>
      </c>
      <c r="G62" s="57" t="s">
        <v>10714</v>
      </c>
      <c r="H62" s="77" t="s">
        <v>10715</v>
      </c>
      <c r="I62" s="34" t="s">
        <v>40</v>
      </c>
      <c r="J62" s="78" t="s">
        <v>10716</v>
      </c>
      <c r="K62" s="79" t="s">
        <v>10717</v>
      </c>
    </row>
    <row r="63" customFormat="false" ht="68.65" hidden="false" customHeight="false" outlineLevel="0" collapsed="false">
      <c r="A63" s="74"/>
      <c r="B63" s="74"/>
      <c r="C63" s="74"/>
      <c r="D63" s="76"/>
      <c r="E63" s="57" t="s">
        <v>3792</v>
      </c>
      <c r="F63" s="57" t="s">
        <v>3792</v>
      </c>
      <c r="G63" s="57" t="s">
        <v>10718</v>
      </c>
      <c r="H63" s="77"/>
      <c r="I63" s="34"/>
      <c r="J63" s="78" t="s">
        <v>10719</v>
      </c>
      <c r="K63" s="79" t="s">
        <v>10720</v>
      </c>
    </row>
    <row r="64" customFormat="false" ht="68.65" hidden="false" customHeight="true" outlineLevel="0" collapsed="false">
      <c r="A64" s="74"/>
      <c r="B64" s="74"/>
      <c r="C64" s="74"/>
      <c r="D64" s="57" t="s">
        <v>10721</v>
      </c>
      <c r="E64" s="57" t="s">
        <v>10722</v>
      </c>
      <c r="F64" s="57" t="s">
        <v>3797</v>
      </c>
      <c r="G64" s="57" t="s">
        <v>10723</v>
      </c>
      <c r="H64" s="77" t="s">
        <v>10724</v>
      </c>
      <c r="I64" s="39" t="s">
        <v>67</v>
      </c>
      <c r="J64" s="78" t="s">
        <v>10725</v>
      </c>
      <c r="K64" s="79" t="s">
        <v>10726</v>
      </c>
    </row>
    <row r="65" customFormat="false" ht="68.65" hidden="false" customHeight="false" outlineLevel="0" collapsed="false">
      <c r="A65" s="74"/>
      <c r="B65" s="74"/>
      <c r="C65" s="74"/>
      <c r="D65" s="57"/>
      <c r="E65" s="57" t="s">
        <v>3792</v>
      </c>
      <c r="F65" s="57" t="s">
        <v>3792</v>
      </c>
      <c r="G65" s="57" t="s">
        <v>10727</v>
      </c>
      <c r="H65" s="77"/>
      <c r="I65" s="39"/>
      <c r="J65" s="78" t="s">
        <v>10728</v>
      </c>
      <c r="K65" s="79" t="s">
        <v>10729</v>
      </c>
    </row>
    <row r="66" customFormat="false" ht="80.8" hidden="false" customHeight="false" outlineLevel="0" collapsed="false">
      <c r="A66" s="74"/>
      <c r="B66" s="74"/>
      <c r="C66" s="74"/>
      <c r="D66" s="76" t="s">
        <v>10730</v>
      </c>
      <c r="E66" s="57" t="s">
        <v>10731</v>
      </c>
      <c r="F66" s="57" t="s">
        <v>3806</v>
      </c>
      <c r="G66" s="57" t="s">
        <v>10732</v>
      </c>
      <c r="H66" s="77" t="s">
        <v>10733</v>
      </c>
      <c r="I66" s="34" t="s">
        <v>40</v>
      </c>
      <c r="J66" s="78" t="s">
        <v>10734</v>
      </c>
      <c r="K66" s="79" t="s">
        <v>10735</v>
      </c>
    </row>
    <row r="67" customFormat="false" ht="83.95" hidden="false" customHeight="false" outlineLevel="0" collapsed="false">
      <c r="A67" s="74"/>
      <c r="B67" s="74"/>
      <c r="C67" s="74"/>
      <c r="D67" s="76"/>
      <c r="E67" s="57" t="s">
        <v>3792</v>
      </c>
      <c r="F67" s="57" t="s">
        <v>3792</v>
      </c>
      <c r="G67" s="57" t="s">
        <v>10736</v>
      </c>
      <c r="H67" s="77"/>
      <c r="I67" s="34"/>
      <c r="J67" s="78" t="s">
        <v>10737</v>
      </c>
      <c r="K67" s="79" t="s">
        <v>10738</v>
      </c>
    </row>
    <row r="68" customFormat="false" ht="55.2" hidden="false" customHeight="false" outlineLevel="0" collapsed="false">
      <c r="A68" s="74"/>
      <c r="B68" s="74"/>
      <c r="C68" s="74"/>
      <c r="D68" s="76" t="s">
        <v>10739</v>
      </c>
      <c r="E68" s="57" t="s">
        <v>10740</v>
      </c>
      <c r="F68" s="57" t="s">
        <v>3787</v>
      </c>
      <c r="G68" s="57" t="s">
        <v>10741</v>
      </c>
      <c r="H68" s="77" t="s">
        <v>10742</v>
      </c>
      <c r="I68" s="37" t="s">
        <v>50</v>
      </c>
      <c r="J68" s="78" t="s">
        <v>10743</v>
      </c>
      <c r="K68" s="79" t="s">
        <v>10744</v>
      </c>
    </row>
    <row r="69" customFormat="false" ht="68.65" hidden="false" customHeight="false" outlineLevel="0" collapsed="false">
      <c r="A69" s="74"/>
      <c r="B69" s="74"/>
      <c r="C69" s="74"/>
      <c r="D69" s="76"/>
      <c r="E69" s="57" t="s">
        <v>3792</v>
      </c>
      <c r="F69" s="57" t="s">
        <v>3792</v>
      </c>
      <c r="G69" s="57" t="s">
        <v>10745</v>
      </c>
      <c r="H69" s="77"/>
      <c r="I69" s="37"/>
      <c r="J69" s="78" t="s">
        <v>10746</v>
      </c>
      <c r="K69" s="79" t="s">
        <v>10747</v>
      </c>
    </row>
    <row r="70" customFormat="false" ht="68.65" hidden="false" customHeight="false" outlineLevel="0" collapsed="false">
      <c r="A70" s="74"/>
      <c r="B70" s="74"/>
      <c r="C70" s="74"/>
      <c r="D70" s="76" t="s">
        <v>10748</v>
      </c>
      <c r="E70" s="57" t="s">
        <v>10749</v>
      </c>
      <c r="F70" s="57" t="s">
        <v>3806</v>
      </c>
      <c r="G70" s="57" t="s">
        <v>10750</v>
      </c>
      <c r="H70" s="77" t="s">
        <v>10751</v>
      </c>
      <c r="I70" s="34" t="s">
        <v>40</v>
      </c>
      <c r="J70" s="78" t="s">
        <v>10752</v>
      </c>
      <c r="K70" s="79" t="s">
        <v>10753</v>
      </c>
    </row>
    <row r="71" customFormat="false" ht="68.65" hidden="false" customHeight="false" outlineLevel="0" collapsed="false">
      <c r="A71" s="74"/>
      <c r="B71" s="74"/>
      <c r="C71" s="74"/>
      <c r="D71" s="76"/>
      <c r="E71" s="57" t="s">
        <v>3792</v>
      </c>
      <c r="F71" s="57" t="s">
        <v>3792</v>
      </c>
      <c r="G71" s="57" t="s">
        <v>10754</v>
      </c>
      <c r="H71" s="77"/>
      <c r="I71" s="34"/>
      <c r="J71" s="78" t="s">
        <v>10755</v>
      </c>
      <c r="K71" s="79" t="s">
        <v>10756</v>
      </c>
    </row>
    <row r="72" customFormat="false" ht="55.2" hidden="false" customHeight="true" outlineLevel="0" collapsed="false">
      <c r="A72" s="74"/>
      <c r="B72" s="74"/>
      <c r="C72" s="75" t="s">
        <v>10757</v>
      </c>
      <c r="D72" s="76" t="s">
        <v>10758</v>
      </c>
      <c r="E72" s="57" t="s">
        <v>10759</v>
      </c>
      <c r="F72" s="57" t="s">
        <v>3797</v>
      </c>
      <c r="G72" s="57" t="s">
        <v>10760</v>
      </c>
      <c r="H72" s="77" t="s">
        <v>10761</v>
      </c>
      <c r="I72" s="39" t="s">
        <v>67</v>
      </c>
      <c r="J72" s="78" t="s">
        <v>10762</v>
      </c>
      <c r="K72" s="79" t="s">
        <v>10763</v>
      </c>
    </row>
    <row r="73" customFormat="false" ht="68.65" hidden="false" customHeight="false" outlineLevel="0" collapsed="false">
      <c r="A73" s="74"/>
      <c r="B73" s="74"/>
      <c r="C73" s="74"/>
      <c r="D73" s="76"/>
      <c r="E73" s="57" t="s">
        <v>3792</v>
      </c>
      <c r="F73" s="57" t="s">
        <v>3792</v>
      </c>
      <c r="G73" s="57" t="s">
        <v>10764</v>
      </c>
      <c r="H73" s="77"/>
      <c r="I73" s="39"/>
      <c r="J73" s="78" t="s">
        <v>10765</v>
      </c>
      <c r="K73" s="79" t="s">
        <v>10726</v>
      </c>
    </row>
    <row r="74" customFormat="false" ht="68.65" hidden="false" customHeight="false" outlineLevel="0" collapsed="false">
      <c r="A74" s="74"/>
      <c r="B74" s="74"/>
      <c r="C74" s="74"/>
      <c r="D74" s="76" t="s">
        <v>10766</v>
      </c>
      <c r="E74" s="57" t="s">
        <v>10767</v>
      </c>
      <c r="F74" s="57" t="s">
        <v>3787</v>
      </c>
      <c r="G74" s="57" t="s">
        <v>10768</v>
      </c>
      <c r="H74" s="77" t="s">
        <v>10769</v>
      </c>
      <c r="I74" s="34" t="s">
        <v>40</v>
      </c>
      <c r="J74" s="78" t="s">
        <v>10770</v>
      </c>
      <c r="K74" s="79" t="s">
        <v>10729</v>
      </c>
    </row>
    <row r="75" customFormat="false" ht="80.8" hidden="false" customHeight="false" outlineLevel="0" collapsed="false">
      <c r="A75" s="74"/>
      <c r="B75" s="74"/>
      <c r="C75" s="74"/>
      <c r="D75" s="76"/>
      <c r="E75" s="57" t="s">
        <v>3792</v>
      </c>
      <c r="F75" s="57" t="s">
        <v>3792</v>
      </c>
      <c r="G75" s="57" t="s">
        <v>10771</v>
      </c>
      <c r="H75" s="77"/>
      <c r="I75" s="34"/>
      <c r="J75" s="78" t="s">
        <v>10772</v>
      </c>
      <c r="K75" s="79" t="s">
        <v>10735</v>
      </c>
    </row>
    <row r="76" customFormat="false" ht="68.65" hidden="false" customHeight="false" outlineLevel="0" collapsed="false">
      <c r="A76" s="74"/>
      <c r="B76" s="74"/>
      <c r="C76" s="74"/>
      <c r="D76" s="76" t="s">
        <v>10773</v>
      </c>
      <c r="E76" s="57" t="s">
        <v>10774</v>
      </c>
      <c r="F76" s="57" t="s">
        <v>3797</v>
      </c>
      <c r="G76" s="57" t="s">
        <v>10775</v>
      </c>
      <c r="H76" s="77" t="s">
        <v>10776</v>
      </c>
      <c r="I76" s="37" t="s">
        <v>50</v>
      </c>
      <c r="J76" s="78" t="s">
        <v>10777</v>
      </c>
      <c r="K76" s="79" t="s">
        <v>10738</v>
      </c>
    </row>
    <row r="77" customFormat="false" ht="80.8" hidden="false" customHeight="false" outlineLevel="0" collapsed="false">
      <c r="A77" s="74"/>
      <c r="B77" s="74"/>
      <c r="C77" s="74"/>
      <c r="D77" s="76"/>
      <c r="E77" s="57" t="s">
        <v>3792</v>
      </c>
      <c r="F77" s="57" t="s">
        <v>3792</v>
      </c>
      <c r="G77" s="57" t="s">
        <v>10778</v>
      </c>
      <c r="H77" s="77"/>
      <c r="I77" s="37"/>
      <c r="J77" s="78" t="s">
        <v>10779</v>
      </c>
      <c r="K77" s="79" t="s">
        <v>10744</v>
      </c>
    </row>
    <row r="78" customFormat="false" ht="66.85" hidden="false" customHeight="false" outlineLevel="0" collapsed="false">
      <c r="A78" s="74"/>
      <c r="B78" s="74"/>
      <c r="C78" s="74"/>
      <c r="D78" s="76" t="s">
        <v>10780</v>
      </c>
      <c r="E78" s="57" t="s">
        <v>10781</v>
      </c>
      <c r="F78" s="57" t="s">
        <v>3806</v>
      </c>
      <c r="G78" s="57" t="s">
        <v>10782</v>
      </c>
      <c r="H78" s="77" t="s">
        <v>10783</v>
      </c>
      <c r="I78" s="34" t="s">
        <v>40</v>
      </c>
      <c r="J78" s="78" t="s">
        <v>10784</v>
      </c>
      <c r="K78" s="79" t="s">
        <v>10747</v>
      </c>
    </row>
    <row r="79" customFormat="false" ht="93.25" hidden="false" customHeight="false" outlineLevel="0" collapsed="false">
      <c r="A79" s="74"/>
      <c r="B79" s="74"/>
      <c r="C79" s="74"/>
      <c r="D79" s="76"/>
      <c r="E79" s="57" t="s">
        <v>3792</v>
      </c>
      <c r="F79" s="57" t="s">
        <v>3792</v>
      </c>
      <c r="G79" s="57" t="s">
        <v>10785</v>
      </c>
      <c r="H79" s="77"/>
      <c r="I79" s="34"/>
      <c r="J79" s="78" t="s">
        <v>10786</v>
      </c>
      <c r="K79" s="79" t="s">
        <v>10753</v>
      </c>
    </row>
    <row r="80" customFormat="false" ht="68.65" hidden="false" customHeight="false" outlineLevel="0" collapsed="false">
      <c r="A80" s="74"/>
      <c r="B80" s="74"/>
      <c r="C80" s="74"/>
      <c r="D80" s="76" t="s">
        <v>10787</v>
      </c>
      <c r="E80" s="57" t="s">
        <v>10788</v>
      </c>
      <c r="F80" s="57" t="s">
        <v>3797</v>
      </c>
      <c r="G80" s="57" t="s">
        <v>10789</v>
      </c>
      <c r="H80" s="77" t="s">
        <v>10790</v>
      </c>
      <c r="I80" s="39" t="s">
        <v>67</v>
      </c>
      <c r="J80" s="78" t="s">
        <v>10791</v>
      </c>
      <c r="K80" s="79" t="s">
        <v>10756</v>
      </c>
    </row>
    <row r="81" customFormat="false" ht="80.8" hidden="false" customHeight="false" outlineLevel="0" collapsed="false">
      <c r="A81" s="74"/>
      <c r="B81" s="74"/>
      <c r="C81" s="74"/>
      <c r="D81" s="76"/>
      <c r="E81" s="57" t="s">
        <v>3792</v>
      </c>
      <c r="F81" s="57" t="s">
        <v>3792</v>
      </c>
      <c r="G81" s="57" t="s">
        <v>10792</v>
      </c>
      <c r="H81" s="77"/>
      <c r="I81" s="39"/>
      <c r="J81" s="78" t="s">
        <v>10793</v>
      </c>
      <c r="K81" s="79" t="s">
        <v>10763</v>
      </c>
    </row>
    <row r="82" customFormat="false" ht="80.8" hidden="false" customHeight="true" outlineLevel="0" collapsed="false">
      <c r="A82" s="74"/>
      <c r="B82" s="80"/>
      <c r="C82" s="75" t="s">
        <v>10794</v>
      </c>
      <c r="D82" s="57" t="s">
        <v>10795</v>
      </c>
      <c r="E82" s="57" t="s">
        <v>10796</v>
      </c>
      <c r="F82" s="57" t="s">
        <v>3787</v>
      </c>
      <c r="G82" s="57" t="s">
        <v>10797</v>
      </c>
      <c r="H82" s="77" t="s">
        <v>10798</v>
      </c>
      <c r="I82" s="34" t="s">
        <v>40</v>
      </c>
      <c r="J82" s="78" t="s">
        <v>10799</v>
      </c>
      <c r="K82" s="79" t="s">
        <v>10800</v>
      </c>
    </row>
    <row r="83" customFormat="false" ht="83.95" hidden="false" customHeight="false" outlineLevel="0" collapsed="false">
      <c r="A83" s="74"/>
      <c r="B83" s="80"/>
      <c r="C83" s="75"/>
      <c r="D83" s="57" t="s">
        <v>3792</v>
      </c>
      <c r="E83" s="57" t="s">
        <v>3792</v>
      </c>
      <c r="F83" s="57" t="s">
        <v>3792</v>
      </c>
      <c r="G83" s="57" t="s">
        <v>10801</v>
      </c>
      <c r="H83" s="77"/>
      <c r="I83" s="34"/>
      <c r="J83" s="78" t="s">
        <v>10802</v>
      </c>
      <c r="K83" s="79" t="s">
        <v>10803</v>
      </c>
    </row>
    <row r="84" customFormat="false" ht="80.8" hidden="false" customHeight="false" outlineLevel="0" collapsed="false">
      <c r="A84" s="74"/>
      <c r="B84" s="80"/>
      <c r="C84" s="75"/>
      <c r="D84" s="57" t="s">
        <v>10804</v>
      </c>
      <c r="E84" s="57" t="s">
        <v>10805</v>
      </c>
      <c r="F84" s="57" t="s">
        <v>3806</v>
      </c>
      <c r="G84" s="57" t="s">
        <v>10806</v>
      </c>
      <c r="H84" s="77" t="s">
        <v>10807</v>
      </c>
      <c r="I84" s="37" t="s">
        <v>50</v>
      </c>
      <c r="J84" s="78" t="s">
        <v>10808</v>
      </c>
      <c r="K84" s="79" t="s">
        <v>10809</v>
      </c>
    </row>
    <row r="85" customFormat="false" ht="80.8" hidden="false" customHeight="false" outlineLevel="0" collapsed="false">
      <c r="A85" s="74"/>
      <c r="B85" s="80"/>
      <c r="C85" s="75"/>
      <c r="D85" s="57" t="s">
        <v>3792</v>
      </c>
      <c r="E85" s="57" t="s">
        <v>3792</v>
      </c>
      <c r="F85" s="57" t="s">
        <v>3792</v>
      </c>
      <c r="G85" s="57" t="s">
        <v>10810</v>
      </c>
      <c r="H85" s="77"/>
      <c r="I85" s="37"/>
      <c r="J85" s="78" t="s">
        <v>10811</v>
      </c>
      <c r="K85" s="79" t="s">
        <v>10812</v>
      </c>
    </row>
    <row r="86" customFormat="false" ht="68.65" hidden="false" customHeight="false" outlineLevel="0" collapsed="false">
      <c r="A86" s="74"/>
      <c r="B86" s="80"/>
      <c r="C86" s="75"/>
      <c r="D86" s="57" t="s">
        <v>10813</v>
      </c>
      <c r="E86" s="57" t="s">
        <v>10814</v>
      </c>
      <c r="F86" s="57" t="s">
        <v>3787</v>
      </c>
      <c r="G86" s="57" t="s">
        <v>10815</v>
      </c>
      <c r="H86" s="77" t="s">
        <v>10816</v>
      </c>
      <c r="I86" s="34" t="s">
        <v>40</v>
      </c>
      <c r="J86" s="78" t="s">
        <v>10817</v>
      </c>
      <c r="K86" s="79" t="s">
        <v>10818</v>
      </c>
    </row>
    <row r="87" customFormat="false" ht="80.8" hidden="false" customHeight="false" outlineLevel="0" collapsed="false">
      <c r="A87" s="74"/>
      <c r="B87" s="80"/>
      <c r="C87" s="75"/>
      <c r="D87" s="57" t="s">
        <v>3792</v>
      </c>
      <c r="E87" s="57" t="s">
        <v>3792</v>
      </c>
      <c r="F87" s="57" t="s">
        <v>3792</v>
      </c>
      <c r="G87" s="57" t="s">
        <v>10819</v>
      </c>
      <c r="H87" s="77"/>
      <c r="I87" s="34"/>
      <c r="J87" s="78" t="s">
        <v>10820</v>
      </c>
      <c r="K87" s="79" t="s">
        <v>10821</v>
      </c>
    </row>
    <row r="88" customFormat="false" ht="55.2" hidden="false" customHeight="false" outlineLevel="0" collapsed="false">
      <c r="A88" s="74"/>
      <c r="B88" s="80"/>
      <c r="C88" s="75"/>
      <c r="D88" s="57" t="s">
        <v>10822</v>
      </c>
      <c r="E88" s="57" t="s">
        <v>10823</v>
      </c>
      <c r="F88" s="57" t="s">
        <v>3797</v>
      </c>
      <c r="G88" s="57" t="s">
        <v>10824</v>
      </c>
      <c r="H88" s="77" t="s">
        <v>10825</v>
      </c>
      <c r="I88" s="39" t="s">
        <v>67</v>
      </c>
      <c r="J88" s="78" t="s">
        <v>10826</v>
      </c>
      <c r="K88" s="79" t="s">
        <v>10827</v>
      </c>
    </row>
    <row r="89" customFormat="false" ht="41.75" hidden="false" customHeight="false" outlineLevel="0" collapsed="false">
      <c r="A89" s="74"/>
      <c r="B89" s="80"/>
      <c r="C89" s="75"/>
      <c r="D89" s="57" t="s">
        <v>3792</v>
      </c>
      <c r="E89" s="57" t="s">
        <v>3792</v>
      </c>
      <c r="F89" s="57" t="s">
        <v>3792</v>
      </c>
      <c r="G89" s="57" t="s">
        <v>10828</v>
      </c>
      <c r="H89" s="77"/>
      <c r="I89" s="39"/>
      <c r="J89" s="78" t="s">
        <v>10829</v>
      </c>
      <c r="K89" s="79" t="s">
        <v>10830</v>
      </c>
    </row>
    <row r="90" customFormat="false" ht="55.2" hidden="false" customHeight="false" outlineLevel="0" collapsed="false">
      <c r="A90" s="74"/>
      <c r="B90" s="80"/>
      <c r="C90" s="75"/>
      <c r="D90" s="57" t="s">
        <v>10831</v>
      </c>
      <c r="E90" s="57" t="s">
        <v>10832</v>
      </c>
      <c r="F90" s="57" t="s">
        <v>3806</v>
      </c>
      <c r="G90" s="57" t="s">
        <v>10833</v>
      </c>
      <c r="H90" s="77" t="s">
        <v>10834</v>
      </c>
      <c r="I90" s="34" t="s">
        <v>40</v>
      </c>
      <c r="J90" s="78" t="s">
        <v>10835</v>
      </c>
      <c r="K90" s="79" t="s">
        <v>10836</v>
      </c>
    </row>
    <row r="91" customFormat="false" ht="27.95" hidden="false" customHeight="false" outlineLevel="0" collapsed="false">
      <c r="A91" s="74"/>
      <c r="B91" s="80"/>
      <c r="C91" s="75"/>
      <c r="F91" s="57" t="s">
        <v>3792</v>
      </c>
      <c r="G91" s="57" t="s">
        <v>10837</v>
      </c>
      <c r="H91" s="77"/>
      <c r="I91" s="34"/>
      <c r="J91" s="78" t="s">
        <v>10838</v>
      </c>
      <c r="K91" s="79" t="s">
        <v>10839</v>
      </c>
    </row>
    <row r="92" customFormat="false" ht="21.75" hidden="false" customHeight="true" outlineLevel="0" collapsed="false">
      <c r="A92" s="74"/>
      <c r="B92" s="80"/>
      <c r="C92" s="75" t="s">
        <v>10840</v>
      </c>
      <c r="D92" s="57" t="s">
        <v>10841</v>
      </c>
      <c r="E92" s="57" t="s">
        <v>10842</v>
      </c>
      <c r="F92" s="57" t="s">
        <v>3787</v>
      </c>
      <c r="G92" s="57" t="s">
        <v>10843</v>
      </c>
      <c r="H92" s="77" t="s">
        <v>10844</v>
      </c>
      <c r="I92" s="37" t="s">
        <v>50</v>
      </c>
      <c r="J92" s="81" t="s">
        <v>10845</v>
      </c>
      <c r="K92" s="79" t="s">
        <v>10846</v>
      </c>
    </row>
    <row r="93" customFormat="false" ht="13.8" hidden="false" customHeight="false" outlineLevel="0" collapsed="false">
      <c r="A93" s="74"/>
      <c r="B93" s="80"/>
      <c r="C93" s="75"/>
      <c r="D93" s="57" t="s">
        <v>3792</v>
      </c>
      <c r="E93" s="57" t="s">
        <v>3792</v>
      </c>
      <c r="F93" s="57" t="s">
        <v>3792</v>
      </c>
      <c r="G93" s="57" t="s">
        <v>10847</v>
      </c>
      <c r="H93" s="77"/>
      <c r="I93" s="37"/>
      <c r="J93" s="81" t="s">
        <v>10848</v>
      </c>
      <c r="K93" s="79" t="s">
        <v>10849</v>
      </c>
    </row>
    <row r="94" customFormat="false" ht="34.2" hidden="false" customHeight="false" outlineLevel="0" collapsed="false">
      <c r="A94" s="74"/>
      <c r="B94" s="80"/>
      <c r="C94" s="75"/>
      <c r="D94" s="57" t="s">
        <v>10850</v>
      </c>
      <c r="E94" s="57" t="s">
        <v>10851</v>
      </c>
      <c r="F94" s="57" t="s">
        <v>3797</v>
      </c>
      <c r="G94" s="57" t="s">
        <v>10852</v>
      </c>
      <c r="H94" s="77" t="s">
        <v>10853</v>
      </c>
      <c r="I94" s="34" t="s">
        <v>40</v>
      </c>
      <c r="J94" s="81" t="s">
        <v>10854</v>
      </c>
      <c r="K94" s="79" t="s">
        <v>10855</v>
      </c>
    </row>
    <row r="95" customFormat="false" ht="13.8" hidden="false" customHeight="false" outlineLevel="0" collapsed="false">
      <c r="A95" s="74"/>
      <c r="B95" s="80"/>
      <c r="C95" s="75"/>
      <c r="D95" s="57" t="s">
        <v>3792</v>
      </c>
      <c r="E95" s="57" t="s">
        <v>3792</v>
      </c>
      <c r="F95" s="57" t="s">
        <v>3792</v>
      </c>
      <c r="G95" s="57" t="s">
        <v>10856</v>
      </c>
      <c r="H95" s="77"/>
      <c r="I95" s="34"/>
      <c r="J95" s="81" t="s">
        <v>10857</v>
      </c>
      <c r="K95" s="79" t="s">
        <v>10858</v>
      </c>
    </row>
    <row r="96" customFormat="false" ht="34.2" hidden="false" customHeight="false" outlineLevel="0" collapsed="false">
      <c r="A96" s="74"/>
      <c r="B96" s="80"/>
      <c r="C96" s="75"/>
      <c r="D96" s="57" t="s">
        <v>10859</v>
      </c>
      <c r="E96" s="57" t="s">
        <v>10860</v>
      </c>
      <c r="F96" s="57" t="s">
        <v>3806</v>
      </c>
      <c r="G96" s="57" t="s">
        <v>10861</v>
      </c>
      <c r="H96" s="77" t="s">
        <v>10862</v>
      </c>
      <c r="I96" s="39" t="s">
        <v>67</v>
      </c>
      <c r="J96" s="81" t="s">
        <v>10863</v>
      </c>
      <c r="K96" s="79" t="s">
        <v>10864</v>
      </c>
    </row>
    <row r="97" customFormat="false" ht="13.8" hidden="false" customHeight="false" outlineLevel="0" collapsed="false">
      <c r="A97" s="74"/>
      <c r="B97" s="80"/>
      <c r="C97" s="75"/>
      <c r="D97" s="57" t="s">
        <v>3792</v>
      </c>
      <c r="E97" s="57" t="s">
        <v>3792</v>
      </c>
      <c r="F97" s="57" t="s">
        <v>3792</v>
      </c>
      <c r="G97" s="57" t="s">
        <v>10865</v>
      </c>
      <c r="H97" s="77"/>
      <c r="I97" s="39"/>
      <c r="J97" s="81" t="s">
        <v>10866</v>
      </c>
      <c r="K97" s="79" t="s">
        <v>10867</v>
      </c>
    </row>
    <row r="98" customFormat="false" ht="21.75" hidden="false" customHeight="false" outlineLevel="0" collapsed="false">
      <c r="A98" s="74"/>
      <c r="B98" s="80"/>
      <c r="C98" s="75"/>
      <c r="D98" s="57" t="s">
        <v>10868</v>
      </c>
      <c r="E98" s="57" t="s">
        <v>10869</v>
      </c>
      <c r="F98" s="57" t="s">
        <v>3797</v>
      </c>
      <c r="G98" s="57" t="s">
        <v>10870</v>
      </c>
      <c r="H98" s="77" t="s">
        <v>10871</v>
      </c>
      <c r="I98" s="34" t="s">
        <v>40</v>
      </c>
      <c r="J98" s="81" t="s">
        <v>10872</v>
      </c>
      <c r="K98" s="79" t="s">
        <v>10873</v>
      </c>
    </row>
    <row r="99" customFormat="false" ht="13.8" hidden="false" customHeight="false" outlineLevel="0" collapsed="false">
      <c r="A99" s="74"/>
      <c r="B99" s="80"/>
      <c r="C99" s="75"/>
      <c r="D99" s="57" t="s">
        <v>3792</v>
      </c>
      <c r="E99" s="57" t="s">
        <v>3792</v>
      </c>
      <c r="F99" s="57" t="s">
        <v>3792</v>
      </c>
      <c r="G99" s="57" t="s">
        <v>10874</v>
      </c>
      <c r="H99" s="77"/>
      <c r="I99" s="34"/>
      <c r="J99" s="81" t="s">
        <v>10875</v>
      </c>
      <c r="K99" s="79" t="s">
        <v>10876</v>
      </c>
    </row>
    <row r="100" customFormat="false" ht="34.2" hidden="false" customHeight="false" outlineLevel="0" collapsed="false">
      <c r="A100" s="74"/>
      <c r="B100" s="80"/>
      <c r="C100" s="75"/>
      <c r="D100" s="57" t="s">
        <v>10877</v>
      </c>
      <c r="E100" s="57" t="s">
        <v>10878</v>
      </c>
      <c r="F100" s="57" t="s">
        <v>3787</v>
      </c>
      <c r="G100" s="57" t="s">
        <v>10879</v>
      </c>
      <c r="H100" s="77" t="s">
        <v>10880</v>
      </c>
      <c r="I100" s="37" t="s">
        <v>50</v>
      </c>
      <c r="J100" s="81" t="s">
        <v>10881</v>
      </c>
      <c r="K100" s="79" t="s">
        <v>10882</v>
      </c>
    </row>
    <row r="101" customFormat="false" ht="13.8" hidden="false" customHeight="false" outlineLevel="0" collapsed="false">
      <c r="A101" s="74"/>
      <c r="B101" s="80"/>
      <c r="C101" s="75"/>
      <c r="E101" s="57" t="s">
        <v>3792</v>
      </c>
      <c r="F101" s="57" t="s">
        <v>3792</v>
      </c>
      <c r="G101" s="57" t="s">
        <v>10883</v>
      </c>
      <c r="H101" s="77"/>
      <c r="I101" s="37"/>
      <c r="J101" s="81" t="s">
        <v>10884</v>
      </c>
      <c r="K101" s="79" t="s">
        <v>10885</v>
      </c>
    </row>
    <row r="102" customFormat="false" ht="34.2" hidden="false" customHeight="true" outlineLevel="0" collapsed="false">
      <c r="A102" s="74"/>
      <c r="B102" s="80"/>
      <c r="C102" s="75" t="s">
        <v>10886</v>
      </c>
      <c r="D102" s="57" t="s">
        <v>10887</v>
      </c>
      <c r="E102" s="57" t="s">
        <v>10888</v>
      </c>
      <c r="F102" s="57" t="s">
        <v>3806</v>
      </c>
      <c r="G102" s="57" t="s">
        <v>10889</v>
      </c>
      <c r="H102" s="77" t="s">
        <v>10890</v>
      </c>
      <c r="I102" s="34" t="s">
        <v>40</v>
      </c>
      <c r="J102" s="81" t="s">
        <v>10891</v>
      </c>
      <c r="K102" s="79" t="s">
        <v>10892</v>
      </c>
    </row>
    <row r="103" customFormat="false" ht="13.8" hidden="false" customHeight="false" outlineLevel="0" collapsed="false">
      <c r="A103" s="74"/>
      <c r="B103" s="80"/>
      <c r="C103" s="75"/>
      <c r="D103" s="57" t="s">
        <v>3792</v>
      </c>
      <c r="E103" s="57" t="s">
        <v>3792</v>
      </c>
      <c r="F103" s="57" t="s">
        <v>3792</v>
      </c>
      <c r="G103" s="57" t="s">
        <v>10893</v>
      </c>
      <c r="H103" s="77"/>
      <c r="I103" s="34"/>
      <c r="J103" s="81" t="s">
        <v>10894</v>
      </c>
      <c r="K103" s="79" t="s">
        <v>10895</v>
      </c>
    </row>
    <row r="104" customFormat="false" ht="21.75" hidden="false" customHeight="false" outlineLevel="0" collapsed="false">
      <c r="A104" s="74"/>
      <c r="B104" s="80"/>
      <c r="C104" s="75"/>
      <c r="D104" s="57" t="s">
        <v>10896</v>
      </c>
      <c r="E104" s="57" t="s">
        <v>10897</v>
      </c>
      <c r="F104" s="57" t="s">
        <v>3787</v>
      </c>
      <c r="G104" s="57" t="s">
        <v>10898</v>
      </c>
      <c r="H104" s="77" t="s">
        <v>10899</v>
      </c>
      <c r="I104" s="39" t="s">
        <v>67</v>
      </c>
      <c r="J104" s="81" t="s">
        <v>10900</v>
      </c>
      <c r="K104" s="79" t="s">
        <v>10901</v>
      </c>
    </row>
    <row r="105" customFormat="false" ht="13.8" hidden="false" customHeight="false" outlineLevel="0" collapsed="false">
      <c r="A105" s="74"/>
      <c r="B105" s="80"/>
      <c r="C105" s="75"/>
      <c r="D105" s="57" t="s">
        <v>3792</v>
      </c>
      <c r="E105" s="57" t="s">
        <v>3792</v>
      </c>
      <c r="F105" s="57" t="s">
        <v>3792</v>
      </c>
      <c r="G105" s="57" t="s">
        <v>10902</v>
      </c>
      <c r="H105" s="77"/>
      <c r="I105" s="39"/>
      <c r="J105" s="81" t="s">
        <v>10903</v>
      </c>
      <c r="K105" s="79" t="s">
        <v>10904</v>
      </c>
    </row>
    <row r="106" customFormat="false" ht="21.75" hidden="false" customHeight="false" outlineLevel="0" collapsed="false">
      <c r="A106" s="74"/>
      <c r="B106" s="80"/>
      <c r="C106" s="75"/>
      <c r="D106" s="57" t="s">
        <v>10905</v>
      </c>
      <c r="E106" s="57" t="s">
        <v>10906</v>
      </c>
      <c r="F106" s="57" t="s">
        <v>3806</v>
      </c>
      <c r="G106" s="57" t="s">
        <v>10907</v>
      </c>
      <c r="H106" s="77" t="s">
        <v>10908</v>
      </c>
      <c r="I106" s="34" t="s">
        <v>40</v>
      </c>
      <c r="J106" s="81" t="s">
        <v>10909</v>
      </c>
      <c r="K106" s="79" t="s">
        <v>10910</v>
      </c>
    </row>
    <row r="107" customFormat="false" ht="13.8" hidden="false" customHeight="false" outlineLevel="0" collapsed="false">
      <c r="A107" s="74"/>
      <c r="B107" s="80"/>
      <c r="C107" s="75"/>
      <c r="D107" s="57" t="s">
        <v>3792</v>
      </c>
      <c r="E107" s="57" t="s">
        <v>3792</v>
      </c>
      <c r="F107" s="57" t="s">
        <v>3792</v>
      </c>
      <c r="G107" s="57" t="s">
        <v>10911</v>
      </c>
      <c r="H107" s="77"/>
      <c r="I107" s="34"/>
      <c r="J107" s="81" t="s">
        <v>10912</v>
      </c>
      <c r="K107" s="79" t="s">
        <v>10913</v>
      </c>
    </row>
    <row r="108" customFormat="false" ht="21.75" hidden="false" customHeight="false" outlineLevel="0" collapsed="false">
      <c r="A108" s="74"/>
      <c r="B108" s="80"/>
      <c r="C108" s="75"/>
      <c r="D108" s="57" t="s">
        <v>10914</v>
      </c>
      <c r="E108" s="57" t="s">
        <v>10915</v>
      </c>
      <c r="F108" s="57" t="s">
        <v>3797</v>
      </c>
      <c r="G108" s="57" t="s">
        <v>10916</v>
      </c>
      <c r="H108" s="77" t="s">
        <v>10917</v>
      </c>
      <c r="I108" s="37" t="s">
        <v>50</v>
      </c>
      <c r="J108" s="81" t="s">
        <v>10918</v>
      </c>
      <c r="K108" s="79" t="s">
        <v>10919</v>
      </c>
    </row>
    <row r="109" customFormat="false" ht="13.8" hidden="false" customHeight="false" outlineLevel="0" collapsed="false">
      <c r="A109" s="74"/>
      <c r="B109" s="80"/>
      <c r="C109" s="75"/>
      <c r="D109" s="57" t="s">
        <v>3792</v>
      </c>
      <c r="E109" s="57" t="s">
        <v>3792</v>
      </c>
      <c r="F109" s="57" t="s">
        <v>3792</v>
      </c>
      <c r="G109" s="57" t="s">
        <v>10920</v>
      </c>
      <c r="H109" s="77"/>
      <c r="I109" s="37"/>
      <c r="J109" s="81" t="s">
        <v>10921</v>
      </c>
      <c r="K109" s="79" t="s">
        <v>10922</v>
      </c>
    </row>
    <row r="110" customFormat="false" ht="21.75" hidden="false" customHeight="false" outlineLevel="0" collapsed="false">
      <c r="A110" s="74"/>
      <c r="B110" s="80"/>
      <c r="C110" s="75"/>
      <c r="D110" s="57" t="s">
        <v>10923</v>
      </c>
      <c r="E110" s="57" t="s">
        <v>10924</v>
      </c>
      <c r="F110" s="57" t="s">
        <v>3787</v>
      </c>
      <c r="G110" s="57" t="s">
        <v>10925</v>
      </c>
      <c r="H110" s="77" t="s">
        <v>10926</v>
      </c>
      <c r="I110" s="34" t="s">
        <v>40</v>
      </c>
      <c r="J110" s="81" t="s">
        <v>10927</v>
      </c>
      <c r="K110" s="79" t="s">
        <v>10928</v>
      </c>
    </row>
    <row r="111" customFormat="false" ht="13.8" hidden="false" customHeight="false" outlineLevel="0" collapsed="false">
      <c r="A111" s="74"/>
      <c r="B111" s="80"/>
      <c r="C111" s="75"/>
      <c r="E111" s="57" t="s">
        <v>3792</v>
      </c>
      <c r="F111" s="57" t="s">
        <v>3792</v>
      </c>
      <c r="G111" s="57" t="s">
        <v>10929</v>
      </c>
      <c r="H111" s="77"/>
      <c r="I111" s="34"/>
      <c r="J111" s="81" t="s">
        <v>10930</v>
      </c>
      <c r="K111" s="79" t="s">
        <v>10931</v>
      </c>
    </row>
    <row r="112" customFormat="false" ht="21.75" hidden="false" customHeight="false" outlineLevel="0" collapsed="false">
      <c r="A112" s="74"/>
      <c r="B112" s="80"/>
      <c r="C112" s="74" t="s">
        <v>10932</v>
      </c>
      <c r="D112" s="57" t="s">
        <v>10933</v>
      </c>
      <c r="E112" s="57" t="s">
        <v>10934</v>
      </c>
      <c r="F112" s="57" t="s">
        <v>3797</v>
      </c>
      <c r="G112" s="57" t="s">
        <v>10935</v>
      </c>
      <c r="H112" s="77" t="s">
        <v>10936</v>
      </c>
      <c r="I112" s="39" t="s">
        <v>67</v>
      </c>
      <c r="J112" s="81" t="s">
        <v>10937</v>
      </c>
      <c r="K112" s="79" t="s">
        <v>10938</v>
      </c>
    </row>
    <row r="113" customFormat="false" ht="13.8" hidden="false" customHeight="false" outlineLevel="0" collapsed="false">
      <c r="A113" s="74"/>
      <c r="B113" s="80"/>
      <c r="C113" s="74"/>
      <c r="D113" s="57" t="s">
        <v>3792</v>
      </c>
      <c r="E113" s="57" t="s">
        <v>3792</v>
      </c>
      <c r="F113" s="57" t="s">
        <v>3792</v>
      </c>
      <c r="G113" s="57" t="s">
        <v>10939</v>
      </c>
      <c r="H113" s="77"/>
      <c r="I113" s="39"/>
      <c r="J113" s="81" t="s">
        <v>10940</v>
      </c>
      <c r="K113" s="79" t="s">
        <v>10941</v>
      </c>
    </row>
    <row r="114" customFormat="false" ht="21.75" hidden="false" customHeight="false" outlineLevel="0" collapsed="false">
      <c r="A114" s="74"/>
      <c r="B114" s="80"/>
      <c r="C114" s="74"/>
      <c r="D114" s="57" t="s">
        <v>10942</v>
      </c>
      <c r="E114" s="57" t="s">
        <v>10943</v>
      </c>
      <c r="F114" s="57" t="s">
        <v>3806</v>
      </c>
      <c r="G114" s="57" t="s">
        <v>10944</v>
      </c>
      <c r="H114" s="77" t="s">
        <v>10945</v>
      </c>
      <c r="I114" s="34" t="s">
        <v>40</v>
      </c>
      <c r="J114" s="81" t="s">
        <v>10946</v>
      </c>
      <c r="K114" s="79" t="s">
        <v>10947</v>
      </c>
    </row>
    <row r="115" customFormat="false" ht="13.8" hidden="false" customHeight="false" outlineLevel="0" collapsed="false">
      <c r="A115" s="74"/>
      <c r="B115" s="80"/>
      <c r="C115" s="74"/>
      <c r="D115" s="57" t="s">
        <v>3792</v>
      </c>
      <c r="E115" s="57" t="s">
        <v>3792</v>
      </c>
      <c r="F115" s="57" t="s">
        <v>3792</v>
      </c>
      <c r="G115" s="57" t="s">
        <v>10948</v>
      </c>
      <c r="H115" s="77"/>
      <c r="I115" s="34"/>
      <c r="J115" s="81" t="s">
        <v>10949</v>
      </c>
      <c r="K115" s="79" t="s">
        <v>10950</v>
      </c>
    </row>
    <row r="116" customFormat="false" ht="21.75" hidden="false" customHeight="false" outlineLevel="0" collapsed="false">
      <c r="A116" s="74"/>
      <c r="B116" s="80"/>
      <c r="C116" s="74"/>
      <c r="D116" s="57" t="s">
        <v>10951</v>
      </c>
      <c r="E116" s="57" t="s">
        <v>10952</v>
      </c>
      <c r="F116" s="57" t="s">
        <v>3787</v>
      </c>
      <c r="G116" s="57" t="s">
        <v>10953</v>
      </c>
      <c r="H116" s="77" t="s">
        <v>10954</v>
      </c>
      <c r="I116" s="37" t="s">
        <v>50</v>
      </c>
      <c r="J116" s="81" t="s">
        <v>10955</v>
      </c>
      <c r="K116" s="79" t="s">
        <v>10956</v>
      </c>
    </row>
    <row r="117" customFormat="false" ht="13.8" hidden="false" customHeight="false" outlineLevel="0" collapsed="false">
      <c r="A117" s="74"/>
      <c r="B117" s="80"/>
      <c r="C117" s="74"/>
      <c r="D117" s="57" t="s">
        <v>3792</v>
      </c>
      <c r="E117" s="57" t="s">
        <v>3792</v>
      </c>
      <c r="F117" s="57" t="s">
        <v>3792</v>
      </c>
      <c r="G117" s="57" t="s">
        <v>10957</v>
      </c>
      <c r="H117" s="77"/>
      <c r="I117" s="37"/>
      <c r="J117" s="81" t="s">
        <v>10958</v>
      </c>
      <c r="K117" s="79" t="s">
        <v>10959</v>
      </c>
    </row>
    <row r="118" customFormat="false" ht="21.75" hidden="false" customHeight="false" outlineLevel="0" collapsed="false">
      <c r="A118" s="74"/>
      <c r="B118" s="80"/>
      <c r="C118" s="74"/>
      <c r="D118" s="57" t="s">
        <v>10960</v>
      </c>
      <c r="E118" s="57" t="s">
        <v>10961</v>
      </c>
      <c r="F118" s="57" t="s">
        <v>3797</v>
      </c>
      <c r="G118" s="57" t="s">
        <v>10962</v>
      </c>
      <c r="H118" s="77" t="s">
        <v>10963</v>
      </c>
      <c r="I118" s="34" t="s">
        <v>40</v>
      </c>
      <c r="J118" s="81" t="s">
        <v>10964</v>
      </c>
      <c r="K118" s="79" t="s">
        <v>10965</v>
      </c>
    </row>
    <row r="119" customFormat="false" ht="13.8" hidden="false" customHeight="false" outlineLevel="0" collapsed="false">
      <c r="A119" s="74"/>
      <c r="B119" s="80"/>
      <c r="C119" s="74"/>
      <c r="D119" s="57" t="s">
        <v>3792</v>
      </c>
      <c r="E119" s="57" t="s">
        <v>3792</v>
      </c>
      <c r="F119" s="57" t="s">
        <v>3792</v>
      </c>
      <c r="G119" s="57" t="s">
        <v>10966</v>
      </c>
      <c r="H119" s="77"/>
      <c r="I119" s="34"/>
      <c r="J119" s="81" t="s">
        <v>10967</v>
      </c>
      <c r="K119" s="79" t="s">
        <v>10968</v>
      </c>
    </row>
    <row r="120" customFormat="false" ht="21.75" hidden="false" customHeight="false" outlineLevel="0" collapsed="false">
      <c r="A120" s="74"/>
      <c r="B120" s="80"/>
      <c r="C120" s="74"/>
      <c r="D120" s="57" t="s">
        <v>10969</v>
      </c>
      <c r="E120" s="57" t="s">
        <v>10970</v>
      </c>
      <c r="F120" s="57" t="s">
        <v>3806</v>
      </c>
      <c r="G120" s="57" t="s">
        <v>10971</v>
      </c>
      <c r="H120" s="77" t="s">
        <v>10972</v>
      </c>
      <c r="I120" s="39" t="s">
        <v>67</v>
      </c>
      <c r="J120" s="81" t="s">
        <v>10973</v>
      </c>
      <c r="K120" s="79" t="s">
        <v>10974</v>
      </c>
    </row>
    <row r="121" customFormat="false" ht="13.8" hidden="false" customHeight="false" outlineLevel="0" collapsed="false">
      <c r="A121" s="74"/>
      <c r="B121" s="80"/>
      <c r="C121" s="74"/>
      <c r="E121" s="57" t="s">
        <v>3792</v>
      </c>
      <c r="F121" s="57" t="s">
        <v>3792</v>
      </c>
      <c r="G121" s="57" t="s">
        <v>10975</v>
      </c>
      <c r="H121" s="77"/>
      <c r="I121" s="39"/>
      <c r="J121" s="81" t="s">
        <v>10976</v>
      </c>
      <c r="K121" s="79" t="s">
        <v>10977</v>
      </c>
    </row>
    <row r="122" customFormat="false" ht="21.75" hidden="false" customHeight="false" outlineLevel="0" collapsed="false">
      <c r="A122" s="74"/>
      <c r="B122" s="80"/>
      <c r="C122" s="74" t="s">
        <v>10978</v>
      </c>
      <c r="D122" s="57" t="s">
        <v>10979</v>
      </c>
      <c r="E122" s="57" t="s">
        <v>10980</v>
      </c>
      <c r="F122" s="57" t="s">
        <v>3797</v>
      </c>
      <c r="G122" s="57" t="s">
        <v>10981</v>
      </c>
      <c r="H122" s="77" t="s">
        <v>10982</v>
      </c>
      <c r="I122" s="34" t="s">
        <v>40</v>
      </c>
      <c r="J122" s="81" t="s">
        <v>10983</v>
      </c>
      <c r="K122" s="79" t="s">
        <v>10984</v>
      </c>
    </row>
    <row r="123" customFormat="false" ht="13.8" hidden="false" customHeight="false" outlineLevel="0" collapsed="false">
      <c r="A123" s="74"/>
      <c r="B123" s="80"/>
      <c r="C123" s="74"/>
      <c r="D123" s="57" t="s">
        <v>3792</v>
      </c>
      <c r="E123" s="57" t="s">
        <v>3792</v>
      </c>
      <c r="F123" s="57" t="s">
        <v>3792</v>
      </c>
      <c r="G123" s="57" t="s">
        <v>10985</v>
      </c>
      <c r="H123" s="77"/>
      <c r="I123" s="34"/>
      <c r="J123" s="81" t="s">
        <v>10986</v>
      </c>
      <c r="K123" s="79" t="s">
        <v>10987</v>
      </c>
    </row>
    <row r="124" customFormat="false" ht="21.75" hidden="false" customHeight="false" outlineLevel="0" collapsed="false">
      <c r="A124" s="74"/>
      <c r="B124" s="80"/>
      <c r="C124" s="74"/>
      <c r="D124" s="57" t="s">
        <v>10988</v>
      </c>
      <c r="E124" s="57" t="s">
        <v>10989</v>
      </c>
      <c r="F124" s="57" t="s">
        <v>3787</v>
      </c>
      <c r="G124" s="57" t="s">
        <v>10990</v>
      </c>
      <c r="H124" s="77" t="s">
        <v>10991</v>
      </c>
      <c r="I124" s="37" t="s">
        <v>50</v>
      </c>
      <c r="J124" s="81" t="s">
        <v>10992</v>
      </c>
      <c r="K124" s="79" t="s">
        <v>10993</v>
      </c>
    </row>
    <row r="125" customFormat="false" ht="13.8" hidden="false" customHeight="false" outlineLevel="0" collapsed="false">
      <c r="A125" s="74"/>
      <c r="B125" s="80"/>
      <c r="C125" s="74"/>
      <c r="D125" s="57" t="s">
        <v>3792</v>
      </c>
      <c r="E125" s="57" t="s">
        <v>3792</v>
      </c>
      <c r="F125" s="57" t="s">
        <v>3792</v>
      </c>
      <c r="G125" s="57" t="s">
        <v>10994</v>
      </c>
      <c r="H125" s="77"/>
      <c r="I125" s="37"/>
      <c r="J125" s="81" t="s">
        <v>10995</v>
      </c>
      <c r="K125" s="79" t="s">
        <v>10996</v>
      </c>
    </row>
    <row r="126" customFormat="false" ht="21.75" hidden="false" customHeight="false" outlineLevel="0" collapsed="false">
      <c r="A126" s="74"/>
      <c r="B126" s="80"/>
      <c r="C126" s="74"/>
      <c r="D126" s="57" t="s">
        <v>10997</v>
      </c>
      <c r="E126" s="57" t="s">
        <v>10998</v>
      </c>
      <c r="F126" s="57" t="s">
        <v>3806</v>
      </c>
      <c r="G126" s="57" t="s">
        <v>10999</v>
      </c>
      <c r="H126" s="77" t="s">
        <v>11000</v>
      </c>
      <c r="I126" s="34" t="s">
        <v>40</v>
      </c>
      <c r="J126" s="81" t="s">
        <v>11001</v>
      </c>
      <c r="K126" s="79" t="s">
        <v>11002</v>
      </c>
    </row>
    <row r="127" customFormat="false" ht="13.8" hidden="false" customHeight="false" outlineLevel="0" collapsed="false">
      <c r="A127" s="74"/>
      <c r="B127" s="80"/>
      <c r="C127" s="74"/>
      <c r="D127" s="57" t="s">
        <v>3792</v>
      </c>
      <c r="E127" s="57" t="s">
        <v>3792</v>
      </c>
      <c r="F127" s="57" t="s">
        <v>3792</v>
      </c>
      <c r="G127" s="57" t="s">
        <v>11003</v>
      </c>
      <c r="H127" s="77"/>
      <c r="I127" s="34"/>
      <c r="J127" s="81" t="s">
        <v>11004</v>
      </c>
      <c r="K127" s="79" t="s">
        <v>11005</v>
      </c>
    </row>
    <row r="128" customFormat="false" ht="21.75" hidden="false" customHeight="false" outlineLevel="0" collapsed="false">
      <c r="A128" s="74"/>
      <c r="B128" s="80"/>
      <c r="C128" s="74"/>
      <c r="D128" s="57" t="s">
        <v>11006</v>
      </c>
      <c r="E128" s="57" t="s">
        <v>11007</v>
      </c>
      <c r="F128" s="57" t="s">
        <v>3787</v>
      </c>
      <c r="G128" s="57" t="s">
        <v>11008</v>
      </c>
      <c r="H128" s="77" t="s">
        <v>11009</v>
      </c>
      <c r="I128" s="39" t="s">
        <v>67</v>
      </c>
      <c r="J128" s="81" t="s">
        <v>11010</v>
      </c>
      <c r="K128" s="79" t="s">
        <v>11011</v>
      </c>
    </row>
    <row r="129" customFormat="false" ht="13.8" hidden="false" customHeight="false" outlineLevel="0" collapsed="false">
      <c r="A129" s="74"/>
      <c r="B129" s="80"/>
      <c r="C129" s="74"/>
      <c r="D129" s="57" t="s">
        <v>3792</v>
      </c>
      <c r="E129" s="57" t="s">
        <v>3792</v>
      </c>
      <c r="F129" s="57" t="s">
        <v>3792</v>
      </c>
      <c r="G129" s="57" t="s">
        <v>11012</v>
      </c>
      <c r="H129" s="77"/>
      <c r="I129" s="39"/>
      <c r="J129" s="81" t="s">
        <v>11013</v>
      </c>
      <c r="K129" s="79" t="s">
        <v>11014</v>
      </c>
    </row>
    <row r="130" customFormat="false" ht="21.75" hidden="false" customHeight="false" outlineLevel="0" collapsed="false">
      <c r="A130" s="74"/>
      <c r="B130" s="80"/>
      <c r="C130" s="74"/>
      <c r="D130" s="57" t="s">
        <v>11015</v>
      </c>
      <c r="E130" s="57" t="s">
        <v>11016</v>
      </c>
      <c r="F130" s="57" t="s">
        <v>3797</v>
      </c>
      <c r="G130" s="57" t="s">
        <v>11017</v>
      </c>
      <c r="H130" s="77" t="s">
        <v>11018</v>
      </c>
      <c r="I130" s="34" t="s">
        <v>40</v>
      </c>
      <c r="J130" s="81" t="s">
        <v>11019</v>
      </c>
      <c r="K130" s="79" t="s">
        <v>11020</v>
      </c>
    </row>
    <row r="131" customFormat="false" ht="13.8" hidden="false" customHeight="false" outlineLevel="0" collapsed="false">
      <c r="A131" s="74"/>
      <c r="B131" s="80"/>
      <c r="C131" s="74"/>
      <c r="E131" s="57" t="s">
        <v>3792</v>
      </c>
      <c r="F131" s="57" t="s">
        <v>3792</v>
      </c>
      <c r="G131" s="57" t="s">
        <v>11021</v>
      </c>
      <c r="H131" s="77"/>
      <c r="I131" s="34"/>
      <c r="J131" s="81" t="s">
        <v>11022</v>
      </c>
      <c r="K131" s="79" t="s">
        <v>11023</v>
      </c>
    </row>
    <row r="132" customFormat="false" ht="21.75" hidden="false" customHeight="true" outlineLevel="0" collapsed="false">
      <c r="A132" s="74"/>
      <c r="B132" s="80"/>
      <c r="C132" s="75" t="s">
        <v>11024</v>
      </c>
      <c r="D132" s="57" t="s">
        <v>11025</v>
      </c>
      <c r="E132" s="57" t="s">
        <v>11026</v>
      </c>
      <c r="F132" s="57" t="s">
        <v>3806</v>
      </c>
      <c r="G132" s="57" t="s">
        <v>11027</v>
      </c>
      <c r="H132" s="77" t="s">
        <v>11028</v>
      </c>
      <c r="I132" s="37" t="s">
        <v>50</v>
      </c>
      <c r="J132" s="81" t="s">
        <v>11029</v>
      </c>
      <c r="K132" s="79" t="s">
        <v>11030</v>
      </c>
    </row>
    <row r="133" customFormat="false" ht="13.8" hidden="false" customHeight="false" outlineLevel="0" collapsed="false">
      <c r="A133" s="74"/>
      <c r="B133" s="80"/>
      <c r="C133" s="75"/>
      <c r="D133" s="57" t="s">
        <v>3792</v>
      </c>
      <c r="E133" s="57" t="s">
        <v>3792</v>
      </c>
      <c r="F133" s="57" t="s">
        <v>3792</v>
      </c>
      <c r="G133" s="57" t="s">
        <v>11031</v>
      </c>
      <c r="H133" s="77"/>
      <c r="I133" s="37"/>
      <c r="J133" s="81" t="s">
        <v>11032</v>
      </c>
      <c r="K133" s="79" t="s">
        <v>11033</v>
      </c>
    </row>
    <row r="134" customFormat="false" ht="21.75" hidden="false" customHeight="false" outlineLevel="0" collapsed="false">
      <c r="A134" s="74"/>
      <c r="B134" s="80"/>
      <c r="C134" s="75"/>
      <c r="D134" s="57" t="s">
        <v>11034</v>
      </c>
      <c r="E134" s="57" t="s">
        <v>11035</v>
      </c>
      <c r="F134" s="57" t="s">
        <v>3787</v>
      </c>
      <c r="G134" s="57" t="s">
        <v>11036</v>
      </c>
      <c r="H134" s="77" t="s">
        <v>11037</v>
      </c>
      <c r="I134" s="34" t="s">
        <v>40</v>
      </c>
      <c r="J134" s="81" t="s">
        <v>11038</v>
      </c>
      <c r="K134" s="79" t="s">
        <v>11039</v>
      </c>
    </row>
    <row r="135" customFormat="false" ht="13.8" hidden="false" customHeight="false" outlineLevel="0" collapsed="false">
      <c r="A135" s="74"/>
      <c r="B135" s="80"/>
      <c r="C135" s="75"/>
      <c r="D135" s="57" t="s">
        <v>3792</v>
      </c>
      <c r="E135" s="57" t="s">
        <v>3792</v>
      </c>
      <c r="F135" s="57" t="s">
        <v>3792</v>
      </c>
      <c r="G135" s="57" t="s">
        <v>11040</v>
      </c>
      <c r="H135" s="77"/>
      <c r="I135" s="34"/>
      <c r="J135" s="81" t="s">
        <v>11041</v>
      </c>
      <c r="K135" s="79" t="s">
        <v>11042</v>
      </c>
    </row>
    <row r="136" customFormat="false" ht="21.75" hidden="false" customHeight="false" outlineLevel="0" collapsed="false">
      <c r="A136" s="74"/>
      <c r="B136" s="80"/>
      <c r="C136" s="75"/>
      <c r="D136" s="57" t="s">
        <v>11043</v>
      </c>
      <c r="E136" s="57" t="s">
        <v>11044</v>
      </c>
      <c r="F136" s="57" t="s">
        <v>3806</v>
      </c>
      <c r="G136" s="57" t="s">
        <v>11045</v>
      </c>
      <c r="H136" s="77" t="s">
        <v>11046</v>
      </c>
      <c r="I136" s="39" t="s">
        <v>67</v>
      </c>
      <c r="J136" s="81" t="s">
        <v>11047</v>
      </c>
      <c r="K136" s="79" t="s">
        <v>11048</v>
      </c>
    </row>
    <row r="137" customFormat="false" ht="13.8" hidden="false" customHeight="false" outlineLevel="0" collapsed="false">
      <c r="A137" s="74"/>
      <c r="B137" s="80"/>
      <c r="C137" s="75"/>
      <c r="D137" s="57" t="s">
        <v>3792</v>
      </c>
      <c r="E137" s="57" t="s">
        <v>3792</v>
      </c>
      <c r="F137" s="57" t="s">
        <v>3792</v>
      </c>
      <c r="G137" s="57" t="s">
        <v>11049</v>
      </c>
      <c r="H137" s="77"/>
      <c r="I137" s="39"/>
      <c r="J137" s="81" t="s">
        <v>11050</v>
      </c>
      <c r="K137" s="79" t="s">
        <v>11051</v>
      </c>
    </row>
    <row r="138" customFormat="false" ht="21.75" hidden="false" customHeight="false" outlineLevel="0" collapsed="false">
      <c r="A138" s="74"/>
      <c r="B138" s="80"/>
      <c r="C138" s="75"/>
      <c r="D138" s="57" t="s">
        <v>11052</v>
      </c>
      <c r="E138" s="57" t="s">
        <v>11053</v>
      </c>
      <c r="F138" s="57" t="s">
        <v>3797</v>
      </c>
      <c r="G138" s="57" t="s">
        <v>11054</v>
      </c>
      <c r="H138" s="77" t="s">
        <v>11055</v>
      </c>
      <c r="I138" s="34" t="s">
        <v>40</v>
      </c>
      <c r="J138" s="81" t="s">
        <v>11056</v>
      </c>
      <c r="K138" s="0" t="s">
        <v>11057</v>
      </c>
    </row>
    <row r="139" customFormat="false" ht="13.8" hidden="false" customHeight="false" outlineLevel="0" collapsed="false">
      <c r="A139" s="74"/>
      <c r="B139" s="80"/>
      <c r="C139" s="75"/>
      <c r="D139" s="57" t="s">
        <v>3792</v>
      </c>
      <c r="E139" s="57" t="s">
        <v>3792</v>
      </c>
      <c r="F139" s="57" t="s">
        <v>3792</v>
      </c>
      <c r="G139" s="57" t="s">
        <v>11058</v>
      </c>
      <c r="H139" s="77"/>
      <c r="I139" s="34"/>
      <c r="J139" s="81" t="s">
        <v>11059</v>
      </c>
      <c r="K139" s="0" t="s">
        <v>11060</v>
      </c>
    </row>
    <row r="140" customFormat="false" ht="21.75" hidden="false" customHeight="false" outlineLevel="0" collapsed="false">
      <c r="A140" s="74"/>
      <c r="B140" s="80"/>
      <c r="C140" s="75"/>
      <c r="D140" s="57" t="s">
        <v>11061</v>
      </c>
      <c r="E140" s="57" t="s">
        <v>11062</v>
      </c>
      <c r="F140" s="57" t="s">
        <v>3787</v>
      </c>
      <c r="G140" s="57" t="s">
        <v>11063</v>
      </c>
      <c r="H140" s="77" t="s">
        <v>11064</v>
      </c>
      <c r="I140" s="37" t="s">
        <v>50</v>
      </c>
      <c r="J140" s="81" t="s">
        <v>11065</v>
      </c>
      <c r="K140" s="0" t="s">
        <v>11066</v>
      </c>
    </row>
    <row r="141" customFormat="false" ht="13.8" hidden="false" customHeight="false" outlineLevel="0" collapsed="false">
      <c r="A141" s="74"/>
      <c r="B141" s="80"/>
      <c r="C141" s="75"/>
      <c r="E141" s="57" t="s">
        <v>3792</v>
      </c>
      <c r="F141" s="57" t="s">
        <v>3792</v>
      </c>
      <c r="G141" s="57" t="s">
        <v>11067</v>
      </c>
      <c r="H141" s="77"/>
      <c r="I141" s="37"/>
      <c r="J141" s="81" t="s">
        <v>11068</v>
      </c>
      <c r="K141" s="0" t="s">
        <v>11069</v>
      </c>
    </row>
    <row r="142" customFormat="false" ht="21.75" hidden="false" customHeight="true" outlineLevel="0" collapsed="false">
      <c r="A142" s="74"/>
      <c r="B142" s="80"/>
      <c r="C142" s="75" t="s">
        <v>11070</v>
      </c>
      <c r="D142" s="57" t="s">
        <v>11071</v>
      </c>
      <c r="E142" s="57" t="s">
        <v>11072</v>
      </c>
      <c r="F142" s="57" t="s">
        <v>3797</v>
      </c>
      <c r="G142" s="57" t="s">
        <v>11073</v>
      </c>
      <c r="H142" s="77" t="s">
        <v>11074</v>
      </c>
      <c r="I142" s="34" t="s">
        <v>40</v>
      </c>
      <c r="J142" s="81" t="s">
        <v>11075</v>
      </c>
      <c r="K142" s="0" t="s">
        <v>11076</v>
      </c>
    </row>
    <row r="143" customFormat="false" ht="13.8" hidden="false" customHeight="false" outlineLevel="0" collapsed="false">
      <c r="A143" s="74"/>
      <c r="B143" s="80"/>
      <c r="C143" s="75"/>
      <c r="D143" s="57" t="s">
        <v>3792</v>
      </c>
      <c r="E143" s="57" t="s">
        <v>3792</v>
      </c>
      <c r="F143" s="57" t="s">
        <v>3792</v>
      </c>
      <c r="G143" s="57" t="s">
        <v>11077</v>
      </c>
      <c r="H143" s="77"/>
      <c r="I143" s="34"/>
      <c r="J143" s="81" t="s">
        <v>11078</v>
      </c>
      <c r="K143" s="0" t="s">
        <v>11079</v>
      </c>
    </row>
    <row r="144" customFormat="false" ht="21.75" hidden="false" customHeight="false" outlineLevel="0" collapsed="false">
      <c r="A144" s="74"/>
      <c r="B144" s="80"/>
      <c r="C144" s="75"/>
      <c r="D144" s="57" t="s">
        <v>11080</v>
      </c>
      <c r="E144" s="57" t="s">
        <v>11081</v>
      </c>
      <c r="F144" s="57" t="s">
        <v>3806</v>
      </c>
      <c r="G144" s="57" t="s">
        <v>11082</v>
      </c>
      <c r="H144" s="77" t="s">
        <v>11083</v>
      </c>
      <c r="I144" s="39" t="s">
        <v>67</v>
      </c>
      <c r="J144" s="81" t="s">
        <v>11084</v>
      </c>
      <c r="K144" s="0" t="s">
        <v>11085</v>
      </c>
    </row>
    <row r="145" customFormat="false" ht="13.8" hidden="false" customHeight="false" outlineLevel="0" collapsed="false">
      <c r="A145" s="74"/>
      <c r="B145" s="80"/>
      <c r="C145" s="75"/>
      <c r="D145" s="57" t="s">
        <v>3792</v>
      </c>
      <c r="E145" s="57" t="s">
        <v>3792</v>
      </c>
      <c r="F145" s="57" t="s">
        <v>3792</v>
      </c>
      <c r="G145" s="57" t="s">
        <v>11086</v>
      </c>
      <c r="H145" s="77"/>
      <c r="I145" s="39"/>
      <c r="J145" s="81" t="s">
        <v>11087</v>
      </c>
      <c r="K145" s="0" t="s">
        <v>11088</v>
      </c>
    </row>
    <row r="146" customFormat="false" ht="21.75" hidden="false" customHeight="false" outlineLevel="0" collapsed="false">
      <c r="A146" s="74"/>
      <c r="B146" s="80"/>
      <c r="C146" s="75"/>
      <c r="D146" s="57" t="s">
        <v>11089</v>
      </c>
      <c r="E146" s="57" t="s">
        <v>11090</v>
      </c>
      <c r="F146" s="57" t="s">
        <v>3797</v>
      </c>
      <c r="G146" s="57" t="s">
        <v>11091</v>
      </c>
      <c r="H146" s="77" t="s">
        <v>11092</v>
      </c>
      <c r="I146" s="34" t="s">
        <v>40</v>
      </c>
      <c r="J146" s="81" t="s">
        <v>11093</v>
      </c>
      <c r="K146" s="0" t="s">
        <v>11094</v>
      </c>
    </row>
    <row r="147" customFormat="false" ht="13.8" hidden="false" customHeight="false" outlineLevel="0" collapsed="false">
      <c r="A147" s="74"/>
      <c r="B147" s="80"/>
      <c r="C147" s="75"/>
      <c r="D147" s="57" t="s">
        <v>3792</v>
      </c>
      <c r="E147" s="57" t="s">
        <v>3792</v>
      </c>
      <c r="F147" s="57" t="s">
        <v>3792</v>
      </c>
      <c r="G147" s="57" t="s">
        <v>11095</v>
      </c>
      <c r="H147" s="77"/>
      <c r="I147" s="34"/>
      <c r="J147" s="81" t="s">
        <v>11096</v>
      </c>
      <c r="K147" s="0" t="s">
        <v>11097</v>
      </c>
    </row>
    <row r="148" customFormat="false" ht="21.75" hidden="false" customHeight="false" outlineLevel="0" collapsed="false">
      <c r="A148" s="74"/>
      <c r="B148" s="80"/>
      <c r="C148" s="75"/>
      <c r="D148" s="57" t="s">
        <v>11098</v>
      </c>
      <c r="E148" s="57" t="s">
        <v>11099</v>
      </c>
      <c r="F148" s="57" t="s">
        <v>3787</v>
      </c>
      <c r="G148" s="57" t="s">
        <v>11100</v>
      </c>
      <c r="H148" s="77" t="s">
        <v>11101</v>
      </c>
      <c r="I148" s="37" t="s">
        <v>50</v>
      </c>
      <c r="J148" s="81" t="s">
        <v>11102</v>
      </c>
      <c r="K148" s="0" t="s">
        <v>11103</v>
      </c>
    </row>
    <row r="149" customFormat="false" ht="13.8" hidden="false" customHeight="false" outlineLevel="0" collapsed="false">
      <c r="A149" s="74"/>
      <c r="B149" s="80"/>
      <c r="C149" s="75"/>
      <c r="D149" s="57" t="s">
        <v>3792</v>
      </c>
      <c r="E149" s="57" t="s">
        <v>3792</v>
      </c>
      <c r="F149" s="57" t="s">
        <v>3792</v>
      </c>
      <c r="G149" s="57" t="s">
        <v>11104</v>
      </c>
      <c r="H149" s="77"/>
      <c r="I149" s="37"/>
      <c r="J149" s="81" t="s">
        <v>11105</v>
      </c>
      <c r="K149" s="0" t="s">
        <v>11106</v>
      </c>
    </row>
    <row r="150" customFormat="false" ht="21.75" hidden="false" customHeight="false" outlineLevel="0" collapsed="false">
      <c r="A150" s="74"/>
      <c r="B150" s="80"/>
      <c r="C150" s="75"/>
      <c r="D150" s="57" t="s">
        <v>11107</v>
      </c>
      <c r="E150" s="57" t="s">
        <v>11108</v>
      </c>
      <c r="F150" s="57" t="s">
        <v>3806</v>
      </c>
      <c r="G150" s="57" t="s">
        <v>11109</v>
      </c>
      <c r="H150" s="77" t="s">
        <v>11110</v>
      </c>
      <c r="I150" s="34" t="s">
        <v>40</v>
      </c>
      <c r="J150" s="81" t="s">
        <v>11111</v>
      </c>
      <c r="K150" s="0" t="s">
        <v>11112</v>
      </c>
    </row>
    <row r="151" customFormat="false" ht="13.8" hidden="false" customHeight="false" outlineLevel="0" collapsed="false">
      <c r="A151" s="74"/>
      <c r="B151" s="80"/>
      <c r="C151" s="75"/>
      <c r="E151" s="57" t="s">
        <v>3792</v>
      </c>
      <c r="F151" s="57" t="s">
        <v>3792</v>
      </c>
      <c r="G151" s="57" t="s">
        <v>11113</v>
      </c>
      <c r="H151" s="77"/>
      <c r="I151" s="34"/>
      <c r="J151" s="81" t="s">
        <v>11114</v>
      </c>
      <c r="K151" s="0" t="s">
        <v>11115</v>
      </c>
    </row>
    <row r="152" customFormat="false" ht="21.75" hidden="false" customHeight="true" outlineLevel="0" collapsed="false">
      <c r="A152" s="74"/>
      <c r="B152" s="80"/>
      <c r="C152" s="75" t="s">
        <v>11116</v>
      </c>
      <c r="D152" s="57" t="s">
        <v>11117</v>
      </c>
      <c r="E152" s="57" t="s">
        <v>11118</v>
      </c>
      <c r="F152" s="57" t="s">
        <v>3787</v>
      </c>
      <c r="G152" s="57" t="s">
        <v>11119</v>
      </c>
      <c r="H152" s="77" t="s">
        <v>11120</v>
      </c>
      <c r="I152" s="39" t="s">
        <v>67</v>
      </c>
      <c r="J152" s="81" t="s">
        <v>11121</v>
      </c>
      <c r="K152" s="0" t="s">
        <v>11122</v>
      </c>
    </row>
    <row r="153" customFormat="false" ht="13.8" hidden="false" customHeight="false" outlineLevel="0" collapsed="false">
      <c r="A153" s="74"/>
      <c r="B153" s="80"/>
      <c r="C153" s="75"/>
      <c r="D153" s="57" t="s">
        <v>3792</v>
      </c>
      <c r="E153" s="57" t="s">
        <v>3792</v>
      </c>
      <c r="F153" s="57" t="s">
        <v>3792</v>
      </c>
      <c r="G153" s="57" t="s">
        <v>11123</v>
      </c>
      <c r="H153" s="77"/>
      <c r="I153" s="39"/>
      <c r="J153" s="81" t="s">
        <v>11124</v>
      </c>
      <c r="K153" s="0" t="s">
        <v>11125</v>
      </c>
    </row>
    <row r="154" customFormat="false" ht="21.75" hidden="false" customHeight="false" outlineLevel="0" collapsed="false">
      <c r="A154" s="74"/>
      <c r="B154" s="80"/>
      <c r="C154" s="75"/>
      <c r="D154" s="57" t="s">
        <v>11126</v>
      </c>
      <c r="E154" s="57" t="s">
        <v>11127</v>
      </c>
      <c r="F154" s="57" t="s">
        <v>3797</v>
      </c>
      <c r="G154" s="57" t="s">
        <v>11128</v>
      </c>
      <c r="H154" s="77" t="s">
        <v>11129</v>
      </c>
      <c r="I154" s="34" t="s">
        <v>40</v>
      </c>
      <c r="J154" s="81" t="s">
        <v>11130</v>
      </c>
      <c r="K154" s="0" t="s">
        <v>11131</v>
      </c>
    </row>
    <row r="155" customFormat="false" ht="13.8" hidden="false" customHeight="false" outlineLevel="0" collapsed="false">
      <c r="A155" s="74"/>
      <c r="B155" s="80"/>
      <c r="C155" s="75"/>
      <c r="D155" s="57" t="s">
        <v>3792</v>
      </c>
      <c r="E155" s="57" t="s">
        <v>3792</v>
      </c>
      <c r="F155" s="57" t="s">
        <v>3792</v>
      </c>
      <c r="G155" s="57" t="s">
        <v>11132</v>
      </c>
      <c r="H155" s="77"/>
      <c r="I155" s="34"/>
      <c r="J155" s="81" t="s">
        <v>11096</v>
      </c>
      <c r="K155" s="0" t="s">
        <v>11133</v>
      </c>
    </row>
    <row r="156" customFormat="false" ht="21.75" hidden="false" customHeight="false" outlineLevel="0" collapsed="false">
      <c r="A156" s="74"/>
      <c r="B156" s="80"/>
      <c r="C156" s="75"/>
      <c r="D156" s="57" t="s">
        <v>11134</v>
      </c>
      <c r="E156" s="57" t="s">
        <v>11135</v>
      </c>
      <c r="F156" s="57" t="s">
        <v>3806</v>
      </c>
      <c r="G156" s="57" t="s">
        <v>11136</v>
      </c>
      <c r="H156" s="77" t="s">
        <v>11137</v>
      </c>
      <c r="I156" s="34" t="s">
        <v>40</v>
      </c>
      <c r="J156" s="81" t="s">
        <v>11138</v>
      </c>
      <c r="K156" s="0" t="s">
        <v>11139</v>
      </c>
    </row>
    <row r="157" customFormat="false" ht="13.8" hidden="false" customHeight="false" outlineLevel="0" collapsed="false">
      <c r="A157" s="74"/>
      <c r="B157" s="80"/>
      <c r="C157" s="75"/>
      <c r="D157" s="57" t="s">
        <v>3792</v>
      </c>
      <c r="E157" s="57" t="s">
        <v>3792</v>
      </c>
      <c r="F157" s="57" t="s">
        <v>3792</v>
      </c>
      <c r="G157" s="57" t="s">
        <v>11140</v>
      </c>
      <c r="H157" s="77"/>
      <c r="I157" s="34"/>
      <c r="J157" s="81" t="s">
        <v>11141</v>
      </c>
      <c r="K157" s="0" t="s">
        <v>11142</v>
      </c>
    </row>
    <row r="158" customFormat="false" ht="21.75" hidden="false" customHeight="false" outlineLevel="0" collapsed="false">
      <c r="A158" s="74"/>
      <c r="B158" s="80"/>
      <c r="C158" s="75"/>
      <c r="D158" s="57" t="s">
        <v>11143</v>
      </c>
      <c r="E158" s="57" t="s">
        <v>11144</v>
      </c>
      <c r="F158" s="57" t="s">
        <v>3787</v>
      </c>
      <c r="G158" s="57" t="s">
        <v>11145</v>
      </c>
      <c r="H158" s="77" t="s">
        <v>11146</v>
      </c>
      <c r="I158" s="39" t="s">
        <v>67</v>
      </c>
      <c r="J158" s="81" t="s">
        <v>11147</v>
      </c>
      <c r="K158" s="0" t="s">
        <v>11148</v>
      </c>
    </row>
    <row r="159" customFormat="false" ht="13.8" hidden="false" customHeight="false" outlineLevel="0" collapsed="false">
      <c r="A159" s="74"/>
      <c r="B159" s="80"/>
      <c r="C159" s="75"/>
      <c r="D159" s="57" t="s">
        <v>3792</v>
      </c>
      <c r="E159" s="57" t="s">
        <v>3792</v>
      </c>
      <c r="F159" s="57" t="s">
        <v>3792</v>
      </c>
      <c r="G159" s="57" t="s">
        <v>11149</v>
      </c>
      <c r="H159" s="77"/>
      <c r="I159" s="39"/>
      <c r="J159" s="81" t="s">
        <v>11150</v>
      </c>
      <c r="K159" s="0" t="s">
        <v>11151</v>
      </c>
    </row>
    <row r="160" customFormat="false" ht="21.75" hidden="false" customHeight="false" outlineLevel="0" collapsed="false">
      <c r="A160" s="74"/>
      <c r="B160" s="80"/>
      <c r="C160" s="75"/>
      <c r="D160" s="57" t="s">
        <v>11152</v>
      </c>
      <c r="E160" s="57" t="s">
        <v>11153</v>
      </c>
      <c r="F160" s="57" t="s">
        <v>3797</v>
      </c>
      <c r="G160" s="57" t="s">
        <v>11154</v>
      </c>
      <c r="H160" s="77" t="s">
        <v>11155</v>
      </c>
      <c r="I160" s="37" t="s">
        <v>50</v>
      </c>
      <c r="J160" s="81" t="s">
        <v>11138</v>
      </c>
      <c r="K160" s="0" t="s">
        <v>11156</v>
      </c>
    </row>
    <row r="161" customFormat="false" ht="13.8" hidden="false" customHeight="false" outlineLevel="0" collapsed="false">
      <c r="A161" s="74"/>
      <c r="B161" s="80"/>
      <c r="C161" s="75"/>
      <c r="E161" s="57" t="s">
        <v>3792</v>
      </c>
      <c r="F161" s="57" t="s">
        <v>3792</v>
      </c>
      <c r="G161" s="57" t="s">
        <v>11157</v>
      </c>
      <c r="H161" s="77"/>
      <c r="I161" s="37"/>
      <c r="J161" s="81" t="s">
        <v>11158</v>
      </c>
      <c r="K161" s="0" t="s">
        <v>11159</v>
      </c>
    </row>
    <row r="162" customFormat="false" ht="34.2" hidden="false" customHeight="true" outlineLevel="0" collapsed="false">
      <c r="A162" s="74"/>
      <c r="B162" s="80"/>
      <c r="C162" s="75" t="s">
        <v>11160</v>
      </c>
      <c r="D162" s="57" t="s">
        <v>11161</v>
      </c>
      <c r="E162" s="57" t="s">
        <v>11162</v>
      </c>
      <c r="F162" s="57" t="s">
        <v>3806</v>
      </c>
      <c r="G162" s="57" t="s">
        <v>11163</v>
      </c>
      <c r="H162" s="77" t="s">
        <v>11164</v>
      </c>
      <c r="I162" s="37" t="s">
        <v>50</v>
      </c>
      <c r="J162" s="81" t="s">
        <v>11165</v>
      </c>
      <c r="K162" s="0" t="s">
        <v>11166</v>
      </c>
    </row>
    <row r="163" customFormat="false" ht="13.8" hidden="false" customHeight="false" outlineLevel="0" collapsed="false">
      <c r="A163" s="74"/>
      <c r="B163" s="80"/>
      <c r="C163" s="75"/>
      <c r="D163" s="57" t="s">
        <v>3792</v>
      </c>
      <c r="E163" s="57" t="s">
        <v>3792</v>
      </c>
      <c r="F163" s="57" t="s">
        <v>3792</v>
      </c>
      <c r="G163" s="57" t="s">
        <v>11167</v>
      </c>
      <c r="H163" s="77"/>
      <c r="I163" s="37"/>
      <c r="J163" s="81" t="s">
        <v>11168</v>
      </c>
      <c r="K163" s="0" t="s">
        <v>11169</v>
      </c>
    </row>
    <row r="164" customFormat="false" ht="21.75" hidden="false" customHeight="false" outlineLevel="0" collapsed="false">
      <c r="A164" s="74"/>
      <c r="B164" s="80"/>
      <c r="C164" s="75"/>
      <c r="D164" s="57" t="s">
        <v>11170</v>
      </c>
      <c r="E164" s="57" t="s">
        <v>11171</v>
      </c>
      <c r="F164" s="57" t="s">
        <v>3797</v>
      </c>
      <c r="G164" s="57" t="s">
        <v>11172</v>
      </c>
      <c r="H164" s="77" t="s">
        <v>11173</v>
      </c>
      <c r="I164" s="39" t="s">
        <v>67</v>
      </c>
      <c r="J164" s="81" t="s">
        <v>11174</v>
      </c>
      <c r="K164" s="0" t="s">
        <v>11175</v>
      </c>
    </row>
    <row r="165" customFormat="false" ht="13.8" hidden="false" customHeight="false" outlineLevel="0" collapsed="false">
      <c r="A165" s="74"/>
      <c r="B165" s="80"/>
      <c r="C165" s="75"/>
      <c r="D165" s="57" t="s">
        <v>3792</v>
      </c>
      <c r="E165" s="57" t="s">
        <v>3792</v>
      </c>
      <c r="F165" s="57" t="s">
        <v>3792</v>
      </c>
      <c r="G165" s="57" t="s">
        <v>11176</v>
      </c>
      <c r="H165" s="77"/>
      <c r="I165" s="39"/>
      <c r="J165" s="81" t="s">
        <v>11177</v>
      </c>
      <c r="K165" s="0" t="s">
        <v>11178</v>
      </c>
    </row>
    <row r="166" customFormat="false" ht="21.75" hidden="false" customHeight="false" outlineLevel="0" collapsed="false">
      <c r="A166" s="74"/>
      <c r="B166" s="80"/>
      <c r="C166" s="75"/>
      <c r="D166" s="57" t="s">
        <v>11179</v>
      </c>
      <c r="E166" s="57" t="s">
        <v>11180</v>
      </c>
      <c r="F166" s="57" t="s">
        <v>3787</v>
      </c>
      <c r="G166" s="57" t="s">
        <v>11181</v>
      </c>
      <c r="H166" s="77" t="s">
        <v>11182</v>
      </c>
      <c r="I166" s="34" t="s">
        <v>40</v>
      </c>
      <c r="J166" s="81" t="s">
        <v>11183</v>
      </c>
      <c r="K166" s="0" t="s">
        <v>11184</v>
      </c>
    </row>
    <row r="167" customFormat="false" ht="13.8" hidden="false" customHeight="false" outlineLevel="0" collapsed="false">
      <c r="A167" s="74"/>
      <c r="B167" s="80"/>
      <c r="C167" s="75"/>
      <c r="D167" s="57" t="s">
        <v>3792</v>
      </c>
      <c r="E167" s="57" t="s">
        <v>3792</v>
      </c>
      <c r="F167" s="57" t="s">
        <v>3792</v>
      </c>
      <c r="G167" s="57" t="s">
        <v>11185</v>
      </c>
      <c r="H167" s="77"/>
      <c r="I167" s="34"/>
      <c r="J167" s="81" t="s">
        <v>11186</v>
      </c>
      <c r="K167" s="0" t="s">
        <v>11187</v>
      </c>
    </row>
    <row r="168" customFormat="false" ht="21.75" hidden="false" customHeight="false" outlineLevel="0" collapsed="false">
      <c r="A168" s="74"/>
      <c r="B168" s="80"/>
      <c r="C168" s="75"/>
      <c r="D168" s="57" t="s">
        <v>11188</v>
      </c>
      <c r="E168" s="57" t="s">
        <v>11189</v>
      </c>
      <c r="F168" s="57" t="s">
        <v>3806</v>
      </c>
      <c r="G168" s="57" t="s">
        <v>11190</v>
      </c>
      <c r="H168" s="77" t="s">
        <v>11191</v>
      </c>
      <c r="I168" s="39" t="s">
        <v>67</v>
      </c>
      <c r="J168" s="81" t="s">
        <v>11192</v>
      </c>
      <c r="K168" s="0" t="s">
        <v>11193</v>
      </c>
    </row>
    <row r="169" customFormat="false" ht="13.8" hidden="false" customHeight="false" outlineLevel="0" collapsed="false">
      <c r="A169" s="74"/>
      <c r="B169" s="80"/>
      <c r="C169" s="75"/>
      <c r="D169" s="57" t="s">
        <v>3792</v>
      </c>
      <c r="E169" s="57" t="s">
        <v>3792</v>
      </c>
      <c r="F169" s="57" t="s">
        <v>3792</v>
      </c>
      <c r="G169" s="57" t="s">
        <v>11194</v>
      </c>
      <c r="H169" s="77"/>
      <c r="I169" s="39"/>
      <c r="J169" s="81" t="s">
        <v>11195</v>
      </c>
      <c r="K169" s="0" t="s">
        <v>11196</v>
      </c>
    </row>
    <row r="170" customFormat="false" ht="21.75" hidden="false" customHeight="false" outlineLevel="0" collapsed="false">
      <c r="A170" s="74"/>
      <c r="B170" s="80"/>
      <c r="C170" s="75"/>
      <c r="D170" s="57" t="s">
        <v>11197</v>
      </c>
      <c r="E170" s="57" t="s">
        <v>11198</v>
      </c>
      <c r="F170" s="57" t="s">
        <v>3787</v>
      </c>
      <c r="G170" s="57" t="s">
        <v>11199</v>
      </c>
      <c r="H170" s="77" t="s">
        <v>11200</v>
      </c>
      <c r="I170" s="37" t="s">
        <v>50</v>
      </c>
      <c r="J170" s="81" t="s">
        <v>10976</v>
      </c>
      <c r="K170" s="0" t="s">
        <v>11201</v>
      </c>
    </row>
    <row r="171" customFormat="false" ht="13.8" hidden="false" customHeight="false" outlineLevel="0" collapsed="false">
      <c r="A171" s="74"/>
      <c r="B171" s="80"/>
      <c r="C171" s="75"/>
      <c r="E171" s="57" t="s">
        <v>3792</v>
      </c>
      <c r="F171" s="57" t="s">
        <v>3792</v>
      </c>
      <c r="G171" s="57" t="s">
        <v>11202</v>
      </c>
      <c r="H171" s="77"/>
      <c r="I171" s="37"/>
      <c r="J171" s="81" t="s">
        <v>11013</v>
      </c>
      <c r="K171" s="0" t="s">
        <v>11203</v>
      </c>
    </row>
    <row r="172" customFormat="false" ht="21.75" hidden="false" customHeight="true" outlineLevel="0" collapsed="false">
      <c r="A172" s="74"/>
      <c r="B172" s="80"/>
      <c r="C172" s="75" t="s">
        <v>11204</v>
      </c>
      <c r="D172" s="57" t="s">
        <v>11205</v>
      </c>
      <c r="E172" s="57" t="s">
        <v>11206</v>
      </c>
      <c r="F172" s="57" t="s">
        <v>3806</v>
      </c>
      <c r="G172" s="57" t="s">
        <v>11207</v>
      </c>
      <c r="H172" s="77" t="s">
        <v>11208</v>
      </c>
      <c r="I172" s="37" t="s">
        <v>50</v>
      </c>
      <c r="J172" s="81" t="s">
        <v>11209</v>
      </c>
      <c r="K172" s="0" t="s">
        <v>11210</v>
      </c>
    </row>
    <row r="173" customFormat="false" ht="13.8" hidden="false" customHeight="false" outlineLevel="0" collapsed="false">
      <c r="A173" s="74"/>
      <c r="B173" s="80"/>
      <c r="C173" s="75"/>
      <c r="D173" s="57" t="s">
        <v>3792</v>
      </c>
      <c r="E173" s="57" t="s">
        <v>3792</v>
      </c>
      <c r="F173" s="57" t="s">
        <v>3792</v>
      </c>
      <c r="G173" s="57" t="s">
        <v>11211</v>
      </c>
      <c r="H173" s="77"/>
      <c r="I173" s="37"/>
      <c r="J173" s="81" t="s">
        <v>11212</v>
      </c>
      <c r="K173" s="0" t="s">
        <v>11213</v>
      </c>
    </row>
    <row r="174" customFormat="false" ht="21.75" hidden="false" customHeight="false" outlineLevel="0" collapsed="false">
      <c r="A174" s="74"/>
      <c r="B174" s="80"/>
      <c r="C174" s="75"/>
      <c r="D174" s="57" t="s">
        <v>11214</v>
      </c>
      <c r="E174" s="57" t="s">
        <v>11215</v>
      </c>
      <c r="F174" s="57" t="s">
        <v>3797</v>
      </c>
      <c r="G174" s="57" t="s">
        <v>11216</v>
      </c>
      <c r="H174" s="77" t="s">
        <v>11217</v>
      </c>
      <c r="I174" s="39" t="s">
        <v>67</v>
      </c>
      <c r="J174" s="81" t="s">
        <v>11218</v>
      </c>
      <c r="K174" s="0" t="s">
        <v>11219</v>
      </c>
    </row>
    <row r="175" customFormat="false" ht="13.8" hidden="false" customHeight="false" outlineLevel="0" collapsed="false">
      <c r="A175" s="74"/>
      <c r="B175" s="80"/>
      <c r="C175" s="75"/>
      <c r="D175" s="57" t="s">
        <v>3792</v>
      </c>
      <c r="E175" s="57" t="s">
        <v>3792</v>
      </c>
      <c r="F175" s="57" t="s">
        <v>3792</v>
      </c>
      <c r="G175" s="57" t="s">
        <v>11220</v>
      </c>
      <c r="H175" s="77"/>
      <c r="I175" s="39"/>
      <c r="J175" s="81" t="s">
        <v>11221</v>
      </c>
      <c r="K175" s="0" t="s">
        <v>11222</v>
      </c>
    </row>
    <row r="176" customFormat="false" ht="21.75" hidden="false" customHeight="false" outlineLevel="0" collapsed="false">
      <c r="A176" s="74"/>
      <c r="B176" s="80"/>
      <c r="C176" s="75"/>
      <c r="D176" s="57" t="s">
        <v>11223</v>
      </c>
      <c r="E176" s="57" t="s">
        <v>11224</v>
      </c>
      <c r="F176" s="57" t="s">
        <v>3787</v>
      </c>
      <c r="G176" s="57" t="s">
        <v>11225</v>
      </c>
      <c r="H176" s="77" t="s">
        <v>11226</v>
      </c>
      <c r="I176" s="34" t="s">
        <v>40</v>
      </c>
      <c r="J176" s="81" t="s">
        <v>11227</v>
      </c>
      <c r="K176" s="0" t="s">
        <v>11228</v>
      </c>
    </row>
    <row r="177" customFormat="false" ht="13.8" hidden="false" customHeight="false" outlineLevel="0" collapsed="false">
      <c r="A177" s="74"/>
      <c r="B177" s="80"/>
      <c r="C177" s="75"/>
      <c r="D177" s="57" t="s">
        <v>3792</v>
      </c>
      <c r="E177" s="57" t="s">
        <v>3792</v>
      </c>
      <c r="F177" s="57" t="s">
        <v>3792</v>
      </c>
      <c r="G177" s="57" t="s">
        <v>11229</v>
      </c>
      <c r="H177" s="77"/>
      <c r="I177" s="34"/>
      <c r="J177" s="81" t="s">
        <v>11230</v>
      </c>
      <c r="K177" s="0" t="s">
        <v>11231</v>
      </c>
    </row>
    <row r="178" customFormat="false" ht="21.75" hidden="false" customHeight="false" outlineLevel="0" collapsed="false">
      <c r="A178" s="74"/>
      <c r="B178" s="80"/>
      <c r="C178" s="75"/>
      <c r="D178" s="57" t="s">
        <v>11232</v>
      </c>
      <c r="E178" s="57" t="s">
        <v>11233</v>
      </c>
      <c r="F178" s="57" t="s">
        <v>3797</v>
      </c>
      <c r="G178" s="57" t="s">
        <v>11234</v>
      </c>
      <c r="H178" s="77" t="s">
        <v>11235</v>
      </c>
      <c r="I178" s="39" t="s">
        <v>67</v>
      </c>
      <c r="J178" s="81" t="s">
        <v>11236</v>
      </c>
      <c r="K178" s="0" t="s">
        <v>11237</v>
      </c>
    </row>
    <row r="179" customFormat="false" ht="13.8" hidden="false" customHeight="false" outlineLevel="0" collapsed="false">
      <c r="A179" s="74"/>
      <c r="B179" s="80"/>
      <c r="C179" s="75"/>
      <c r="D179" s="57" t="s">
        <v>3792</v>
      </c>
      <c r="E179" s="57" t="s">
        <v>3792</v>
      </c>
      <c r="F179" s="57" t="s">
        <v>3792</v>
      </c>
      <c r="G179" s="57" t="s">
        <v>11238</v>
      </c>
      <c r="H179" s="77"/>
      <c r="I179" s="39"/>
      <c r="J179" s="81" t="s">
        <v>11239</v>
      </c>
      <c r="K179" s="0" t="s">
        <v>11240</v>
      </c>
    </row>
    <row r="180" customFormat="false" ht="21.75" hidden="false" customHeight="false" outlineLevel="0" collapsed="false">
      <c r="A180" s="74"/>
      <c r="B180" s="80"/>
      <c r="C180" s="75"/>
      <c r="D180" s="57" t="s">
        <v>11241</v>
      </c>
      <c r="E180" s="57" t="s">
        <v>11242</v>
      </c>
      <c r="F180" s="57" t="s">
        <v>3806</v>
      </c>
      <c r="G180" s="57" t="s">
        <v>11243</v>
      </c>
      <c r="H180" s="77" t="s">
        <v>11244</v>
      </c>
      <c r="I180" s="37" t="s">
        <v>50</v>
      </c>
      <c r="J180" s="81" t="s">
        <v>11245</v>
      </c>
      <c r="K180" s="0" t="s">
        <v>11246</v>
      </c>
    </row>
    <row r="181" customFormat="false" ht="13.8" hidden="false" customHeight="false" outlineLevel="0" collapsed="false">
      <c r="A181" s="74"/>
      <c r="B181" s="80"/>
      <c r="C181" s="75"/>
      <c r="E181" s="57" t="s">
        <v>3792</v>
      </c>
      <c r="F181" s="57" t="s">
        <v>3792</v>
      </c>
      <c r="G181" s="57" t="s">
        <v>11247</v>
      </c>
      <c r="H181" s="77"/>
      <c r="I181" s="37"/>
      <c r="J181" s="81" t="s">
        <v>11248</v>
      </c>
      <c r="K181" s="0" t="s">
        <v>11249</v>
      </c>
    </row>
    <row r="182" customFormat="false" ht="21.75" hidden="false" customHeight="true" outlineLevel="0" collapsed="false">
      <c r="A182" s="74"/>
      <c r="B182" s="80"/>
      <c r="C182" s="75" t="s">
        <v>11250</v>
      </c>
      <c r="D182" s="57" t="s">
        <v>11251</v>
      </c>
      <c r="E182" s="57" t="s">
        <v>11252</v>
      </c>
      <c r="F182" s="57" t="s">
        <v>3787</v>
      </c>
      <c r="G182" s="57" t="s">
        <v>11253</v>
      </c>
      <c r="H182" s="77" t="s">
        <v>11254</v>
      </c>
      <c r="I182" s="37" t="s">
        <v>50</v>
      </c>
      <c r="J182" s="81" t="s">
        <v>11255</v>
      </c>
      <c r="K182" s="0" t="s">
        <v>11256</v>
      </c>
    </row>
    <row r="183" customFormat="false" ht="13.8" hidden="false" customHeight="false" outlineLevel="0" collapsed="false">
      <c r="A183" s="74"/>
      <c r="B183" s="80"/>
      <c r="C183" s="75"/>
      <c r="D183" s="57" t="s">
        <v>3792</v>
      </c>
      <c r="E183" s="57" t="s">
        <v>3792</v>
      </c>
      <c r="F183" s="57" t="s">
        <v>3792</v>
      </c>
      <c r="G183" s="57" t="s">
        <v>11257</v>
      </c>
      <c r="H183" s="77"/>
      <c r="I183" s="37"/>
      <c r="J183" s="81" t="s">
        <v>11258</v>
      </c>
      <c r="K183" s="0" t="s">
        <v>11259</v>
      </c>
    </row>
    <row r="184" customFormat="false" ht="21.75" hidden="false" customHeight="false" outlineLevel="0" collapsed="false">
      <c r="A184" s="74"/>
      <c r="B184" s="80"/>
      <c r="C184" s="75"/>
      <c r="D184" s="57" t="s">
        <v>11260</v>
      </c>
      <c r="E184" s="57" t="s">
        <v>11261</v>
      </c>
      <c r="F184" s="57" t="s">
        <v>3797</v>
      </c>
      <c r="G184" s="57" t="s">
        <v>11262</v>
      </c>
      <c r="H184" s="77" t="s">
        <v>11263</v>
      </c>
      <c r="I184" s="39" t="s">
        <v>67</v>
      </c>
      <c r="J184" s="81" t="s">
        <v>11264</v>
      </c>
      <c r="K184" s="0" t="s">
        <v>11265</v>
      </c>
    </row>
    <row r="185" customFormat="false" ht="13.8" hidden="false" customHeight="false" outlineLevel="0" collapsed="false">
      <c r="A185" s="74"/>
      <c r="B185" s="80"/>
      <c r="C185" s="75"/>
      <c r="D185" s="57" t="s">
        <v>3792</v>
      </c>
      <c r="E185" s="57" t="s">
        <v>3792</v>
      </c>
      <c r="F185" s="57" t="s">
        <v>3792</v>
      </c>
      <c r="G185" s="57" t="s">
        <v>11266</v>
      </c>
      <c r="H185" s="77"/>
      <c r="I185" s="39"/>
      <c r="J185" s="81" t="s">
        <v>11267</v>
      </c>
      <c r="K185" s="0" t="s">
        <v>11268</v>
      </c>
    </row>
    <row r="186" customFormat="false" ht="21.75" hidden="false" customHeight="false" outlineLevel="0" collapsed="false">
      <c r="A186" s="74"/>
      <c r="B186" s="80"/>
      <c r="C186" s="75"/>
      <c r="D186" s="57" t="s">
        <v>11269</v>
      </c>
      <c r="E186" s="57" t="s">
        <v>11270</v>
      </c>
      <c r="F186" s="57" t="s">
        <v>3806</v>
      </c>
      <c r="G186" s="57" t="s">
        <v>11271</v>
      </c>
      <c r="H186" s="77" t="s">
        <v>11272</v>
      </c>
      <c r="I186" s="34" t="s">
        <v>40</v>
      </c>
      <c r="J186" s="81" t="s">
        <v>11273</v>
      </c>
      <c r="K186" s="0" t="s">
        <v>11274</v>
      </c>
    </row>
    <row r="187" customFormat="false" ht="13.8" hidden="false" customHeight="false" outlineLevel="0" collapsed="false">
      <c r="A187" s="74"/>
      <c r="B187" s="80"/>
      <c r="C187" s="75"/>
      <c r="D187" s="57" t="s">
        <v>3792</v>
      </c>
      <c r="E187" s="57" t="s">
        <v>3792</v>
      </c>
      <c r="F187" s="57" t="s">
        <v>3792</v>
      </c>
      <c r="G187" s="57" t="s">
        <v>11275</v>
      </c>
      <c r="H187" s="77"/>
      <c r="I187" s="34"/>
      <c r="J187" s="81" t="s">
        <v>11276</v>
      </c>
      <c r="K187" s="0" t="s">
        <v>11277</v>
      </c>
    </row>
    <row r="188" customFormat="false" ht="21.75" hidden="false" customHeight="false" outlineLevel="0" collapsed="false">
      <c r="A188" s="74"/>
      <c r="B188" s="80"/>
      <c r="C188" s="75"/>
      <c r="D188" s="57" t="s">
        <v>11278</v>
      </c>
      <c r="E188" s="57" t="s">
        <v>11279</v>
      </c>
      <c r="F188" s="57" t="s">
        <v>3797</v>
      </c>
      <c r="G188" s="57" t="s">
        <v>11280</v>
      </c>
      <c r="H188" s="77" t="s">
        <v>11281</v>
      </c>
      <c r="I188" s="39" t="s">
        <v>67</v>
      </c>
      <c r="J188" s="81" t="s">
        <v>11282</v>
      </c>
      <c r="K188" s="0" t="s">
        <v>11283</v>
      </c>
    </row>
    <row r="189" customFormat="false" ht="13.8" hidden="false" customHeight="false" outlineLevel="0" collapsed="false">
      <c r="A189" s="74"/>
      <c r="B189" s="80"/>
      <c r="C189" s="75"/>
      <c r="D189" s="57" t="s">
        <v>3792</v>
      </c>
      <c r="E189" s="57" t="s">
        <v>3792</v>
      </c>
      <c r="F189" s="57" t="s">
        <v>3792</v>
      </c>
      <c r="G189" s="57" t="s">
        <v>11284</v>
      </c>
      <c r="H189" s="77"/>
      <c r="I189" s="39"/>
      <c r="J189" s="81" t="s">
        <v>11285</v>
      </c>
      <c r="K189" s="0" t="s">
        <v>11286</v>
      </c>
    </row>
    <row r="190" customFormat="false" ht="21.75" hidden="false" customHeight="false" outlineLevel="0" collapsed="false">
      <c r="A190" s="74"/>
      <c r="B190" s="80"/>
      <c r="C190" s="75"/>
      <c r="D190" s="57" t="s">
        <v>11287</v>
      </c>
      <c r="E190" s="57" t="s">
        <v>11288</v>
      </c>
      <c r="F190" s="57" t="s">
        <v>3787</v>
      </c>
      <c r="G190" s="57" t="s">
        <v>11289</v>
      </c>
      <c r="H190" s="77" t="s">
        <v>11290</v>
      </c>
      <c r="I190" s="37" t="s">
        <v>50</v>
      </c>
      <c r="J190" s="81" t="s">
        <v>11291</v>
      </c>
      <c r="K190" s="0" t="s">
        <v>11292</v>
      </c>
    </row>
    <row r="191" customFormat="false" ht="13.8" hidden="false" customHeight="false" outlineLevel="0" collapsed="false">
      <c r="A191" s="74"/>
      <c r="B191" s="80"/>
      <c r="C191" s="75"/>
      <c r="E191" s="57"/>
      <c r="F191" s="57"/>
      <c r="G191" s="57" t="s">
        <v>11293</v>
      </c>
      <c r="H191" s="77"/>
      <c r="I191" s="37"/>
      <c r="J191" s="81" t="s">
        <v>11294</v>
      </c>
      <c r="K191" s="0" t="s">
        <v>11295</v>
      </c>
    </row>
    <row r="192" customFormat="false" ht="13.8" hidden="false" customHeight="false" outlineLevel="0" collapsed="false">
      <c r="A192" s="74"/>
      <c r="B192" s="80"/>
      <c r="C192" s="80"/>
      <c r="E192" s="57" t="s">
        <v>3792</v>
      </c>
      <c r="F192" s="57" t="s">
        <v>3792</v>
      </c>
      <c r="G192" s="57" t="s">
        <v>11296</v>
      </c>
      <c r="H192" s="77" t="s">
        <v>11297</v>
      </c>
      <c r="I192" s="37" t="s">
        <v>50</v>
      </c>
      <c r="J192" s="81" t="s">
        <v>11298</v>
      </c>
      <c r="K192" s="0" t="s">
        <v>11299</v>
      </c>
    </row>
    <row r="193" customFormat="false" ht="21.75" hidden="false" customHeight="true" outlineLevel="0" collapsed="false">
      <c r="A193" s="74"/>
      <c r="B193" s="80"/>
      <c r="C193" s="75" t="s">
        <v>11300</v>
      </c>
      <c r="D193" s="57" t="s">
        <v>11301</v>
      </c>
      <c r="E193" s="57" t="s">
        <v>11302</v>
      </c>
      <c r="F193" s="57" t="s">
        <v>3806</v>
      </c>
      <c r="G193" s="57" t="s">
        <v>11303</v>
      </c>
      <c r="H193" s="77"/>
      <c r="I193" s="37"/>
      <c r="J193" s="81" t="s">
        <v>11304</v>
      </c>
      <c r="K193" s="0" t="s">
        <v>11305</v>
      </c>
    </row>
    <row r="194" customFormat="false" ht="13.8" hidden="false" customHeight="false" outlineLevel="0" collapsed="false">
      <c r="A194" s="74"/>
      <c r="B194" s="80"/>
      <c r="C194" s="75"/>
      <c r="D194" s="57" t="s">
        <v>3792</v>
      </c>
      <c r="E194" s="57" t="s">
        <v>3792</v>
      </c>
      <c r="F194" s="57" t="s">
        <v>3792</v>
      </c>
      <c r="G194" s="57" t="s">
        <v>11306</v>
      </c>
      <c r="H194" s="77" t="s">
        <v>11307</v>
      </c>
      <c r="I194" s="39" t="s">
        <v>67</v>
      </c>
      <c r="J194" s="81" t="s">
        <v>11308</v>
      </c>
      <c r="K194" s="0" t="s">
        <v>11309</v>
      </c>
    </row>
    <row r="195" customFormat="false" ht="21.75" hidden="false" customHeight="false" outlineLevel="0" collapsed="false">
      <c r="A195" s="74"/>
      <c r="B195" s="80"/>
      <c r="C195" s="75"/>
      <c r="D195" s="57" t="s">
        <v>11310</v>
      </c>
      <c r="E195" s="57" t="s">
        <v>11311</v>
      </c>
      <c r="F195" s="57" t="s">
        <v>3787</v>
      </c>
      <c r="G195" s="57" t="s">
        <v>11312</v>
      </c>
      <c r="H195" s="77"/>
      <c r="I195" s="39"/>
      <c r="J195" s="81" t="s">
        <v>11313</v>
      </c>
      <c r="K195" s="0" t="s">
        <v>11314</v>
      </c>
    </row>
    <row r="196" customFormat="false" ht="13.8" hidden="false" customHeight="false" outlineLevel="0" collapsed="false">
      <c r="A196" s="74"/>
      <c r="B196" s="80"/>
      <c r="C196" s="75"/>
      <c r="D196" s="57" t="s">
        <v>3792</v>
      </c>
      <c r="E196" s="57" t="s">
        <v>3792</v>
      </c>
      <c r="F196" s="57" t="s">
        <v>3792</v>
      </c>
      <c r="G196" s="57" t="s">
        <v>11315</v>
      </c>
      <c r="H196" s="77" t="s">
        <v>11316</v>
      </c>
      <c r="I196" s="34" t="s">
        <v>40</v>
      </c>
      <c r="J196" s="81" t="s">
        <v>11317</v>
      </c>
      <c r="K196" s="0" t="s">
        <v>11318</v>
      </c>
    </row>
    <row r="197" customFormat="false" ht="21.75" hidden="false" customHeight="false" outlineLevel="0" collapsed="false">
      <c r="A197" s="74"/>
      <c r="B197" s="80"/>
      <c r="C197" s="75"/>
      <c r="D197" s="57" t="s">
        <v>11319</v>
      </c>
      <c r="E197" s="57" t="s">
        <v>11320</v>
      </c>
      <c r="F197" s="57" t="s">
        <v>3797</v>
      </c>
      <c r="G197" s="57" t="s">
        <v>11321</v>
      </c>
      <c r="H197" s="77"/>
      <c r="I197" s="34"/>
      <c r="J197" s="81" t="s">
        <v>11322</v>
      </c>
      <c r="K197" s="0" t="s">
        <v>11323</v>
      </c>
    </row>
    <row r="198" customFormat="false" ht="13.8" hidden="false" customHeight="false" outlineLevel="0" collapsed="false">
      <c r="A198" s="74"/>
      <c r="B198" s="80"/>
      <c r="C198" s="75"/>
      <c r="D198" s="57" t="s">
        <v>3792</v>
      </c>
      <c r="E198" s="57" t="s">
        <v>3792</v>
      </c>
      <c r="F198" s="57" t="s">
        <v>3792</v>
      </c>
      <c r="G198" s="57" t="s">
        <v>11324</v>
      </c>
      <c r="H198" s="77" t="s">
        <v>11325</v>
      </c>
      <c r="I198" s="39" t="s">
        <v>67</v>
      </c>
      <c r="J198" s="81" t="s">
        <v>11326</v>
      </c>
      <c r="K198" s="0" t="s">
        <v>11327</v>
      </c>
    </row>
    <row r="199" customFormat="false" ht="21.75" hidden="false" customHeight="false" outlineLevel="0" collapsed="false">
      <c r="A199" s="74"/>
      <c r="B199" s="80"/>
      <c r="C199" s="75"/>
      <c r="D199" s="57" t="s">
        <v>11328</v>
      </c>
      <c r="E199" s="57" t="s">
        <v>11329</v>
      </c>
      <c r="F199" s="57" t="s">
        <v>3806</v>
      </c>
      <c r="G199" s="57" t="s">
        <v>11330</v>
      </c>
      <c r="H199" s="77"/>
      <c r="I199" s="39"/>
      <c r="J199" s="81" t="s">
        <v>11331</v>
      </c>
      <c r="K199" s="0" t="s">
        <v>11332</v>
      </c>
    </row>
    <row r="200" customFormat="false" ht="13.8" hidden="false" customHeight="false" outlineLevel="0" collapsed="false">
      <c r="A200" s="74"/>
      <c r="B200" s="80"/>
      <c r="C200" s="75"/>
      <c r="D200" s="57" t="s">
        <v>3792</v>
      </c>
      <c r="E200" s="57" t="s">
        <v>3792</v>
      </c>
      <c r="F200" s="57" t="s">
        <v>3792</v>
      </c>
      <c r="H200" s="77" t="s">
        <v>11333</v>
      </c>
      <c r="I200" s="37" t="s">
        <v>50</v>
      </c>
      <c r="J200" s="81" t="s">
        <v>11334</v>
      </c>
      <c r="K200" s="0" t="s">
        <v>11335</v>
      </c>
    </row>
    <row r="201" customFormat="false" ht="34.2" hidden="false" customHeight="false" outlineLevel="0" collapsed="false">
      <c r="A201" s="74"/>
      <c r="B201" s="80"/>
      <c r="C201" s="75"/>
      <c r="D201" s="57" t="s">
        <v>11336</v>
      </c>
      <c r="E201" s="57" t="s">
        <v>11337</v>
      </c>
      <c r="F201" s="57" t="s">
        <v>3787</v>
      </c>
      <c r="G201" s="57" t="s">
        <v>11338</v>
      </c>
      <c r="H201" s="77"/>
      <c r="I201" s="37"/>
      <c r="J201" s="81" t="s">
        <v>11339</v>
      </c>
      <c r="K201" s="0" t="s">
        <v>11340</v>
      </c>
    </row>
    <row r="202" customFormat="false" ht="13.8" hidden="false" customHeight="false" outlineLevel="0" collapsed="false">
      <c r="A202" s="74"/>
      <c r="B202" s="80"/>
      <c r="C202" s="75"/>
      <c r="E202" s="57" t="s">
        <v>3792</v>
      </c>
      <c r="F202" s="57" t="s">
        <v>3792</v>
      </c>
      <c r="G202" s="57" t="s">
        <v>11341</v>
      </c>
      <c r="H202" s="77" t="s">
        <v>11342</v>
      </c>
      <c r="I202" s="34" t="s">
        <v>40</v>
      </c>
      <c r="J202" s="81" t="s">
        <v>10949</v>
      </c>
      <c r="K202" s="0" t="s">
        <v>11343</v>
      </c>
    </row>
    <row r="203" customFormat="false" ht="21.75" hidden="false" customHeight="false" outlineLevel="0" collapsed="false">
      <c r="A203" s="74"/>
      <c r="B203" s="80"/>
      <c r="C203" s="74" t="s">
        <v>11344</v>
      </c>
      <c r="D203" s="57" t="s">
        <v>11345</v>
      </c>
      <c r="E203" s="57" t="s">
        <v>11346</v>
      </c>
      <c r="F203" s="57" t="s">
        <v>3806</v>
      </c>
      <c r="G203" s="57" t="s">
        <v>11347</v>
      </c>
      <c r="H203" s="77"/>
      <c r="I203" s="34"/>
      <c r="J203" s="81" t="s">
        <v>11348</v>
      </c>
      <c r="K203" s="0" t="s">
        <v>11349</v>
      </c>
    </row>
    <row r="204" customFormat="false" ht="13.8" hidden="false" customHeight="false" outlineLevel="0" collapsed="false">
      <c r="A204" s="74"/>
      <c r="B204" s="80"/>
      <c r="C204" s="74"/>
      <c r="D204" s="57" t="s">
        <v>3792</v>
      </c>
      <c r="E204" s="57" t="s">
        <v>3792</v>
      </c>
      <c r="F204" s="57" t="s">
        <v>3792</v>
      </c>
      <c r="G204" s="57" t="s">
        <v>11350</v>
      </c>
      <c r="H204" s="77" t="s">
        <v>11351</v>
      </c>
      <c r="I204" s="37" t="s">
        <v>50</v>
      </c>
      <c r="J204" s="81" t="s">
        <v>11352</v>
      </c>
      <c r="K204" s="0" t="s">
        <v>11353</v>
      </c>
    </row>
    <row r="205" customFormat="false" ht="21.75" hidden="false" customHeight="false" outlineLevel="0" collapsed="false">
      <c r="A205" s="74"/>
      <c r="B205" s="80"/>
      <c r="C205" s="74"/>
      <c r="D205" s="57" t="s">
        <v>11354</v>
      </c>
      <c r="E205" s="57" t="s">
        <v>11355</v>
      </c>
      <c r="F205" s="57" t="s">
        <v>3797</v>
      </c>
      <c r="G205" s="57" t="s">
        <v>11356</v>
      </c>
      <c r="H205" s="77"/>
      <c r="I205" s="37"/>
      <c r="J205" s="81" t="s">
        <v>11357</v>
      </c>
      <c r="K205" s="0" t="s">
        <v>11358</v>
      </c>
    </row>
    <row r="206" customFormat="false" ht="13.8" hidden="false" customHeight="false" outlineLevel="0" collapsed="false">
      <c r="A206" s="74"/>
      <c r="B206" s="80"/>
      <c r="C206" s="74"/>
      <c r="D206" s="57" t="s">
        <v>3792</v>
      </c>
      <c r="E206" s="57" t="s">
        <v>3792</v>
      </c>
      <c r="F206" s="57" t="s">
        <v>3792</v>
      </c>
      <c r="G206" s="57" t="s">
        <v>11359</v>
      </c>
      <c r="H206" s="77" t="s">
        <v>11360</v>
      </c>
      <c r="I206" s="34" t="s">
        <v>40</v>
      </c>
      <c r="J206" s="81" t="s">
        <v>11361</v>
      </c>
      <c r="K206" s="0" t="s">
        <v>11362</v>
      </c>
    </row>
    <row r="207" customFormat="false" ht="34.2" hidden="false" customHeight="false" outlineLevel="0" collapsed="false">
      <c r="A207" s="74"/>
      <c r="B207" s="80"/>
      <c r="C207" s="74"/>
      <c r="D207" s="57" t="s">
        <v>11363</v>
      </c>
      <c r="E207" s="57" t="s">
        <v>11364</v>
      </c>
      <c r="F207" s="57" t="s">
        <v>3787</v>
      </c>
      <c r="G207" s="57" t="s">
        <v>11365</v>
      </c>
      <c r="H207" s="77"/>
      <c r="I207" s="34"/>
      <c r="J207" s="81" t="s">
        <v>11366</v>
      </c>
      <c r="K207" s="0" t="s">
        <v>11367</v>
      </c>
    </row>
    <row r="208" customFormat="false" ht="13.8" hidden="false" customHeight="false" outlineLevel="0" collapsed="false">
      <c r="A208" s="74"/>
      <c r="B208" s="80"/>
      <c r="C208" s="74"/>
      <c r="D208" s="57" t="s">
        <v>3792</v>
      </c>
      <c r="E208" s="57" t="s">
        <v>3792</v>
      </c>
      <c r="F208" s="57" t="s">
        <v>3792</v>
      </c>
      <c r="G208" s="57" t="s">
        <v>11368</v>
      </c>
      <c r="H208" s="77" t="s">
        <v>11369</v>
      </c>
      <c r="I208" s="39" t="s">
        <v>67</v>
      </c>
      <c r="J208" s="81" t="s">
        <v>11370</v>
      </c>
      <c r="K208" s="0" t="s">
        <v>11371</v>
      </c>
    </row>
    <row r="209" customFormat="false" ht="21.75" hidden="false" customHeight="false" outlineLevel="0" collapsed="false">
      <c r="A209" s="74"/>
      <c r="B209" s="80"/>
      <c r="C209" s="74"/>
      <c r="D209" s="57" t="s">
        <v>11372</v>
      </c>
      <c r="E209" s="57" t="s">
        <v>11373</v>
      </c>
      <c r="F209" s="57" t="s">
        <v>3797</v>
      </c>
      <c r="G209" s="57" t="s">
        <v>11374</v>
      </c>
      <c r="H209" s="77"/>
      <c r="I209" s="39"/>
      <c r="J209" s="81" t="s">
        <v>11375</v>
      </c>
      <c r="K209" s="0" t="s">
        <v>11376</v>
      </c>
    </row>
    <row r="210" customFormat="false" ht="13.8" hidden="false" customHeight="false" outlineLevel="0" collapsed="false">
      <c r="A210" s="74"/>
      <c r="B210" s="80"/>
      <c r="C210" s="74"/>
      <c r="D210" s="57" t="s">
        <v>3792</v>
      </c>
      <c r="E210" s="57" t="s">
        <v>3792</v>
      </c>
      <c r="F210" s="57" t="s">
        <v>3792</v>
      </c>
      <c r="G210" s="57" t="s">
        <v>11377</v>
      </c>
      <c r="H210" s="77" t="s">
        <v>11378</v>
      </c>
      <c r="I210" s="34" t="s">
        <v>40</v>
      </c>
      <c r="J210" s="81" t="s">
        <v>11379</v>
      </c>
      <c r="K210" s="0" t="s">
        <v>11380</v>
      </c>
    </row>
    <row r="211" customFormat="false" ht="21.75" hidden="false" customHeight="false" outlineLevel="0" collapsed="false">
      <c r="A211" s="74"/>
      <c r="B211" s="80"/>
      <c r="C211" s="74"/>
      <c r="D211" s="57" t="s">
        <v>11381</v>
      </c>
      <c r="E211" s="57" t="s">
        <v>11382</v>
      </c>
      <c r="F211" s="57" t="s">
        <v>3806</v>
      </c>
      <c r="G211" s="57" t="s">
        <v>11383</v>
      </c>
      <c r="H211" s="77"/>
      <c r="I211" s="34"/>
      <c r="J211" s="81" t="s">
        <v>11384</v>
      </c>
      <c r="K211" s="0" t="s">
        <v>11385</v>
      </c>
    </row>
    <row r="212" customFormat="false" ht="13.8" hidden="false" customHeight="false" outlineLevel="0" collapsed="false">
      <c r="A212" s="74"/>
      <c r="B212" s="80"/>
      <c r="C212" s="74"/>
      <c r="E212" s="57" t="s">
        <v>3792</v>
      </c>
      <c r="F212" s="57" t="s">
        <v>3792</v>
      </c>
      <c r="G212" s="57" t="s">
        <v>11386</v>
      </c>
      <c r="H212" s="77" t="s">
        <v>11387</v>
      </c>
      <c r="I212" s="37" t="s">
        <v>50</v>
      </c>
      <c r="J212" s="81" t="s">
        <v>11388</v>
      </c>
      <c r="K212" s="0" t="s">
        <v>10956</v>
      </c>
    </row>
    <row r="213" customFormat="false" ht="21.75" hidden="false" customHeight="false" outlineLevel="0" collapsed="false">
      <c r="A213" s="74"/>
      <c r="B213" s="74" t="s">
        <v>11389</v>
      </c>
      <c r="C213" s="74" t="s">
        <v>11390</v>
      </c>
      <c r="D213" s="57" t="s">
        <v>11391</v>
      </c>
      <c r="E213" s="57" t="s">
        <v>11392</v>
      </c>
      <c r="F213" s="57" t="s">
        <v>3797</v>
      </c>
      <c r="G213" s="57" t="s">
        <v>11393</v>
      </c>
      <c r="H213" s="77"/>
      <c r="I213" s="37"/>
      <c r="J213" s="81" t="s">
        <v>11394</v>
      </c>
      <c r="K213" s="0" t="s">
        <v>11395</v>
      </c>
    </row>
    <row r="214" customFormat="false" ht="13.8" hidden="false" customHeight="false" outlineLevel="0" collapsed="false">
      <c r="A214" s="74"/>
      <c r="B214" s="74"/>
      <c r="C214" s="74"/>
      <c r="D214" s="57" t="s">
        <v>3792</v>
      </c>
      <c r="E214" s="57" t="s">
        <v>3792</v>
      </c>
      <c r="F214" s="57" t="s">
        <v>3792</v>
      </c>
      <c r="G214" s="57" t="s">
        <v>11396</v>
      </c>
      <c r="H214" s="77" t="s">
        <v>11397</v>
      </c>
      <c r="I214" s="34" t="s">
        <v>40</v>
      </c>
      <c r="J214" s="81" t="s">
        <v>11398</v>
      </c>
      <c r="K214" s="0" t="s">
        <v>11399</v>
      </c>
    </row>
    <row r="215" customFormat="false" ht="34.2" hidden="false" customHeight="false" outlineLevel="0" collapsed="false">
      <c r="A215" s="74"/>
      <c r="B215" s="74"/>
      <c r="C215" s="74"/>
      <c r="D215" s="57" t="s">
        <v>11400</v>
      </c>
      <c r="E215" s="57" t="s">
        <v>11401</v>
      </c>
      <c r="F215" s="57" t="s">
        <v>3787</v>
      </c>
      <c r="G215" s="57" t="s">
        <v>11402</v>
      </c>
      <c r="H215" s="77"/>
      <c r="I215" s="34"/>
      <c r="J215" s="81" t="s">
        <v>11403</v>
      </c>
      <c r="K215" s="0" t="s">
        <v>11404</v>
      </c>
    </row>
    <row r="216" customFormat="false" ht="13.8" hidden="false" customHeight="false" outlineLevel="0" collapsed="false">
      <c r="A216" s="74"/>
      <c r="B216" s="74"/>
      <c r="C216" s="74"/>
      <c r="D216" s="57" t="s">
        <v>3792</v>
      </c>
      <c r="E216" s="57" t="s">
        <v>3792</v>
      </c>
      <c r="F216" s="57" t="s">
        <v>3792</v>
      </c>
      <c r="G216" s="57" t="s">
        <v>11405</v>
      </c>
      <c r="H216" s="77" t="s">
        <v>11406</v>
      </c>
      <c r="I216" s="39" t="s">
        <v>67</v>
      </c>
      <c r="J216" s="81" t="s">
        <v>11407</v>
      </c>
      <c r="K216" s="0" t="s">
        <v>11408</v>
      </c>
    </row>
    <row r="217" customFormat="false" ht="21.75" hidden="false" customHeight="false" outlineLevel="0" collapsed="false">
      <c r="A217" s="74"/>
      <c r="B217" s="74"/>
      <c r="C217" s="74"/>
      <c r="D217" s="57" t="s">
        <v>11409</v>
      </c>
      <c r="E217" s="57" t="s">
        <v>11410</v>
      </c>
      <c r="F217" s="57" t="s">
        <v>3806</v>
      </c>
      <c r="G217" s="57" t="s">
        <v>11411</v>
      </c>
      <c r="H217" s="77"/>
      <c r="I217" s="39"/>
      <c r="J217" s="81" t="s">
        <v>11412</v>
      </c>
      <c r="K217" s="0" t="s">
        <v>11413</v>
      </c>
    </row>
    <row r="218" customFormat="false" ht="13.8" hidden="false" customHeight="false" outlineLevel="0" collapsed="false">
      <c r="A218" s="74"/>
      <c r="B218" s="74"/>
      <c r="C218" s="74"/>
      <c r="D218" s="57" t="s">
        <v>3792</v>
      </c>
      <c r="E218" s="57" t="s">
        <v>3792</v>
      </c>
      <c r="F218" s="57" t="s">
        <v>3792</v>
      </c>
      <c r="G218" s="57" t="s">
        <v>11414</v>
      </c>
      <c r="H218" s="77" t="s">
        <v>11415</v>
      </c>
      <c r="I218" s="34" t="s">
        <v>40</v>
      </c>
      <c r="J218" s="81" t="s">
        <v>11416</v>
      </c>
      <c r="K218" s="0" t="s">
        <v>11417</v>
      </c>
    </row>
    <row r="219" customFormat="false" ht="21.75" hidden="false" customHeight="false" outlineLevel="0" collapsed="false">
      <c r="A219" s="74"/>
      <c r="B219" s="74"/>
      <c r="C219" s="74"/>
      <c r="D219" s="57" t="s">
        <v>11418</v>
      </c>
      <c r="E219" s="57" t="s">
        <v>11419</v>
      </c>
      <c r="F219" s="57" t="s">
        <v>3787</v>
      </c>
      <c r="G219" s="57" t="s">
        <v>11420</v>
      </c>
      <c r="H219" s="77"/>
      <c r="I219" s="34"/>
      <c r="J219" s="81" t="s">
        <v>11421</v>
      </c>
      <c r="K219" s="0" t="s">
        <v>11422</v>
      </c>
    </row>
    <row r="220" customFormat="false" ht="13.8" hidden="false" customHeight="false" outlineLevel="0" collapsed="false">
      <c r="A220" s="74"/>
      <c r="B220" s="74"/>
      <c r="C220" s="74"/>
      <c r="D220" s="57" t="s">
        <v>3792</v>
      </c>
      <c r="E220" s="57" t="s">
        <v>3792</v>
      </c>
      <c r="F220" s="57" t="s">
        <v>3792</v>
      </c>
      <c r="G220" s="57" t="s">
        <v>11423</v>
      </c>
      <c r="H220" s="77" t="s">
        <v>11424</v>
      </c>
      <c r="I220" s="37" t="s">
        <v>50</v>
      </c>
      <c r="J220" s="81" t="s">
        <v>11425</v>
      </c>
      <c r="K220" s="0" t="s">
        <v>11426</v>
      </c>
    </row>
    <row r="221" customFormat="false" ht="21.75" hidden="false" customHeight="false" outlineLevel="0" collapsed="false">
      <c r="A221" s="74"/>
      <c r="B221" s="74"/>
      <c r="C221" s="74"/>
      <c r="D221" s="57" t="s">
        <v>11427</v>
      </c>
      <c r="E221" s="57" t="s">
        <v>11428</v>
      </c>
      <c r="F221" s="57" t="s">
        <v>3797</v>
      </c>
      <c r="G221" s="57" t="s">
        <v>11429</v>
      </c>
      <c r="H221" s="77"/>
      <c r="I221" s="37"/>
      <c r="J221" s="81" t="s">
        <v>11430</v>
      </c>
      <c r="K221" s="0" t="s">
        <v>11431</v>
      </c>
    </row>
    <row r="222" customFormat="false" ht="13.8" hidden="false" customHeight="false" outlineLevel="0" collapsed="false">
      <c r="A222" s="74"/>
      <c r="B222" s="74"/>
      <c r="C222" s="74"/>
      <c r="E222" s="57" t="s">
        <v>3792</v>
      </c>
      <c r="F222" s="57" t="s">
        <v>3792</v>
      </c>
      <c r="G222" s="57" t="s">
        <v>11432</v>
      </c>
      <c r="H222" s="77" t="s">
        <v>11433</v>
      </c>
      <c r="I222" s="34" t="s">
        <v>40</v>
      </c>
      <c r="J222" s="81" t="s">
        <v>11434</v>
      </c>
      <c r="K222" s="0" t="s">
        <v>11435</v>
      </c>
    </row>
    <row r="223" customFormat="false" ht="21.75" hidden="false" customHeight="true" outlineLevel="0" collapsed="false">
      <c r="A223" s="74"/>
      <c r="B223" s="74"/>
      <c r="C223" s="75" t="s">
        <v>11436</v>
      </c>
      <c r="D223" s="57" t="s">
        <v>11437</v>
      </c>
      <c r="E223" s="57" t="s">
        <v>11438</v>
      </c>
      <c r="F223" s="57" t="s">
        <v>3806</v>
      </c>
      <c r="G223" s="57" t="s">
        <v>11439</v>
      </c>
      <c r="H223" s="77"/>
      <c r="I223" s="34"/>
      <c r="J223" s="81" t="s">
        <v>10949</v>
      </c>
      <c r="K223" s="0" t="s">
        <v>11440</v>
      </c>
    </row>
    <row r="224" customFormat="false" ht="13.8" hidden="false" customHeight="false" outlineLevel="0" collapsed="false">
      <c r="A224" s="74"/>
      <c r="B224" s="74"/>
      <c r="C224" s="74"/>
      <c r="D224" s="57" t="s">
        <v>3792</v>
      </c>
      <c r="E224" s="57" t="s">
        <v>3792</v>
      </c>
      <c r="F224" s="57" t="s">
        <v>3792</v>
      </c>
      <c r="G224" s="57" t="s">
        <v>11441</v>
      </c>
      <c r="H224" s="77" t="s">
        <v>11442</v>
      </c>
      <c r="I224" s="39" t="s">
        <v>67</v>
      </c>
      <c r="J224" s="81" t="s">
        <v>11443</v>
      </c>
      <c r="K224" s="0" t="s">
        <v>11444</v>
      </c>
    </row>
    <row r="225" customFormat="false" ht="21.75" hidden="false" customHeight="false" outlineLevel="0" collapsed="false">
      <c r="A225" s="74"/>
      <c r="B225" s="74"/>
      <c r="C225" s="74"/>
      <c r="D225" s="57" t="s">
        <v>11445</v>
      </c>
      <c r="E225" s="57" t="s">
        <v>11446</v>
      </c>
      <c r="F225" s="57" t="s">
        <v>3787</v>
      </c>
      <c r="G225" s="57" t="s">
        <v>11447</v>
      </c>
      <c r="H225" s="77"/>
      <c r="I225" s="39"/>
      <c r="J225" s="81" t="s">
        <v>11448</v>
      </c>
      <c r="K225" s="0" t="s">
        <v>11449</v>
      </c>
    </row>
    <row r="226" customFormat="false" ht="13.8" hidden="false" customHeight="false" outlineLevel="0" collapsed="false">
      <c r="A226" s="74"/>
      <c r="B226" s="74"/>
      <c r="C226" s="74"/>
      <c r="D226" s="57" t="s">
        <v>3792</v>
      </c>
      <c r="E226" s="57" t="s">
        <v>3792</v>
      </c>
      <c r="F226" s="57" t="s">
        <v>3792</v>
      </c>
      <c r="G226" s="57" t="s">
        <v>11450</v>
      </c>
      <c r="H226" s="77" t="s">
        <v>11451</v>
      </c>
      <c r="I226" s="34" t="s">
        <v>40</v>
      </c>
      <c r="J226" s="81" t="s">
        <v>11452</v>
      </c>
      <c r="K226" s="0" t="s">
        <v>11453</v>
      </c>
    </row>
    <row r="227" customFormat="false" ht="21.75" hidden="false" customHeight="false" outlineLevel="0" collapsed="false">
      <c r="A227" s="74"/>
      <c r="B227" s="74"/>
      <c r="C227" s="74"/>
      <c r="D227" s="57" t="s">
        <v>11454</v>
      </c>
      <c r="E227" s="57" t="s">
        <v>11455</v>
      </c>
      <c r="F227" s="57" t="s">
        <v>3797</v>
      </c>
      <c r="G227" s="57" t="s">
        <v>11456</v>
      </c>
      <c r="H227" s="77"/>
      <c r="I227" s="34"/>
      <c r="J227" s="81" t="s">
        <v>11457</v>
      </c>
      <c r="K227" s="0" t="s">
        <v>11458</v>
      </c>
    </row>
    <row r="228" customFormat="false" ht="13.8" hidden="false" customHeight="false" outlineLevel="0" collapsed="false">
      <c r="A228" s="74"/>
      <c r="B228" s="74"/>
      <c r="C228" s="74"/>
      <c r="D228" s="57" t="s">
        <v>3792</v>
      </c>
      <c r="E228" s="57" t="s">
        <v>3792</v>
      </c>
      <c r="F228" s="57" t="s">
        <v>3792</v>
      </c>
      <c r="G228" s="57" t="s">
        <v>11459</v>
      </c>
      <c r="H228" s="77" t="s">
        <v>11460</v>
      </c>
      <c r="I228" s="37" t="s">
        <v>50</v>
      </c>
      <c r="J228" s="81" t="s">
        <v>11461</v>
      </c>
      <c r="K228" s="0" t="s">
        <v>11462</v>
      </c>
    </row>
    <row r="229" customFormat="false" ht="21.75" hidden="false" customHeight="false" outlineLevel="0" collapsed="false">
      <c r="A229" s="74"/>
      <c r="B229" s="74"/>
      <c r="C229" s="74"/>
      <c r="D229" s="57" t="s">
        <v>11463</v>
      </c>
      <c r="E229" s="57" t="s">
        <v>11464</v>
      </c>
      <c r="F229" s="57" t="s">
        <v>3806</v>
      </c>
      <c r="G229" s="57" t="s">
        <v>11465</v>
      </c>
      <c r="H229" s="77"/>
      <c r="I229" s="37"/>
      <c r="J229" s="81" t="s">
        <v>11466</v>
      </c>
      <c r="K229" s="0" t="s">
        <v>11467</v>
      </c>
    </row>
    <row r="230" customFormat="false" ht="13.8" hidden="false" customHeight="false" outlineLevel="0" collapsed="false">
      <c r="A230" s="74"/>
      <c r="B230" s="74"/>
      <c r="C230" s="74"/>
      <c r="D230" s="57" t="s">
        <v>3792</v>
      </c>
      <c r="E230" s="57" t="s">
        <v>3792</v>
      </c>
      <c r="F230" s="57" t="s">
        <v>3792</v>
      </c>
      <c r="G230" s="57" t="s">
        <v>11468</v>
      </c>
      <c r="H230" s="77" t="s">
        <v>11469</v>
      </c>
      <c r="I230" s="34" t="s">
        <v>40</v>
      </c>
      <c r="J230" s="81" t="s">
        <v>11470</v>
      </c>
      <c r="K230" s="0" t="s">
        <v>11471</v>
      </c>
    </row>
    <row r="231" customFormat="false" ht="21.75" hidden="false" customHeight="false" outlineLevel="0" collapsed="false">
      <c r="A231" s="74"/>
      <c r="B231" s="74"/>
      <c r="C231" s="74"/>
      <c r="D231" s="57" t="s">
        <v>11472</v>
      </c>
      <c r="E231" s="57" t="s">
        <v>11473</v>
      </c>
      <c r="F231" s="57" t="s">
        <v>3797</v>
      </c>
      <c r="G231" s="57" t="s">
        <v>11474</v>
      </c>
      <c r="H231" s="77"/>
      <c r="I231" s="34"/>
      <c r="J231" s="81" t="s">
        <v>11004</v>
      </c>
      <c r="K231" s="0" t="s">
        <v>11475</v>
      </c>
    </row>
    <row r="232" customFormat="false" ht="13.8" hidden="false" customHeight="false" outlineLevel="0" collapsed="false">
      <c r="A232" s="74"/>
      <c r="B232" s="74"/>
      <c r="C232" s="74"/>
      <c r="E232" s="57" t="s">
        <v>3792</v>
      </c>
      <c r="F232" s="57" t="s">
        <v>3792</v>
      </c>
      <c r="G232" s="57" t="s">
        <v>11476</v>
      </c>
      <c r="H232" s="77" t="s">
        <v>11477</v>
      </c>
      <c r="I232" s="39" t="s">
        <v>67</v>
      </c>
      <c r="J232" s="81" t="s">
        <v>11478</v>
      </c>
      <c r="K232" s="0" t="s">
        <v>11479</v>
      </c>
    </row>
    <row r="233" customFormat="false" ht="21.75" hidden="false" customHeight="true" outlineLevel="0" collapsed="false">
      <c r="A233" s="74"/>
      <c r="B233" s="74"/>
      <c r="C233" s="75" t="s">
        <v>11480</v>
      </c>
      <c r="D233" s="57" t="s">
        <v>11481</v>
      </c>
      <c r="E233" s="57" t="s">
        <v>11482</v>
      </c>
      <c r="F233" s="57" t="s">
        <v>3787</v>
      </c>
      <c r="G233" s="57" t="s">
        <v>11483</v>
      </c>
      <c r="H233" s="77"/>
      <c r="I233" s="39"/>
      <c r="J233" s="81" t="s">
        <v>11484</v>
      </c>
      <c r="K233" s="0" t="s">
        <v>11485</v>
      </c>
    </row>
    <row r="234" customFormat="false" ht="13.8" hidden="false" customHeight="false" outlineLevel="0" collapsed="false">
      <c r="A234" s="74"/>
      <c r="B234" s="74"/>
      <c r="C234" s="74"/>
      <c r="D234" s="57" t="s">
        <v>3792</v>
      </c>
      <c r="E234" s="57" t="s">
        <v>3792</v>
      </c>
      <c r="F234" s="57" t="s">
        <v>3792</v>
      </c>
      <c r="G234" s="57" t="s">
        <v>11486</v>
      </c>
      <c r="H234" s="77" t="s">
        <v>11487</v>
      </c>
      <c r="I234" s="34" t="s">
        <v>40</v>
      </c>
      <c r="J234" s="81" t="s">
        <v>11488</v>
      </c>
      <c r="K234" s="0" t="s">
        <v>11489</v>
      </c>
    </row>
    <row r="235" customFormat="false" ht="21.75" hidden="false" customHeight="false" outlineLevel="0" collapsed="false">
      <c r="A235" s="74"/>
      <c r="B235" s="74"/>
      <c r="C235" s="74"/>
      <c r="D235" s="57" t="s">
        <v>11490</v>
      </c>
      <c r="E235" s="57" t="s">
        <v>11491</v>
      </c>
      <c r="F235" s="57" t="s">
        <v>3806</v>
      </c>
      <c r="G235" s="57" t="s">
        <v>11492</v>
      </c>
      <c r="H235" s="77"/>
      <c r="I235" s="34"/>
      <c r="J235" s="81" t="s">
        <v>11493</v>
      </c>
      <c r="K235" s="0" t="s">
        <v>11494</v>
      </c>
    </row>
    <row r="236" customFormat="false" ht="13.8" hidden="false" customHeight="false" outlineLevel="0" collapsed="false">
      <c r="A236" s="74"/>
      <c r="B236" s="74"/>
      <c r="C236" s="74"/>
      <c r="D236" s="57" t="s">
        <v>3792</v>
      </c>
      <c r="E236" s="57" t="s">
        <v>3792</v>
      </c>
      <c r="F236" s="57" t="s">
        <v>3792</v>
      </c>
      <c r="G236" s="57" t="s">
        <v>11495</v>
      </c>
      <c r="H236" s="77" t="s">
        <v>11496</v>
      </c>
      <c r="I236" s="37" t="s">
        <v>50</v>
      </c>
      <c r="J236" s="81" t="s">
        <v>11497</v>
      </c>
      <c r="K236" s="0" t="s">
        <v>11498</v>
      </c>
    </row>
    <row r="237" customFormat="false" ht="21.75" hidden="false" customHeight="false" outlineLevel="0" collapsed="false">
      <c r="A237" s="74"/>
      <c r="B237" s="74"/>
      <c r="C237" s="74"/>
      <c r="D237" s="57" t="s">
        <v>11499</v>
      </c>
      <c r="E237" s="57" t="s">
        <v>11500</v>
      </c>
      <c r="F237" s="57" t="s">
        <v>3787</v>
      </c>
      <c r="G237" s="57" t="s">
        <v>11501</v>
      </c>
      <c r="H237" s="77"/>
      <c r="I237" s="37"/>
      <c r="J237" s="81" t="s">
        <v>11502</v>
      </c>
      <c r="K237" s="0" t="s">
        <v>11503</v>
      </c>
    </row>
    <row r="238" customFormat="false" ht="13.8" hidden="false" customHeight="false" outlineLevel="0" collapsed="false">
      <c r="A238" s="74"/>
      <c r="B238" s="74"/>
      <c r="C238" s="74"/>
      <c r="D238" s="57" t="s">
        <v>3792</v>
      </c>
      <c r="E238" s="57" t="s">
        <v>3792</v>
      </c>
      <c r="F238" s="57" t="s">
        <v>3792</v>
      </c>
      <c r="G238" s="57" t="s">
        <v>11504</v>
      </c>
      <c r="H238" s="77" t="s">
        <v>11505</v>
      </c>
      <c r="I238" s="34" t="s">
        <v>40</v>
      </c>
      <c r="J238" s="81" t="s">
        <v>11506</v>
      </c>
      <c r="K238" s="0" t="s">
        <v>11507</v>
      </c>
    </row>
    <row r="239" customFormat="false" ht="21.75" hidden="false" customHeight="false" outlineLevel="0" collapsed="false">
      <c r="A239" s="74"/>
      <c r="B239" s="74"/>
      <c r="C239" s="74"/>
      <c r="D239" s="57" t="s">
        <v>11508</v>
      </c>
      <c r="E239" s="57" t="s">
        <v>11509</v>
      </c>
      <c r="F239" s="57" t="s">
        <v>3806</v>
      </c>
      <c r="G239" s="57" t="s">
        <v>11510</v>
      </c>
      <c r="H239" s="77"/>
      <c r="I239" s="34"/>
      <c r="J239" s="81" t="s">
        <v>11511</v>
      </c>
      <c r="K239" s="0" t="s">
        <v>11512</v>
      </c>
    </row>
    <row r="240" customFormat="false" ht="13.8" hidden="false" customHeight="false" outlineLevel="0" collapsed="false">
      <c r="A240" s="74"/>
      <c r="B240" s="74"/>
      <c r="C240" s="74"/>
      <c r="D240" s="57" t="s">
        <v>3792</v>
      </c>
      <c r="E240" s="57" t="s">
        <v>3792</v>
      </c>
      <c r="F240" s="57" t="s">
        <v>3792</v>
      </c>
      <c r="G240" s="57" t="s">
        <v>11513</v>
      </c>
      <c r="H240" s="77" t="s">
        <v>11514</v>
      </c>
      <c r="I240" s="39" t="s">
        <v>67</v>
      </c>
      <c r="J240" s="81" t="s">
        <v>11515</v>
      </c>
      <c r="K240" s="0" t="s">
        <v>11516</v>
      </c>
    </row>
    <row r="241" customFormat="false" ht="21.75" hidden="false" customHeight="false" outlineLevel="0" collapsed="false">
      <c r="A241" s="74"/>
      <c r="B241" s="74"/>
      <c r="C241" s="74"/>
      <c r="D241" s="57" t="s">
        <v>11517</v>
      </c>
      <c r="E241" s="57" t="s">
        <v>11518</v>
      </c>
      <c r="F241" s="57" t="s">
        <v>3797</v>
      </c>
      <c r="G241" s="57" t="s">
        <v>11519</v>
      </c>
      <c r="H241" s="77"/>
      <c r="I241" s="39"/>
      <c r="J241" s="81" t="s">
        <v>11520</v>
      </c>
      <c r="K241" s="0" t="s">
        <v>11521</v>
      </c>
    </row>
    <row r="242" customFormat="false" ht="13.8" hidden="false" customHeight="false" outlineLevel="0" collapsed="false">
      <c r="A242" s="74"/>
      <c r="B242" s="74"/>
      <c r="C242" s="74"/>
      <c r="E242" s="57" t="s">
        <v>3792</v>
      </c>
      <c r="F242" s="57" t="s">
        <v>3792</v>
      </c>
      <c r="G242" s="57" t="s">
        <v>11522</v>
      </c>
      <c r="H242" s="77" t="s">
        <v>11523</v>
      </c>
      <c r="I242" s="34" t="s">
        <v>40</v>
      </c>
      <c r="J242" s="81" t="s">
        <v>11524</v>
      </c>
      <c r="K242" s="0" t="s">
        <v>11525</v>
      </c>
    </row>
    <row r="243" customFormat="false" ht="21.75" hidden="false" customHeight="false" outlineLevel="0" collapsed="false">
      <c r="A243" s="74"/>
      <c r="B243" s="74"/>
      <c r="C243" s="74" t="s">
        <v>11526</v>
      </c>
      <c r="D243" s="57" t="s">
        <v>11527</v>
      </c>
      <c r="E243" s="57" t="s">
        <v>11528</v>
      </c>
      <c r="F243" s="57" t="s">
        <v>3787</v>
      </c>
      <c r="G243" s="57" t="s">
        <v>11529</v>
      </c>
      <c r="H243" s="77"/>
      <c r="I243" s="34"/>
      <c r="J243" s="81" t="s">
        <v>11530</v>
      </c>
      <c r="K243" s="0" t="s">
        <v>11531</v>
      </c>
    </row>
    <row r="244" customFormat="false" ht="13.8" hidden="false" customHeight="false" outlineLevel="0" collapsed="false">
      <c r="A244" s="74"/>
      <c r="B244" s="74"/>
      <c r="C244" s="74"/>
      <c r="D244" s="57" t="s">
        <v>3792</v>
      </c>
      <c r="E244" s="57" t="s">
        <v>3792</v>
      </c>
      <c r="F244" s="57" t="s">
        <v>3792</v>
      </c>
      <c r="G244" s="57" t="s">
        <v>11532</v>
      </c>
      <c r="H244" s="77" t="s">
        <v>11533</v>
      </c>
      <c r="I244" s="37" t="s">
        <v>50</v>
      </c>
      <c r="J244" s="81" t="s">
        <v>11534</v>
      </c>
      <c r="K244" s="0" t="s">
        <v>11535</v>
      </c>
    </row>
    <row r="245" customFormat="false" ht="21.75" hidden="false" customHeight="false" outlineLevel="0" collapsed="false">
      <c r="A245" s="74"/>
      <c r="B245" s="74"/>
      <c r="C245" s="74"/>
      <c r="D245" s="57" t="s">
        <v>11536</v>
      </c>
      <c r="E245" s="57" t="s">
        <v>11537</v>
      </c>
      <c r="F245" s="57" t="s">
        <v>3797</v>
      </c>
      <c r="G245" s="57" t="s">
        <v>11538</v>
      </c>
      <c r="H245" s="77"/>
      <c r="I245" s="37"/>
      <c r="J245" s="81" t="s">
        <v>11539</v>
      </c>
      <c r="K245" s="0" t="s">
        <v>11540</v>
      </c>
    </row>
    <row r="246" customFormat="false" ht="13.8" hidden="false" customHeight="false" outlineLevel="0" collapsed="false">
      <c r="A246" s="74"/>
      <c r="B246" s="74"/>
      <c r="C246" s="74"/>
      <c r="D246" s="57" t="s">
        <v>3792</v>
      </c>
      <c r="E246" s="57" t="s">
        <v>3792</v>
      </c>
      <c r="F246" s="57" t="s">
        <v>3792</v>
      </c>
      <c r="G246" s="57" t="s">
        <v>11541</v>
      </c>
      <c r="H246" s="77" t="s">
        <v>11542</v>
      </c>
      <c r="I246" s="34" t="s">
        <v>40</v>
      </c>
      <c r="J246" s="81" t="s">
        <v>11543</v>
      </c>
      <c r="K246" s="0" t="s">
        <v>11544</v>
      </c>
    </row>
    <row r="247" customFormat="false" ht="21.75" hidden="false" customHeight="false" outlineLevel="0" collapsed="false">
      <c r="A247" s="74"/>
      <c r="B247" s="74"/>
      <c r="C247" s="74"/>
      <c r="D247" s="57" t="s">
        <v>11545</v>
      </c>
      <c r="E247" s="57" t="s">
        <v>11546</v>
      </c>
      <c r="F247" s="57" t="s">
        <v>3806</v>
      </c>
      <c r="G247" s="57" t="s">
        <v>11547</v>
      </c>
      <c r="H247" s="77"/>
      <c r="I247" s="34"/>
      <c r="J247" s="81" t="s">
        <v>11548</v>
      </c>
      <c r="K247" s="0" t="s">
        <v>11549</v>
      </c>
    </row>
    <row r="248" customFormat="false" ht="13.8" hidden="false" customHeight="false" outlineLevel="0" collapsed="false">
      <c r="A248" s="74"/>
      <c r="B248" s="74"/>
      <c r="C248" s="74"/>
      <c r="D248" s="57" t="s">
        <v>3792</v>
      </c>
      <c r="E248" s="57" t="s">
        <v>3792</v>
      </c>
      <c r="F248" s="57" t="s">
        <v>3792</v>
      </c>
      <c r="G248" s="57" t="s">
        <v>11550</v>
      </c>
      <c r="H248" s="77" t="s">
        <v>11551</v>
      </c>
      <c r="I248" s="39" t="s">
        <v>67</v>
      </c>
      <c r="J248" s="81" t="s">
        <v>11552</v>
      </c>
      <c r="K248" s="79" t="s">
        <v>11553</v>
      </c>
    </row>
    <row r="249" customFormat="false" ht="21.75" hidden="false" customHeight="false" outlineLevel="0" collapsed="false">
      <c r="A249" s="74"/>
      <c r="B249" s="74"/>
      <c r="C249" s="74"/>
      <c r="D249" s="57" t="s">
        <v>11554</v>
      </c>
      <c r="E249" s="57" t="s">
        <v>11555</v>
      </c>
      <c r="F249" s="57" t="s">
        <v>3787</v>
      </c>
      <c r="G249" s="57" t="s">
        <v>11556</v>
      </c>
      <c r="H249" s="77"/>
      <c r="I249" s="39"/>
      <c r="J249" s="81" t="s">
        <v>11177</v>
      </c>
      <c r="K249" s="79" t="s">
        <v>11557</v>
      </c>
    </row>
    <row r="250" customFormat="false" ht="13.8" hidden="false" customHeight="false" outlineLevel="0" collapsed="false">
      <c r="A250" s="74"/>
      <c r="B250" s="74"/>
      <c r="C250" s="74"/>
      <c r="D250" s="57" t="s">
        <v>3792</v>
      </c>
      <c r="E250" s="57" t="s">
        <v>3792</v>
      </c>
      <c r="F250" s="57" t="s">
        <v>3792</v>
      </c>
      <c r="G250" s="57" t="s">
        <v>11558</v>
      </c>
      <c r="H250" s="77" t="s">
        <v>11559</v>
      </c>
      <c r="I250" s="34" t="s">
        <v>40</v>
      </c>
      <c r="J250" s="81" t="s">
        <v>11560</v>
      </c>
      <c r="K250" s="79" t="s">
        <v>11561</v>
      </c>
    </row>
    <row r="251" customFormat="false" ht="21.75" hidden="false" customHeight="false" outlineLevel="0" collapsed="false">
      <c r="A251" s="74"/>
      <c r="B251" s="74"/>
      <c r="C251" s="74"/>
      <c r="D251" s="57" t="s">
        <v>11562</v>
      </c>
      <c r="E251" s="57" t="s">
        <v>11563</v>
      </c>
      <c r="F251" s="57" t="s">
        <v>3797</v>
      </c>
      <c r="G251" s="57" t="s">
        <v>11564</v>
      </c>
      <c r="H251" s="77"/>
      <c r="I251" s="34"/>
      <c r="J251" s="81" t="s">
        <v>11565</v>
      </c>
      <c r="K251" s="79" t="s">
        <v>11566</v>
      </c>
    </row>
    <row r="252" customFormat="false" ht="13.8" hidden="false" customHeight="false" outlineLevel="0" collapsed="false">
      <c r="A252" s="74"/>
      <c r="B252" s="74"/>
      <c r="C252" s="74"/>
      <c r="E252" s="57" t="s">
        <v>3792</v>
      </c>
      <c r="F252" s="57" t="s">
        <v>3792</v>
      </c>
      <c r="G252" s="57" t="s">
        <v>11567</v>
      </c>
      <c r="H252" s="77" t="s">
        <v>11568</v>
      </c>
      <c r="I252" s="37" t="s">
        <v>50</v>
      </c>
      <c r="J252" s="81" t="s">
        <v>11569</v>
      </c>
      <c r="K252" s="79" t="s">
        <v>11570</v>
      </c>
    </row>
    <row r="253" customFormat="false" ht="21.75" hidden="false" customHeight="true" outlineLevel="0" collapsed="false">
      <c r="A253" s="74"/>
      <c r="B253" s="74"/>
      <c r="C253" s="75" t="s">
        <v>11571</v>
      </c>
      <c r="D253" s="57" t="s">
        <v>11572</v>
      </c>
      <c r="E253" s="57" t="s">
        <v>11573</v>
      </c>
      <c r="F253" s="57" t="s">
        <v>3806</v>
      </c>
      <c r="G253" s="57" t="s">
        <v>11574</v>
      </c>
      <c r="H253" s="77"/>
      <c r="I253" s="37"/>
      <c r="J253" s="81" t="s">
        <v>11575</v>
      </c>
      <c r="K253" s="79" t="s">
        <v>11576</v>
      </c>
    </row>
    <row r="254" customFormat="false" ht="13.8" hidden="false" customHeight="false" outlineLevel="0" collapsed="false">
      <c r="A254" s="74"/>
      <c r="B254" s="74"/>
      <c r="C254" s="74"/>
      <c r="D254" s="57" t="s">
        <v>3792</v>
      </c>
      <c r="E254" s="57" t="s">
        <v>3792</v>
      </c>
      <c r="F254" s="57" t="s">
        <v>3792</v>
      </c>
      <c r="G254" s="57" t="s">
        <v>11577</v>
      </c>
      <c r="H254" s="77" t="s">
        <v>11578</v>
      </c>
      <c r="I254" s="34" t="s">
        <v>40</v>
      </c>
      <c r="J254" s="81" t="s">
        <v>11579</v>
      </c>
      <c r="K254" s="79" t="s">
        <v>11580</v>
      </c>
    </row>
    <row r="255" customFormat="false" ht="21.75" hidden="false" customHeight="false" outlineLevel="0" collapsed="false">
      <c r="A255" s="74"/>
      <c r="B255" s="74"/>
      <c r="C255" s="74"/>
      <c r="D255" s="57" t="s">
        <v>11581</v>
      </c>
      <c r="E255" s="57" t="s">
        <v>11582</v>
      </c>
      <c r="F255" s="57" t="s">
        <v>3797</v>
      </c>
      <c r="G255" s="57" t="s">
        <v>11583</v>
      </c>
      <c r="H255" s="77"/>
      <c r="I255" s="34"/>
      <c r="J255" s="81" t="s">
        <v>11412</v>
      </c>
      <c r="K255" s="79" t="s">
        <v>11584</v>
      </c>
    </row>
    <row r="256" customFormat="false" ht="13.8" hidden="false" customHeight="false" outlineLevel="0" collapsed="false">
      <c r="A256" s="74"/>
      <c r="B256" s="74"/>
      <c r="C256" s="74"/>
      <c r="D256" s="57" t="s">
        <v>3792</v>
      </c>
      <c r="E256" s="57" t="s">
        <v>3792</v>
      </c>
      <c r="F256" s="57" t="s">
        <v>3792</v>
      </c>
      <c r="G256" s="57" t="s">
        <v>11585</v>
      </c>
      <c r="H256" s="77" t="s">
        <v>11586</v>
      </c>
      <c r="I256" s="39" t="s">
        <v>67</v>
      </c>
      <c r="J256" s="81" t="s">
        <v>11587</v>
      </c>
      <c r="K256" s="79" t="s">
        <v>11588</v>
      </c>
    </row>
    <row r="257" customFormat="false" ht="21.75" hidden="false" customHeight="false" outlineLevel="0" collapsed="false">
      <c r="A257" s="74"/>
      <c r="B257" s="74"/>
      <c r="C257" s="74"/>
      <c r="D257" s="57" t="s">
        <v>11589</v>
      </c>
      <c r="E257" s="57" t="s">
        <v>11590</v>
      </c>
      <c r="F257" s="57" t="s">
        <v>3787</v>
      </c>
      <c r="G257" s="57" t="s">
        <v>11591</v>
      </c>
      <c r="H257" s="77"/>
      <c r="I257" s="39"/>
      <c r="J257" s="81" t="s">
        <v>11592</v>
      </c>
      <c r="K257" s="79" t="s">
        <v>11593</v>
      </c>
    </row>
    <row r="258" customFormat="false" ht="13.8" hidden="false" customHeight="false" outlineLevel="0" collapsed="false">
      <c r="A258" s="74"/>
      <c r="B258" s="74"/>
      <c r="C258" s="74"/>
      <c r="D258" s="57" t="s">
        <v>3792</v>
      </c>
      <c r="E258" s="57" t="s">
        <v>3792</v>
      </c>
      <c r="F258" s="57" t="s">
        <v>3792</v>
      </c>
      <c r="G258" s="57" t="s">
        <v>11594</v>
      </c>
      <c r="H258" s="77" t="s">
        <v>11595</v>
      </c>
      <c r="I258" s="34" t="s">
        <v>40</v>
      </c>
      <c r="J258" s="81" t="s">
        <v>11596</v>
      </c>
      <c r="K258" s="79" t="s">
        <v>11597</v>
      </c>
    </row>
    <row r="259" customFormat="false" ht="21.75" hidden="false" customHeight="false" outlineLevel="0" collapsed="false">
      <c r="A259" s="74"/>
      <c r="B259" s="74"/>
      <c r="C259" s="74"/>
      <c r="D259" s="57" t="s">
        <v>11598</v>
      </c>
      <c r="E259" s="57" t="s">
        <v>11599</v>
      </c>
      <c r="F259" s="57" t="s">
        <v>3806</v>
      </c>
      <c r="G259" s="57" t="s">
        <v>11600</v>
      </c>
      <c r="H259" s="77"/>
      <c r="I259" s="34"/>
      <c r="J259" s="81" t="s">
        <v>11601</v>
      </c>
      <c r="K259" s="79" t="s">
        <v>11462</v>
      </c>
    </row>
    <row r="260" customFormat="false" ht="13.8" hidden="false" customHeight="false" outlineLevel="0" collapsed="false">
      <c r="A260" s="74"/>
      <c r="B260" s="74"/>
      <c r="C260" s="74"/>
      <c r="D260" s="57" t="s">
        <v>3792</v>
      </c>
      <c r="E260" s="57" t="s">
        <v>3792</v>
      </c>
      <c r="F260" s="57" t="s">
        <v>3792</v>
      </c>
      <c r="G260" s="57" t="s">
        <v>11602</v>
      </c>
      <c r="H260" s="77" t="s">
        <v>11603</v>
      </c>
      <c r="I260" s="37" t="s">
        <v>50</v>
      </c>
      <c r="J260" s="81" t="s">
        <v>11604</v>
      </c>
      <c r="K260" s="79" t="s">
        <v>11605</v>
      </c>
    </row>
    <row r="261" customFormat="false" ht="21.75" hidden="false" customHeight="false" outlineLevel="0" collapsed="false">
      <c r="A261" s="74"/>
      <c r="B261" s="74"/>
      <c r="C261" s="74"/>
      <c r="D261" s="57" t="s">
        <v>11606</v>
      </c>
      <c r="E261" s="57" t="s">
        <v>11607</v>
      </c>
      <c r="F261" s="57" t="s">
        <v>3787</v>
      </c>
      <c r="G261" s="57" t="s">
        <v>11608</v>
      </c>
      <c r="H261" s="77"/>
      <c r="I261" s="37"/>
      <c r="J261" s="81" t="s">
        <v>11609</v>
      </c>
      <c r="K261" s="79" t="s">
        <v>11610</v>
      </c>
    </row>
    <row r="262" customFormat="false" ht="13.8" hidden="false" customHeight="false" outlineLevel="0" collapsed="false">
      <c r="A262" s="74"/>
      <c r="B262" s="74"/>
      <c r="C262" s="74"/>
      <c r="E262" s="57" t="s">
        <v>3792</v>
      </c>
      <c r="F262" s="57" t="s">
        <v>3792</v>
      </c>
      <c r="G262" s="57" t="s">
        <v>11611</v>
      </c>
      <c r="H262" s="77" t="s">
        <v>11612</v>
      </c>
      <c r="I262" s="34" t="s">
        <v>40</v>
      </c>
      <c r="J262" s="81" t="s">
        <v>11613</v>
      </c>
      <c r="K262" s="79" t="s">
        <v>11444</v>
      </c>
    </row>
    <row r="263" customFormat="false" ht="21.75" hidden="false" customHeight="true" outlineLevel="0" collapsed="false">
      <c r="A263" s="74"/>
      <c r="B263" s="74"/>
      <c r="C263" s="75" t="s">
        <v>11614</v>
      </c>
      <c r="D263" s="57" t="s">
        <v>11615</v>
      </c>
      <c r="E263" s="57" t="s">
        <v>11616</v>
      </c>
      <c r="F263" s="57" t="s">
        <v>3797</v>
      </c>
      <c r="G263" s="57" t="s">
        <v>11617</v>
      </c>
      <c r="H263" s="77"/>
      <c r="I263" s="34"/>
      <c r="J263" s="81" t="s">
        <v>11618</v>
      </c>
      <c r="K263" s="79" t="s">
        <v>11619</v>
      </c>
    </row>
    <row r="264" customFormat="false" ht="13.8" hidden="false" customHeight="false" outlineLevel="0" collapsed="false">
      <c r="A264" s="74"/>
      <c r="B264" s="74"/>
      <c r="C264" s="74"/>
      <c r="D264" s="57" t="s">
        <v>3792</v>
      </c>
      <c r="E264" s="57" t="s">
        <v>3792</v>
      </c>
      <c r="F264" s="57" t="s">
        <v>3792</v>
      </c>
      <c r="G264" s="57" t="s">
        <v>11620</v>
      </c>
      <c r="H264" s="77" t="s">
        <v>11621</v>
      </c>
      <c r="I264" s="39" t="s">
        <v>67</v>
      </c>
      <c r="J264" s="81" t="s">
        <v>11622</v>
      </c>
      <c r="K264" s="79" t="s">
        <v>11623</v>
      </c>
    </row>
    <row r="265" customFormat="false" ht="21.75" hidden="false" customHeight="false" outlineLevel="0" collapsed="false">
      <c r="A265" s="74"/>
      <c r="B265" s="74"/>
      <c r="C265" s="74"/>
      <c r="D265" s="57" t="s">
        <v>11624</v>
      </c>
      <c r="E265" s="57" t="s">
        <v>11625</v>
      </c>
      <c r="F265" s="57" t="s">
        <v>3806</v>
      </c>
      <c r="G265" s="57" t="s">
        <v>11626</v>
      </c>
      <c r="H265" s="77"/>
      <c r="I265" s="39"/>
      <c r="J265" s="81" t="s">
        <v>11493</v>
      </c>
      <c r="K265" s="79" t="s">
        <v>11627</v>
      </c>
    </row>
    <row r="266" customFormat="false" ht="13.8" hidden="false" customHeight="false" outlineLevel="0" collapsed="false">
      <c r="A266" s="74"/>
      <c r="B266" s="74"/>
      <c r="C266" s="74"/>
      <c r="D266" s="57" t="s">
        <v>3792</v>
      </c>
      <c r="E266" s="57" t="s">
        <v>3792</v>
      </c>
      <c r="F266" s="57" t="s">
        <v>3792</v>
      </c>
      <c r="G266" s="57" t="s">
        <v>11628</v>
      </c>
      <c r="H266" s="77" t="s">
        <v>11629</v>
      </c>
      <c r="I266" s="34" t="s">
        <v>40</v>
      </c>
      <c r="J266" s="81" t="s">
        <v>11361</v>
      </c>
      <c r="K266" s="79" t="s">
        <v>11630</v>
      </c>
    </row>
    <row r="267" customFormat="false" ht="21.75" hidden="false" customHeight="false" outlineLevel="0" collapsed="false">
      <c r="A267" s="74"/>
      <c r="B267" s="74"/>
      <c r="C267" s="74"/>
      <c r="D267" s="57" t="s">
        <v>11631</v>
      </c>
      <c r="E267" s="57" t="s">
        <v>11632</v>
      </c>
      <c r="F267" s="57" t="s">
        <v>3787</v>
      </c>
      <c r="G267" s="57" t="s">
        <v>11633</v>
      </c>
      <c r="H267" s="77"/>
      <c r="I267" s="34"/>
      <c r="J267" s="81" t="s">
        <v>11634</v>
      </c>
      <c r="K267" s="79" t="s">
        <v>11635</v>
      </c>
    </row>
    <row r="268" customFormat="false" ht="13.8" hidden="false" customHeight="false" outlineLevel="0" collapsed="false">
      <c r="A268" s="74"/>
      <c r="B268" s="74"/>
      <c r="C268" s="74"/>
      <c r="D268" s="57" t="s">
        <v>3792</v>
      </c>
      <c r="E268" s="57" t="s">
        <v>3792</v>
      </c>
      <c r="F268" s="57" t="s">
        <v>3792</v>
      </c>
      <c r="G268" s="57" t="s">
        <v>11636</v>
      </c>
      <c r="H268" s="77" t="s">
        <v>11637</v>
      </c>
      <c r="I268" s="37" t="s">
        <v>50</v>
      </c>
      <c r="J268" s="81" t="s">
        <v>11285</v>
      </c>
      <c r="K268" s="79" t="s">
        <v>11638</v>
      </c>
    </row>
    <row r="269" customFormat="false" ht="21.75" hidden="false" customHeight="false" outlineLevel="0" collapsed="false">
      <c r="A269" s="74"/>
      <c r="B269" s="74"/>
      <c r="C269" s="74"/>
      <c r="D269" s="57" t="s">
        <v>11639</v>
      </c>
      <c r="E269" s="57" t="s">
        <v>11640</v>
      </c>
      <c r="F269" s="57" t="s">
        <v>3806</v>
      </c>
      <c r="G269" s="57" t="s">
        <v>11641</v>
      </c>
      <c r="H269" s="77"/>
      <c r="I269" s="37"/>
      <c r="J269" s="81" t="s">
        <v>11642</v>
      </c>
      <c r="K269" s="79" t="s">
        <v>11643</v>
      </c>
    </row>
    <row r="270" customFormat="false" ht="13.8" hidden="false" customHeight="false" outlineLevel="0" collapsed="false">
      <c r="A270" s="74"/>
      <c r="B270" s="74"/>
      <c r="C270" s="74"/>
      <c r="D270" s="57" t="s">
        <v>3792</v>
      </c>
      <c r="E270" s="57" t="s">
        <v>3792</v>
      </c>
      <c r="F270" s="57" t="s">
        <v>3792</v>
      </c>
      <c r="G270" s="57" t="s">
        <v>11644</v>
      </c>
      <c r="H270" s="77" t="s">
        <v>11645</v>
      </c>
      <c r="I270" s="34" t="s">
        <v>40</v>
      </c>
      <c r="J270" s="81" t="s">
        <v>11646</v>
      </c>
      <c r="K270" s="79" t="s">
        <v>11647</v>
      </c>
    </row>
    <row r="271" customFormat="false" ht="21.75" hidden="false" customHeight="false" outlineLevel="0" collapsed="false">
      <c r="A271" s="74"/>
      <c r="B271" s="74"/>
      <c r="C271" s="74"/>
      <c r="D271" s="57" t="s">
        <v>11648</v>
      </c>
      <c r="E271" s="57" t="s">
        <v>11649</v>
      </c>
      <c r="F271" s="57" t="s">
        <v>3797</v>
      </c>
      <c r="G271" s="57" t="s">
        <v>11650</v>
      </c>
      <c r="H271" s="77"/>
      <c r="I271" s="34"/>
      <c r="J271" s="81" t="s">
        <v>11511</v>
      </c>
      <c r="K271" s="79" t="s">
        <v>11651</v>
      </c>
    </row>
    <row r="272" customFormat="false" ht="13.8" hidden="false" customHeight="false" outlineLevel="0" collapsed="false">
      <c r="A272" s="74"/>
      <c r="B272" s="74"/>
      <c r="C272" s="74"/>
      <c r="E272" s="57" t="s">
        <v>3792</v>
      </c>
      <c r="F272" s="57" t="s">
        <v>3792</v>
      </c>
      <c r="G272" s="57" t="s">
        <v>11652</v>
      </c>
      <c r="H272" s="77" t="s">
        <v>11653</v>
      </c>
      <c r="I272" s="39" t="s">
        <v>67</v>
      </c>
      <c r="J272" s="81" t="s">
        <v>11111</v>
      </c>
      <c r="K272" s="79" t="s">
        <v>11654</v>
      </c>
    </row>
    <row r="273" customFormat="false" ht="21.75" hidden="false" customHeight="true" outlineLevel="0" collapsed="false">
      <c r="A273" s="74"/>
      <c r="B273" s="74" t="s">
        <v>11655</v>
      </c>
      <c r="C273" s="75" t="s">
        <v>11656</v>
      </c>
      <c r="D273" s="57" t="s">
        <v>11657</v>
      </c>
      <c r="E273" s="57" t="s">
        <v>11658</v>
      </c>
      <c r="F273" s="57" t="s">
        <v>3787</v>
      </c>
      <c r="G273" s="57" t="s">
        <v>11659</v>
      </c>
      <c r="H273" s="77"/>
      <c r="I273" s="39"/>
      <c r="J273" s="81" t="s">
        <v>11660</v>
      </c>
      <c r="K273" s="79" t="s">
        <v>11661</v>
      </c>
    </row>
    <row r="274" customFormat="false" ht="13.8" hidden="false" customHeight="false" outlineLevel="0" collapsed="false">
      <c r="A274" s="74"/>
      <c r="B274" s="74"/>
      <c r="C274" s="74"/>
      <c r="D274" s="57" t="s">
        <v>3792</v>
      </c>
      <c r="E274" s="57" t="s">
        <v>3792</v>
      </c>
      <c r="F274" s="57" t="s">
        <v>3792</v>
      </c>
      <c r="G274" s="57" t="s">
        <v>11662</v>
      </c>
      <c r="H274" s="77" t="s">
        <v>11663</v>
      </c>
      <c r="I274" s="34" t="s">
        <v>40</v>
      </c>
      <c r="J274" s="81" t="s">
        <v>11664</v>
      </c>
      <c r="K274" s="79" t="s">
        <v>11665</v>
      </c>
    </row>
    <row r="275" customFormat="false" ht="21.75" hidden="false" customHeight="false" outlineLevel="0" collapsed="false">
      <c r="A275" s="74"/>
      <c r="B275" s="74"/>
      <c r="C275" s="74"/>
      <c r="D275" s="57" t="s">
        <v>11666</v>
      </c>
      <c r="E275" s="57" t="s">
        <v>11667</v>
      </c>
      <c r="F275" s="57" t="s">
        <v>3797</v>
      </c>
      <c r="G275" s="57" t="s">
        <v>11668</v>
      </c>
      <c r="H275" s="77"/>
      <c r="I275" s="34"/>
      <c r="J275" s="81" t="s">
        <v>11669</v>
      </c>
      <c r="K275" s="79" t="s">
        <v>11670</v>
      </c>
    </row>
    <row r="276" customFormat="false" ht="13.8" hidden="false" customHeight="false" outlineLevel="0" collapsed="false">
      <c r="A276" s="74"/>
      <c r="B276" s="74"/>
      <c r="C276" s="74"/>
      <c r="D276" s="57" t="s">
        <v>3792</v>
      </c>
      <c r="E276" s="57" t="s">
        <v>3792</v>
      </c>
      <c r="F276" s="57" t="s">
        <v>3792</v>
      </c>
      <c r="G276" s="57" t="s">
        <v>11671</v>
      </c>
      <c r="H276" s="77" t="s">
        <v>11672</v>
      </c>
      <c r="I276" s="37" t="s">
        <v>50</v>
      </c>
      <c r="J276" s="81" t="s">
        <v>11673</v>
      </c>
      <c r="K276" s="79" t="s">
        <v>11674</v>
      </c>
    </row>
    <row r="277" customFormat="false" ht="21.75" hidden="false" customHeight="false" outlineLevel="0" collapsed="false">
      <c r="A277" s="74"/>
      <c r="B277" s="74"/>
      <c r="C277" s="74"/>
      <c r="D277" s="57" t="s">
        <v>11675</v>
      </c>
      <c r="E277" s="57" t="s">
        <v>11676</v>
      </c>
      <c r="F277" s="57" t="s">
        <v>3806</v>
      </c>
      <c r="G277" s="57" t="s">
        <v>11677</v>
      </c>
      <c r="H277" s="77"/>
      <c r="I277" s="37"/>
      <c r="J277" s="81" t="s">
        <v>11678</v>
      </c>
      <c r="K277" s="79" t="s">
        <v>11679</v>
      </c>
    </row>
    <row r="278" customFormat="false" ht="13.8" hidden="false" customHeight="false" outlineLevel="0" collapsed="false">
      <c r="A278" s="74"/>
      <c r="B278" s="74"/>
      <c r="C278" s="74"/>
      <c r="D278" s="57" t="s">
        <v>3792</v>
      </c>
      <c r="E278" s="57" t="s">
        <v>3792</v>
      </c>
      <c r="F278" s="57" t="s">
        <v>3792</v>
      </c>
      <c r="G278" s="57" t="s">
        <v>11680</v>
      </c>
      <c r="H278" s="77" t="s">
        <v>11681</v>
      </c>
      <c r="I278" s="34" t="s">
        <v>40</v>
      </c>
      <c r="J278" s="81" t="s">
        <v>11682</v>
      </c>
      <c r="K278" s="79" t="s">
        <v>11683</v>
      </c>
    </row>
    <row r="279" customFormat="false" ht="21.75" hidden="false" customHeight="false" outlineLevel="0" collapsed="false">
      <c r="A279" s="74"/>
      <c r="B279" s="74"/>
      <c r="C279" s="74"/>
      <c r="D279" s="57" t="s">
        <v>11684</v>
      </c>
      <c r="E279" s="57" t="s">
        <v>11685</v>
      </c>
      <c r="F279" s="57" t="s">
        <v>3797</v>
      </c>
      <c r="G279" s="57" t="s">
        <v>11686</v>
      </c>
      <c r="H279" s="77"/>
      <c r="I279" s="34"/>
      <c r="J279" s="81" t="s">
        <v>11687</v>
      </c>
      <c r="K279" s="79" t="s">
        <v>11688</v>
      </c>
    </row>
    <row r="280" customFormat="false" ht="13.8" hidden="false" customHeight="false" outlineLevel="0" collapsed="false">
      <c r="A280" s="74"/>
      <c r="B280" s="74"/>
      <c r="C280" s="74"/>
      <c r="D280" s="57" t="s">
        <v>3792</v>
      </c>
      <c r="E280" s="57" t="s">
        <v>3792</v>
      </c>
      <c r="F280" s="57" t="s">
        <v>3792</v>
      </c>
      <c r="G280" s="57" t="s">
        <v>11689</v>
      </c>
      <c r="H280" s="77" t="s">
        <v>11690</v>
      </c>
      <c r="I280" s="39" t="s">
        <v>67</v>
      </c>
      <c r="J280" s="81" t="s">
        <v>10872</v>
      </c>
      <c r="K280" s="79" t="s">
        <v>11691</v>
      </c>
    </row>
    <row r="281" customFormat="false" ht="21.75" hidden="false" customHeight="false" outlineLevel="0" collapsed="false">
      <c r="A281" s="74"/>
      <c r="B281" s="74"/>
      <c r="C281" s="74"/>
      <c r="D281" s="57" t="s">
        <v>11692</v>
      </c>
      <c r="E281" s="57" t="s">
        <v>11693</v>
      </c>
      <c r="F281" s="57" t="s">
        <v>3787</v>
      </c>
      <c r="G281" s="57" t="s">
        <v>11694</v>
      </c>
      <c r="H281" s="77"/>
      <c r="I281" s="39"/>
      <c r="J281" s="81" t="s">
        <v>11695</v>
      </c>
      <c r="K281" s="79" t="s">
        <v>11696</v>
      </c>
    </row>
    <row r="282" customFormat="false" ht="13.8" hidden="false" customHeight="false" outlineLevel="0" collapsed="false">
      <c r="A282" s="74"/>
      <c r="B282" s="74"/>
      <c r="C282" s="74"/>
      <c r="E282" s="57" t="s">
        <v>3792</v>
      </c>
      <c r="F282" s="57" t="s">
        <v>3792</v>
      </c>
      <c r="G282" s="57" t="s">
        <v>11697</v>
      </c>
      <c r="H282" s="77" t="s">
        <v>11698</v>
      </c>
      <c r="I282" s="34" t="s">
        <v>40</v>
      </c>
      <c r="J282" s="81" t="s">
        <v>11699</v>
      </c>
      <c r="K282" s="79" t="s">
        <v>11700</v>
      </c>
    </row>
    <row r="283" customFormat="false" ht="21.75" hidden="false" customHeight="true" outlineLevel="0" collapsed="false">
      <c r="A283" s="74"/>
      <c r="B283" s="74"/>
      <c r="C283" s="75" t="s">
        <v>11701</v>
      </c>
      <c r="D283" s="57" t="s">
        <v>11702</v>
      </c>
      <c r="E283" s="57" t="s">
        <v>11703</v>
      </c>
      <c r="F283" s="57" t="s">
        <v>3806</v>
      </c>
      <c r="G283" s="57" t="s">
        <v>11704</v>
      </c>
      <c r="H283" s="77"/>
      <c r="I283" s="34"/>
      <c r="J283" s="81" t="s">
        <v>11705</v>
      </c>
      <c r="K283" s="79" t="s">
        <v>11706</v>
      </c>
    </row>
    <row r="284" customFormat="false" ht="13.8" hidden="false" customHeight="false" outlineLevel="0" collapsed="false">
      <c r="A284" s="74"/>
      <c r="B284" s="74"/>
      <c r="C284" s="74"/>
      <c r="D284" s="57" t="s">
        <v>3792</v>
      </c>
      <c r="E284" s="57" t="s">
        <v>3792</v>
      </c>
      <c r="F284" s="57" t="s">
        <v>3792</v>
      </c>
      <c r="G284" s="57" t="s">
        <v>11707</v>
      </c>
      <c r="H284" s="77" t="s">
        <v>11708</v>
      </c>
      <c r="I284" s="37" t="s">
        <v>50</v>
      </c>
      <c r="J284" s="81" t="s">
        <v>11709</v>
      </c>
      <c r="K284" s="79" t="s">
        <v>11710</v>
      </c>
    </row>
    <row r="285" customFormat="false" ht="21.75" hidden="false" customHeight="false" outlineLevel="0" collapsed="false">
      <c r="A285" s="74"/>
      <c r="B285" s="74"/>
      <c r="C285" s="74"/>
      <c r="D285" s="57" t="s">
        <v>11711</v>
      </c>
      <c r="E285" s="57" t="s">
        <v>11712</v>
      </c>
      <c r="F285" s="57" t="s">
        <v>3787</v>
      </c>
      <c r="G285" s="57" t="s">
        <v>11713</v>
      </c>
      <c r="H285" s="77"/>
      <c r="I285" s="37"/>
      <c r="J285" s="81" t="s">
        <v>11714</v>
      </c>
      <c r="K285" s="79" t="s">
        <v>11715</v>
      </c>
    </row>
    <row r="286" customFormat="false" ht="13.8" hidden="false" customHeight="false" outlineLevel="0" collapsed="false">
      <c r="A286" s="74"/>
      <c r="B286" s="74"/>
      <c r="C286" s="74"/>
      <c r="D286" s="57" t="s">
        <v>3792</v>
      </c>
      <c r="E286" s="57" t="s">
        <v>3792</v>
      </c>
      <c r="F286" s="57" t="s">
        <v>3792</v>
      </c>
      <c r="G286" s="57" t="s">
        <v>11716</v>
      </c>
      <c r="H286" s="77" t="s">
        <v>11717</v>
      </c>
      <c r="I286" s="34" t="s">
        <v>40</v>
      </c>
      <c r="J286" s="81" t="s">
        <v>11718</v>
      </c>
      <c r="K286" s="79" t="s">
        <v>11719</v>
      </c>
    </row>
    <row r="287" customFormat="false" ht="21.75" hidden="false" customHeight="false" outlineLevel="0" collapsed="false">
      <c r="A287" s="74"/>
      <c r="B287" s="74"/>
      <c r="C287" s="74"/>
      <c r="D287" s="57" t="s">
        <v>11720</v>
      </c>
      <c r="E287" s="57" t="s">
        <v>11721</v>
      </c>
      <c r="F287" s="57" t="s">
        <v>3797</v>
      </c>
      <c r="G287" s="57" t="s">
        <v>11722</v>
      </c>
      <c r="H287" s="77"/>
      <c r="I287" s="34"/>
      <c r="J287" s="81" t="s">
        <v>11723</v>
      </c>
      <c r="K287" s="79" t="s">
        <v>11724</v>
      </c>
    </row>
    <row r="288" customFormat="false" ht="13.8" hidden="false" customHeight="false" outlineLevel="0" collapsed="false">
      <c r="A288" s="74"/>
      <c r="B288" s="74"/>
      <c r="C288" s="74"/>
      <c r="D288" s="57" t="s">
        <v>3792</v>
      </c>
      <c r="E288" s="57" t="s">
        <v>3792</v>
      </c>
      <c r="F288" s="57" t="s">
        <v>3792</v>
      </c>
      <c r="G288" s="57" t="s">
        <v>11725</v>
      </c>
      <c r="H288" s="77" t="s">
        <v>11726</v>
      </c>
      <c r="I288" s="39" t="s">
        <v>67</v>
      </c>
      <c r="J288" s="81" t="s">
        <v>11727</v>
      </c>
      <c r="K288" s="79" t="s">
        <v>11728</v>
      </c>
    </row>
    <row r="289" customFormat="false" ht="21.75" hidden="false" customHeight="false" outlineLevel="0" collapsed="false">
      <c r="A289" s="74"/>
      <c r="B289" s="74"/>
      <c r="C289" s="74"/>
      <c r="D289" s="57" t="s">
        <v>11729</v>
      </c>
      <c r="E289" s="57" t="s">
        <v>11730</v>
      </c>
      <c r="F289" s="57" t="s">
        <v>3806</v>
      </c>
      <c r="G289" s="57" t="s">
        <v>11731</v>
      </c>
      <c r="H289" s="77"/>
      <c r="I289" s="39"/>
      <c r="J289" s="81" t="s">
        <v>11732</v>
      </c>
      <c r="K289" s="79" t="s">
        <v>11733</v>
      </c>
    </row>
    <row r="290" customFormat="false" ht="13.8" hidden="false" customHeight="false" outlineLevel="0" collapsed="false">
      <c r="A290" s="74"/>
      <c r="B290" s="74"/>
      <c r="C290" s="74"/>
      <c r="D290" s="57" t="s">
        <v>3792</v>
      </c>
      <c r="E290" s="57" t="s">
        <v>3792</v>
      </c>
      <c r="F290" s="57" t="s">
        <v>3792</v>
      </c>
      <c r="G290" s="57" t="s">
        <v>11734</v>
      </c>
      <c r="H290" s="77" t="s">
        <v>11735</v>
      </c>
      <c r="I290" s="34" t="s">
        <v>40</v>
      </c>
      <c r="J290" s="81" t="s">
        <v>11736</v>
      </c>
      <c r="K290" s="79" t="s">
        <v>11737</v>
      </c>
    </row>
    <row r="291" customFormat="false" ht="21.75" hidden="false" customHeight="false" outlineLevel="0" collapsed="false">
      <c r="A291" s="74"/>
      <c r="B291" s="74"/>
      <c r="C291" s="74"/>
      <c r="D291" s="57" t="s">
        <v>11738</v>
      </c>
      <c r="E291" s="57" t="s">
        <v>11739</v>
      </c>
      <c r="F291" s="57" t="s">
        <v>3787</v>
      </c>
      <c r="G291" s="57" t="s">
        <v>11740</v>
      </c>
      <c r="H291" s="77"/>
      <c r="I291" s="34"/>
      <c r="J291" s="81" t="s">
        <v>11741</v>
      </c>
      <c r="K291" s="79" t="s">
        <v>11742</v>
      </c>
    </row>
    <row r="292" customFormat="false" ht="13.8" hidden="false" customHeight="false" outlineLevel="0" collapsed="false">
      <c r="A292" s="74"/>
      <c r="B292" s="74"/>
      <c r="C292" s="74"/>
      <c r="E292" s="57" t="s">
        <v>3792</v>
      </c>
      <c r="F292" s="57" t="s">
        <v>3792</v>
      </c>
      <c r="G292" s="57" t="s">
        <v>11743</v>
      </c>
      <c r="H292" s="77" t="s">
        <v>11744</v>
      </c>
      <c r="I292" s="37" t="s">
        <v>50</v>
      </c>
      <c r="J292" s="81" t="s">
        <v>11745</v>
      </c>
      <c r="K292" s="79" t="s">
        <v>11746</v>
      </c>
    </row>
    <row r="293" customFormat="false" ht="21.75" hidden="false" customHeight="false" outlineLevel="0" collapsed="false">
      <c r="A293" s="74"/>
      <c r="B293" s="74"/>
      <c r="C293" s="74" t="s">
        <v>11747</v>
      </c>
      <c r="D293" s="57" t="s">
        <v>11748</v>
      </c>
      <c r="E293" s="57" t="s">
        <v>11749</v>
      </c>
      <c r="F293" s="57" t="s">
        <v>3797</v>
      </c>
      <c r="G293" s="57" t="s">
        <v>11750</v>
      </c>
      <c r="H293" s="77"/>
      <c r="I293" s="37"/>
      <c r="J293" s="81" t="s">
        <v>11751</v>
      </c>
      <c r="K293" s="79" t="s">
        <v>11752</v>
      </c>
    </row>
    <row r="294" customFormat="false" ht="13.8" hidden="false" customHeight="false" outlineLevel="0" collapsed="false">
      <c r="A294" s="74"/>
      <c r="B294" s="74"/>
      <c r="C294" s="74"/>
      <c r="D294" s="57" t="s">
        <v>3792</v>
      </c>
      <c r="E294" s="57" t="s">
        <v>3792</v>
      </c>
      <c r="F294" s="57" t="s">
        <v>3792</v>
      </c>
      <c r="G294" s="57" t="s">
        <v>11753</v>
      </c>
      <c r="H294" s="77" t="s">
        <v>11754</v>
      </c>
      <c r="I294" s="34" t="s">
        <v>40</v>
      </c>
      <c r="J294" s="81" t="s">
        <v>11755</v>
      </c>
      <c r="K294" s="79" t="s">
        <v>11756</v>
      </c>
    </row>
    <row r="295" customFormat="false" ht="21.75" hidden="false" customHeight="false" outlineLevel="0" collapsed="false">
      <c r="A295" s="74"/>
      <c r="B295" s="74"/>
      <c r="C295" s="74"/>
      <c r="D295" s="57" t="s">
        <v>11757</v>
      </c>
      <c r="E295" s="57" t="s">
        <v>11758</v>
      </c>
      <c r="F295" s="57" t="s">
        <v>3806</v>
      </c>
      <c r="G295" s="57" t="s">
        <v>11759</v>
      </c>
      <c r="H295" s="77"/>
      <c r="I295" s="34"/>
      <c r="J295" s="81" t="s">
        <v>11760</v>
      </c>
      <c r="K295" s="79" t="s">
        <v>11761</v>
      </c>
    </row>
    <row r="296" customFormat="false" ht="13.8" hidden="false" customHeight="false" outlineLevel="0" collapsed="false">
      <c r="A296" s="74"/>
      <c r="B296" s="74"/>
      <c r="C296" s="74"/>
      <c r="D296" s="57" t="s">
        <v>3792</v>
      </c>
      <c r="E296" s="57" t="s">
        <v>3792</v>
      </c>
      <c r="F296" s="57" t="s">
        <v>3792</v>
      </c>
      <c r="G296" s="57" t="s">
        <v>11762</v>
      </c>
      <c r="H296" s="77" t="s">
        <v>11763</v>
      </c>
      <c r="I296" s="39" t="s">
        <v>67</v>
      </c>
      <c r="J296" s="81" t="s">
        <v>11764</v>
      </c>
      <c r="K296" s="79" t="s">
        <v>11765</v>
      </c>
    </row>
    <row r="297" customFormat="false" ht="21.75" hidden="false" customHeight="false" outlineLevel="0" collapsed="false">
      <c r="A297" s="74"/>
      <c r="B297" s="74"/>
      <c r="C297" s="74"/>
      <c r="D297" s="57" t="s">
        <v>11766</v>
      </c>
      <c r="E297" s="57" t="s">
        <v>11767</v>
      </c>
      <c r="F297" s="57" t="s">
        <v>3797</v>
      </c>
      <c r="G297" s="57" t="s">
        <v>11234</v>
      </c>
      <c r="H297" s="77"/>
      <c r="I297" s="39"/>
      <c r="J297" s="81" t="s">
        <v>11019</v>
      </c>
      <c r="K297" s="79" t="s">
        <v>11768</v>
      </c>
    </row>
    <row r="298" customFormat="false" ht="13.8" hidden="false" customHeight="false" outlineLevel="0" collapsed="false">
      <c r="A298" s="74"/>
      <c r="B298" s="74"/>
      <c r="C298" s="74"/>
      <c r="D298" s="57" t="s">
        <v>3792</v>
      </c>
      <c r="E298" s="57" t="s">
        <v>3792</v>
      </c>
      <c r="F298" s="57" t="s">
        <v>3792</v>
      </c>
      <c r="G298" s="57" t="s">
        <v>11769</v>
      </c>
      <c r="H298" s="77" t="s">
        <v>11770</v>
      </c>
      <c r="I298" s="34" t="s">
        <v>40</v>
      </c>
      <c r="J298" s="81" t="s">
        <v>11592</v>
      </c>
      <c r="K298" s="79" t="s">
        <v>11771</v>
      </c>
    </row>
    <row r="299" customFormat="false" ht="21.75" hidden="false" customHeight="false" outlineLevel="0" collapsed="false">
      <c r="A299" s="74"/>
      <c r="B299" s="74"/>
      <c r="C299" s="74"/>
      <c r="D299" s="57" t="s">
        <v>11772</v>
      </c>
      <c r="E299" s="57" t="s">
        <v>11773</v>
      </c>
      <c r="F299" s="57" t="s">
        <v>3787</v>
      </c>
      <c r="G299" s="73" t="s">
        <v>11234</v>
      </c>
      <c r="H299" s="77"/>
      <c r="I299" s="34"/>
      <c r="J299" s="81" t="s">
        <v>11774</v>
      </c>
      <c r="K299" s="79" t="s">
        <v>11775</v>
      </c>
    </row>
    <row r="300" customFormat="false" ht="13.8" hidden="false" customHeight="false" outlineLevel="0" collapsed="false">
      <c r="A300" s="74"/>
      <c r="B300" s="74"/>
      <c r="C300" s="74"/>
      <c r="D300" s="57" t="s">
        <v>3792</v>
      </c>
      <c r="E300" s="57" t="s">
        <v>3792</v>
      </c>
      <c r="F300" s="57" t="s">
        <v>3792</v>
      </c>
      <c r="G300" s="73" t="s">
        <v>11776</v>
      </c>
      <c r="H300" s="77" t="s">
        <v>11777</v>
      </c>
      <c r="I300" s="37" t="s">
        <v>50</v>
      </c>
      <c r="J300" s="81" t="s">
        <v>11778</v>
      </c>
      <c r="K300" s="79" t="s">
        <v>11779</v>
      </c>
    </row>
    <row r="301" customFormat="false" ht="21.75" hidden="false" customHeight="false" outlineLevel="0" collapsed="false">
      <c r="A301" s="74"/>
      <c r="B301" s="74"/>
      <c r="C301" s="74"/>
      <c r="D301" s="57" t="s">
        <v>11241</v>
      </c>
      <c r="E301" s="57" t="s">
        <v>11780</v>
      </c>
      <c r="F301" s="57" t="s">
        <v>3806</v>
      </c>
      <c r="G301" s="73" t="s">
        <v>11781</v>
      </c>
      <c r="H301" s="77"/>
      <c r="I301" s="37"/>
      <c r="J301" s="81" t="s">
        <v>11782</v>
      </c>
      <c r="K301" s="79" t="s">
        <v>11783</v>
      </c>
    </row>
    <row r="302" customFormat="false" ht="13.8" hidden="false" customHeight="false" outlineLevel="0" collapsed="false">
      <c r="A302" s="74"/>
      <c r="B302" s="74"/>
      <c r="C302" s="74"/>
      <c r="E302" s="57" t="s">
        <v>3792</v>
      </c>
      <c r="F302" s="57" t="s">
        <v>3792</v>
      </c>
      <c r="G302" s="73" t="s">
        <v>11784</v>
      </c>
      <c r="H302" s="77" t="s">
        <v>11785</v>
      </c>
      <c r="I302" s="34" t="s">
        <v>40</v>
      </c>
      <c r="J302" s="81" t="s">
        <v>11786</v>
      </c>
      <c r="K302" s="79" t="s">
        <v>11787</v>
      </c>
    </row>
    <row r="303" customFormat="false" ht="21.75" hidden="false" customHeight="true" outlineLevel="0" collapsed="false">
      <c r="A303" s="74"/>
      <c r="B303" s="74"/>
      <c r="C303" s="75" t="s">
        <v>11788</v>
      </c>
      <c r="D303" s="57" t="s">
        <v>11789</v>
      </c>
      <c r="E303" s="57" t="s">
        <v>11790</v>
      </c>
      <c r="F303" s="57" t="s">
        <v>3787</v>
      </c>
      <c r="G303" s="73" t="s">
        <v>11791</v>
      </c>
      <c r="H303" s="77"/>
      <c r="I303" s="34"/>
      <c r="J303" s="81" t="s">
        <v>11792</v>
      </c>
      <c r="K303" s="79" t="s">
        <v>11793</v>
      </c>
    </row>
    <row r="304" customFormat="false" ht="13.8" hidden="false" customHeight="false" outlineLevel="0" collapsed="false">
      <c r="A304" s="74"/>
      <c r="B304" s="74"/>
      <c r="C304" s="74"/>
      <c r="D304" s="57" t="s">
        <v>3792</v>
      </c>
      <c r="E304" s="57" t="s">
        <v>3792</v>
      </c>
      <c r="F304" s="57" t="s">
        <v>3792</v>
      </c>
      <c r="G304" s="73" t="s">
        <v>11794</v>
      </c>
      <c r="H304" s="77" t="s">
        <v>11795</v>
      </c>
      <c r="I304" s="39" t="s">
        <v>67</v>
      </c>
      <c r="J304" s="81" t="s">
        <v>11796</v>
      </c>
      <c r="K304" s="79" t="s">
        <v>11797</v>
      </c>
    </row>
    <row r="305" customFormat="false" ht="21.75" hidden="false" customHeight="false" outlineLevel="0" collapsed="false">
      <c r="A305" s="74"/>
      <c r="B305" s="74"/>
      <c r="C305" s="74"/>
      <c r="D305" s="57" t="s">
        <v>11798</v>
      </c>
      <c r="E305" s="57" t="s">
        <v>11799</v>
      </c>
      <c r="F305" s="57" t="s">
        <v>3806</v>
      </c>
      <c r="G305" s="73" t="s">
        <v>11800</v>
      </c>
      <c r="H305" s="77"/>
      <c r="I305" s="39"/>
      <c r="J305" s="81" t="s">
        <v>11801</v>
      </c>
      <c r="K305" s="79" t="s">
        <v>11802</v>
      </c>
    </row>
    <row r="306" customFormat="false" ht="13.8" hidden="false" customHeight="false" outlineLevel="0" collapsed="false">
      <c r="A306" s="74"/>
      <c r="B306" s="74"/>
      <c r="C306" s="74"/>
      <c r="D306" s="57" t="s">
        <v>3792</v>
      </c>
      <c r="E306" s="57" t="s">
        <v>3792</v>
      </c>
      <c r="F306" s="57" t="s">
        <v>3792</v>
      </c>
      <c r="G306" s="73" t="s">
        <v>11803</v>
      </c>
      <c r="H306" s="77" t="s">
        <v>11804</v>
      </c>
      <c r="I306" s="34" t="s">
        <v>40</v>
      </c>
      <c r="J306" s="81" t="s">
        <v>11805</v>
      </c>
      <c r="K306" s="79" t="s">
        <v>11806</v>
      </c>
    </row>
    <row r="307" customFormat="false" ht="21.75" hidden="false" customHeight="false" outlineLevel="0" collapsed="false">
      <c r="A307" s="74"/>
      <c r="B307" s="74"/>
      <c r="C307" s="74"/>
      <c r="D307" s="57" t="s">
        <v>11807</v>
      </c>
      <c r="E307" s="57" t="s">
        <v>11808</v>
      </c>
      <c r="F307" s="57" t="s">
        <v>3797</v>
      </c>
      <c r="G307" s="73" t="s">
        <v>11809</v>
      </c>
      <c r="H307" s="77"/>
      <c r="I307" s="34"/>
      <c r="J307" s="81" t="s">
        <v>11810</v>
      </c>
      <c r="K307" s="79" t="s">
        <v>11811</v>
      </c>
    </row>
    <row r="308" customFormat="false" ht="13.8" hidden="false" customHeight="false" outlineLevel="0" collapsed="false">
      <c r="A308" s="74"/>
      <c r="B308" s="74"/>
      <c r="C308" s="74"/>
      <c r="D308" s="57" t="s">
        <v>3792</v>
      </c>
      <c r="E308" s="57" t="s">
        <v>3792</v>
      </c>
      <c r="F308" s="57" t="s">
        <v>3792</v>
      </c>
      <c r="G308" s="73" t="s">
        <v>11812</v>
      </c>
      <c r="H308" s="77" t="s">
        <v>11813</v>
      </c>
      <c r="I308" s="37" t="s">
        <v>50</v>
      </c>
      <c r="J308" s="81" t="s">
        <v>11814</v>
      </c>
      <c r="K308" s="79" t="s">
        <v>11815</v>
      </c>
    </row>
    <row r="309" customFormat="false" ht="21.75" hidden="false" customHeight="false" outlineLevel="0" collapsed="false">
      <c r="A309" s="74"/>
      <c r="B309" s="74"/>
      <c r="C309" s="74"/>
      <c r="D309" s="57" t="s">
        <v>11816</v>
      </c>
      <c r="E309" s="57" t="s">
        <v>11817</v>
      </c>
      <c r="F309" s="57" t="s">
        <v>3787</v>
      </c>
      <c r="G309" s="73" t="s">
        <v>11818</v>
      </c>
      <c r="H309" s="77"/>
      <c r="I309" s="37"/>
      <c r="J309" s="81" t="s">
        <v>11819</v>
      </c>
      <c r="K309" s="79" t="s">
        <v>11820</v>
      </c>
    </row>
    <row r="310" customFormat="false" ht="13.8" hidden="false" customHeight="false" outlineLevel="0" collapsed="false">
      <c r="A310" s="74"/>
      <c r="B310" s="74"/>
      <c r="C310" s="74"/>
      <c r="D310" s="57" t="s">
        <v>3792</v>
      </c>
      <c r="E310" s="57" t="s">
        <v>3792</v>
      </c>
      <c r="F310" s="57" t="s">
        <v>3792</v>
      </c>
      <c r="G310" s="73" t="s">
        <v>11821</v>
      </c>
      <c r="H310" s="77" t="s">
        <v>11822</v>
      </c>
      <c r="I310" s="34" t="s">
        <v>40</v>
      </c>
      <c r="J310" s="81" t="s">
        <v>11823</v>
      </c>
      <c r="K310" s="79" t="s">
        <v>11824</v>
      </c>
    </row>
    <row r="311" customFormat="false" ht="21.75" hidden="false" customHeight="false" outlineLevel="0" collapsed="false">
      <c r="A311" s="74"/>
      <c r="B311" s="74"/>
      <c r="C311" s="74"/>
      <c r="D311" s="57" t="s">
        <v>11825</v>
      </c>
      <c r="E311" s="57" t="s">
        <v>11826</v>
      </c>
      <c r="F311" s="57" t="s">
        <v>3797</v>
      </c>
      <c r="G311" s="73" t="s">
        <v>11827</v>
      </c>
      <c r="H311" s="77"/>
      <c r="I311" s="34"/>
      <c r="J311" s="81" t="s">
        <v>11828</v>
      </c>
      <c r="K311" s="79" t="s">
        <v>11399</v>
      </c>
    </row>
    <row r="312" customFormat="false" ht="13.8" hidden="false" customHeight="false" outlineLevel="0" collapsed="false">
      <c r="A312" s="74"/>
      <c r="B312" s="74"/>
      <c r="C312" s="74"/>
      <c r="E312" s="57" t="s">
        <v>3792</v>
      </c>
      <c r="F312" s="57" t="s">
        <v>3792</v>
      </c>
      <c r="G312" s="73" t="s">
        <v>11829</v>
      </c>
      <c r="H312" s="77" t="s">
        <v>11830</v>
      </c>
      <c r="I312" s="39" t="s">
        <v>67</v>
      </c>
      <c r="J312" s="81" t="s">
        <v>11831</v>
      </c>
      <c r="K312" s="79" t="s">
        <v>11832</v>
      </c>
    </row>
    <row r="313" customFormat="false" ht="21.75" hidden="false" customHeight="true" outlineLevel="0" collapsed="false">
      <c r="A313" s="74"/>
      <c r="B313" s="74"/>
      <c r="C313" s="75" t="s">
        <v>11833</v>
      </c>
      <c r="D313" s="57" t="s">
        <v>11834</v>
      </c>
      <c r="E313" s="57" t="s">
        <v>11835</v>
      </c>
      <c r="F313" s="57" t="s">
        <v>3806</v>
      </c>
      <c r="G313" s="73" t="s">
        <v>11836</v>
      </c>
      <c r="H313" s="77"/>
      <c r="I313" s="39"/>
      <c r="J313" s="81" t="s">
        <v>11398</v>
      </c>
      <c r="K313" s="79" t="s">
        <v>11837</v>
      </c>
    </row>
    <row r="314" customFormat="false" ht="13.8" hidden="false" customHeight="false" outlineLevel="0" collapsed="false">
      <c r="A314" s="74"/>
      <c r="B314" s="74"/>
      <c r="C314" s="74"/>
      <c r="D314" s="57" t="s">
        <v>3792</v>
      </c>
      <c r="E314" s="57" t="s">
        <v>3792</v>
      </c>
      <c r="F314" s="57" t="s">
        <v>3792</v>
      </c>
      <c r="G314" s="73" t="s">
        <v>11838</v>
      </c>
      <c r="H314" s="77" t="s">
        <v>11839</v>
      </c>
      <c r="I314" s="34" t="s">
        <v>40</v>
      </c>
      <c r="J314" s="81" t="s">
        <v>11840</v>
      </c>
      <c r="K314" s="79" t="s">
        <v>11841</v>
      </c>
    </row>
    <row r="315" customFormat="false" ht="21.75" hidden="false" customHeight="false" outlineLevel="0" collapsed="false">
      <c r="A315" s="74"/>
      <c r="B315" s="74"/>
      <c r="C315" s="74"/>
      <c r="D315" s="57" t="s">
        <v>11842</v>
      </c>
      <c r="E315" s="57" t="s">
        <v>11843</v>
      </c>
      <c r="F315" s="57" t="s">
        <v>3787</v>
      </c>
      <c r="G315" s="73" t="s">
        <v>11844</v>
      </c>
      <c r="H315" s="77"/>
      <c r="I315" s="34"/>
      <c r="J315" s="81" t="s">
        <v>11845</v>
      </c>
      <c r="K315" s="79" t="s">
        <v>11846</v>
      </c>
    </row>
    <row r="316" customFormat="false" ht="13.8" hidden="false" customHeight="false" outlineLevel="0" collapsed="false">
      <c r="A316" s="74"/>
      <c r="B316" s="74"/>
      <c r="C316" s="74"/>
      <c r="D316" s="57" t="s">
        <v>3792</v>
      </c>
      <c r="E316" s="57" t="s">
        <v>3792</v>
      </c>
      <c r="F316" s="57" t="s">
        <v>3792</v>
      </c>
      <c r="G316" s="73" t="s">
        <v>11847</v>
      </c>
      <c r="H316" s="77" t="s">
        <v>11848</v>
      </c>
      <c r="I316" s="37" t="s">
        <v>50</v>
      </c>
      <c r="J316" s="81" t="s">
        <v>11699</v>
      </c>
      <c r="K316" s="79" t="s">
        <v>11849</v>
      </c>
    </row>
    <row r="317" customFormat="false" ht="21.75" hidden="false" customHeight="false" outlineLevel="0" collapsed="false">
      <c r="A317" s="74"/>
      <c r="B317" s="74"/>
      <c r="C317" s="74"/>
      <c r="D317" s="57" t="s">
        <v>11850</v>
      </c>
      <c r="E317" s="57" t="s">
        <v>11851</v>
      </c>
      <c r="F317" s="57" t="s">
        <v>3797</v>
      </c>
      <c r="G317" s="73" t="s">
        <v>11852</v>
      </c>
      <c r="H317" s="77"/>
      <c r="I317" s="37"/>
      <c r="J317" s="81" t="s">
        <v>11853</v>
      </c>
      <c r="K317" s="79" t="s">
        <v>11854</v>
      </c>
    </row>
    <row r="318" customFormat="false" ht="13.8" hidden="false" customHeight="false" outlineLevel="0" collapsed="false">
      <c r="A318" s="74"/>
      <c r="B318" s="74"/>
      <c r="C318" s="74"/>
      <c r="D318" s="57" t="s">
        <v>3792</v>
      </c>
      <c r="E318" s="57" t="s">
        <v>3792</v>
      </c>
      <c r="F318" s="57" t="s">
        <v>3792</v>
      </c>
      <c r="G318" s="73" t="s">
        <v>11855</v>
      </c>
      <c r="H318" s="77" t="s">
        <v>11856</v>
      </c>
      <c r="I318" s="34" t="s">
        <v>40</v>
      </c>
      <c r="J318" s="81" t="s">
        <v>11857</v>
      </c>
      <c r="K318" s="79" t="s">
        <v>11858</v>
      </c>
    </row>
    <row r="319" customFormat="false" ht="21.75" hidden="false" customHeight="false" outlineLevel="0" collapsed="false">
      <c r="A319" s="74"/>
      <c r="B319" s="74"/>
      <c r="C319" s="74"/>
      <c r="D319" s="57" t="s">
        <v>11859</v>
      </c>
      <c r="E319" s="57" t="s">
        <v>11860</v>
      </c>
      <c r="F319" s="57" t="s">
        <v>3806</v>
      </c>
      <c r="G319" s="73" t="s">
        <v>11861</v>
      </c>
      <c r="H319" s="77"/>
      <c r="I319" s="34"/>
      <c r="J319" s="81" t="s">
        <v>11862</v>
      </c>
      <c r="K319" s="79" t="s">
        <v>11023</v>
      </c>
    </row>
    <row r="320" customFormat="false" ht="13.8" hidden="false" customHeight="false" outlineLevel="0" collapsed="false">
      <c r="A320" s="74"/>
      <c r="B320" s="74"/>
      <c r="C320" s="74"/>
      <c r="D320" s="57" t="s">
        <v>3792</v>
      </c>
      <c r="E320" s="57" t="s">
        <v>3792</v>
      </c>
      <c r="F320" s="57" t="s">
        <v>3792</v>
      </c>
      <c r="G320" s="73" t="s">
        <v>11863</v>
      </c>
      <c r="H320" s="77" t="s">
        <v>11726</v>
      </c>
      <c r="I320" s="39" t="s">
        <v>67</v>
      </c>
      <c r="J320" s="81" t="s">
        <v>11864</v>
      </c>
      <c r="K320" s="79" t="s">
        <v>11865</v>
      </c>
    </row>
    <row r="321" customFormat="false" ht="21.75" hidden="false" customHeight="false" outlineLevel="0" collapsed="false">
      <c r="A321" s="74"/>
      <c r="B321" s="74"/>
      <c r="C321" s="74"/>
      <c r="D321" s="57" t="s">
        <v>11866</v>
      </c>
      <c r="E321" s="57" t="s">
        <v>11867</v>
      </c>
      <c r="F321" s="57" t="s">
        <v>3797</v>
      </c>
      <c r="G321" s="73" t="s">
        <v>11868</v>
      </c>
      <c r="H321" s="77"/>
      <c r="I321" s="39"/>
      <c r="J321" s="81" t="s">
        <v>11096</v>
      </c>
      <c r="K321" s="79" t="s">
        <v>11869</v>
      </c>
    </row>
    <row r="322" customFormat="false" ht="13.8" hidden="false" customHeight="false" outlineLevel="0" collapsed="false">
      <c r="A322" s="74"/>
      <c r="B322" s="74"/>
      <c r="C322" s="74"/>
      <c r="E322" s="57" t="s">
        <v>3792</v>
      </c>
      <c r="F322" s="57" t="s">
        <v>3792</v>
      </c>
      <c r="G322" s="73" t="s">
        <v>11870</v>
      </c>
      <c r="H322" s="77" t="s">
        <v>11871</v>
      </c>
      <c r="I322" s="34" t="s">
        <v>40</v>
      </c>
      <c r="J322" s="81" t="s">
        <v>11872</v>
      </c>
      <c r="K322" s="79" t="s">
        <v>11873</v>
      </c>
    </row>
    <row r="323" customFormat="false" ht="21.75" hidden="false" customHeight="true" outlineLevel="0" collapsed="false">
      <c r="A323" s="74"/>
      <c r="B323" s="74"/>
      <c r="C323" s="75" t="s">
        <v>11874</v>
      </c>
      <c r="D323" s="57" t="s">
        <v>11875</v>
      </c>
      <c r="E323" s="57" t="s">
        <v>11876</v>
      </c>
      <c r="F323" s="57" t="s">
        <v>3787</v>
      </c>
      <c r="G323" s="73" t="s">
        <v>11877</v>
      </c>
      <c r="H323" s="77"/>
      <c r="I323" s="34"/>
      <c r="J323" s="81" t="s">
        <v>11878</v>
      </c>
      <c r="K323" s="79" t="s">
        <v>11879</v>
      </c>
    </row>
    <row r="324" customFormat="false" ht="13.8" hidden="false" customHeight="false" outlineLevel="0" collapsed="false">
      <c r="A324" s="74"/>
      <c r="B324" s="74"/>
      <c r="C324" s="74"/>
      <c r="D324" s="57" t="s">
        <v>3792</v>
      </c>
      <c r="E324" s="57" t="s">
        <v>3792</v>
      </c>
      <c r="F324" s="57" t="s">
        <v>3792</v>
      </c>
      <c r="G324" s="73" t="s">
        <v>11880</v>
      </c>
      <c r="H324" s="77" t="s">
        <v>11881</v>
      </c>
      <c r="I324" s="37" t="s">
        <v>50</v>
      </c>
      <c r="J324" s="81" t="s">
        <v>10909</v>
      </c>
      <c r="K324" s="79" t="s">
        <v>11882</v>
      </c>
    </row>
    <row r="325" customFormat="false" ht="21.75" hidden="false" customHeight="false" outlineLevel="0" collapsed="false">
      <c r="A325" s="74"/>
      <c r="B325" s="74"/>
      <c r="C325" s="74"/>
      <c r="D325" s="57" t="s">
        <v>11883</v>
      </c>
      <c r="E325" s="57" t="s">
        <v>11884</v>
      </c>
      <c r="F325" s="57" t="s">
        <v>3806</v>
      </c>
      <c r="G325" s="73" t="s">
        <v>11885</v>
      </c>
      <c r="H325" s="77"/>
      <c r="I325" s="37"/>
      <c r="J325" s="81" t="s">
        <v>11886</v>
      </c>
      <c r="K325" s="79" t="s">
        <v>11887</v>
      </c>
    </row>
    <row r="326" customFormat="false" ht="13.8" hidden="false" customHeight="false" outlineLevel="0" collapsed="false">
      <c r="A326" s="74"/>
      <c r="B326" s="74"/>
      <c r="C326" s="74"/>
      <c r="D326" s="57" t="s">
        <v>3792</v>
      </c>
      <c r="E326" s="57" t="s">
        <v>3792</v>
      </c>
      <c r="F326" s="57" t="s">
        <v>3792</v>
      </c>
      <c r="G326" s="73" t="s">
        <v>11888</v>
      </c>
      <c r="H326" s="77" t="s">
        <v>11889</v>
      </c>
      <c r="I326" s="34" t="s">
        <v>40</v>
      </c>
      <c r="J326" s="81" t="s">
        <v>11890</v>
      </c>
      <c r="K326" s="79" t="s">
        <v>11891</v>
      </c>
    </row>
    <row r="327" customFormat="false" ht="21.75" hidden="false" customHeight="false" outlineLevel="0" collapsed="false">
      <c r="A327" s="74"/>
      <c r="B327" s="74"/>
      <c r="C327" s="74"/>
      <c r="D327" s="57" t="s">
        <v>11892</v>
      </c>
      <c r="E327" s="57" t="s">
        <v>11893</v>
      </c>
      <c r="F327" s="57" t="s">
        <v>3787</v>
      </c>
      <c r="G327" s="73" t="s">
        <v>11894</v>
      </c>
      <c r="H327" s="77"/>
      <c r="I327" s="34"/>
      <c r="J327" s="81" t="s">
        <v>11895</v>
      </c>
      <c r="K327" s="79" t="s">
        <v>11896</v>
      </c>
    </row>
    <row r="328" customFormat="false" ht="13.8" hidden="false" customHeight="false" outlineLevel="0" collapsed="false">
      <c r="A328" s="74"/>
      <c r="B328" s="74"/>
      <c r="C328" s="74"/>
      <c r="D328" s="57" t="s">
        <v>3792</v>
      </c>
      <c r="E328" s="57" t="s">
        <v>3792</v>
      </c>
      <c r="F328" s="57" t="s">
        <v>3792</v>
      </c>
      <c r="G328" s="73" t="s">
        <v>11897</v>
      </c>
      <c r="H328" s="77" t="s">
        <v>11898</v>
      </c>
      <c r="I328" s="39" t="s">
        <v>67</v>
      </c>
      <c r="J328" s="81" t="s">
        <v>11899</v>
      </c>
      <c r="K328" s="79" t="s">
        <v>11900</v>
      </c>
    </row>
    <row r="329" customFormat="false" ht="21.75" hidden="false" customHeight="false" outlineLevel="0" collapsed="false">
      <c r="A329" s="74"/>
      <c r="B329" s="74"/>
      <c r="C329" s="74"/>
      <c r="D329" s="57" t="s">
        <v>11901</v>
      </c>
      <c r="E329" s="57" t="s">
        <v>11902</v>
      </c>
      <c r="F329" s="57" t="s">
        <v>3797</v>
      </c>
      <c r="G329" s="73" t="s">
        <v>11903</v>
      </c>
      <c r="H329" s="77"/>
      <c r="I329" s="39"/>
      <c r="J329" s="81" t="s">
        <v>11904</v>
      </c>
      <c r="K329" s="79" t="s">
        <v>11905</v>
      </c>
    </row>
    <row r="330" customFormat="false" ht="13.8" hidden="false" customHeight="false" outlineLevel="0" collapsed="false">
      <c r="A330" s="74"/>
      <c r="B330" s="74"/>
      <c r="C330" s="74"/>
      <c r="D330" s="57" t="s">
        <v>3792</v>
      </c>
      <c r="E330" s="57" t="s">
        <v>3792</v>
      </c>
      <c r="F330" s="57" t="s">
        <v>3792</v>
      </c>
      <c r="G330" s="73" t="s">
        <v>11906</v>
      </c>
      <c r="H330" s="77" t="s">
        <v>11907</v>
      </c>
      <c r="I330" s="34" t="s">
        <v>40</v>
      </c>
      <c r="J330" s="81" t="s">
        <v>11908</v>
      </c>
      <c r="K330" s="79" t="s">
        <v>11909</v>
      </c>
    </row>
    <row r="331" customFormat="false" ht="21.75" hidden="false" customHeight="false" outlineLevel="0" collapsed="false">
      <c r="A331" s="74"/>
      <c r="B331" s="74"/>
      <c r="C331" s="74"/>
      <c r="D331" s="57" t="s">
        <v>11910</v>
      </c>
      <c r="E331" s="57" t="s">
        <v>11911</v>
      </c>
      <c r="F331" s="57" t="s">
        <v>3806</v>
      </c>
      <c r="G331" s="73" t="s">
        <v>11912</v>
      </c>
      <c r="H331" s="77"/>
      <c r="I331" s="34"/>
      <c r="J331" s="81" t="s">
        <v>11105</v>
      </c>
      <c r="K331" s="79" t="s">
        <v>11913</v>
      </c>
    </row>
    <row r="332" customFormat="false" ht="13.8" hidden="false" customHeight="false" outlineLevel="0" collapsed="false">
      <c r="A332" s="74"/>
      <c r="B332" s="74"/>
      <c r="C332" s="74"/>
      <c r="E332" s="57" t="s">
        <v>3792</v>
      </c>
      <c r="F332" s="57" t="s">
        <v>3792</v>
      </c>
      <c r="G332" s="73" t="s">
        <v>11914</v>
      </c>
      <c r="H332" s="77" t="s">
        <v>11915</v>
      </c>
      <c r="I332" s="37" t="s">
        <v>50</v>
      </c>
      <c r="J332" s="81" t="s">
        <v>11916</v>
      </c>
      <c r="K332" s="79" t="s">
        <v>11917</v>
      </c>
    </row>
    <row r="333" customFormat="false" ht="21.75" hidden="false" customHeight="false" outlineLevel="0" collapsed="false">
      <c r="A333" s="74"/>
      <c r="B333" s="74"/>
      <c r="C333" s="74" t="s">
        <v>11918</v>
      </c>
      <c r="D333" s="57" t="s">
        <v>11919</v>
      </c>
      <c r="E333" s="57" t="s">
        <v>11920</v>
      </c>
      <c r="F333" s="57" t="s">
        <v>3787</v>
      </c>
      <c r="G333" s="73" t="s">
        <v>11921</v>
      </c>
      <c r="H333" s="77"/>
      <c r="I333" s="37"/>
      <c r="J333" s="81" t="s">
        <v>11922</v>
      </c>
      <c r="K333" s="79" t="s">
        <v>11923</v>
      </c>
    </row>
    <row r="334" customFormat="false" ht="13.8" hidden="false" customHeight="false" outlineLevel="0" collapsed="false">
      <c r="A334" s="74"/>
      <c r="B334" s="74"/>
      <c r="C334" s="74"/>
      <c r="D334" s="57" t="s">
        <v>3792</v>
      </c>
      <c r="E334" s="57" t="s">
        <v>3792</v>
      </c>
      <c r="F334" s="57" t="s">
        <v>3792</v>
      </c>
      <c r="G334" s="73" t="s">
        <v>11924</v>
      </c>
      <c r="H334" s="77" t="s">
        <v>11925</v>
      </c>
      <c r="I334" s="34" t="s">
        <v>40</v>
      </c>
      <c r="J334" s="81" t="s">
        <v>11926</v>
      </c>
      <c r="K334" s="79" t="s">
        <v>11927</v>
      </c>
    </row>
    <row r="335" customFormat="false" ht="21.75" hidden="false" customHeight="false" outlineLevel="0" collapsed="false">
      <c r="A335" s="74"/>
      <c r="B335" s="74"/>
      <c r="C335" s="74"/>
      <c r="D335" s="57" t="s">
        <v>11928</v>
      </c>
      <c r="E335" s="57" t="s">
        <v>11929</v>
      </c>
      <c r="F335" s="57" t="s">
        <v>3806</v>
      </c>
      <c r="G335" s="73" t="s">
        <v>11930</v>
      </c>
      <c r="H335" s="77"/>
      <c r="I335" s="34"/>
      <c r="J335" s="81" t="s">
        <v>11931</v>
      </c>
      <c r="K335" s="79" t="s">
        <v>11932</v>
      </c>
    </row>
    <row r="336" customFormat="false" ht="13.8" hidden="false" customHeight="false" outlineLevel="0" collapsed="false">
      <c r="A336" s="74"/>
      <c r="B336" s="74"/>
      <c r="C336" s="74"/>
      <c r="D336" s="57" t="s">
        <v>3792</v>
      </c>
      <c r="E336" s="57" t="s">
        <v>3792</v>
      </c>
      <c r="F336" s="57" t="s">
        <v>3792</v>
      </c>
      <c r="G336" s="73" t="s">
        <v>11933</v>
      </c>
      <c r="H336" s="77" t="s">
        <v>11934</v>
      </c>
      <c r="I336" s="39" t="s">
        <v>67</v>
      </c>
      <c r="J336" s="81" t="s">
        <v>11935</v>
      </c>
      <c r="K336" s="79" t="s">
        <v>11936</v>
      </c>
    </row>
    <row r="337" customFormat="false" ht="21.75" hidden="false" customHeight="false" outlineLevel="0" collapsed="false">
      <c r="A337" s="74"/>
      <c r="B337" s="74"/>
      <c r="C337" s="74"/>
      <c r="D337" s="57" t="s">
        <v>11937</v>
      </c>
      <c r="E337" s="57" t="s">
        <v>11938</v>
      </c>
      <c r="F337" s="57" t="s">
        <v>3797</v>
      </c>
      <c r="G337" s="73" t="s">
        <v>11939</v>
      </c>
      <c r="H337" s="77"/>
      <c r="I337" s="39"/>
      <c r="J337" s="81" t="s">
        <v>11186</v>
      </c>
      <c r="K337" s="79" t="s">
        <v>11940</v>
      </c>
    </row>
    <row r="338" customFormat="false" ht="13.8" hidden="false" customHeight="false" outlineLevel="0" collapsed="false">
      <c r="A338" s="74"/>
      <c r="B338" s="74"/>
      <c r="C338" s="74"/>
      <c r="D338" s="57" t="s">
        <v>3792</v>
      </c>
      <c r="E338" s="57" t="s">
        <v>3792</v>
      </c>
      <c r="F338" s="57" t="s">
        <v>3792</v>
      </c>
      <c r="G338" s="73" t="s">
        <v>11941</v>
      </c>
      <c r="H338" s="77" t="s">
        <v>11942</v>
      </c>
      <c r="I338" s="34" t="s">
        <v>40</v>
      </c>
      <c r="J338" s="81" t="s">
        <v>11298</v>
      </c>
      <c r="K338" s="79" t="s">
        <v>11943</v>
      </c>
    </row>
    <row r="339" customFormat="false" ht="21.75" hidden="false" customHeight="false" outlineLevel="0" collapsed="false">
      <c r="A339" s="74"/>
      <c r="B339" s="74"/>
      <c r="C339" s="74"/>
      <c r="D339" s="57" t="s">
        <v>11944</v>
      </c>
      <c r="E339" s="57" t="s">
        <v>11945</v>
      </c>
      <c r="F339" s="57" t="s">
        <v>3787</v>
      </c>
      <c r="G339" s="73" t="s">
        <v>11946</v>
      </c>
      <c r="H339" s="77"/>
      <c r="I339" s="34"/>
      <c r="J339" s="81" t="s">
        <v>11947</v>
      </c>
      <c r="K339" s="79" t="s">
        <v>11948</v>
      </c>
    </row>
    <row r="340" customFormat="false" ht="13.8" hidden="false" customHeight="false" outlineLevel="0" collapsed="false">
      <c r="A340" s="74"/>
      <c r="B340" s="74"/>
      <c r="C340" s="74"/>
      <c r="D340" s="57" t="s">
        <v>3792</v>
      </c>
      <c r="E340" s="57" t="s">
        <v>3792</v>
      </c>
      <c r="F340" s="57" t="s">
        <v>3792</v>
      </c>
      <c r="G340" s="73" t="s">
        <v>11949</v>
      </c>
      <c r="H340" s="77" t="s">
        <v>11950</v>
      </c>
      <c r="I340" s="37" t="s">
        <v>50</v>
      </c>
      <c r="J340" s="81" t="s">
        <v>11951</v>
      </c>
      <c r="K340" s="79" t="s">
        <v>11952</v>
      </c>
    </row>
    <row r="341" customFormat="false" ht="21.75" hidden="false" customHeight="false" outlineLevel="0" collapsed="false">
      <c r="A341" s="74"/>
      <c r="B341" s="74"/>
      <c r="C341" s="74"/>
      <c r="D341" s="57" t="s">
        <v>11953</v>
      </c>
      <c r="E341" s="57" t="s">
        <v>11954</v>
      </c>
      <c r="F341" s="57" t="s">
        <v>3797</v>
      </c>
      <c r="G341" s="73" t="s">
        <v>11955</v>
      </c>
      <c r="H341" s="77"/>
      <c r="I341" s="37"/>
      <c r="J341" s="81" t="s">
        <v>11956</v>
      </c>
      <c r="K341" s="79" t="s">
        <v>11957</v>
      </c>
    </row>
    <row r="342" customFormat="false" ht="13.8" hidden="false" customHeight="false" outlineLevel="0" collapsed="false">
      <c r="A342" s="74"/>
      <c r="B342" s="74"/>
      <c r="C342" s="74"/>
      <c r="E342" s="57" t="s">
        <v>3792</v>
      </c>
      <c r="F342" s="57" t="s">
        <v>3792</v>
      </c>
      <c r="G342" s="73" t="s">
        <v>11958</v>
      </c>
      <c r="H342" s="77" t="s">
        <v>11959</v>
      </c>
      <c r="I342" s="34" t="s">
        <v>40</v>
      </c>
      <c r="J342" s="81" t="s">
        <v>11960</v>
      </c>
      <c r="K342" s="79" t="s">
        <v>11961</v>
      </c>
    </row>
    <row r="343" customFormat="false" ht="21.75" hidden="false" customHeight="true" outlineLevel="0" collapsed="false">
      <c r="A343" s="74"/>
      <c r="B343" s="74"/>
      <c r="C343" s="75" t="s">
        <v>11962</v>
      </c>
      <c r="D343" s="57" t="s">
        <v>11963</v>
      </c>
      <c r="E343" s="57" t="s">
        <v>11964</v>
      </c>
      <c r="F343" s="57" t="s">
        <v>3806</v>
      </c>
      <c r="G343" s="73" t="s">
        <v>11965</v>
      </c>
      <c r="H343" s="77"/>
      <c r="I343" s="34"/>
      <c r="J343" s="81" t="s">
        <v>11966</v>
      </c>
      <c r="K343" s="79" t="s">
        <v>11295</v>
      </c>
    </row>
    <row r="344" customFormat="false" ht="13.8" hidden="false" customHeight="false" outlineLevel="0" collapsed="false">
      <c r="A344" s="74"/>
      <c r="B344" s="74"/>
      <c r="C344" s="74"/>
      <c r="D344" s="57" t="s">
        <v>3792</v>
      </c>
      <c r="E344" s="57" t="s">
        <v>3792</v>
      </c>
      <c r="F344" s="57" t="s">
        <v>3792</v>
      </c>
      <c r="G344" s="73" t="s">
        <v>11967</v>
      </c>
      <c r="H344" s="77" t="s">
        <v>11968</v>
      </c>
      <c r="I344" s="39" t="s">
        <v>67</v>
      </c>
      <c r="J344" s="81" t="s">
        <v>11291</v>
      </c>
      <c r="K344" s="79" t="s">
        <v>11969</v>
      </c>
    </row>
    <row r="345" customFormat="false" ht="21.75" hidden="false" customHeight="false" outlineLevel="0" collapsed="false">
      <c r="A345" s="74"/>
      <c r="B345" s="74"/>
      <c r="C345" s="74"/>
      <c r="D345" s="57" t="s">
        <v>11970</v>
      </c>
      <c r="E345" s="57" t="s">
        <v>11971</v>
      </c>
      <c r="F345" s="57" t="s">
        <v>3797</v>
      </c>
      <c r="G345" s="73" t="s">
        <v>11972</v>
      </c>
      <c r="H345" s="77"/>
      <c r="I345" s="39"/>
      <c r="J345" s="81" t="s">
        <v>11973</v>
      </c>
      <c r="K345" s="79" t="s">
        <v>11332</v>
      </c>
    </row>
    <row r="346" customFormat="false" ht="13.8" hidden="false" customHeight="false" outlineLevel="0" collapsed="false">
      <c r="A346" s="74"/>
      <c r="B346" s="74"/>
      <c r="C346" s="74"/>
      <c r="D346" s="57" t="s">
        <v>3792</v>
      </c>
      <c r="E346" s="57" t="s">
        <v>3792</v>
      </c>
      <c r="F346" s="57" t="s">
        <v>3792</v>
      </c>
      <c r="G346" s="73" t="s">
        <v>11974</v>
      </c>
      <c r="H346" s="77" t="s">
        <v>11975</v>
      </c>
      <c r="I346" s="34" t="s">
        <v>40</v>
      </c>
      <c r="J346" s="81" t="s">
        <v>11326</v>
      </c>
      <c r="K346" s="79" t="s">
        <v>11976</v>
      </c>
    </row>
    <row r="347" customFormat="false" ht="21.75" hidden="false" customHeight="false" outlineLevel="0" collapsed="false">
      <c r="A347" s="74"/>
      <c r="B347" s="74"/>
      <c r="C347" s="74"/>
      <c r="D347" s="57" t="s">
        <v>11977</v>
      </c>
      <c r="E347" s="57" t="s">
        <v>11978</v>
      </c>
      <c r="F347" s="57" t="s">
        <v>3787</v>
      </c>
      <c r="G347" s="73" t="s">
        <v>11979</v>
      </c>
      <c r="H347" s="77"/>
      <c r="I347" s="34"/>
      <c r="J347" s="81" t="s">
        <v>11331</v>
      </c>
      <c r="K347" s="79" t="s">
        <v>11980</v>
      </c>
    </row>
    <row r="348" customFormat="false" ht="13.8" hidden="false" customHeight="false" outlineLevel="0" collapsed="false">
      <c r="A348" s="74"/>
      <c r="B348" s="74"/>
      <c r="C348" s="74"/>
      <c r="D348" s="57" t="s">
        <v>3792</v>
      </c>
      <c r="E348" s="57" t="s">
        <v>3792</v>
      </c>
      <c r="F348" s="57" t="s">
        <v>3792</v>
      </c>
      <c r="G348" s="73" t="s">
        <v>11981</v>
      </c>
      <c r="H348" s="77" t="s">
        <v>11982</v>
      </c>
      <c r="I348" s="37" t="s">
        <v>50</v>
      </c>
      <c r="J348" s="81" t="s">
        <v>11983</v>
      </c>
      <c r="K348" s="79" t="s">
        <v>11984</v>
      </c>
    </row>
    <row r="349" customFormat="false" ht="21.75" hidden="false" customHeight="false" outlineLevel="0" collapsed="false">
      <c r="A349" s="74"/>
      <c r="B349" s="74"/>
      <c r="C349" s="74"/>
      <c r="D349" s="57" t="s">
        <v>11985</v>
      </c>
      <c r="E349" s="57" t="s">
        <v>11986</v>
      </c>
      <c r="F349" s="57" t="s">
        <v>3806</v>
      </c>
      <c r="G349" s="73" t="s">
        <v>11987</v>
      </c>
      <c r="H349" s="77"/>
      <c r="I349" s="37"/>
      <c r="J349" s="81" t="s">
        <v>11988</v>
      </c>
      <c r="K349" s="79" t="s">
        <v>11989</v>
      </c>
    </row>
    <row r="350" customFormat="false" ht="13.8" hidden="false" customHeight="false" outlineLevel="0" collapsed="false">
      <c r="A350" s="74"/>
      <c r="B350" s="74"/>
      <c r="C350" s="74"/>
      <c r="D350" s="57" t="s">
        <v>3792</v>
      </c>
      <c r="E350" s="57" t="s">
        <v>3792</v>
      </c>
      <c r="F350" s="57" t="s">
        <v>3792</v>
      </c>
      <c r="G350" s="73" t="s">
        <v>11990</v>
      </c>
      <c r="H350" s="77" t="s">
        <v>11991</v>
      </c>
      <c r="I350" s="34" t="s">
        <v>40</v>
      </c>
      <c r="J350" s="81" t="s">
        <v>11992</v>
      </c>
      <c r="K350" s="79" t="s">
        <v>11993</v>
      </c>
    </row>
    <row r="351" customFormat="false" ht="21.75" hidden="false" customHeight="false" outlineLevel="0" collapsed="false">
      <c r="A351" s="74"/>
      <c r="B351" s="74"/>
      <c r="C351" s="74"/>
      <c r="D351" s="57" t="s">
        <v>11994</v>
      </c>
      <c r="E351" s="57" t="s">
        <v>11995</v>
      </c>
      <c r="F351" s="57" t="s">
        <v>3787</v>
      </c>
      <c r="G351" s="73" t="s">
        <v>11996</v>
      </c>
      <c r="H351" s="77"/>
      <c r="I351" s="34"/>
      <c r="J351" s="81" t="s">
        <v>11997</v>
      </c>
      <c r="K351" s="79" t="s">
        <v>11998</v>
      </c>
    </row>
    <row r="352" customFormat="false" ht="13.8" hidden="false" customHeight="false" outlineLevel="0" collapsed="false">
      <c r="A352" s="74"/>
      <c r="B352" s="74"/>
      <c r="C352" s="74"/>
      <c r="E352" s="57" t="s">
        <v>3792</v>
      </c>
      <c r="F352" s="57" t="s">
        <v>3792</v>
      </c>
      <c r="G352" s="73" t="s">
        <v>11999</v>
      </c>
      <c r="H352" s="77" t="s">
        <v>12000</v>
      </c>
      <c r="I352" s="39" t="s">
        <v>67</v>
      </c>
      <c r="J352" s="81" t="s">
        <v>12001</v>
      </c>
      <c r="K352" s="79" t="s">
        <v>12002</v>
      </c>
    </row>
    <row r="353" customFormat="false" ht="21.75" hidden="false" customHeight="true" outlineLevel="0" collapsed="false">
      <c r="A353" s="74"/>
      <c r="B353" s="74"/>
      <c r="C353" s="75" t="s">
        <v>12003</v>
      </c>
      <c r="D353" s="57" t="s">
        <v>12004</v>
      </c>
      <c r="E353" s="57" t="s">
        <v>12005</v>
      </c>
      <c r="F353" s="57" t="s">
        <v>3797</v>
      </c>
      <c r="G353" s="73" t="s">
        <v>12006</v>
      </c>
      <c r="H353" s="77"/>
      <c r="I353" s="39"/>
      <c r="J353" s="81" t="s">
        <v>11221</v>
      </c>
      <c r="K353" s="79" t="s">
        <v>11771</v>
      </c>
    </row>
    <row r="354" customFormat="false" ht="13.8" hidden="false" customHeight="false" outlineLevel="0" collapsed="false">
      <c r="A354" s="74"/>
      <c r="B354" s="74"/>
      <c r="C354" s="74"/>
      <c r="D354" s="57" t="s">
        <v>3792</v>
      </c>
      <c r="E354" s="57" t="s">
        <v>3792</v>
      </c>
      <c r="F354" s="57" t="s">
        <v>3792</v>
      </c>
      <c r="G354" s="73" t="s">
        <v>12007</v>
      </c>
      <c r="H354" s="77" t="s">
        <v>12008</v>
      </c>
      <c r="I354" s="34" t="s">
        <v>40</v>
      </c>
      <c r="J354" s="81" t="s">
        <v>12009</v>
      </c>
      <c r="K354" s="79" t="s">
        <v>12010</v>
      </c>
    </row>
    <row r="355" customFormat="false" ht="21.75" hidden="false" customHeight="false" outlineLevel="0" collapsed="false">
      <c r="A355" s="74"/>
      <c r="B355" s="74"/>
      <c r="C355" s="74"/>
      <c r="D355" s="57" t="s">
        <v>12011</v>
      </c>
      <c r="E355" s="57" t="s">
        <v>12012</v>
      </c>
      <c r="F355" s="57" t="s">
        <v>3806</v>
      </c>
      <c r="G355" s="73" t="s">
        <v>12013</v>
      </c>
      <c r="H355" s="77"/>
      <c r="I355" s="34"/>
      <c r="J355" s="81" t="s">
        <v>12014</v>
      </c>
      <c r="K355" s="79" t="s">
        <v>12015</v>
      </c>
    </row>
    <row r="356" customFormat="false" ht="13.8" hidden="false" customHeight="false" outlineLevel="0" collapsed="false">
      <c r="A356" s="74"/>
      <c r="B356" s="74"/>
      <c r="C356" s="74"/>
      <c r="D356" s="57" t="s">
        <v>3792</v>
      </c>
      <c r="E356" s="57" t="s">
        <v>3792</v>
      </c>
      <c r="F356" s="57" t="s">
        <v>3792</v>
      </c>
      <c r="G356" s="73" t="s">
        <v>12016</v>
      </c>
      <c r="H356" s="77" t="s">
        <v>12017</v>
      </c>
      <c r="I356" s="34" t="s">
        <v>40</v>
      </c>
      <c r="J356" s="81" t="s">
        <v>12018</v>
      </c>
      <c r="K356" s="79" t="s">
        <v>12002</v>
      </c>
    </row>
    <row r="357" customFormat="false" ht="21.75" hidden="false" customHeight="false" outlineLevel="0" collapsed="false">
      <c r="A357" s="74"/>
      <c r="B357" s="74"/>
      <c r="C357" s="74"/>
      <c r="D357" s="57" t="s">
        <v>12019</v>
      </c>
      <c r="E357" s="57" t="s">
        <v>12020</v>
      </c>
      <c r="F357" s="57" t="s">
        <v>3787</v>
      </c>
      <c r="G357" s="73" t="s">
        <v>12021</v>
      </c>
      <c r="H357" s="77"/>
      <c r="I357" s="34"/>
      <c r="J357" s="81" t="s">
        <v>12022</v>
      </c>
      <c r="K357" s="79" t="s">
        <v>11771</v>
      </c>
    </row>
    <row r="358" customFormat="false" ht="13.8" hidden="false" customHeight="false" outlineLevel="0" collapsed="false">
      <c r="A358" s="74"/>
      <c r="B358" s="74"/>
      <c r="C358" s="74"/>
      <c r="D358" s="57" t="s">
        <v>3792</v>
      </c>
      <c r="E358" s="57" t="s">
        <v>3792</v>
      </c>
      <c r="F358" s="57" t="s">
        <v>3792</v>
      </c>
      <c r="G358" s="73" t="s">
        <v>12023</v>
      </c>
      <c r="H358" s="77" t="s">
        <v>11217</v>
      </c>
      <c r="I358" s="39" t="s">
        <v>67</v>
      </c>
      <c r="J358" s="81" t="s">
        <v>12009</v>
      </c>
      <c r="K358" s="79" t="s">
        <v>12010</v>
      </c>
    </row>
    <row r="359" customFormat="false" ht="21.75" hidden="false" customHeight="false" outlineLevel="0" collapsed="false">
      <c r="A359" s="74"/>
      <c r="B359" s="74"/>
      <c r="C359" s="74"/>
      <c r="D359" s="57" t="s">
        <v>12024</v>
      </c>
      <c r="E359" s="57" t="s">
        <v>12025</v>
      </c>
      <c r="F359" s="57" t="s">
        <v>3797</v>
      </c>
      <c r="G359" s="73" t="s">
        <v>12026</v>
      </c>
      <c r="H359" s="77"/>
      <c r="I359" s="39"/>
      <c r="J359" s="81" t="s">
        <v>12014</v>
      </c>
      <c r="K359" s="79" t="s">
        <v>12015</v>
      </c>
    </row>
    <row r="360" customFormat="false" ht="13.8" hidden="false" customHeight="false" outlineLevel="0" collapsed="false">
      <c r="A360" s="74"/>
      <c r="B360" s="74"/>
      <c r="C360" s="74"/>
      <c r="D360" s="57" t="s">
        <v>3792</v>
      </c>
      <c r="E360" s="57" t="s">
        <v>3792</v>
      </c>
      <c r="F360" s="57" t="s">
        <v>3792</v>
      </c>
      <c r="G360" s="73" t="s">
        <v>12027</v>
      </c>
      <c r="H360" s="77" t="s">
        <v>12028</v>
      </c>
      <c r="I360" s="37" t="s">
        <v>50</v>
      </c>
      <c r="J360" s="81" t="s">
        <v>12018</v>
      </c>
      <c r="K360" s="79" t="s">
        <v>12029</v>
      </c>
    </row>
    <row r="361" customFormat="false" ht="21.75" hidden="false" customHeight="false" outlineLevel="0" collapsed="false">
      <c r="A361" s="74"/>
      <c r="B361" s="74"/>
      <c r="C361" s="74"/>
      <c r="D361" s="57" t="s">
        <v>12030</v>
      </c>
      <c r="E361" s="57" t="s">
        <v>12031</v>
      </c>
      <c r="F361" s="57" t="s">
        <v>3806</v>
      </c>
      <c r="G361" s="73" t="s">
        <v>12032</v>
      </c>
      <c r="H361" s="77"/>
      <c r="I361" s="37"/>
      <c r="J361" s="81" t="s">
        <v>12022</v>
      </c>
      <c r="K361" s="79" t="s">
        <v>12033</v>
      </c>
    </row>
    <row r="362" customFormat="false" ht="13.8" hidden="false" customHeight="false" outlineLevel="0" collapsed="false">
      <c r="A362" s="74"/>
      <c r="B362" s="74"/>
      <c r="C362" s="74"/>
      <c r="E362" s="57" t="s">
        <v>3792</v>
      </c>
      <c r="F362" s="57" t="s">
        <v>3792</v>
      </c>
      <c r="G362" s="73" t="s">
        <v>12034</v>
      </c>
      <c r="H362" s="77" t="s">
        <v>12035</v>
      </c>
      <c r="I362" s="37" t="s">
        <v>50</v>
      </c>
      <c r="J362" s="81" t="s">
        <v>12036</v>
      </c>
      <c r="K362" s="79" t="s">
        <v>12037</v>
      </c>
    </row>
    <row r="363" customFormat="false" ht="21.75" hidden="false" customHeight="true" outlineLevel="0" collapsed="false">
      <c r="A363" s="74"/>
      <c r="B363" s="75" t="s">
        <v>12038</v>
      </c>
      <c r="C363" s="75" t="s">
        <v>12039</v>
      </c>
      <c r="D363" s="57" t="s">
        <v>12040</v>
      </c>
      <c r="E363" s="57" t="s">
        <v>12041</v>
      </c>
      <c r="F363" s="57" t="s">
        <v>3797</v>
      </c>
      <c r="G363" s="73" t="s">
        <v>12042</v>
      </c>
      <c r="H363" s="77"/>
      <c r="I363" s="37"/>
      <c r="J363" s="81" t="s">
        <v>12043</v>
      </c>
      <c r="K363" s="79" t="s">
        <v>11458</v>
      </c>
    </row>
    <row r="364" customFormat="false" ht="13.8" hidden="false" customHeight="false" outlineLevel="0" collapsed="false">
      <c r="A364" s="74"/>
      <c r="B364" s="75"/>
      <c r="C364" s="75"/>
      <c r="D364" s="57" t="s">
        <v>3792</v>
      </c>
      <c r="E364" s="57" t="s">
        <v>3792</v>
      </c>
      <c r="F364" s="57" t="s">
        <v>3792</v>
      </c>
      <c r="G364" s="73" t="s">
        <v>12044</v>
      </c>
      <c r="H364" s="77" t="s">
        <v>12045</v>
      </c>
      <c r="I364" s="39" t="s">
        <v>67</v>
      </c>
      <c r="J364" s="81" t="s">
        <v>12046</v>
      </c>
      <c r="K364" s="79" t="s">
        <v>12047</v>
      </c>
    </row>
    <row r="365" customFormat="false" ht="21.75" hidden="false" customHeight="false" outlineLevel="0" collapsed="false">
      <c r="A365" s="74"/>
      <c r="B365" s="75"/>
      <c r="C365" s="75"/>
      <c r="D365" s="57" t="s">
        <v>12048</v>
      </c>
      <c r="E365" s="57" t="s">
        <v>12049</v>
      </c>
      <c r="F365" s="57" t="s">
        <v>3787</v>
      </c>
      <c r="G365" s="73" t="s">
        <v>12050</v>
      </c>
      <c r="H365" s="77"/>
      <c r="I365" s="39"/>
      <c r="J365" s="81" t="s">
        <v>11457</v>
      </c>
      <c r="K365" s="79" t="s">
        <v>12051</v>
      </c>
    </row>
    <row r="366" customFormat="false" ht="13.8" hidden="false" customHeight="false" outlineLevel="0" collapsed="false">
      <c r="A366" s="74"/>
      <c r="B366" s="75"/>
      <c r="C366" s="75"/>
      <c r="D366" s="57" t="s">
        <v>3792</v>
      </c>
      <c r="E366" s="57" t="s">
        <v>3792</v>
      </c>
      <c r="F366" s="57" t="s">
        <v>3792</v>
      </c>
      <c r="G366" s="73" t="s">
        <v>12052</v>
      </c>
      <c r="H366" s="77" t="s">
        <v>12053</v>
      </c>
      <c r="I366" s="34" t="s">
        <v>40</v>
      </c>
      <c r="J366" s="81" t="s">
        <v>12054</v>
      </c>
      <c r="K366" s="0" t="s">
        <v>12055</v>
      </c>
    </row>
    <row r="367" customFormat="false" ht="21.75" hidden="false" customHeight="false" outlineLevel="0" collapsed="false">
      <c r="A367" s="74"/>
      <c r="B367" s="75"/>
      <c r="C367" s="75"/>
      <c r="D367" s="57" t="s">
        <v>12056</v>
      </c>
      <c r="E367" s="57" t="s">
        <v>12057</v>
      </c>
      <c r="F367" s="57" t="s">
        <v>3806</v>
      </c>
      <c r="G367" s="73" t="s">
        <v>12058</v>
      </c>
      <c r="H367" s="77"/>
      <c r="I367" s="34"/>
      <c r="J367" s="81" t="s">
        <v>12059</v>
      </c>
      <c r="K367" s="0" t="s">
        <v>12060</v>
      </c>
    </row>
    <row r="368" customFormat="false" ht="13.8" hidden="false" customHeight="false" outlineLevel="0" collapsed="false">
      <c r="A368" s="74"/>
      <c r="B368" s="75"/>
      <c r="C368" s="75"/>
      <c r="D368" s="57" t="s">
        <v>3792</v>
      </c>
      <c r="E368" s="57" t="s">
        <v>3792</v>
      </c>
      <c r="F368" s="57" t="s">
        <v>3792</v>
      </c>
      <c r="G368" s="73" t="s">
        <v>12061</v>
      </c>
      <c r="H368" s="77" t="s">
        <v>12062</v>
      </c>
      <c r="I368" s="39" t="s">
        <v>67</v>
      </c>
      <c r="J368" s="81" t="s">
        <v>12054</v>
      </c>
      <c r="K368" s="0" t="s">
        <v>12063</v>
      </c>
    </row>
    <row r="369" customFormat="false" ht="21.75" hidden="false" customHeight="false" outlineLevel="0" collapsed="false">
      <c r="A369" s="74"/>
      <c r="B369" s="75"/>
      <c r="C369" s="75"/>
      <c r="D369" s="57" t="s">
        <v>12064</v>
      </c>
      <c r="E369" s="57" t="s">
        <v>12065</v>
      </c>
      <c r="F369" s="57" t="s">
        <v>3787</v>
      </c>
      <c r="G369" s="73" t="s">
        <v>12066</v>
      </c>
      <c r="H369" s="77"/>
      <c r="I369" s="39"/>
      <c r="J369" s="81" t="s">
        <v>12067</v>
      </c>
      <c r="K369" s="0" t="s">
        <v>12068</v>
      </c>
    </row>
    <row r="370" customFormat="false" ht="13.8" hidden="false" customHeight="false" outlineLevel="0" collapsed="false">
      <c r="A370" s="74"/>
      <c r="B370" s="75"/>
      <c r="C370" s="75"/>
      <c r="D370" s="57" t="s">
        <v>3792</v>
      </c>
      <c r="E370" s="57" t="s">
        <v>3792</v>
      </c>
      <c r="F370" s="57" t="s">
        <v>3792</v>
      </c>
      <c r="G370" s="73" t="s">
        <v>12069</v>
      </c>
      <c r="H370" s="77" t="s">
        <v>12070</v>
      </c>
      <c r="I370" s="37" t="s">
        <v>50</v>
      </c>
      <c r="J370" s="81" t="s">
        <v>12071</v>
      </c>
      <c r="K370" s="0" t="s">
        <v>12072</v>
      </c>
    </row>
    <row r="371" customFormat="false" ht="21.75" hidden="false" customHeight="false" outlineLevel="0" collapsed="false">
      <c r="A371" s="74"/>
      <c r="B371" s="75"/>
      <c r="C371" s="75"/>
      <c r="D371" s="57" t="s">
        <v>12073</v>
      </c>
      <c r="E371" s="57" t="s">
        <v>12074</v>
      </c>
      <c r="F371" s="57" t="s">
        <v>3806</v>
      </c>
      <c r="G371" s="73" t="s">
        <v>12075</v>
      </c>
      <c r="H371" s="77"/>
      <c r="I371" s="37"/>
      <c r="J371" s="81" t="s">
        <v>12076</v>
      </c>
      <c r="K371" s="0" t="s">
        <v>12077</v>
      </c>
    </row>
    <row r="372" customFormat="false" ht="13.8" hidden="false" customHeight="false" outlineLevel="0" collapsed="false">
      <c r="A372" s="74"/>
      <c r="B372" s="75"/>
      <c r="C372" s="75"/>
      <c r="E372" s="57" t="s">
        <v>3792</v>
      </c>
      <c r="F372" s="57" t="s">
        <v>3792</v>
      </c>
      <c r="G372" s="73" t="s">
        <v>12078</v>
      </c>
      <c r="H372" s="77" t="s">
        <v>12079</v>
      </c>
      <c r="I372" s="37" t="s">
        <v>50</v>
      </c>
      <c r="J372" s="81" t="s">
        <v>11660</v>
      </c>
      <c r="K372" s="0" t="s">
        <v>12080</v>
      </c>
    </row>
    <row r="373" customFormat="false" ht="21.75" hidden="false" customHeight="true" outlineLevel="0" collapsed="false">
      <c r="A373" s="74"/>
      <c r="B373" s="75"/>
      <c r="C373" s="75" t="s">
        <v>12081</v>
      </c>
      <c r="D373" s="57" t="s">
        <v>12082</v>
      </c>
      <c r="E373" s="57" t="s">
        <v>12083</v>
      </c>
      <c r="F373" s="57" t="s">
        <v>3797</v>
      </c>
      <c r="G373" s="73" t="s">
        <v>12084</v>
      </c>
      <c r="H373" s="77"/>
      <c r="I373" s="37"/>
      <c r="J373" s="81" t="s">
        <v>12085</v>
      </c>
      <c r="K373" s="0" t="s">
        <v>12086</v>
      </c>
    </row>
    <row r="374" customFormat="false" ht="13.8" hidden="false" customHeight="false" outlineLevel="0" collapsed="false">
      <c r="A374" s="74"/>
      <c r="B374" s="75"/>
      <c r="C374" s="75"/>
      <c r="D374" s="57" t="s">
        <v>3792</v>
      </c>
      <c r="E374" s="57" t="s">
        <v>3792</v>
      </c>
      <c r="F374" s="57" t="s">
        <v>3792</v>
      </c>
      <c r="G374" s="73" t="s">
        <v>12087</v>
      </c>
      <c r="H374" s="77" t="s">
        <v>12088</v>
      </c>
      <c r="I374" s="39" t="s">
        <v>67</v>
      </c>
      <c r="J374" s="81" t="s">
        <v>12089</v>
      </c>
      <c r="K374" s="0" t="s">
        <v>12090</v>
      </c>
    </row>
    <row r="375" customFormat="false" ht="21.75" hidden="false" customHeight="false" outlineLevel="0" collapsed="false">
      <c r="A375" s="74"/>
      <c r="B375" s="75"/>
      <c r="C375" s="75"/>
      <c r="D375" s="57" t="s">
        <v>12091</v>
      </c>
      <c r="E375" s="57" t="s">
        <v>12092</v>
      </c>
      <c r="F375" s="57" t="s">
        <v>3787</v>
      </c>
      <c r="G375" s="73" t="s">
        <v>12093</v>
      </c>
      <c r="H375" s="77"/>
      <c r="I375" s="39"/>
      <c r="J375" s="81" t="s">
        <v>12094</v>
      </c>
      <c r="K375" s="0" t="s">
        <v>10846</v>
      </c>
    </row>
    <row r="376" customFormat="false" ht="13.8" hidden="false" customHeight="false" outlineLevel="0" collapsed="false">
      <c r="A376" s="74"/>
      <c r="B376" s="75"/>
      <c r="C376" s="75"/>
      <c r="D376" s="57" t="s">
        <v>3792</v>
      </c>
      <c r="E376" s="57" t="s">
        <v>3792</v>
      </c>
      <c r="F376" s="57" t="s">
        <v>3792</v>
      </c>
      <c r="G376" s="73" t="s">
        <v>12095</v>
      </c>
      <c r="H376" s="77" t="s">
        <v>12096</v>
      </c>
      <c r="I376" s="34" t="s">
        <v>40</v>
      </c>
      <c r="J376" s="81" t="s">
        <v>12097</v>
      </c>
      <c r="K376" s="0" t="s">
        <v>12098</v>
      </c>
    </row>
    <row r="377" customFormat="false" ht="21.75" hidden="false" customHeight="false" outlineLevel="0" collapsed="false">
      <c r="A377" s="74"/>
      <c r="B377" s="75"/>
      <c r="C377" s="75"/>
      <c r="D377" s="57" t="s">
        <v>12099</v>
      </c>
      <c r="E377" s="57" t="s">
        <v>12100</v>
      </c>
      <c r="F377" s="57" t="s">
        <v>3797</v>
      </c>
      <c r="G377" s="73" t="s">
        <v>12101</v>
      </c>
      <c r="H377" s="77"/>
      <c r="I377" s="34"/>
      <c r="J377" s="81" t="s">
        <v>12102</v>
      </c>
      <c r="K377" s="0" t="s">
        <v>12103</v>
      </c>
    </row>
    <row r="378" customFormat="false" ht="13.8" hidden="false" customHeight="false" outlineLevel="0" collapsed="false">
      <c r="A378" s="74"/>
      <c r="B378" s="75"/>
      <c r="C378" s="75"/>
      <c r="D378" s="57" t="s">
        <v>3792</v>
      </c>
      <c r="E378" s="57" t="s">
        <v>3792</v>
      </c>
      <c r="F378" s="57" t="s">
        <v>3792</v>
      </c>
      <c r="G378" s="73" t="s">
        <v>12104</v>
      </c>
      <c r="H378" s="77" t="s">
        <v>12105</v>
      </c>
      <c r="I378" s="39" t="s">
        <v>67</v>
      </c>
      <c r="J378" s="81" t="s">
        <v>12106</v>
      </c>
      <c r="K378" s="0" t="s">
        <v>12107</v>
      </c>
    </row>
    <row r="379" customFormat="false" ht="21.75" hidden="false" customHeight="false" outlineLevel="0" collapsed="false">
      <c r="A379" s="74"/>
      <c r="B379" s="75"/>
      <c r="C379" s="75"/>
      <c r="D379" s="57" t="s">
        <v>12108</v>
      </c>
      <c r="E379" s="57" t="s">
        <v>12109</v>
      </c>
      <c r="F379" s="57" t="s">
        <v>3806</v>
      </c>
      <c r="G379" s="73" t="s">
        <v>12110</v>
      </c>
      <c r="H379" s="77"/>
      <c r="I379" s="39"/>
      <c r="J379" s="81" t="s">
        <v>12111</v>
      </c>
      <c r="K379" s="0" t="s">
        <v>12112</v>
      </c>
    </row>
    <row r="380" customFormat="false" ht="13.8" hidden="false" customHeight="false" outlineLevel="0" collapsed="false">
      <c r="A380" s="74"/>
      <c r="B380" s="75"/>
      <c r="C380" s="75"/>
      <c r="D380" s="57" t="s">
        <v>3792</v>
      </c>
      <c r="E380" s="57" t="s">
        <v>3792</v>
      </c>
      <c r="F380" s="57" t="s">
        <v>3792</v>
      </c>
      <c r="G380" s="73" t="s">
        <v>12113</v>
      </c>
      <c r="H380" s="77" t="s">
        <v>12114</v>
      </c>
      <c r="I380" s="37" t="s">
        <v>50</v>
      </c>
      <c r="J380" s="81" t="s">
        <v>12115</v>
      </c>
      <c r="K380" s="0" t="s">
        <v>12116</v>
      </c>
    </row>
    <row r="381" customFormat="false" ht="21.75" hidden="false" customHeight="false" outlineLevel="0" collapsed="false">
      <c r="A381" s="74"/>
      <c r="B381" s="75"/>
      <c r="C381" s="75"/>
      <c r="D381" s="57" t="s">
        <v>12117</v>
      </c>
      <c r="E381" s="57" t="s">
        <v>12118</v>
      </c>
      <c r="F381" s="57" t="s">
        <v>3787</v>
      </c>
      <c r="G381" s="73" t="s">
        <v>12119</v>
      </c>
      <c r="H381" s="77"/>
      <c r="I381" s="37"/>
      <c r="J381" s="81" t="s">
        <v>12120</v>
      </c>
      <c r="K381" s="0" t="s">
        <v>12121</v>
      </c>
    </row>
    <row r="382" customFormat="false" ht="13.8" hidden="false" customHeight="false" outlineLevel="0" collapsed="false">
      <c r="A382" s="74"/>
      <c r="B382" s="75"/>
      <c r="C382" s="75"/>
      <c r="E382" s="57" t="s">
        <v>3792</v>
      </c>
      <c r="F382" s="57" t="s">
        <v>3792</v>
      </c>
      <c r="G382" s="73" t="s">
        <v>12122</v>
      </c>
      <c r="H382" s="77" t="s">
        <v>12123</v>
      </c>
      <c r="I382" s="37" t="s">
        <v>50</v>
      </c>
      <c r="J382" s="81" t="s">
        <v>12124</v>
      </c>
      <c r="K382" s="0" t="s">
        <v>12125</v>
      </c>
    </row>
    <row r="383" customFormat="false" ht="21.75" hidden="false" customHeight="true" outlineLevel="0" collapsed="false">
      <c r="A383" s="74"/>
      <c r="B383" s="75"/>
      <c r="C383" s="75" t="s">
        <v>12126</v>
      </c>
      <c r="D383" s="57" t="s">
        <v>12127</v>
      </c>
      <c r="E383" s="57" t="s">
        <v>12128</v>
      </c>
      <c r="F383" s="57" t="s">
        <v>3797</v>
      </c>
      <c r="G383" s="73" t="s">
        <v>12129</v>
      </c>
      <c r="H383" s="77"/>
      <c r="I383" s="37"/>
      <c r="J383" s="81" t="s">
        <v>11212</v>
      </c>
      <c r="K383" s="0" t="s">
        <v>12130</v>
      </c>
    </row>
    <row r="384" customFormat="false" ht="13.8" hidden="false" customHeight="false" outlineLevel="0" collapsed="false">
      <c r="A384" s="74"/>
      <c r="B384" s="75"/>
      <c r="C384" s="75"/>
      <c r="D384" s="57" t="s">
        <v>3792</v>
      </c>
      <c r="E384" s="57" t="s">
        <v>3792</v>
      </c>
      <c r="F384" s="57" t="s">
        <v>3792</v>
      </c>
      <c r="G384" s="73" t="s">
        <v>12131</v>
      </c>
      <c r="H384" s="77" t="s">
        <v>12132</v>
      </c>
      <c r="I384" s="39" t="s">
        <v>67</v>
      </c>
      <c r="J384" s="81" t="s">
        <v>12133</v>
      </c>
      <c r="K384" s="0" t="s">
        <v>12134</v>
      </c>
    </row>
    <row r="385" customFormat="false" ht="21.75" hidden="false" customHeight="false" outlineLevel="0" collapsed="false">
      <c r="A385" s="74"/>
      <c r="B385" s="75"/>
      <c r="C385" s="75"/>
      <c r="D385" s="57" t="s">
        <v>12135</v>
      </c>
      <c r="E385" s="57" t="s">
        <v>12136</v>
      </c>
      <c r="F385" s="57" t="s">
        <v>3806</v>
      </c>
      <c r="G385" s="73" t="s">
        <v>12137</v>
      </c>
      <c r="H385" s="77"/>
      <c r="I385" s="39"/>
      <c r="J385" s="81" t="s">
        <v>12138</v>
      </c>
      <c r="K385" s="0" t="s">
        <v>11222</v>
      </c>
    </row>
    <row r="386" customFormat="false" ht="13.8" hidden="false" customHeight="false" outlineLevel="0" collapsed="false">
      <c r="A386" s="74"/>
      <c r="B386" s="75"/>
      <c r="C386" s="75"/>
      <c r="D386" s="57" t="s">
        <v>3792</v>
      </c>
      <c r="E386" s="57" t="s">
        <v>3792</v>
      </c>
      <c r="F386" s="57" t="s">
        <v>3792</v>
      </c>
      <c r="G386" s="73" t="s">
        <v>12139</v>
      </c>
      <c r="H386" s="77" t="s">
        <v>12140</v>
      </c>
      <c r="I386" s="34" t="s">
        <v>40</v>
      </c>
      <c r="J386" s="81" t="s">
        <v>12141</v>
      </c>
      <c r="K386" s="0" t="s">
        <v>12142</v>
      </c>
    </row>
    <row r="387" customFormat="false" ht="21.75" hidden="false" customHeight="false" outlineLevel="0" collapsed="false">
      <c r="A387" s="74"/>
      <c r="B387" s="75"/>
      <c r="C387" s="75"/>
      <c r="D387" s="57" t="s">
        <v>12143</v>
      </c>
      <c r="E387" s="57" t="s">
        <v>12144</v>
      </c>
      <c r="F387" s="57" t="s">
        <v>3797</v>
      </c>
      <c r="G387" s="73" t="s">
        <v>12145</v>
      </c>
      <c r="H387" s="77"/>
      <c r="I387" s="34"/>
      <c r="J387" s="81" t="s">
        <v>12146</v>
      </c>
      <c r="K387" s="0" t="s">
        <v>12147</v>
      </c>
    </row>
    <row r="388" customFormat="false" ht="13.8" hidden="false" customHeight="false" outlineLevel="0" collapsed="false">
      <c r="A388" s="74"/>
      <c r="B388" s="75"/>
      <c r="C388" s="75"/>
      <c r="D388" s="57" t="s">
        <v>3792</v>
      </c>
      <c r="E388" s="57" t="s">
        <v>3792</v>
      </c>
      <c r="F388" s="57" t="s">
        <v>3792</v>
      </c>
      <c r="G388" s="73" t="s">
        <v>12148</v>
      </c>
      <c r="H388" s="77" t="s">
        <v>12149</v>
      </c>
      <c r="I388" s="39" t="s">
        <v>67</v>
      </c>
      <c r="J388" s="81" t="s">
        <v>12150</v>
      </c>
      <c r="K388" s="0" t="s">
        <v>12151</v>
      </c>
    </row>
    <row r="389" customFormat="false" ht="21.75" hidden="false" customHeight="false" outlineLevel="0" collapsed="false">
      <c r="A389" s="74"/>
      <c r="B389" s="75"/>
      <c r="C389" s="75"/>
      <c r="D389" s="57" t="s">
        <v>12152</v>
      </c>
      <c r="E389" s="57" t="s">
        <v>12153</v>
      </c>
      <c r="F389" s="57" t="s">
        <v>3787</v>
      </c>
      <c r="G389" s="73" t="s">
        <v>12154</v>
      </c>
      <c r="H389" s="77"/>
      <c r="I389" s="39"/>
      <c r="J389" s="81" t="s">
        <v>12155</v>
      </c>
      <c r="K389" s="0" t="s">
        <v>12156</v>
      </c>
    </row>
    <row r="390" customFormat="false" ht="13.8" hidden="false" customHeight="false" outlineLevel="0" collapsed="false">
      <c r="A390" s="74"/>
      <c r="B390" s="75"/>
      <c r="C390" s="75"/>
      <c r="D390" s="57" t="s">
        <v>3792</v>
      </c>
      <c r="E390" s="57" t="s">
        <v>3792</v>
      </c>
      <c r="F390" s="57" t="s">
        <v>3792</v>
      </c>
      <c r="G390" s="73" t="s">
        <v>12157</v>
      </c>
      <c r="H390" s="77" t="s">
        <v>12158</v>
      </c>
      <c r="I390" s="37" t="s">
        <v>50</v>
      </c>
      <c r="J390" s="81" t="s">
        <v>12159</v>
      </c>
      <c r="K390" s="0" t="s">
        <v>12160</v>
      </c>
    </row>
    <row r="391" customFormat="false" ht="21.75" hidden="false" customHeight="false" outlineLevel="0" collapsed="false">
      <c r="A391" s="74"/>
      <c r="B391" s="75"/>
      <c r="C391" s="75"/>
      <c r="D391" s="57" t="s">
        <v>12161</v>
      </c>
      <c r="E391" s="57" t="s">
        <v>12162</v>
      </c>
      <c r="F391" s="57" t="s">
        <v>3806</v>
      </c>
      <c r="G391" s="73" t="s">
        <v>12163</v>
      </c>
      <c r="H391" s="77"/>
      <c r="I391" s="37"/>
      <c r="J391" s="81" t="s">
        <v>12164</v>
      </c>
      <c r="K391" s="0" t="s">
        <v>12165</v>
      </c>
    </row>
    <row r="392" customFormat="false" ht="13.8" hidden="false" customHeight="false" outlineLevel="0" collapsed="false">
      <c r="A392" s="74"/>
      <c r="B392" s="75"/>
      <c r="C392" s="75"/>
      <c r="E392" s="57" t="s">
        <v>3792</v>
      </c>
      <c r="F392" s="57" t="s">
        <v>3792</v>
      </c>
      <c r="G392" s="73" t="s">
        <v>12166</v>
      </c>
      <c r="H392" s="77" t="s">
        <v>12167</v>
      </c>
      <c r="I392" s="37" t="s">
        <v>50</v>
      </c>
      <c r="J392" s="81" t="s">
        <v>12168</v>
      </c>
      <c r="K392" s="0" t="s">
        <v>12169</v>
      </c>
    </row>
    <row r="393" customFormat="false" ht="21.75" hidden="false" customHeight="false" outlineLevel="0" collapsed="false">
      <c r="A393" s="74"/>
      <c r="B393" s="75"/>
      <c r="C393" s="74" t="s">
        <v>12170</v>
      </c>
      <c r="D393" s="57" t="s">
        <v>12171</v>
      </c>
      <c r="E393" s="57" t="s">
        <v>12172</v>
      </c>
      <c r="F393" s="57" t="s">
        <v>3787</v>
      </c>
      <c r="G393" s="73" t="s">
        <v>12173</v>
      </c>
      <c r="H393" s="77"/>
      <c r="I393" s="37"/>
      <c r="J393" s="81" t="s">
        <v>12174</v>
      </c>
      <c r="K393" s="0" t="s">
        <v>12175</v>
      </c>
    </row>
    <row r="394" customFormat="false" ht="13.8" hidden="false" customHeight="false" outlineLevel="0" collapsed="false">
      <c r="A394" s="74"/>
      <c r="B394" s="75"/>
      <c r="C394" s="74"/>
      <c r="D394" s="57" t="s">
        <v>3792</v>
      </c>
      <c r="E394" s="57" t="s">
        <v>3792</v>
      </c>
      <c r="F394" s="57" t="s">
        <v>3792</v>
      </c>
      <c r="G394" s="73" t="s">
        <v>12176</v>
      </c>
      <c r="H394" s="77" t="s">
        <v>12177</v>
      </c>
      <c r="I394" s="39" t="s">
        <v>67</v>
      </c>
      <c r="J394" s="81" t="s">
        <v>12178</v>
      </c>
      <c r="K394" s="0" t="s">
        <v>12179</v>
      </c>
    </row>
    <row r="395" customFormat="false" ht="21.75" hidden="false" customHeight="false" outlineLevel="0" collapsed="false">
      <c r="A395" s="74"/>
      <c r="B395" s="75"/>
      <c r="C395" s="74"/>
      <c r="D395" s="57" t="s">
        <v>12180</v>
      </c>
      <c r="E395" s="57" t="s">
        <v>12181</v>
      </c>
      <c r="F395" s="57" t="s">
        <v>3797</v>
      </c>
      <c r="G395" s="73" t="s">
        <v>12182</v>
      </c>
      <c r="H395" s="77"/>
      <c r="I395" s="39"/>
      <c r="J395" s="81" t="s">
        <v>12183</v>
      </c>
      <c r="K395" s="0" t="s">
        <v>12184</v>
      </c>
    </row>
    <row r="396" customFormat="false" ht="13.8" hidden="false" customHeight="false" outlineLevel="0" collapsed="false">
      <c r="A396" s="74"/>
      <c r="B396" s="75"/>
      <c r="C396" s="74"/>
      <c r="D396" s="57" t="s">
        <v>3792</v>
      </c>
      <c r="E396" s="57" t="s">
        <v>3792</v>
      </c>
      <c r="F396" s="57" t="s">
        <v>3792</v>
      </c>
      <c r="G396" s="73" t="s">
        <v>12185</v>
      </c>
      <c r="H396" s="77" t="s">
        <v>12186</v>
      </c>
      <c r="I396" s="34" t="s">
        <v>40</v>
      </c>
      <c r="J396" s="81" t="s">
        <v>12187</v>
      </c>
      <c r="K396" s="0" t="s">
        <v>12188</v>
      </c>
    </row>
    <row r="397" customFormat="false" ht="21.75" hidden="false" customHeight="false" outlineLevel="0" collapsed="false">
      <c r="A397" s="74"/>
      <c r="B397" s="75"/>
      <c r="C397" s="74"/>
      <c r="D397" s="57" t="s">
        <v>12189</v>
      </c>
      <c r="E397" s="57" t="s">
        <v>12190</v>
      </c>
      <c r="F397" s="57" t="s">
        <v>3806</v>
      </c>
      <c r="G397" s="73" t="s">
        <v>12191</v>
      </c>
      <c r="H397" s="77"/>
      <c r="I397" s="34"/>
      <c r="J397" s="81" t="s">
        <v>12192</v>
      </c>
      <c r="K397" s="0" t="s">
        <v>12193</v>
      </c>
    </row>
    <row r="398" customFormat="false" ht="13.8" hidden="false" customHeight="false" outlineLevel="0" collapsed="false">
      <c r="A398" s="74"/>
      <c r="B398" s="75"/>
      <c r="C398" s="74"/>
      <c r="D398" s="57" t="s">
        <v>3792</v>
      </c>
      <c r="E398" s="57" t="s">
        <v>3792</v>
      </c>
      <c r="F398" s="57" t="s">
        <v>3792</v>
      </c>
      <c r="G398" s="73" t="s">
        <v>12194</v>
      </c>
      <c r="H398" s="77" t="s">
        <v>12195</v>
      </c>
      <c r="I398" s="39" t="s">
        <v>67</v>
      </c>
      <c r="J398" s="81" t="s">
        <v>11209</v>
      </c>
      <c r="K398" s="0" t="s">
        <v>12196</v>
      </c>
    </row>
    <row r="399" customFormat="false" ht="21.75" hidden="false" customHeight="false" outlineLevel="0" collapsed="false">
      <c r="A399" s="74"/>
      <c r="B399" s="75"/>
      <c r="C399" s="74"/>
      <c r="D399" s="57" t="s">
        <v>12197</v>
      </c>
      <c r="E399" s="57" t="s">
        <v>12198</v>
      </c>
      <c r="F399" s="57" t="s">
        <v>3787</v>
      </c>
      <c r="G399" s="73" t="s">
        <v>12199</v>
      </c>
      <c r="H399" s="77"/>
      <c r="I399" s="39"/>
      <c r="J399" s="81" t="s">
        <v>11276</v>
      </c>
      <c r="K399" s="0" t="s">
        <v>12200</v>
      </c>
    </row>
    <row r="400" customFormat="false" ht="13.8" hidden="false" customHeight="false" outlineLevel="0" collapsed="false">
      <c r="A400" s="74"/>
      <c r="B400" s="75"/>
      <c r="C400" s="74"/>
      <c r="D400" s="57" t="s">
        <v>3792</v>
      </c>
      <c r="E400" s="57" t="s">
        <v>3792</v>
      </c>
      <c r="F400" s="57" t="s">
        <v>3792</v>
      </c>
      <c r="G400" s="73" t="s">
        <v>12201</v>
      </c>
      <c r="H400" s="77" t="s">
        <v>12202</v>
      </c>
      <c r="I400" s="37" t="s">
        <v>50</v>
      </c>
      <c r="J400" s="81" t="s">
        <v>12203</v>
      </c>
      <c r="K400" s="0" t="s">
        <v>12204</v>
      </c>
    </row>
    <row r="401" customFormat="false" ht="34.2" hidden="false" customHeight="false" outlineLevel="0" collapsed="false">
      <c r="A401" s="74"/>
      <c r="B401" s="75"/>
      <c r="C401" s="74"/>
      <c r="D401" s="57" t="s">
        <v>12205</v>
      </c>
      <c r="E401" s="57" t="s">
        <v>12206</v>
      </c>
      <c r="F401" s="57" t="s">
        <v>3806</v>
      </c>
      <c r="G401" s="57" t="s">
        <v>12207</v>
      </c>
      <c r="H401" s="77"/>
      <c r="I401" s="37"/>
      <c r="J401" s="81" t="s">
        <v>12208</v>
      </c>
      <c r="K401" s="0" t="s">
        <v>12209</v>
      </c>
    </row>
    <row r="402" customFormat="false" ht="13.8" hidden="false" customHeight="false" outlineLevel="0" collapsed="false">
      <c r="A402" s="74"/>
      <c r="B402" s="75"/>
      <c r="C402" s="74"/>
      <c r="E402" s="57" t="s">
        <v>3792</v>
      </c>
      <c r="F402" s="57" t="s">
        <v>3792</v>
      </c>
      <c r="G402" s="57" t="s">
        <v>12210</v>
      </c>
      <c r="H402" s="77" t="s">
        <v>12211</v>
      </c>
      <c r="I402" s="34" t="s">
        <v>40</v>
      </c>
      <c r="J402" s="81" t="s">
        <v>12212</v>
      </c>
      <c r="K402" s="0" t="s">
        <v>12213</v>
      </c>
    </row>
    <row r="403" customFormat="false" ht="21.75" hidden="false" customHeight="false" outlineLevel="0" collapsed="false">
      <c r="A403" s="74"/>
      <c r="B403" s="75"/>
      <c r="C403" s="74" t="s">
        <v>12214</v>
      </c>
      <c r="D403" s="57" t="s">
        <v>12215</v>
      </c>
      <c r="E403" s="57" t="s">
        <v>12216</v>
      </c>
      <c r="F403" s="57" t="s">
        <v>3797</v>
      </c>
      <c r="G403" s="57" t="s">
        <v>12217</v>
      </c>
      <c r="H403" s="77"/>
      <c r="I403" s="34"/>
      <c r="J403" s="81" t="s">
        <v>11212</v>
      </c>
      <c r="K403" s="0" t="s">
        <v>12218</v>
      </c>
    </row>
    <row r="404" customFormat="false" ht="13.8" hidden="false" customHeight="false" outlineLevel="0" collapsed="false">
      <c r="A404" s="74"/>
      <c r="B404" s="75"/>
      <c r="C404" s="74"/>
      <c r="D404" s="57" t="s">
        <v>3792</v>
      </c>
      <c r="E404" s="57" t="s">
        <v>3792</v>
      </c>
      <c r="F404" s="57" t="s">
        <v>3792</v>
      </c>
      <c r="G404" s="57" t="s">
        <v>12219</v>
      </c>
      <c r="H404" s="77" t="s">
        <v>11325</v>
      </c>
      <c r="I404" s="37" t="s">
        <v>50</v>
      </c>
      <c r="J404" s="81" t="s">
        <v>12220</v>
      </c>
      <c r="K404" s="0" t="s">
        <v>11332</v>
      </c>
    </row>
    <row r="405" customFormat="false" ht="21.75" hidden="false" customHeight="false" outlineLevel="0" collapsed="false">
      <c r="A405" s="74"/>
      <c r="B405" s="75"/>
      <c r="C405" s="74"/>
      <c r="D405" s="57" t="s">
        <v>12221</v>
      </c>
      <c r="E405" s="57" t="s">
        <v>12222</v>
      </c>
      <c r="F405" s="57" t="s">
        <v>3787</v>
      </c>
      <c r="G405" s="57" t="s">
        <v>12223</v>
      </c>
      <c r="H405" s="77"/>
      <c r="I405" s="37"/>
      <c r="J405" s="81" t="s">
        <v>11285</v>
      </c>
      <c r="K405" s="0" t="s">
        <v>12224</v>
      </c>
    </row>
    <row r="406" customFormat="false" ht="13.8" hidden="false" customHeight="false" outlineLevel="0" collapsed="false">
      <c r="A406" s="74"/>
      <c r="B406" s="75"/>
      <c r="C406" s="74"/>
      <c r="D406" s="57" t="s">
        <v>3792</v>
      </c>
      <c r="E406" s="57" t="s">
        <v>3792</v>
      </c>
      <c r="F406" s="57" t="s">
        <v>3792</v>
      </c>
      <c r="G406" s="57" t="s">
        <v>12225</v>
      </c>
      <c r="H406" s="77" t="s">
        <v>12226</v>
      </c>
      <c r="I406" s="34" t="s">
        <v>40</v>
      </c>
      <c r="J406" s="81" t="s">
        <v>12227</v>
      </c>
      <c r="K406" s="0" t="s">
        <v>12228</v>
      </c>
    </row>
    <row r="407" customFormat="false" ht="21.75" hidden="false" customHeight="false" outlineLevel="0" collapsed="false">
      <c r="A407" s="74"/>
      <c r="B407" s="75"/>
      <c r="C407" s="74"/>
      <c r="D407" s="57" t="s">
        <v>12229</v>
      </c>
      <c r="E407" s="57" t="s">
        <v>12230</v>
      </c>
      <c r="F407" s="57" t="s">
        <v>3797</v>
      </c>
      <c r="G407" s="57" t="s">
        <v>12231</v>
      </c>
      <c r="H407" s="77"/>
      <c r="I407" s="34"/>
      <c r="J407" s="81" t="s">
        <v>11331</v>
      </c>
      <c r="K407" s="0" t="s">
        <v>11936</v>
      </c>
    </row>
    <row r="408" customFormat="false" ht="13.8" hidden="false" customHeight="false" outlineLevel="0" collapsed="false">
      <c r="A408" s="74"/>
      <c r="B408" s="75"/>
      <c r="C408" s="74"/>
      <c r="D408" s="57" t="s">
        <v>3792</v>
      </c>
      <c r="E408" s="57" t="s">
        <v>3792</v>
      </c>
      <c r="F408" s="57" t="s">
        <v>3792</v>
      </c>
      <c r="G408" s="57" t="s">
        <v>12232</v>
      </c>
      <c r="H408" s="77" t="s">
        <v>12233</v>
      </c>
      <c r="I408" s="39" t="s">
        <v>67</v>
      </c>
      <c r="J408" s="81" t="s">
        <v>12234</v>
      </c>
      <c r="K408" s="0" t="s">
        <v>11940</v>
      </c>
    </row>
    <row r="409" customFormat="false" ht="21.75" hidden="false" customHeight="false" outlineLevel="0" collapsed="false">
      <c r="A409" s="74"/>
      <c r="B409" s="75"/>
      <c r="C409" s="74"/>
      <c r="D409" s="57" t="s">
        <v>12235</v>
      </c>
      <c r="E409" s="57" t="s">
        <v>12236</v>
      </c>
      <c r="F409" s="57" t="s">
        <v>3806</v>
      </c>
      <c r="G409" s="57" t="s">
        <v>12237</v>
      </c>
      <c r="H409" s="77"/>
      <c r="I409" s="39"/>
      <c r="J409" s="81" t="s">
        <v>12238</v>
      </c>
      <c r="K409" s="0" t="s">
        <v>12239</v>
      </c>
    </row>
    <row r="410" customFormat="false" ht="13.8" hidden="false" customHeight="false" outlineLevel="0" collapsed="false">
      <c r="A410" s="74"/>
      <c r="B410" s="75"/>
      <c r="C410" s="74"/>
      <c r="D410" s="57" t="s">
        <v>3792</v>
      </c>
      <c r="E410" s="57" t="s">
        <v>3792</v>
      </c>
      <c r="F410" s="57" t="s">
        <v>3792</v>
      </c>
      <c r="G410" s="57" t="s">
        <v>12240</v>
      </c>
      <c r="H410" s="77" t="s">
        <v>12241</v>
      </c>
      <c r="I410" s="34" t="s">
        <v>40</v>
      </c>
      <c r="J410" s="81" t="s">
        <v>12242</v>
      </c>
      <c r="K410" s="0" t="s">
        <v>12243</v>
      </c>
    </row>
    <row r="411" customFormat="false" ht="21.75" hidden="false" customHeight="false" outlineLevel="0" collapsed="false">
      <c r="A411" s="74"/>
      <c r="B411" s="75"/>
      <c r="C411" s="74"/>
      <c r="D411" s="57" t="s">
        <v>12244</v>
      </c>
      <c r="E411" s="57" t="s">
        <v>12245</v>
      </c>
      <c r="F411" s="57" t="s">
        <v>3797</v>
      </c>
      <c r="G411" s="57" t="s">
        <v>12246</v>
      </c>
      <c r="H411" s="77"/>
      <c r="I411" s="34"/>
      <c r="J411" s="81" t="s">
        <v>11947</v>
      </c>
      <c r="K411" s="0" t="s">
        <v>12247</v>
      </c>
    </row>
    <row r="412" customFormat="false" ht="13.8" hidden="false" customHeight="false" outlineLevel="0" collapsed="false">
      <c r="A412" s="74"/>
      <c r="B412" s="75"/>
      <c r="C412" s="74"/>
      <c r="E412" s="57" t="s">
        <v>3792</v>
      </c>
      <c r="F412" s="57" t="s">
        <v>3792</v>
      </c>
      <c r="G412" s="57" t="s">
        <v>12248</v>
      </c>
      <c r="H412" s="77" t="s">
        <v>12249</v>
      </c>
      <c r="I412" s="37" t="s">
        <v>50</v>
      </c>
      <c r="J412" s="81" t="s">
        <v>10854</v>
      </c>
      <c r="K412" s="0" t="s">
        <v>12250</v>
      </c>
    </row>
    <row r="413" customFormat="false" ht="21.75" hidden="false" customHeight="false" outlineLevel="0" collapsed="false">
      <c r="A413" s="74"/>
      <c r="B413" s="74" t="s">
        <v>12251</v>
      </c>
      <c r="C413" s="74" t="s">
        <v>12252</v>
      </c>
      <c r="D413" s="57" t="s">
        <v>12253</v>
      </c>
      <c r="E413" s="57" t="s">
        <v>12254</v>
      </c>
      <c r="F413" s="57" t="s">
        <v>3787</v>
      </c>
      <c r="G413" s="57" t="s">
        <v>12255</v>
      </c>
      <c r="H413" s="77"/>
      <c r="I413" s="37"/>
      <c r="J413" s="81" t="s">
        <v>11059</v>
      </c>
      <c r="K413" s="0" t="s">
        <v>12256</v>
      </c>
    </row>
    <row r="414" customFormat="false" ht="13.8" hidden="false" customHeight="false" outlineLevel="0" collapsed="false">
      <c r="A414" s="74"/>
      <c r="B414" s="74"/>
      <c r="C414" s="74"/>
      <c r="D414" s="57" t="s">
        <v>3792</v>
      </c>
      <c r="E414" s="57" t="s">
        <v>3792</v>
      </c>
      <c r="F414" s="57" t="s">
        <v>3792</v>
      </c>
      <c r="G414" s="57" t="s">
        <v>12257</v>
      </c>
      <c r="H414" s="77" t="s">
        <v>12258</v>
      </c>
      <c r="I414" s="34" t="s">
        <v>40</v>
      </c>
      <c r="J414" s="81" t="s">
        <v>11774</v>
      </c>
      <c r="K414" s="0" t="s">
        <v>10996</v>
      </c>
    </row>
    <row r="415" customFormat="false" ht="21.75" hidden="false" customHeight="false" outlineLevel="0" collapsed="false">
      <c r="A415" s="74"/>
      <c r="B415" s="74"/>
      <c r="C415" s="74"/>
      <c r="D415" s="57" t="s">
        <v>12259</v>
      </c>
      <c r="E415" s="57" t="s">
        <v>12260</v>
      </c>
      <c r="F415" s="57" t="s">
        <v>3806</v>
      </c>
      <c r="G415" s="57" t="s">
        <v>12261</v>
      </c>
      <c r="H415" s="77"/>
      <c r="I415" s="34"/>
      <c r="J415" s="81" t="s">
        <v>11013</v>
      </c>
      <c r="K415" s="0" t="s">
        <v>12262</v>
      </c>
    </row>
    <row r="416" customFormat="false" ht="13.8" hidden="false" customHeight="false" outlineLevel="0" collapsed="false">
      <c r="A416" s="74"/>
      <c r="B416" s="74"/>
      <c r="C416" s="74"/>
      <c r="D416" s="57" t="s">
        <v>3792</v>
      </c>
      <c r="E416" s="57" t="s">
        <v>3792</v>
      </c>
      <c r="F416" s="57" t="s">
        <v>3792</v>
      </c>
      <c r="G416" s="57" t="s">
        <v>12263</v>
      </c>
      <c r="H416" s="77" t="s">
        <v>12264</v>
      </c>
      <c r="I416" s="39" t="s">
        <v>67</v>
      </c>
      <c r="J416" s="81" t="s">
        <v>12265</v>
      </c>
      <c r="K416" s="0" t="s">
        <v>12266</v>
      </c>
    </row>
    <row r="417" customFormat="false" ht="21.75" hidden="false" customHeight="false" outlineLevel="0" collapsed="false">
      <c r="A417" s="74"/>
      <c r="B417" s="74"/>
      <c r="C417" s="74"/>
      <c r="D417" s="57" t="s">
        <v>12267</v>
      </c>
      <c r="E417" s="57" t="s">
        <v>12268</v>
      </c>
      <c r="F417" s="57" t="s">
        <v>3787</v>
      </c>
      <c r="G417" s="57" t="s">
        <v>12269</v>
      </c>
      <c r="H417" s="77"/>
      <c r="I417" s="39"/>
      <c r="J417" s="81" t="s">
        <v>12270</v>
      </c>
      <c r="K417" s="0" t="s">
        <v>12271</v>
      </c>
    </row>
    <row r="418" customFormat="false" ht="13.8" hidden="false" customHeight="false" outlineLevel="0" collapsed="false">
      <c r="A418" s="74"/>
      <c r="B418" s="74"/>
      <c r="C418" s="74"/>
      <c r="D418" s="57" t="s">
        <v>3792</v>
      </c>
      <c r="E418" s="57" t="s">
        <v>3792</v>
      </c>
      <c r="F418" s="57" t="s">
        <v>3792</v>
      </c>
      <c r="G418" s="57" t="s">
        <v>12272</v>
      </c>
      <c r="H418" s="77" t="s">
        <v>12273</v>
      </c>
      <c r="I418" s="34" t="s">
        <v>40</v>
      </c>
      <c r="J418" s="81" t="s">
        <v>12274</v>
      </c>
      <c r="K418" s="0" t="s">
        <v>12275</v>
      </c>
    </row>
    <row r="419" customFormat="false" ht="21.75" hidden="false" customHeight="false" outlineLevel="0" collapsed="false">
      <c r="A419" s="74"/>
      <c r="B419" s="74"/>
      <c r="C419" s="74"/>
      <c r="D419" s="57" t="s">
        <v>12276</v>
      </c>
      <c r="E419" s="57" t="s">
        <v>12277</v>
      </c>
      <c r="F419" s="57" t="s">
        <v>3797</v>
      </c>
      <c r="G419" s="57" t="s">
        <v>12278</v>
      </c>
      <c r="H419" s="77"/>
      <c r="I419" s="34"/>
      <c r="J419" s="81" t="s">
        <v>12279</v>
      </c>
      <c r="K419" s="0" t="s">
        <v>12280</v>
      </c>
    </row>
    <row r="420" customFormat="false" ht="13.8" hidden="false" customHeight="false" outlineLevel="0" collapsed="false">
      <c r="A420" s="74"/>
      <c r="B420" s="74"/>
      <c r="C420" s="74"/>
      <c r="D420" s="57" t="s">
        <v>3792</v>
      </c>
      <c r="E420" s="57" t="s">
        <v>3792</v>
      </c>
      <c r="F420" s="57" t="s">
        <v>3792</v>
      </c>
      <c r="G420" s="57" t="s">
        <v>12281</v>
      </c>
      <c r="H420" s="77" t="s">
        <v>12282</v>
      </c>
      <c r="I420" s="37" t="s">
        <v>50</v>
      </c>
      <c r="J420" s="81" t="s">
        <v>12283</v>
      </c>
      <c r="K420" s="0" t="s">
        <v>12284</v>
      </c>
    </row>
    <row r="421" customFormat="false" ht="21.75" hidden="false" customHeight="false" outlineLevel="0" collapsed="false">
      <c r="A421" s="74"/>
      <c r="B421" s="74"/>
      <c r="C421" s="74"/>
      <c r="D421" s="57" t="s">
        <v>12285</v>
      </c>
      <c r="E421" s="57" t="s">
        <v>12286</v>
      </c>
      <c r="F421" s="57" t="s">
        <v>3806</v>
      </c>
      <c r="G421" s="57" t="s">
        <v>12287</v>
      </c>
      <c r="H421" s="77"/>
      <c r="I421" s="37"/>
      <c r="J421" s="81" t="s">
        <v>12288</v>
      </c>
      <c r="K421" s="0" t="s">
        <v>12289</v>
      </c>
    </row>
    <row r="422" customFormat="false" ht="13.8" hidden="false" customHeight="false" outlineLevel="0" collapsed="false">
      <c r="A422" s="74"/>
      <c r="B422" s="74"/>
      <c r="C422" s="74"/>
      <c r="E422" s="57" t="s">
        <v>3792</v>
      </c>
      <c r="F422" s="57" t="s">
        <v>3792</v>
      </c>
      <c r="G422" s="57" t="s">
        <v>12290</v>
      </c>
      <c r="H422" s="77" t="s">
        <v>12249</v>
      </c>
      <c r="I422" s="34" t="s">
        <v>40</v>
      </c>
      <c r="J422" s="81" t="s">
        <v>12291</v>
      </c>
      <c r="K422" s="0" t="s">
        <v>12292</v>
      </c>
    </row>
    <row r="423" customFormat="false" ht="21.75" hidden="false" customHeight="true" outlineLevel="0" collapsed="false">
      <c r="A423" s="74"/>
      <c r="B423" s="74"/>
      <c r="C423" s="75" t="s">
        <v>12293</v>
      </c>
      <c r="D423" s="57" t="s">
        <v>12294</v>
      </c>
      <c r="E423" s="57" t="s">
        <v>12295</v>
      </c>
      <c r="F423" s="57" t="s">
        <v>3787</v>
      </c>
      <c r="G423" s="57" t="s">
        <v>12296</v>
      </c>
      <c r="H423" s="77"/>
      <c r="I423" s="34"/>
      <c r="J423" s="81" t="s">
        <v>12297</v>
      </c>
      <c r="K423" s="0" t="s">
        <v>12298</v>
      </c>
    </row>
    <row r="424" customFormat="false" ht="13.8" hidden="false" customHeight="false" outlineLevel="0" collapsed="false">
      <c r="A424" s="74"/>
      <c r="B424" s="74"/>
      <c r="C424" s="75"/>
      <c r="D424" s="57" t="s">
        <v>3792</v>
      </c>
      <c r="E424" s="57" t="s">
        <v>3792</v>
      </c>
      <c r="F424" s="57" t="s">
        <v>3792</v>
      </c>
      <c r="G424" s="57" t="s">
        <v>12299</v>
      </c>
      <c r="H424" s="77" t="s">
        <v>12300</v>
      </c>
      <c r="I424" s="39" t="s">
        <v>67</v>
      </c>
      <c r="J424" s="81" t="s">
        <v>12301</v>
      </c>
      <c r="K424" s="0" t="s">
        <v>12302</v>
      </c>
    </row>
    <row r="425" customFormat="false" ht="21.75" hidden="false" customHeight="false" outlineLevel="0" collapsed="false">
      <c r="A425" s="74"/>
      <c r="B425" s="74"/>
      <c r="C425" s="75"/>
      <c r="D425" s="57" t="s">
        <v>12303</v>
      </c>
      <c r="E425" s="57" t="s">
        <v>12304</v>
      </c>
      <c r="F425" s="57" t="s">
        <v>3797</v>
      </c>
      <c r="G425" s="57" t="s">
        <v>12305</v>
      </c>
      <c r="H425" s="77"/>
      <c r="I425" s="39"/>
      <c r="J425" s="81" t="s">
        <v>12306</v>
      </c>
      <c r="K425" s="0" t="s">
        <v>12307</v>
      </c>
    </row>
    <row r="426" customFormat="false" ht="13.8" hidden="false" customHeight="false" outlineLevel="0" collapsed="false">
      <c r="A426" s="74"/>
      <c r="B426" s="74"/>
      <c r="C426" s="75"/>
      <c r="D426" s="57" t="s">
        <v>3792</v>
      </c>
      <c r="E426" s="57" t="s">
        <v>3792</v>
      </c>
      <c r="F426" s="57" t="s">
        <v>3792</v>
      </c>
      <c r="G426" s="57" t="s">
        <v>12308</v>
      </c>
      <c r="H426" s="77" t="s">
        <v>12309</v>
      </c>
      <c r="I426" s="34" t="s">
        <v>40</v>
      </c>
      <c r="J426" s="81" t="s">
        <v>12310</v>
      </c>
      <c r="K426" s="0" t="s">
        <v>12311</v>
      </c>
    </row>
    <row r="427" customFormat="false" ht="21.75" hidden="false" customHeight="false" outlineLevel="0" collapsed="false">
      <c r="A427" s="74"/>
      <c r="B427" s="74"/>
      <c r="C427" s="75"/>
      <c r="D427" s="57" t="s">
        <v>12312</v>
      </c>
      <c r="E427" s="57" t="s">
        <v>12313</v>
      </c>
      <c r="F427" s="57" t="s">
        <v>3806</v>
      </c>
      <c r="G427" s="57" t="s">
        <v>12314</v>
      </c>
      <c r="H427" s="77"/>
      <c r="I427" s="34"/>
      <c r="J427" s="81" t="s">
        <v>12315</v>
      </c>
      <c r="K427" s="0" t="s">
        <v>12316</v>
      </c>
    </row>
    <row r="428" customFormat="false" ht="13.8" hidden="false" customHeight="false" outlineLevel="0" collapsed="false">
      <c r="A428" s="74"/>
      <c r="B428" s="74"/>
      <c r="C428" s="75"/>
      <c r="D428" s="57" t="s">
        <v>3792</v>
      </c>
      <c r="E428" s="57" t="s">
        <v>3792</v>
      </c>
      <c r="F428" s="57" t="s">
        <v>3792</v>
      </c>
      <c r="G428" s="57" t="s">
        <v>12317</v>
      </c>
      <c r="H428" s="77" t="s">
        <v>12318</v>
      </c>
      <c r="I428" s="37" t="s">
        <v>50</v>
      </c>
      <c r="J428" s="81" t="s">
        <v>12319</v>
      </c>
      <c r="K428" s="0" t="s">
        <v>12320</v>
      </c>
    </row>
    <row r="429" customFormat="false" ht="21.75" hidden="false" customHeight="false" outlineLevel="0" collapsed="false">
      <c r="A429" s="74"/>
      <c r="B429" s="74"/>
      <c r="C429" s="75"/>
      <c r="D429" s="57" t="s">
        <v>12321</v>
      </c>
      <c r="E429" s="57" t="s">
        <v>12322</v>
      </c>
      <c r="F429" s="57" t="s">
        <v>3797</v>
      </c>
      <c r="G429" s="57" t="s">
        <v>12323</v>
      </c>
      <c r="H429" s="77"/>
      <c r="I429" s="37"/>
      <c r="J429" s="81" t="s">
        <v>12324</v>
      </c>
      <c r="K429" s="0" t="s">
        <v>12325</v>
      </c>
    </row>
    <row r="430" customFormat="false" ht="13.8" hidden="false" customHeight="false" outlineLevel="0" collapsed="false">
      <c r="A430" s="74"/>
      <c r="B430" s="74"/>
      <c r="C430" s="75"/>
      <c r="D430" s="57" t="s">
        <v>3792</v>
      </c>
      <c r="E430" s="57" t="s">
        <v>3792</v>
      </c>
      <c r="F430" s="57" t="s">
        <v>3792</v>
      </c>
      <c r="G430" s="57" t="s">
        <v>12326</v>
      </c>
      <c r="H430" s="77" t="s">
        <v>12327</v>
      </c>
      <c r="I430" s="34" t="s">
        <v>40</v>
      </c>
      <c r="J430" s="81" t="s">
        <v>11398</v>
      </c>
      <c r="K430" s="0" t="s">
        <v>12328</v>
      </c>
    </row>
    <row r="431" customFormat="false" ht="21.75" hidden="false" customHeight="false" outlineLevel="0" collapsed="false">
      <c r="A431" s="74"/>
      <c r="B431" s="74"/>
      <c r="C431" s="75"/>
      <c r="D431" s="57" t="s">
        <v>12329</v>
      </c>
      <c r="E431" s="57" t="s">
        <v>12330</v>
      </c>
      <c r="F431" s="57" t="s">
        <v>3787</v>
      </c>
      <c r="G431" s="57" t="s">
        <v>12331</v>
      </c>
      <c r="H431" s="77"/>
      <c r="I431" s="34"/>
      <c r="J431" s="81" t="s">
        <v>12332</v>
      </c>
      <c r="K431" s="0" t="s">
        <v>12333</v>
      </c>
    </row>
    <row r="432" customFormat="false" ht="13.8" hidden="false" customHeight="false" outlineLevel="0" collapsed="false">
      <c r="A432" s="74"/>
      <c r="B432" s="74"/>
      <c r="C432" s="75"/>
      <c r="E432" s="57" t="s">
        <v>3792</v>
      </c>
      <c r="F432" s="57" t="s">
        <v>3792</v>
      </c>
      <c r="G432" s="57" t="s">
        <v>12334</v>
      </c>
      <c r="H432" s="77" t="s">
        <v>12335</v>
      </c>
      <c r="I432" s="39" t="s">
        <v>67</v>
      </c>
      <c r="J432" s="81" t="s">
        <v>12336</v>
      </c>
      <c r="K432" s="0" t="s">
        <v>12015</v>
      </c>
    </row>
    <row r="433" customFormat="false" ht="21.75" hidden="false" customHeight="true" outlineLevel="0" collapsed="false">
      <c r="A433" s="74"/>
      <c r="B433" s="74"/>
      <c r="C433" s="75" t="s">
        <v>12337</v>
      </c>
      <c r="D433" s="57" t="s">
        <v>12338</v>
      </c>
      <c r="E433" s="57" t="s">
        <v>12339</v>
      </c>
      <c r="F433" s="57" t="s">
        <v>3806</v>
      </c>
      <c r="G433" s="57" t="s">
        <v>12340</v>
      </c>
      <c r="H433" s="77"/>
      <c r="I433" s="39"/>
      <c r="J433" s="81" t="s">
        <v>12341</v>
      </c>
      <c r="K433" s="0" t="s">
        <v>12342</v>
      </c>
    </row>
    <row r="434" customFormat="false" ht="13.8" hidden="false" customHeight="false" outlineLevel="0" collapsed="false">
      <c r="A434" s="74"/>
      <c r="B434" s="74"/>
      <c r="C434" s="75"/>
      <c r="D434" s="57" t="s">
        <v>3792</v>
      </c>
      <c r="E434" s="57" t="s">
        <v>3792</v>
      </c>
      <c r="F434" s="57" t="s">
        <v>3792</v>
      </c>
      <c r="G434" s="57" t="s">
        <v>12343</v>
      </c>
      <c r="H434" s="77" t="s">
        <v>12344</v>
      </c>
      <c r="I434" s="34" t="s">
        <v>40</v>
      </c>
      <c r="J434" s="81" t="s">
        <v>12345</v>
      </c>
      <c r="K434" s="0" t="s">
        <v>12346</v>
      </c>
    </row>
    <row r="435" customFormat="false" ht="34.2" hidden="false" customHeight="false" outlineLevel="0" collapsed="false">
      <c r="A435" s="74"/>
      <c r="B435" s="74"/>
      <c r="C435" s="75"/>
      <c r="D435" s="57" t="s">
        <v>12347</v>
      </c>
      <c r="E435" s="57" t="s">
        <v>12348</v>
      </c>
      <c r="F435" s="57" t="s">
        <v>3787</v>
      </c>
      <c r="G435" s="57" t="s">
        <v>12349</v>
      </c>
      <c r="H435" s="77"/>
      <c r="I435" s="34"/>
      <c r="J435" s="81" t="s">
        <v>10958</v>
      </c>
      <c r="K435" s="0" t="s">
        <v>12350</v>
      </c>
    </row>
    <row r="436" customFormat="false" ht="13.8" hidden="false" customHeight="false" outlineLevel="0" collapsed="false">
      <c r="A436" s="74"/>
      <c r="B436" s="74"/>
      <c r="C436" s="75"/>
      <c r="D436" s="57" t="s">
        <v>3792</v>
      </c>
      <c r="E436" s="57" t="s">
        <v>3792</v>
      </c>
      <c r="F436" s="57" t="s">
        <v>3792</v>
      </c>
      <c r="G436" s="57" t="s">
        <v>12351</v>
      </c>
      <c r="H436" s="77" t="s">
        <v>12352</v>
      </c>
      <c r="I436" s="37" t="s">
        <v>50</v>
      </c>
      <c r="J436" s="81" t="s">
        <v>12353</v>
      </c>
      <c r="K436" s="0" t="s">
        <v>12354</v>
      </c>
    </row>
    <row r="437" customFormat="false" ht="21.75" hidden="false" customHeight="false" outlineLevel="0" collapsed="false">
      <c r="A437" s="74"/>
      <c r="B437" s="74"/>
      <c r="C437" s="75"/>
      <c r="D437" s="57" t="s">
        <v>12355</v>
      </c>
      <c r="E437" s="57" t="s">
        <v>12356</v>
      </c>
      <c r="F437" s="57" t="s">
        <v>3806</v>
      </c>
      <c r="G437" s="57" t="s">
        <v>12357</v>
      </c>
      <c r="H437" s="77"/>
      <c r="I437" s="37"/>
      <c r="J437" s="81" t="s">
        <v>12358</v>
      </c>
      <c r="K437" s="0" t="s">
        <v>12359</v>
      </c>
    </row>
    <row r="438" customFormat="false" ht="13.8" hidden="false" customHeight="false" outlineLevel="0" collapsed="false">
      <c r="A438" s="74"/>
      <c r="B438" s="74"/>
      <c r="C438" s="75"/>
      <c r="D438" s="57" t="s">
        <v>3792</v>
      </c>
      <c r="E438" s="57" t="s">
        <v>3792</v>
      </c>
      <c r="F438" s="57" t="s">
        <v>3792</v>
      </c>
      <c r="G438" s="57" t="s">
        <v>12360</v>
      </c>
      <c r="H438" s="77" t="s">
        <v>12361</v>
      </c>
      <c r="I438" s="34" t="s">
        <v>40</v>
      </c>
      <c r="J438" s="81" t="s">
        <v>12362</v>
      </c>
      <c r="K438" s="0" t="s">
        <v>11887</v>
      </c>
    </row>
    <row r="439" customFormat="false" ht="21.75" hidden="false" customHeight="false" outlineLevel="0" collapsed="false">
      <c r="A439" s="74"/>
      <c r="B439" s="74"/>
      <c r="C439" s="75"/>
      <c r="D439" s="57" t="s">
        <v>12363</v>
      </c>
      <c r="E439" s="57" t="s">
        <v>12364</v>
      </c>
      <c r="F439" s="57" t="s">
        <v>3797</v>
      </c>
      <c r="G439" s="57" t="s">
        <v>12365</v>
      </c>
      <c r="H439" s="77"/>
      <c r="I439" s="34"/>
      <c r="J439" s="81" t="s">
        <v>12366</v>
      </c>
      <c r="K439" s="0" t="s">
        <v>12367</v>
      </c>
    </row>
    <row r="440" customFormat="false" ht="13.8" hidden="false" customHeight="false" outlineLevel="0" collapsed="false">
      <c r="A440" s="74"/>
      <c r="B440" s="74"/>
      <c r="C440" s="75"/>
      <c r="D440" s="57" t="s">
        <v>3792</v>
      </c>
      <c r="E440" s="57" t="s">
        <v>3792</v>
      </c>
      <c r="F440" s="57" t="s">
        <v>3792</v>
      </c>
      <c r="G440" s="57" t="s">
        <v>12368</v>
      </c>
      <c r="H440" s="77" t="s">
        <v>12369</v>
      </c>
      <c r="I440" s="39" t="s">
        <v>67</v>
      </c>
      <c r="J440" s="81" t="s">
        <v>12370</v>
      </c>
      <c r="K440" s="0" t="s">
        <v>12371</v>
      </c>
    </row>
    <row r="441" customFormat="false" ht="21.75" hidden="false" customHeight="false" outlineLevel="0" collapsed="false">
      <c r="A441" s="74"/>
      <c r="B441" s="74"/>
      <c r="C441" s="75"/>
      <c r="D441" s="57" t="s">
        <v>12372</v>
      </c>
      <c r="E441" s="57" t="s">
        <v>12373</v>
      </c>
      <c r="F441" s="57" t="s">
        <v>3787</v>
      </c>
      <c r="G441" s="57" t="s">
        <v>12374</v>
      </c>
      <c r="H441" s="77"/>
      <c r="I441" s="39"/>
      <c r="J441" s="81" t="s">
        <v>12375</v>
      </c>
      <c r="K441" s="0" t="s">
        <v>11771</v>
      </c>
    </row>
    <row r="442" customFormat="false" ht="13.8" hidden="false" customHeight="false" outlineLevel="0" collapsed="false">
      <c r="A442" s="74"/>
      <c r="B442" s="74"/>
      <c r="C442" s="75"/>
      <c r="E442" s="57" t="s">
        <v>3792</v>
      </c>
      <c r="F442" s="57" t="s">
        <v>3792</v>
      </c>
      <c r="G442" s="57" t="s">
        <v>12376</v>
      </c>
      <c r="H442" s="77" t="s">
        <v>12377</v>
      </c>
      <c r="I442" s="34" t="s">
        <v>40</v>
      </c>
      <c r="J442" s="81" t="s">
        <v>12378</v>
      </c>
      <c r="K442" s="0" t="s">
        <v>12379</v>
      </c>
    </row>
    <row r="443" customFormat="false" ht="21.75" hidden="false" customHeight="false" outlineLevel="0" collapsed="false">
      <c r="A443" s="74"/>
      <c r="B443" s="74"/>
      <c r="C443" s="74" t="s">
        <v>12380</v>
      </c>
      <c r="D443" s="57" t="s">
        <v>12381</v>
      </c>
      <c r="E443" s="57" t="s">
        <v>12382</v>
      </c>
      <c r="F443" s="57" t="s">
        <v>3797</v>
      </c>
      <c r="G443" s="57" t="s">
        <v>12383</v>
      </c>
      <c r="H443" s="77"/>
      <c r="I443" s="34"/>
      <c r="J443" s="81" t="s">
        <v>12384</v>
      </c>
      <c r="K443" s="0" t="s">
        <v>12385</v>
      </c>
    </row>
    <row r="444" customFormat="false" ht="13.8" hidden="false" customHeight="false" outlineLevel="0" collapsed="false">
      <c r="A444" s="74"/>
      <c r="B444" s="74"/>
      <c r="C444" s="74"/>
      <c r="D444" s="57" t="s">
        <v>3792</v>
      </c>
      <c r="E444" s="57" t="s">
        <v>3792</v>
      </c>
      <c r="F444" s="57" t="s">
        <v>3792</v>
      </c>
      <c r="G444" s="57" t="s">
        <v>12386</v>
      </c>
      <c r="H444" s="77" t="s">
        <v>12387</v>
      </c>
      <c r="I444" s="37" t="s">
        <v>50</v>
      </c>
      <c r="J444" s="81" t="s">
        <v>12388</v>
      </c>
      <c r="K444" s="0" t="s">
        <v>12389</v>
      </c>
    </row>
    <row r="445" customFormat="false" ht="21.75" hidden="false" customHeight="false" outlineLevel="0" collapsed="false">
      <c r="A445" s="74"/>
      <c r="B445" s="74"/>
      <c r="C445" s="74"/>
      <c r="D445" s="57" t="s">
        <v>12390</v>
      </c>
      <c r="E445" s="57" t="s">
        <v>12391</v>
      </c>
      <c r="F445" s="57" t="s">
        <v>3806</v>
      </c>
      <c r="G445" s="57" t="s">
        <v>12392</v>
      </c>
      <c r="H445" s="77"/>
      <c r="I445" s="37"/>
      <c r="J445" s="81" t="s">
        <v>12393</v>
      </c>
      <c r="K445" s="0" t="s">
        <v>12394</v>
      </c>
    </row>
    <row r="446" customFormat="false" ht="13.8" hidden="false" customHeight="false" outlineLevel="0" collapsed="false">
      <c r="A446" s="74"/>
      <c r="B446" s="74"/>
      <c r="C446" s="74"/>
      <c r="D446" s="57" t="s">
        <v>3792</v>
      </c>
      <c r="E446" s="57" t="s">
        <v>3792</v>
      </c>
      <c r="F446" s="57" t="s">
        <v>3792</v>
      </c>
      <c r="G446" s="57" t="s">
        <v>12395</v>
      </c>
      <c r="H446" s="77" t="s">
        <v>12396</v>
      </c>
      <c r="I446" s="34" t="s">
        <v>40</v>
      </c>
      <c r="J446" s="81" t="s">
        <v>12397</v>
      </c>
      <c r="K446" s="0" t="s">
        <v>12398</v>
      </c>
    </row>
    <row r="447" customFormat="false" ht="21.75" hidden="false" customHeight="false" outlineLevel="0" collapsed="false">
      <c r="A447" s="74"/>
      <c r="B447" s="74"/>
      <c r="C447" s="74"/>
      <c r="D447" s="57" t="s">
        <v>12399</v>
      </c>
      <c r="E447" s="57" t="s">
        <v>12400</v>
      </c>
      <c r="F447" s="57" t="s">
        <v>3787</v>
      </c>
      <c r="G447" s="57" t="s">
        <v>12401</v>
      </c>
      <c r="H447" s="77"/>
      <c r="I447" s="34"/>
      <c r="J447" s="81" t="s">
        <v>12402</v>
      </c>
      <c r="K447" s="0" t="s">
        <v>12403</v>
      </c>
    </row>
    <row r="448" customFormat="false" ht="13.8" hidden="false" customHeight="false" outlineLevel="0" collapsed="false">
      <c r="A448" s="74"/>
      <c r="B448" s="74"/>
      <c r="C448" s="74"/>
      <c r="D448" s="57" t="s">
        <v>3792</v>
      </c>
      <c r="E448" s="57" t="s">
        <v>3792</v>
      </c>
      <c r="F448" s="57" t="s">
        <v>3792</v>
      </c>
      <c r="G448" s="57" t="s">
        <v>12404</v>
      </c>
      <c r="H448" s="77" t="s">
        <v>12405</v>
      </c>
      <c r="I448" s="39" t="s">
        <v>67</v>
      </c>
      <c r="J448" s="81" t="s">
        <v>12406</v>
      </c>
      <c r="K448" s="0" t="s">
        <v>12407</v>
      </c>
    </row>
    <row r="449" customFormat="false" ht="21.75" hidden="false" customHeight="false" outlineLevel="0" collapsed="false">
      <c r="A449" s="74"/>
      <c r="B449" s="74"/>
      <c r="C449" s="74"/>
      <c r="D449" s="57" t="s">
        <v>12024</v>
      </c>
      <c r="E449" s="57" t="s">
        <v>12408</v>
      </c>
      <c r="F449" s="57" t="s">
        <v>3797</v>
      </c>
      <c r="G449" s="57" t="s">
        <v>12409</v>
      </c>
      <c r="H449" s="77"/>
      <c r="I449" s="39"/>
      <c r="J449" s="81" t="s">
        <v>12410</v>
      </c>
      <c r="K449" s="0" t="s">
        <v>12411</v>
      </c>
    </row>
    <row r="450" customFormat="false" ht="13.8" hidden="false" customHeight="false" outlineLevel="0" collapsed="false">
      <c r="A450" s="74"/>
      <c r="B450" s="74"/>
      <c r="C450" s="74"/>
      <c r="D450" s="57" t="s">
        <v>3792</v>
      </c>
      <c r="E450" s="57" t="s">
        <v>3792</v>
      </c>
      <c r="F450" s="57" t="s">
        <v>3792</v>
      </c>
      <c r="G450" s="57" t="s">
        <v>12412</v>
      </c>
      <c r="H450" s="77" t="s">
        <v>12413</v>
      </c>
      <c r="I450" s="34" t="s">
        <v>40</v>
      </c>
      <c r="J450" s="81" t="s">
        <v>12414</v>
      </c>
      <c r="K450" s="0" t="s">
        <v>12415</v>
      </c>
    </row>
    <row r="451" customFormat="false" ht="21.75" hidden="false" customHeight="false" outlineLevel="0" collapsed="false">
      <c r="A451" s="74"/>
      <c r="B451" s="74"/>
      <c r="C451" s="74"/>
      <c r="D451" s="57" t="s">
        <v>12416</v>
      </c>
      <c r="E451" s="57" t="s">
        <v>12417</v>
      </c>
      <c r="F451" s="57" t="s">
        <v>3806</v>
      </c>
      <c r="G451" s="57" t="s">
        <v>12418</v>
      </c>
      <c r="H451" s="77"/>
      <c r="I451" s="34"/>
      <c r="J451" s="81" t="s">
        <v>12419</v>
      </c>
      <c r="K451" s="0" t="s">
        <v>12420</v>
      </c>
    </row>
    <row r="452" customFormat="false" ht="13.8" hidden="false" customHeight="false" outlineLevel="0" collapsed="false">
      <c r="A452" s="74"/>
      <c r="B452" s="74"/>
      <c r="C452" s="74"/>
      <c r="E452" s="57" t="s">
        <v>3792</v>
      </c>
      <c r="F452" s="57" t="s">
        <v>3792</v>
      </c>
      <c r="G452" s="57" t="s">
        <v>12421</v>
      </c>
      <c r="H452" s="77" t="s">
        <v>12422</v>
      </c>
      <c r="I452" s="34" t="s">
        <v>40</v>
      </c>
      <c r="J452" s="81" t="s">
        <v>12423</v>
      </c>
      <c r="K452" s="0" t="s">
        <v>12424</v>
      </c>
    </row>
    <row r="453" customFormat="false" ht="21.75" hidden="false" customHeight="true" outlineLevel="0" collapsed="false">
      <c r="A453" s="74"/>
      <c r="B453" s="74"/>
      <c r="C453" s="75" t="s">
        <v>12425</v>
      </c>
      <c r="D453" s="57" t="s">
        <v>12426</v>
      </c>
      <c r="E453" s="57" t="s">
        <v>12427</v>
      </c>
      <c r="F453" s="57" t="s">
        <v>3797</v>
      </c>
      <c r="G453" s="57" t="s">
        <v>12428</v>
      </c>
      <c r="H453" s="77"/>
      <c r="I453" s="34"/>
      <c r="J453" s="81" t="s">
        <v>12429</v>
      </c>
      <c r="K453" s="0" t="s">
        <v>11444</v>
      </c>
    </row>
    <row r="454" customFormat="false" ht="13.8" hidden="false" customHeight="false" outlineLevel="0" collapsed="false">
      <c r="A454" s="74"/>
      <c r="B454" s="74"/>
      <c r="C454" s="75"/>
      <c r="D454" s="57" t="s">
        <v>3792</v>
      </c>
      <c r="E454" s="57" t="s">
        <v>3792</v>
      </c>
      <c r="F454" s="57" t="s">
        <v>3792</v>
      </c>
      <c r="G454" s="57" t="s">
        <v>12430</v>
      </c>
      <c r="H454" s="77" t="s">
        <v>12431</v>
      </c>
      <c r="I454" s="37" t="s">
        <v>50</v>
      </c>
      <c r="J454" s="81" t="s">
        <v>11029</v>
      </c>
      <c r="K454" s="0" t="s">
        <v>12432</v>
      </c>
    </row>
    <row r="455" customFormat="false" ht="21.75" hidden="false" customHeight="false" outlineLevel="0" collapsed="false">
      <c r="A455" s="74"/>
      <c r="B455" s="74"/>
      <c r="C455" s="75"/>
      <c r="D455" s="57" t="s">
        <v>12433</v>
      </c>
      <c r="E455" s="57" t="s">
        <v>12434</v>
      </c>
      <c r="F455" s="57" t="s">
        <v>3787</v>
      </c>
      <c r="G455" s="57" t="s">
        <v>12435</v>
      </c>
      <c r="H455" s="77"/>
      <c r="I455" s="37"/>
      <c r="J455" s="81" t="s">
        <v>12436</v>
      </c>
      <c r="K455" s="0" t="s">
        <v>12437</v>
      </c>
    </row>
    <row r="456" customFormat="false" ht="13.8" hidden="false" customHeight="false" outlineLevel="0" collapsed="false">
      <c r="A456" s="74"/>
      <c r="B456" s="74"/>
      <c r="C456" s="75"/>
      <c r="D456" s="57" t="s">
        <v>3792</v>
      </c>
      <c r="E456" s="57" t="s">
        <v>3792</v>
      </c>
      <c r="F456" s="57" t="s">
        <v>3792</v>
      </c>
      <c r="G456" s="57" t="s">
        <v>12438</v>
      </c>
      <c r="H456" s="77" t="s">
        <v>12439</v>
      </c>
      <c r="I456" s="34" t="s">
        <v>40</v>
      </c>
      <c r="J456" s="81" t="s">
        <v>12440</v>
      </c>
      <c r="K456" s="0" t="s">
        <v>12441</v>
      </c>
    </row>
    <row r="457" customFormat="false" ht="21.75" hidden="false" customHeight="false" outlineLevel="0" collapsed="false">
      <c r="A457" s="74"/>
      <c r="B457" s="74"/>
      <c r="C457" s="75"/>
      <c r="D457" s="57" t="s">
        <v>12442</v>
      </c>
      <c r="E457" s="57" t="s">
        <v>12443</v>
      </c>
      <c r="F457" s="57" t="s">
        <v>3806</v>
      </c>
      <c r="G457" s="57" t="s">
        <v>12444</v>
      </c>
      <c r="H457" s="77"/>
      <c r="I457" s="34"/>
      <c r="J457" s="81" t="s">
        <v>12445</v>
      </c>
      <c r="K457" s="0" t="s">
        <v>12446</v>
      </c>
    </row>
    <row r="458" customFormat="false" ht="13.8" hidden="false" customHeight="false" outlineLevel="0" collapsed="false">
      <c r="A458" s="74"/>
      <c r="B458" s="74"/>
      <c r="C458" s="75"/>
      <c r="D458" s="57" t="s">
        <v>3792</v>
      </c>
      <c r="E458" s="57" t="s">
        <v>3792</v>
      </c>
      <c r="F458" s="57" t="s">
        <v>3792</v>
      </c>
      <c r="G458" s="57" t="s">
        <v>1077</v>
      </c>
      <c r="H458" s="77" t="s">
        <v>12447</v>
      </c>
      <c r="I458" s="39" t="s">
        <v>67</v>
      </c>
      <c r="J458" s="81" t="s">
        <v>12448</v>
      </c>
      <c r="K458" s="0" t="s">
        <v>12449</v>
      </c>
    </row>
    <row r="459" customFormat="false" ht="21.75" hidden="false" customHeight="false" outlineLevel="0" collapsed="false">
      <c r="A459" s="74"/>
      <c r="B459" s="74"/>
      <c r="C459" s="75"/>
      <c r="D459" s="57" t="s">
        <v>12450</v>
      </c>
      <c r="E459" s="57" t="s">
        <v>12451</v>
      </c>
      <c r="F459" s="57" t="s">
        <v>3787</v>
      </c>
      <c r="G459" s="57" t="s">
        <v>12452</v>
      </c>
      <c r="H459" s="77"/>
      <c r="I459" s="39"/>
      <c r="J459" s="81" t="s">
        <v>12453</v>
      </c>
      <c r="K459" s="0" t="s">
        <v>12454</v>
      </c>
    </row>
    <row r="460" customFormat="false" ht="13.8" hidden="false" customHeight="false" outlineLevel="0" collapsed="false">
      <c r="A460" s="74"/>
      <c r="B460" s="74"/>
      <c r="C460" s="75"/>
      <c r="D460" s="57" t="s">
        <v>3792</v>
      </c>
      <c r="E460" s="57" t="s">
        <v>3792</v>
      </c>
      <c r="F460" s="57" t="s">
        <v>3792</v>
      </c>
      <c r="G460" s="57" t="s">
        <v>12455</v>
      </c>
      <c r="H460" s="77" t="s">
        <v>12456</v>
      </c>
      <c r="I460" s="34" t="s">
        <v>40</v>
      </c>
      <c r="J460" s="81" t="s">
        <v>12457</v>
      </c>
      <c r="K460" s="0" t="s">
        <v>12458</v>
      </c>
    </row>
    <row r="461" customFormat="false" ht="21.75" hidden="false" customHeight="false" outlineLevel="0" collapsed="false">
      <c r="A461" s="74"/>
      <c r="B461" s="74"/>
      <c r="C461" s="75"/>
      <c r="D461" s="57" t="s">
        <v>12459</v>
      </c>
      <c r="E461" s="57" t="s">
        <v>12460</v>
      </c>
      <c r="F461" s="57" t="s">
        <v>3797</v>
      </c>
      <c r="G461" s="57" t="s">
        <v>12461</v>
      </c>
      <c r="H461" s="77"/>
      <c r="I461" s="34"/>
      <c r="J461" s="81" t="s">
        <v>12462</v>
      </c>
      <c r="K461" s="0" t="s">
        <v>12463</v>
      </c>
    </row>
    <row r="462" customFormat="false" ht="13.8" hidden="false" customHeight="false" outlineLevel="0" collapsed="false">
      <c r="A462" s="74"/>
      <c r="B462" s="74"/>
      <c r="C462" s="75"/>
      <c r="E462" s="57" t="s">
        <v>3792</v>
      </c>
      <c r="F462" s="57" t="s">
        <v>3792</v>
      </c>
      <c r="G462" s="57" t="s">
        <v>12464</v>
      </c>
      <c r="H462" s="77" t="s">
        <v>12465</v>
      </c>
      <c r="I462" s="37" t="s">
        <v>50</v>
      </c>
      <c r="J462" s="81" t="s">
        <v>12466</v>
      </c>
      <c r="K462" s="0" t="s">
        <v>12467</v>
      </c>
    </row>
    <row r="463" customFormat="false" ht="21.75" hidden="false" customHeight="true" outlineLevel="0" collapsed="false">
      <c r="A463" s="74"/>
      <c r="B463" s="74" t="s">
        <v>12468</v>
      </c>
      <c r="C463" s="75" t="s">
        <v>12469</v>
      </c>
      <c r="D463" s="57" t="s">
        <v>12470</v>
      </c>
      <c r="E463" s="57" t="s">
        <v>12471</v>
      </c>
      <c r="F463" s="57" t="s">
        <v>3806</v>
      </c>
      <c r="G463" s="57" t="s">
        <v>12472</v>
      </c>
      <c r="H463" s="77"/>
      <c r="I463" s="37"/>
      <c r="J463" s="81" t="s">
        <v>12473</v>
      </c>
      <c r="K463" s="0" t="s">
        <v>12474</v>
      </c>
    </row>
    <row r="464" customFormat="false" ht="13.8" hidden="false" customHeight="false" outlineLevel="0" collapsed="false">
      <c r="A464" s="74"/>
      <c r="B464" s="74"/>
      <c r="C464" s="74"/>
      <c r="D464" s="57" t="s">
        <v>3792</v>
      </c>
      <c r="E464" s="57" t="s">
        <v>3792</v>
      </c>
      <c r="F464" s="57" t="s">
        <v>3792</v>
      </c>
      <c r="G464" s="57" t="s">
        <v>12475</v>
      </c>
      <c r="H464" s="77" t="s">
        <v>12476</v>
      </c>
      <c r="I464" s="34" t="s">
        <v>40</v>
      </c>
      <c r="J464" s="81" t="s">
        <v>12477</v>
      </c>
      <c r="K464" s="0" t="s">
        <v>12478</v>
      </c>
    </row>
    <row r="465" customFormat="false" ht="21.75" hidden="false" customHeight="false" outlineLevel="0" collapsed="false">
      <c r="A465" s="74"/>
      <c r="B465" s="74"/>
      <c r="C465" s="74"/>
      <c r="D465" s="57" t="s">
        <v>12479</v>
      </c>
      <c r="E465" s="57" t="s">
        <v>12480</v>
      </c>
      <c r="F465" s="57" t="s">
        <v>3787</v>
      </c>
      <c r="G465" s="57" t="s">
        <v>12481</v>
      </c>
      <c r="H465" s="77"/>
      <c r="I465" s="34"/>
      <c r="J465" s="81" t="s">
        <v>12482</v>
      </c>
      <c r="K465" s="0" t="s">
        <v>12483</v>
      </c>
    </row>
    <row r="466" customFormat="false" ht="13.8" hidden="false" customHeight="false" outlineLevel="0" collapsed="false">
      <c r="A466" s="74"/>
      <c r="B466" s="74"/>
      <c r="C466" s="74"/>
      <c r="D466" s="57" t="s">
        <v>3792</v>
      </c>
      <c r="E466" s="57" t="s">
        <v>3792</v>
      </c>
      <c r="F466" s="57" t="s">
        <v>3792</v>
      </c>
      <c r="G466" s="57" t="s">
        <v>12484</v>
      </c>
      <c r="H466" s="77" t="s">
        <v>12485</v>
      </c>
      <c r="I466" s="39" t="s">
        <v>67</v>
      </c>
      <c r="J466" s="81" t="s">
        <v>12486</v>
      </c>
      <c r="K466" s="0" t="s">
        <v>12487</v>
      </c>
    </row>
    <row r="467" customFormat="false" ht="21.75" hidden="false" customHeight="false" outlineLevel="0" collapsed="false">
      <c r="A467" s="74"/>
      <c r="B467" s="74"/>
      <c r="C467" s="74"/>
      <c r="D467" s="57" t="s">
        <v>12355</v>
      </c>
      <c r="E467" s="57" t="s">
        <v>12488</v>
      </c>
      <c r="F467" s="57" t="s">
        <v>3806</v>
      </c>
      <c r="G467" s="57" t="s">
        <v>12489</v>
      </c>
      <c r="H467" s="77"/>
      <c r="I467" s="39"/>
      <c r="J467" s="81" t="s">
        <v>12490</v>
      </c>
      <c r="K467" s="0" t="s">
        <v>12491</v>
      </c>
    </row>
    <row r="468" customFormat="false" ht="13.8" hidden="false" customHeight="false" outlineLevel="0" collapsed="false">
      <c r="A468" s="74"/>
      <c r="B468" s="74"/>
      <c r="C468" s="74"/>
      <c r="D468" s="57" t="s">
        <v>3792</v>
      </c>
      <c r="E468" s="57" t="s">
        <v>3792</v>
      </c>
      <c r="F468" s="57" t="s">
        <v>3792</v>
      </c>
      <c r="G468" s="57" t="s">
        <v>12492</v>
      </c>
      <c r="H468" s="77" t="s">
        <v>12493</v>
      </c>
      <c r="I468" s="34" t="s">
        <v>40</v>
      </c>
      <c r="J468" s="81" t="s">
        <v>11168</v>
      </c>
      <c r="K468" s="0" t="s">
        <v>12494</v>
      </c>
    </row>
    <row r="469" customFormat="false" ht="21.75" hidden="false" customHeight="false" outlineLevel="0" collapsed="false">
      <c r="A469" s="74"/>
      <c r="B469" s="74"/>
      <c r="C469" s="74"/>
      <c r="D469" s="57" t="s">
        <v>12495</v>
      </c>
      <c r="E469" s="57" t="s">
        <v>12496</v>
      </c>
      <c r="F469" s="57" t="s">
        <v>3797</v>
      </c>
      <c r="G469" s="57" t="s">
        <v>12497</v>
      </c>
      <c r="H469" s="77"/>
      <c r="I469" s="34"/>
      <c r="J469" s="81" t="s">
        <v>11660</v>
      </c>
      <c r="K469" s="0" t="s">
        <v>12498</v>
      </c>
    </row>
    <row r="470" customFormat="false" ht="13.8" hidden="false" customHeight="false" outlineLevel="0" collapsed="false">
      <c r="A470" s="74"/>
      <c r="B470" s="74"/>
      <c r="C470" s="74"/>
      <c r="D470" s="57" t="s">
        <v>3792</v>
      </c>
      <c r="E470" s="57" t="s">
        <v>3792</v>
      </c>
      <c r="F470" s="57" t="s">
        <v>3792</v>
      </c>
      <c r="G470" s="57" t="s">
        <v>12499</v>
      </c>
      <c r="H470" s="77" t="s">
        <v>12500</v>
      </c>
      <c r="I470" s="37" t="s">
        <v>50</v>
      </c>
      <c r="J470" s="81" t="s">
        <v>12501</v>
      </c>
      <c r="K470" s="0" t="s">
        <v>12502</v>
      </c>
    </row>
    <row r="471" customFormat="false" ht="21.75" hidden="false" customHeight="false" outlineLevel="0" collapsed="false">
      <c r="A471" s="74"/>
      <c r="B471" s="74"/>
      <c r="C471" s="74"/>
      <c r="D471" s="57" t="s">
        <v>12503</v>
      </c>
      <c r="E471" s="57" t="s">
        <v>12504</v>
      </c>
      <c r="F471" s="57" t="s">
        <v>3787</v>
      </c>
      <c r="G471" s="57" t="s">
        <v>12505</v>
      </c>
      <c r="H471" s="77"/>
      <c r="I471" s="37"/>
      <c r="J471" s="81" t="s">
        <v>12506</v>
      </c>
      <c r="K471" s="0" t="s">
        <v>12507</v>
      </c>
    </row>
    <row r="472" customFormat="false" ht="13.8" hidden="false" customHeight="false" outlineLevel="0" collapsed="false">
      <c r="A472" s="74"/>
      <c r="B472" s="74"/>
      <c r="C472" s="74"/>
      <c r="E472" s="57" t="s">
        <v>3792</v>
      </c>
      <c r="F472" s="57" t="s">
        <v>3792</v>
      </c>
      <c r="G472" s="57" t="s">
        <v>12508</v>
      </c>
      <c r="H472" s="77" t="s">
        <v>12509</v>
      </c>
      <c r="I472" s="34" t="s">
        <v>40</v>
      </c>
      <c r="J472" s="81" t="s">
        <v>12510</v>
      </c>
      <c r="K472" s="0" t="s">
        <v>12511</v>
      </c>
    </row>
    <row r="473" customFormat="false" ht="21.75" hidden="false" customHeight="false" outlineLevel="0" collapsed="false">
      <c r="A473" s="74"/>
      <c r="B473" s="74"/>
      <c r="C473" s="74" t="s">
        <v>12512</v>
      </c>
      <c r="D473" s="57" t="s">
        <v>12513</v>
      </c>
      <c r="E473" s="57" t="s">
        <v>12514</v>
      </c>
      <c r="F473" s="57" t="s">
        <v>3797</v>
      </c>
      <c r="G473" s="57" t="s">
        <v>12515</v>
      </c>
      <c r="H473" s="77"/>
      <c r="I473" s="34"/>
      <c r="J473" s="81" t="s">
        <v>12516</v>
      </c>
      <c r="K473" s="0" t="s">
        <v>12517</v>
      </c>
    </row>
    <row r="474" customFormat="false" ht="13.8" hidden="false" customHeight="false" outlineLevel="0" collapsed="false">
      <c r="A474" s="74"/>
      <c r="B474" s="74"/>
      <c r="C474" s="74"/>
      <c r="D474" s="57" t="s">
        <v>3792</v>
      </c>
      <c r="E474" s="57" t="s">
        <v>3792</v>
      </c>
      <c r="F474" s="57" t="s">
        <v>3792</v>
      </c>
      <c r="G474" s="57" t="s">
        <v>12518</v>
      </c>
      <c r="H474" s="77" t="s">
        <v>12519</v>
      </c>
      <c r="I474" s="39" t="s">
        <v>67</v>
      </c>
      <c r="J474" s="81" t="s">
        <v>12520</v>
      </c>
      <c r="K474" s="0" t="s">
        <v>12521</v>
      </c>
    </row>
    <row r="475" customFormat="false" ht="21.75" hidden="false" customHeight="false" outlineLevel="0" collapsed="false">
      <c r="A475" s="74"/>
      <c r="B475" s="74"/>
      <c r="C475" s="74"/>
      <c r="D475" s="57" t="s">
        <v>12522</v>
      </c>
      <c r="E475" s="57" t="s">
        <v>12523</v>
      </c>
      <c r="F475" s="57" t="s">
        <v>3806</v>
      </c>
      <c r="G475" s="57" t="s">
        <v>12524</v>
      </c>
      <c r="H475" s="77" t="s">
        <v>12525</v>
      </c>
      <c r="I475" s="39"/>
      <c r="J475" s="81" t="s">
        <v>12526</v>
      </c>
      <c r="K475" s="0" t="s">
        <v>12527</v>
      </c>
    </row>
    <row r="476" customFormat="false" ht="13.8" hidden="false" customHeight="false" outlineLevel="0" collapsed="false">
      <c r="A476" s="74"/>
      <c r="B476" s="74"/>
      <c r="C476" s="74"/>
      <c r="D476" s="57" t="s">
        <v>3792</v>
      </c>
      <c r="E476" s="57" t="s">
        <v>3792</v>
      </c>
      <c r="F476" s="57" t="s">
        <v>3792</v>
      </c>
      <c r="G476" s="57" t="s">
        <v>12368</v>
      </c>
      <c r="H476" s="77" t="s">
        <v>12528</v>
      </c>
      <c r="I476" s="34" t="s">
        <v>40</v>
      </c>
      <c r="J476" s="81" t="s">
        <v>12529</v>
      </c>
      <c r="K476" s="0" t="s">
        <v>12530</v>
      </c>
    </row>
    <row r="477" customFormat="false" ht="13.8" hidden="false" customHeight="false" outlineLevel="0" collapsed="false">
      <c r="A477" s="74"/>
      <c r="B477" s="74"/>
      <c r="C477" s="74"/>
      <c r="D477" s="57" t="s">
        <v>12531</v>
      </c>
      <c r="E477" s="57" t="s">
        <v>12532</v>
      </c>
      <c r="F477" s="57" t="s">
        <v>3797</v>
      </c>
      <c r="G477" s="57" t="s">
        <v>12533</v>
      </c>
      <c r="H477" s="77"/>
      <c r="I477" s="34"/>
      <c r="J477" s="81" t="s">
        <v>12534</v>
      </c>
      <c r="K477" s="0" t="s">
        <v>12535</v>
      </c>
    </row>
    <row r="478" customFormat="false" ht="13.8" hidden="false" customHeight="false" outlineLevel="0" collapsed="false">
      <c r="A478" s="74"/>
      <c r="B478" s="74"/>
      <c r="C478" s="74"/>
      <c r="D478" s="57" t="s">
        <v>3792</v>
      </c>
      <c r="E478" s="57" t="s">
        <v>3792</v>
      </c>
      <c r="F478" s="57" t="s">
        <v>3792</v>
      </c>
      <c r="G478" s="57" t="s">
        <v>12536</v>
      </c>
      <c r="H478" s="77" t="s">
        <v>12537</v>
      </c>
      <c r="I478" s="37" t="s">
        <v>50</v>
      </c>
      <c r="J478" s="81" t="s">
        <v>11236</v>
      </c>
      <c r="K478" s="0" t="s">
        <v>12538</v>
      </c>
    </row>
    <row r="479" customFormat="false" ht="21.75" hidden="false" customHeight="false" outlineLevel="0" collapsed="false">
      <c r="A479" s="74"/>
      <c r="B479" s="74"/>
      <c r="C479" s="74"/>
      <c r="D479" s="57" t="s">
        <v>12539</v>
      </c>
      <c r="E479" s="57" t="s">
        <v>12540</v>
      </c>
      <c r="F479" s="57" t="s">
        <v>3787</v>
      </c>
      <c r="G479" s="57" t="s">
        <v>12541</v>
      </c>
      <c r="H479" s="77"/>
      <c r="I479" s="37"/>
      <c r="J479" s="81" t="s">
        <v>11114</v>
      </c>
      <c r="K479" s="0" t="s">
        <v>12247</v>
      </c>
    </row>
    <row r="480" customFormat="false" ht="13.8" hidden="false" customHeight="false" outlineLevel="0" collapsed="false">
      <c r="A480" s="74"/>
      <c r="B480" s="74"/>
      <c r="C480" s="74"/>
      <c r="D480" s="57" t="s">
        <v>3792</v>
      </c>
      <c r="E480" s="57" t="s">
        <v>3792</v>
      </c>
      <c r="F480" s="57" t="s">
        <v>3792</v>
      </c>
      <c r="G480" s="57" t="s">
        <v>12542</v>
      </c>
      <c r="H480" s="77" t="s">
        <v>12543</v>
      </c>
      <c r="I480" s="34" t="s">
        <v>40</v>
      </c>
      <c r="J480" s="81" t="s">
        <v>12544</v>
      </c>
      <c r="K480" s="0" t="s">
        <v>12545</v>
      </c>
    </row>
    <row r="481" customFormat="false" ht="21.75" hidden="false" customHeight="false" outlineLevel="0" collapsed="false">
      <c r="A481" s="74"/>
      <c r="B481" s="74"/>
      <c r="C481" s="74"/>
      <c r="D481" s="57" t="s">
        <v>12546</v>
      </c>
      <c r="E481" s="57" t="s">
        <v>12547</v>
      </c>
      <c r="F481" s="57" t="s">
        <v>3806</v>
      </c>
      <c r="G481" s="57" t="s">
        <v>12548</v>
      </c>
      <c r="H481" s="77"/>
      <c r="I481" s="34"/>
      <c r="J481" s="81" t="s">
        <v>11212</v>
      </c>
      <c r="K481" s="0" t="s">
        <v>12549</v>
      </c>
    </row>
    <row r="482" customFormat="false" ht="13.8" hidden="false" customHeight="false" outlineLevel="0" collapsed="false">
      <c r="A482" s="74"/>
      <c r="B482" s="74"/>
      <c r="C482" s="74"/>
      <c r="E482" s="57" t="s">
        <v>3792</v>
      </c>
      <c r="F482" s="57" t="s">
        <v>3792</v>
      </c>
      <c r="G482" s="57" t="s">
        <v>494</v>
      </c>
      <c r="H482" s="77" t="s">
        <v>12550</v>
      </c>
      <c r="I482" s="39" t="s">
        <v>67</v>
      </c>
      <c r="J482" s="81" t="s">
        <v>12551</v>
      </c>
      <c r="K482" s="0" t="s">
        <v>11638</v>
      </c>
    </row>
    <row r="483" customFormat="false" ht="21.75" hidden="false" customHeight="true" outlineLevel="0" collapsed="false">
      <c r="A483" s="74"/>
      <c r="B483" s="74"/>
      <c r="C483" s="75" t="s">
        <v>12552</v>
      </c>
      <c r="D483" s="57" t="s">
        <v>12553</v>
      </c>
      <c r="E483" s="57" t="s">
        <v>12554</v>
      </c>
      <c r="F483" s="57" t="s">
        <v>3787</v>
      </c>
      <c r="G483" s="57" t="s">
        <v>12555</v>
      </c>
      <c r="H483" s="77" t="s">
        <v>12556</v>
      </c>
      <c r="I483" s="39"/>
      <c r="J483" s="81" t="s">
        <v>11013</v>
      </c>
      <c r="K483" s="0" t="s">
        <v>12557</v>
      </c>
    </row>
    <row r="484" customFormat="false" ht="13.8" hidden="false" customHeight="false" outlineLevel="0" collapsed="false">
      <c r="A484" s="74"/>
      <c r="B484" s="74"/>
      <c r="C484" s="74"/>
      <c r="D484" s="57" t="s">
        <v>3792</v>
      </c>
      <c r="E484" s="57" t="s">
        <v>3792</v>
      </c>
      <c r="F484" s="57" t="s">
        <v>3792</v>
      </c>
      <c r="G484" s="57" t="s">
        <v>12558</v>
      </c>
      <c r="H484" s="77" t="s">
        <v>12559</v>
      </c>
      <c r="I484" s="34" t="s">
        <v>40</v>
      </c>
      <c r="J484" s="81" t="s">
        <v>12560</v>
      </c>
      <c r="K484" s="0" t="s">
        <v>12561</v>
      </c>
    </row>
    <row r="485" customFormat="false" ht="21.75" hidden="false" customHeight="false" outlineLevel="0" collapsed="false">
      <c r="A485" s="74"/>
      <c r="B485" s="74"/>
      <c r="C485" s="74"/>
      <c r="D485" s="57" t="s">
        <v>12562</v>
      </c>
      <c r="E485" s="57" t="s">
        <v>12563</v>
      </c>
      <c r="F485" s="57" t="s">
        <v>3797</v>
      </c>
      <c r="G485" s="57" t="s">
        <v>12564</v>
      </c>
      <c r="H485" s="77"/>
      <c r="I485" s="34"/>
      <c r="J485" s="81" t="s">
        <v>11285</v>
      </c>
      <c r="K485" s="0" t="s">
        <v>12565</v>
      </c>
    </row>
    <row r="486" customFormat="false" ht="13.8" hidden="false" customHeight="false" outlineLevel="0" collapsed="false">
      <c r="A486" s="74"/>
      <c r="B486" s="74"/>
      <c r="C486" s="74"/>
      <c r="D486" s="57" t="s">
        <v>3792</v>
      </c>
      <c r="E486" s="57" t="s">
        <v>3792</v>
      </c>
      <c r="F486" s="57" t="s">
        <v>3792</v>
      </c>
      <c r="G486" s="57" t="s">
        <v>12566</v>
      </c>
      <c r="H486" s="77" t="s">
        <v>12567</v>
      </c>
      <c r="I486" s="37" t="s">
        <v>50</v>
      </c>
      <c r="J486" s="81" t="s">
        <v>12568</v>
      </c>
      <c r="K486" s="0" t="s">
        <v>12569</v>
      </c>
    </row>
    <row r="487" customFormat="false" ht="21.75" hidden="false" customHeight="false" outlineLevel="0" collapsed="false">
      <c r="A487" s="74"/>
      <c r="B487" s="74"/>
      <c r="C487" s="74"/>
      <c r="D487" s="57" t="s">
        <v>12570</v>
      </c>
      <c r="E487" s="57" t="s">
        <v>12571</v>
      </c>
      <c r="F487" s="57" t="s">
        <v>3806</v>
      </c>
      <c r="G487" s="57" t="s">
        <v>12572</v>
      </c>
      <c r="H487" s="77" t="s">
        <v>12556</v>
      </c>
      <c r="I487" s="37"/>
      <c r="J487" s="81" t="s">
        <v>12573</v>
      </c>
      <c r="K487" s="0" t="s">
        <v>12574</v>
      </c>
    </row>
    <row r="488" customFormat="false" ht="13.8" hidden="false" customHeight="false" outlineLevel="0" collapsed="false">
      <c r="A488" s="74"/>
      <c r="B488" s="74"/>
      <c r="C488" s="74"/>
      <c r="D488" s="57" t="s">
        <v>3792</v>
      </c>
      <c r="E488" s="57" t="s">
        <v>3792</v>
      </c>
      <c r="F488" s="57" t="s">
        <v>3792</v>
      </c>
      <c r="G488" s="57" t="s">
        <v>12575</v>
      </c>
      <c r="H488" s="77" t="s">
        <v>12576</v>
      </c>
      <c r="I488" s="34" t="s">
        <v>40</v>
      </c>
      <c r="J488" s="81" t="s">
        <v>11714</v>
      </c>
      <c r="K488" s="0" t="s">
        <v>12577</v>
      </c>
    </row>
    <row r="489" customFormat="false" ht="21.75" hidden="false" customHeight="false" outlineLevel="0" collapsed="false">
      <c r="A489" s="74"/>
      <c r="B489" s="74"/>
      <c r="C489" s="74"/>
      <c r="D489" s="57" t="s">
        <v>12578</v>
      </c>
      <c r="E489" s="57" t="s">
        <v>12579</v>
      </c>
      <c r="F489" s="57" t="s">
        <v>3787</v>
      </c>
      <c r="G489" s="57" t="s">
        <v>12580</v>
      </c>
      <c r="H489" s="77" t="s">
        <v>12556</v>
      </c>
      <c r="I489" s="34"/>
      <c r="J489" s="81" t="s">
        <v>12581</v>
      </c>
      <c r="K489" s="0" t="s">
        <v>11362</v>
      </c>
    </row>
    <row r="490" customFormat="false" ht="13.8" hidden="false" customHeight="false" outlineLevel="0" collapsed="false">
      <c r="A490" s="74"/>
      <c r="B490" s="74"/>
      <c r="C490" s="74"/>
      <c r="D490" s="57" t="s">
        <v>3792</v>
      </c>
      <c r="E490" s="57" t="s">
        <v>3792</v>
      </c>
      <c r="F490" s="57" t="s">
        <v>3792</v>
      </c>
      <c r="G490" s="57" t="s">
        <v>12582</v>
      </c>
      <c r="H490" s="77" t="s">
        <v>12583</v>
      </c>
      <c r="I490" s="39" t="s">
        <v>67</v>
      </c>
      <c r="J490" s="81" t="s">
        <v>12584</v>
      </c>
      <c r="K490" s="0" t="s">
        <v>12585</v>
      </c>
    </row>
    <row r="491" customFormat="false" ht="21.75" hidden="false" customHeight="false" outlineLevel="0" collapsed="false">
      <c r="A491" s="74"/>
      <c r="B491" s="74"/>
      <c r="C491" s="74"/>
      <c r="D491" s="57" t="s">
        <v>12586</v>
      </c>
      <c r="E491" s="57" t="s">
        <v>12587</v>
      </c>
      <c r="F491" s="57" t="s">
        <v>3797</v>
      </c>
      <c r="G491" s="57" t="s">
        <v>12588</v>
      </c>
      <c r="H491" s="77" t="s">
        <v>12556</v>
      </c>
      <c r="I491" s="39"/>
      <c r="J491" s="81" t="s">
        <v>12589</v>
      </c>
      <c r="K491" s="0" t="s">
        <v>12590</v>
      </c>
    </row>
    <row r="492" customFormat="false" ht="13.8" hidden="false" customHeight="false" outlineLevel="0" collapsed="false">
      <c r="A492" s="74"/>
      <c r="B492" s="74"/>
      <c r="C492" s="74"/>
      <c r="E492" s="57" t="s">
        <v>3792</v>
      </c>
      <c r="F492" s="57" t="s">
        <v>3792</v>
      </c>
      <c r="G492" s="57" t="s">
        <v>12591</v>
      </c>
      <c r="H492" s="77" t="s">
        <v>12592</v>
      </c>
      <c r="I492" s="34" t="s">
        <v>40</v>
      </c>
      <c r="J492" s="81" t="s">
        <v>11361</v>
      </c>
      <c r="K492" s="0" t="s">
        <v>12593</v>
      </c>
    </row>
    <row r="493" customFormat="false" ht="21.75" hidden="false" customHeight="false" outlineLevel="0" collapsed="false">
      <c r="A493" s="74"/>
      <c r="B493" s="74"/>
      <c r="C493" s="74" t="s">
        <v>12594</v>
      </c>
      <c r="D493" s="57" t="s">
        <v>12595</v>
      </c>
      <c r="E493" s="57" t="s">
        <v>12596</v>
      </c>
      <c r="F493" s="57" t="s">
        <v>3806</v>
      </c>
      <c r="G493" s="57" t="s">
        <v>12597</v>
      </c>
      <c r="H493" s="77"/>
      <c r="I493" s="34"/>
      <c r="J493" s="81" t="s">
        <v>11348</v>
      </c>
      <c r="K493" s="0" t="s">
        <v>12239</v>
      </c>
    </row>
    <row r="494" customFormat="false" ht="13.8" hidden="false" customHeight="false" outlineLevel="0" collapsed="false">
      <c r="A494" s="74"/>
      <c r="B494" s="74"/>
      <c r="C494" s="74"/>
      <c r="D494" s="57" t="s">
        <v>3792</v>
      </c>
      <c r="E494" s="57" t="s">
        <v>3792</v>
      </c>
      <c r="F494" s="57" t="s">
        <v>3792</v>
      </c>
      <c r="G494" s="57" t="s">
        <v>12598</v>
      </c>
      <c r="H494" s="77" t="s">
        <v>12599</v>
      </c>
      <c r="I494" s="37" t="s">
        <v>50</v>
      </c>
      <c r="J494" s="81" t="s">
        <v>12600</v>
      </c>
      <c r="K494" s="0" t="s">
        <v>11768</v>
      </c>
    </row>
    <row r="495" customFormat="false" ht="21.75" hidden="false" customHeight="false" outlineLevel="0" collapsed="false">
      <c r="A495" s="74"/>
      <c r="B495" s="74"/>
      <c r="C495" s="74"/>
      <c r="D495" s="57" t="s">
        <v>12601</v>
      </c>
      <c r="E495" s="57" t="s">
        <v>12602</v>
      </c>
      <c r="F495" s="57" t="s">
        <v>3797</v>
      </c>
      <c r="G495" s="57" t="s">
        <v>12603</v>
      </c>
      <c r="H495" s="77"/>
      <c r="I495" s="37"/>
      <c r="J495" s="81" t="s">
        <v>11331</v>
      </c>
      <c r="K495" s="0" t="s">
        <v>12604</v>
      </c>
    </row>
    <row r="496" customFormat="false" ht="13.8" hidden="false" customHeight="false" outlineLevel="0" collapsed="false">
      <c r="A496" s="74"/>
      <c r="B496" s="74"/>
      <c r="C496" s="74"/>
      <c r="D496" s="57" t="s">
        <v>3792</v>
      </c>
      <c r="E496" s="57" t="s">
        <v>3792</v>
      </c>
      <c r="F496" s="57" t="s">
        <v>3792</v>
      </c>
      <c r="G496" s="57" t="s">
        <v>12605</v>
      </c>
      <c r="H496" s="77" t="s">
        <v>12606</v>
      </c>
      <c r="I496" s="34" t="s">
        <v>40</v>
      </c>
      <c r="J496" s="81" t="s">
        <v>10854</v>
      </c>
      <c r="K496" s="0" t="s">
        <v>12607</v>
      </c>
    </row>
    <row r="497" customFormat="false" ht="21.75" hidden="false" customHeight="false" outlineLevel="0" collapsed="false">
      <c r="A497" s="74"/>
      <c r="B497" s="74"/>
      <c r="C497" s="74"/>
      <c r="D497" s="57" t="s">
        <v>12608</v>
      </c>
      <c r="E497" s="57" t="s">
        <v>12609</v>
      </c>
      <c r="F497" s="57" t="s">
        <v>3787</v>
      </c>
      <c r="G497" s="57" t="s">
        <v>12610</v>
      </c>
      <c r="H497" s="77"/>
      <c r="I497" s="34"/>
      <c r="J497" s="81" t="s">
        <v>11019</v>
      </c>
      <c r="K497" s="0" t="s">
        <v>12611</v>
      </c>
    </row>
    <row r="498" customFormat="false" ht="13.8" hidden="false" customHeight="false" outlineLevel="0" collapsed="false">
      <c r="A498" s="74"/>
      <c r="B498" s="74"/>
      <c r="C498" s="74"/>
      <c r="D498" s="57" t="s">
        <v>3792</v>
      </c>
      <c r="E498" s="57" t="s">
        <v>3792</v>
      </c>
      <c r="F498" s="57" t="s">
        <v>3792</v>
      </c>
      <c r="G498" s="57" t="s">
        <v>12612</v>
      </c>
      <c r="H498" s="77" t="s">
        <v>12613</v>
      </c>
      <c r="I498" s="39" t="s">
        <v>67</v>
      </c>
      <c r="J498" s="81" t="s">
        <v>12614</v>
      </c>
      <c r="K498" s="0" t="s">
        <v>11811</v>
      </c>
    </row>
    <row r="499" customFormat="false" ht="21.75" hidden="false" customHeight="false" outlineLevel="0" collapsed="false">
      <c r="A499" s="74"/>
      <c r="B499" s="74"/>
      <c r="C499" s="74"/>
      <c r="D499" s="57" t="s">
        <v>12615</v>
      </c>
      <c r="E499" s="57" t="s">
        <v>12616</v>
      </c>
      <c r="F499" s="57" t="s">
        <v>3806</v>
      </c>
      <c r="G499" s="57" t="s">
        <v>12617</v>
      </c>
      <c r="H499" s="77"/>
      <c r="I499" s="39"/>
      <c r="J499" s="81" t="s">
        <v>12618</v>
      </c>
      <c r="K499" s="0" t="s">
        <v>12619</v>
      </c>
    </row>
    <row r="500" customFormat="false" ht="13.8" hidden="false" customHeight="false" outlineLevel="0" collapsed="false">
      <c r="A500" s="74"/>
      <c r="B500" s="74"/>
      <c r="C500" s="74"/>
      <c r="D500" s="57" t="s">
        <v>3792</v>
      </c>
      <c r="E500" s="57" t="s">
        <v>3792</v>
      </c>
      <c r="F500" s="57" t="s">
        <v>3792</v>
      </c>
      <c r="G500" s="57" t="s">
        <v>12620</v>
      </c>
      <c r="H500" s="77" t="s">
        <v>12621</v>
      </c>
      <c r="I500" s="34" t="s">
        <v>40</v>
      </c>
      <c r="J500" s="81" t="s">
        <v>12622</v>
      </c>
      <c r="K500" s="0" t="s">
        <v>12623</v>
      </c>
    </row>
    <row r="501" customFormat="false" ht="21.75" hidden="false" customHeight="false" outlineLevel="0" collapsed="false">
      <c r="A501" s="74"/>
      <c r="B501" s="74"/>
      <c r="C501" s="74"/>
      <c r="D501" s="57" t="s">
        <v>12624</v>
      </c>
      <c r="E501" s="57" t="s">
        <v>12625</v>
      </c>
      <c r="F501" s="57" t="s">
        <v>3787</v>
      </c>
      <c r="G501" s="57" t="s">
        <v>12626</v>
      </c>
      <c r="H501" s="77" t="s">
        <v>12525</v>
      </c>
      <c r="I501" s="34"/>
      <c r="J501" s="81" t="s">
        <v>12627</v>
      </c>
      <c r="K501" s="0" t="s">
        <v>12628</v>
      </c>
    </row>
    <row r="502" customFormat="false" ht="13.8" hidden="false" customHeight="false" outlineLevel="0" collapsed="false">
      <c r="A502" s="74"/>
      <c r="B502" s="74"/>
      <c r="C502" s="74"/>
      <c r="E502" s="57" t="s">
        <v>3792</v>
      </c>
      <c r="F502" s="57" t="s">
        <v>3792</v>
      </c>
      <c r="G502" s="57" t="s">
        <v>12629</v>
      </c>
      <c r="H502" s="77" t="s">
        <v>12630</v>
      </c>
      <c r="I502" s="37" t="s">
        <v>50</v>
      </c>
      <c r="J502" s="81" t="s">
        <v>12631</v>
      </c>
      <c r="K502" s="0" t="s">
        <v>12632</v>
      </c>
    </row>
    <row r="503" customFormat="false" ht="34.2" hidden="false" customHeight="true" outlineLevel="0" collapsed="false">
      <c r="A503" s="74"/>
      <c r="B503" s="74"/>
      <c r="C503" s="75" t="s">
        <v>12633</v>
      </c>
      <c r="D503" s="57" t="s">
        <v>12634</v>
      </c>
      <c r="E503" s="57" t="s">
        <v>12635</v>
      </c>
      <c r="F503" s="57" t="s">
        <v>3806</v>
      </c>
      <c r="G503" s="57" t="s">
        <v>12636</v>
      </c>
      <c r="H503" s="77" t="s">
        <v>12556</v>
      </c>
      <c r="I503" s="37"/>
      <c r="J503" s="81" t="s">
        <v>11751</v>
      </c>
      <c r="K503" s="0" t="s">
        <v>12637</v>
      </c>
    </row>
    <row r="504" customFormat="false" ht="13.8" hidden="false" customHeight="false" outlineLevel="0" collapsed="false">
      <c r="A504" s="74"/>
      <c r="B504" s="74"/>
      <c r="C504" s="74"/>
      <c r="D504" s="57" t="s">
        <v>3792</v>
      </c>
      <c r="E504" s="57" t="s">
        <v>3792</v>
      </c>
      <c r="F504" s="57" t="s">
        <v>3792</v>
      </c>
      <c r="G504" s="57" t="s">
        <v>12638</v>
      </c>
      <c r="H504" s="77" t="s">
        <v>12639</v>
      </c>
      <c r="I504" s="34" t="s">
        <v>40</v>
      </c>
      <c r="J504" s="81" t="s">
        <v>11032</v>
      </c>
      <c r="K504" s="0" t="s">
        <v>12640</v>
      </c>
    </row>
    <row r="505" customFormat="false" ht="21.75" hidden="false" customHeight="false" outlineLevel="0" collapsed="false">
      <c r="A505" s="74"/>
      <c r="B505" s="74"/>
      <c r="C505" s="74"/>
      <c r="D505" s="57" t="s">
        <v>12641</v>
      </c>
      <c r="E505" s="57" t="s">
        <v>12642</v>
      </c>
      <c r="F505" s="57" t="s">
        <v>3797</v>
      </c>
      <c r="G505" s="57" t="s">
        <v>12643</v>
      </c>
      <c r="H505" s="77" t="s">
        <v>12525</v>
      </c>
      <c r="I505" s="34"/>
      <c r="J505" s="81" t="s">
        <v>12644</v>
      </c>
      <c r="K505" s="0" t="s">
        <v>12645</v>
      </c>
    </row>
    <row r="506" customFormat="false" ht="13.8" hidden="false" customHeight="false" outlineLevel="0" collapsed="false">
      <c r="A506" s="74"/>
      <c r="B506" s="74"/>
      <c r="C506" s="74"/>
      <c r="D506" s="57" t="s">
        <v>3792</v>
      </c>
      <c r="E506" s="57" t="s">
        <v>3792</v>
      </c>
      <c r="F506" s="57" t="s">
        <v>3792</v>
      </c>
      <c r="G506" s="57" t="s">
        <v>12646</v>
      </c>
      <c r="H506" s="77" t="s">
        <v>12647</v>
      </c>
      <c r="I506" s="39" t="s">
        <v>67</v>
      </c>
      <c r="J506" s="81" t="s">
        <v>12648</v>
      </c>
      <c r="K506" s="0" t="s">
        <v>12649</v>
      </c>
    </row>
    <row r="507" customFormat="false" ht="34.2" hidden="false" customHeight="false" outlineLevel="0" collapsed="false">
      <c r="A507" s="74"/>
      <c r="B507" s="74"/>
      <c r="C507" s="74"/>
      <c r="D507" s="57" t="s">
        <v>12650</v>
      </c>
      <c r="E507" s="57" t="s">
        <v>12651</v>
      </c>
      <c r="F507" s="57" t="s">
        <v>3787</v>
      </c>
      <c r="G507" s="57" t="s">
        <v>12652</v>
      </c>
      <c r="H507" s="77"/>
      <c r="I507" s="39"/>
      <c r="J507" s="81" t="s">
        <v>12653</v>
      </c>
      <c r="K507" s="0" t="s">
        <v>12654</v>
      </c>
    </row>
    <row r="508" customFormat="false" ht="13.8" hidden="false" customHeight="false" outlineLevel="0" collapsed="false">
      <c r="A508" s="74"/>
      <c r="B508" s="74"/>
      <c r="C508" s="74"/>
      <c r="D508" s="57" t="s">
        <v>3792</v>
      </c>
      <c r="E508" s="57" t="s">
        <v>3792</v>
      </c>
      <c r="F508" s="57" t="s">
        <v>3792</v>
      </c>
      <c r="G508" s="57" t="s">
        <v>12655</v>
      </c>
      <c r="H508" s="77" t="s">
        <v>12656</v>
      </c>
      <c r="I508" s="34" t="s">
        <v>40</v>
      </c>
      <c r="J508" s="81" t="s">
        <v>11864</v>
      </c>
      <c r="K508" s="0" t="s">
        <v>12657</v>
      </c>
    </row>
    <row r="509" customFormat="false" ht="21.75" hidden="false" customHeight="false" outlineLevel="0" collapsed="false">
      <c r="A509" s="74"/>
      <c r="B509" s="74"/>
      <c r="C509" s="74"/>
      <c r="D509" s="57" t="s">
        <v>12658</v>
      </c>
      <c r="E509" s="57" t="s">
        <v>12659</v>
      </c>
      <c r="F509" s="57" t="s">
        <v>3797</v>
      </c>
      <c r="G509" s="57" t="s">
        <v>12660</v>
      </c>
      <c r="H509" s="77" t="s">
        <v>12556</v>
      </c>
      <c r="I509" s="34"/>
      <c r="J509" s="81" t="s">
        <v>12661</v>
      </c>
      <c r="K509" s="0" t="s">
        <v>12662</v>
      </c>
    </row>
    <row r="510" customFormat="false" ht="13.8" hidden="false" customHeight="false" outlineLevel="0" collapsed="false">
      <c r="A510" s="74"/>
      <c r="B510" s="74"/>
      <c r="C510" s="74"/>
      <c r="D510" s="57" t="s">
        <v>3792</v>
      </c>
      <c r="E510" s="57" t="s">
        <v>3792</v>
      </c>
      <c r="F510" s="57" t="s">
        <v>3792</v>
      </c>
      <c r="G510" s="57" t="s">
        <v>12663</v>
      </c>
      <c r="H510" s="77" t="s">
        <v>12664</v>
      </c>
      <c r="I510" s="37" t="s">
        <v>50</v>
      </c>
      <c r="J510" s="81" t="s">
        <v>12665</v>
      </c>
      <c r="K510" s="0" t="s">
        <v>12666</v>
      </c>
    </row>
    <row r="511" customFormat="false" ht="21.75" hidden="false" customHeight="false" outlineLevel="0" collapsed="false">
      <c r="A511" s="74"/>
      <c r="B511" s="74"/>
      <c r="C511" s="74"/>
      <c r="D511" s="57" t="s">
        <v>12667</v>
      </c>
      <c r="E511" s="57" t="s">
        <v>12668</v>
      </c>
      <c r="F511" s="57" t="s">
        <v>3806</v>
      </c>
      <c r="G511" s="57" t="s">
        <v>12669</v>
      </c>
      <c r="H511" s="77" t="s">
        <v>12556</v>
      </c>
      <c r="I511" s="37"/>
      <c r="J511" s="81" t="s">
        <v>11723</v>
      </c>
      <c r="K511" s="0" t="s">
        <v>12670</v>
      </c>
    </row>
    <row r="512" customFormat="false" ht="13.8" hidden="false" customHeight="false" outlineLevel="0" collapsed="false">
      <c r="A512" s="74"/>
      <c r="B512" s="74"/>
      <c r="C512" s="74"/>
      <c r="E512" s="57" t="s">
        <v>3792</v>
      </c>
      <c r="F512" s="57" t="s">
        <v>3792</v>
      </c>
      <c r="G512" s="57" t="s">
        <v>12671</v>
      </c>
      <c r="H512" s="77" t="s">
        <v>12672</v>
      </c>
      <c r="I512" s="34" t="s">
        <v>40</v>
      </c>
      <c r="J512" s="81" t="s">
        <v>12673</v>
      </c>
      <c r="K512" s="0" t="s">
        <v>12674</v>
      </c>
    </row>
    <row r="513" customFormat="false" ht="21.75" hidden="false" customHeight="false" outlineLevel="0" collapsed="false">
      <c r="A513" s="74"/>
      <c r="B513" s="74"/>
      <c r="C513" s="74" t="s">
        <v>12675</v>
      </c>
      <c r="D513" s="57" t="s">
        <v>12676</v>
      </c>
      <c r="E513" s="57" t="s">
        <v>12677</v>
      </c>
      <c r="F513" s="57" t="s">
        <v>3787</v>
      </c>
      <c r="G513" s="57" t="s">
        <v>12678</v>
      </c>
      <c r="H513" s="77"/>
      <c r="I513" s="34"/>
      <c r="J513" s="81" t="s">
        <v>12679</v>
      </c>
      <c r="K513" s="0" t="s">
        <v>12680</v>
      </c>
    </row>
    <row r="514" customFormat="false" ht="13.8" hidden="false" customHeight="false" outlineLevel="0" collapsed="false">
      <c r="A514" s="74"/>
      <c r="B514" s="74"/>
      <c r="C514" s="74"/>
      <c r="D514" s="57" t="s">
        <v>3792</v>
      </c>
      <c r="E514" s="57" t="s">
        <v>3792</v>
      </c>
      <c r="F514" s="57" t="s">
        <v>3792</v>
      </c>
      <c r="G514" s="57" t="s">
        <v>12681</v>
      </c>
      <c r="H514" s="77" t="s">
        <v>12682</v>
      </c>
      <c r="I514" s="39" t="s">
        <v>67</v>
      </c>
      <c r="J514" s="81" t="s">
        <v>12683</v>
      </c>
      <c r="K514" s="0" t="s">
        <v>12684</v>
      </c>
    </row>
    <row r="515" customFormat="false" ht="21.75" hidden="false" customHeight="false" outlineLevel="0" collapsed="false">
      <c r="A515" s="74"/>
      <c r="B515" s="74"/>
      <c r="C515" s="74"/>
      <c r="D515" s="57" t="s">
        <v>12685</v>
      </c>
      <c r="E515" s="57" t="s">
        <v>12686</v>
      </c>
      <c r="F515" s="57" t="s">
        <v>3797</v>
      </c>
      <c r="G515" s="57" t="s">
        <v>12687</v>
      </c>
      <c r="H515" s="77" t="s">
        <v>12556</v>
      </c>
      <c r="I515" s="39"/>
      <c r="J515" s="81" t="s">
        <v>12688</v>
      </c>
      <c r="K515" s="0" t="s">
        <v>12689</v>
      </c>
    </row>
    <row r="516" customFormat="false" ht="13.8" hidden="false" customHeight="false" outlineLevel="0" collapsed="false">
      <c r="A516" s="74"/>
      <c r="B516" s="74"/>
      <c r="C516" s="74"/>
      <c r="D516" s="57" t="s">
        <v>3792</v>
      </c>
      <c r="E516" s="57" t="s">
        <v>3792</v>
      </c>
      <c r="F516" s="57" t="s">
        <v>3792</v>
      </c>
      <c r="G516" s="57" t="s">
        <v>12690</v>
      </c>
      <c r="H516" s="77" t="s">
        <v>12691</v>
      </c>
      <c r="I516" s="34" t="s">
        <v>40</v>
      </c>
      <c r="J516" s="81" t="s">
        <v>12692</v>
      </c>
      <c r="K516" s="0" t="s">
        <v>12693</v>
      </c>
    </row>
    <row r="517" customFormat="false" ht="21.75" hidden="false" customHeight="false" outlineLevel="0" collapsed="false">
      <c r="A517" s="74"/>
      <c r="B517" s="74"/>
      <c r="C517" s="74"/>
      <c r="D517" s="57" t="s">
        <v>12694</v>
      </c>
      <c r="E517" s="57" t="s">
        <v>12695</v>
      </c>
      <c r="F517" s="57" t="s">
        <v>3806</v>
      </c>
      <c r="G517" s="57" t="s">
        <v>12696</v>
      </c>
      <c r="H517" s="77" t="s">
        <v>12556</v>
      </c>
      <c r="I517" s="34"/>
      <c r="J517" s="81" t="s">
        <v>12697</v>
      </c>
      <c r="K517" s="0" t="s">
        <v>12698</v>
      </c>
    </row>
    <row r="518" customFormat="false" ht="13.8" hidden="false" customHeight="false" outlineLevel="0" collapsed="false">
      <c r="A518" s="74"/>
      <c r="B518" s="74"/>
      <c r="C518" s="74"/>
      <c r="D518" s="57" t="s">
        <v>3792</v>
      </c>
      <c r="E518" s="57" t="s">
        <v>3792</v>
      </c>
      <c r="F518" s="57" t="s">
        <v>3792</v>
      </c>
      <c r="G518" s="57" t="s">
        <v>12699</v>
      </c>
      <c r="H518" s="77" t="s">
        <v>12700</v>
      </c>
      <c r="I518" s="37" t="s">
        <v>50</v>
      </c>
      <c r="J518" s="81" t="s">
        <v>12701</v>
      </c>
      <c r="K518" s="0" t="s">
        <v>12702</v>
      </c>
    </row>
    <row r="519" customFormat="false" ht="21.75" hidden="false" customHeight="false" outlineLevel="0" collapsed="false">
      <c r="A519" s="74"/>
      <c r="B519" s="74"/>
      <c r="C519" s="74"/>
      <c r="D519" s="57" t="s">
        <v>12703</v>
      </c>
      <c r="E519" s="57" t="s">
        <v>12704</v>
      </c>
      <c r="F519" s="57" t="s">
        <v>3797</v>
      </c>
      <c r="G519" s="57" t="s">
        <v>12705</v>
      </c>
      <c r="H519" s="77" t="s">
        <v>12525</v>
      </c>
      <c r="I519" s="37"/>
      <c r="J519" s="81" t="s">
        <v>12706</v>
      </c>
      <c r="K519" s="0" t="s">
        <v>12707</v>
      </c>
    </row>
    <row r="520" customFormat="false" ht="13.8" hidden="false" customHeight="false" outlineLevel="0" collapsed="false">
      <c r="A520" s="74"/>
      <c r="B520" s="74"/>
      <c r="C520" s="74"/>
      <c r="D520" s="57" t="s">
        <v>3792</v>
      </c>
      <c r="E520" s="57" t="s">
        <v>3792</v>
      </c>
      <c r="F520" s="57" t="s">
        <v>3792</v>
      </c>
      <c r="G520" s="57" t="s">
        <v>12708</v>
      </c>
      <c r="H520" s="77" t="s">
        <v>12709</v>
      </c>
      <c r="I520" s="34" t="s">
        <v>40</v>
      </c>
      <c r="J520" s="81" t="s">
        <v>12710</v>
      </c>
      <c r="K520" s="0" t="s">
        <v>12711</v>
      </c>
    </row>
    <row r="521" customFormat="false" ht="21.75" hidden="false" customHeight="false" outlineLevel="0" collapsed="false">
      <c r="A521" s="74"/>
      <c r="B521" s="74"/>
      <c r="C521" s="74"/>
      <c r="D521" s="57" t="s">
        <v>12712</v>
      </c>
      <c r="E521" s="57" t="s">
        <v>12713</v>
      </c>
      <c r="F521" s="57" t="s">
        <v>3787</v>
      </c>
      <c r="G521" s="57" t="s">
        <v>12714</v>
      </c>
      <c r="H521" s="77"/>
      <c r="I521" s="34"/>
      <c r="J521" s="81" t="s">
        <v>12715</v>
      </c>
      <c r="K521" s="0" t="s">
        <v>12716</v>
      </c>
    </row>
    <row r="522" customFormat="false" ht="13.8" hidden="false" customHeight="false" outlineLevel="0" collapsed="false">
      <c r="A522" s="74"/>
      <c r="B522" s="74"/>
      <c r="C522" s="74"/>
      <c r="E522" s="57" t="s">
        <v>3792</v>
      </c>
      <c r="F522" s="57" t="s">
        <v>3792</v>
      </c>
      <c r="G522" s="57" t="s">
        <v>12717</v>
      </c>
      <c r="H522" s="77" t="s">
        <v>12718</v>
      </c>
      <c r="I522" s="39" t="s">
        <v>67</v>
      </c>
      <c r="J522" s="81" t="s">
        <v>12719</v>
      </c>
      <c r="K522" s="0" t="s">
        <v>12720</v>
      </c>
    </row>
    <row r="523" customFormat="false" ht="21.75" hidden="false" customHeight="true" outlineLevel="0" collapsed="false">
      <c r="A523" s="74"/>
      <c r="B523" s="74"/>
      <c r="C523" s="75" t="s">
        <v>12721</v>
      </c>
      <c r="D523" s="57" t="s">
        <v>12722</v>
      </c>
      <c r="E523" s="57" t="s">
        <v>12723</v>
      </c>
      <c r="F523" s="57" t="s">
        <v>3806</v>
      </c>
      <c r="G523" s="57" t="s">
        <v>12724</v>
      </c>
      <c r="H523" s="77"/>
      <c r="I523" s="39"/>
      <c r="J523" s="81" t="s">
        <v>12725</v>
      </c>
      <c r="K523" s="0" t="s">
        <v>12726</v>
      </c>
    </row>
    <row r="524" customFormat="false" ht="13.8" hidden="false" customHeight="false" outlineLevel="0" collapsed="false">
      <c r="A524" s="74"/>
      <c r="B524" s="74"/>
      <c r="C524" s="74"/>
      <c r="D524" s="57" t="s">
        <v>3792</v>
      </c>
      <c r="E524" s="57" t="s">
        <v>3792</v>
      </c>
      <c r="F524" s="57" t="s">
        <v>3792</v>
      </c>
      <c r="G524" s="57" t="s">
        <v>12727</v>
      </c>
      <c r="H524" s="77" t="s">
        <v>12728</v>
      </c>
      <c r="I524" s="34" t="s">
        <v>40</v>
      </c>
      <c r="J524" s="81" t="s">
        <v>12729</v>
      </c>
      <c r="K524" s="0" t="s">
        <v>11240</v>
      </c>
    </row>
    <row r="525" customFormat="false" ht="21.75" hidden="false" customHeight="false" outlineLevel="0" collapsed="false">
      <c r="A525" s="74"/>
      <c r="B525" s="74"/>
      <c r="C525" s="74"/>
      <c r="D525" s="57" t="s">
        <v>12730</v>
      </c>
      <c r="E525" s="57" t="s">
        <v>12731</v>
      </c>
      <c r="F525" s="57" t="s">
        <v>3787</v>
      </c>
      <c r="G525" s="57" t="s">
        <v>12732</v>
      </c>
      <c r="H525" s="77" t="s">
        <v>12556</v>
      </c>
      <c r="I525" s="34"/>
      <c r="J525" s="81" t="s">
        <v>12733</v>
      </c>
      <c r="K525" s="0" t="s">
        <v>12734</v>
      </c>
    </row>
    <row r="526" customFormat="false" ht="13.8" hidden="false" customHeight="false" outlineLevel="0" collapsed="false">
      <c r="A526" s="74"/>
      <c r="B526" s="74"/>
      <c r="C526" s="74"/>
      <c r="D526" s="57" t="s">
        <v>3792</v>
      </c>
      <c r="E526" s="57" t="s">
        <v>3792</v>
      </c>
      <c r="F526" s="57" t="s">
        <v>3792</v>
      </c>
      <c r="G526" s="57" t="s">
        <v>1265</v>
      </c>
      <c r="H526" s="77" t="s">
        <v>12735</v>
      </c>
      <c r="I526" s="37" t="s">
        <v>50</v>
      </c>
      <c r="J526" s="81" t="s">
        <v>12736</v>
      </c>
      <c r="K526" s="0" t="s">
        <v>12737</v>
      </c>
    </row>
    <row r="527" customFormat="false" ht="21.75" hidden="false" customHeight="false" outlineLevel="0" collapsed="false">
      <c r="A527" s="74"/>
      <c r="B527" s="74"/>
      <c r="C527" s="74"/>
      <c r="D527" s="57" t="s">
        <v>12738</v>
      </c>
      <c r="E527" s="57" t="s">
        <v>12739</v>
      </c>
      <c r="F527" s="57" t="s">
        <v>3797</v>
      </c>
      <c r="G527" s="57" t="s">
        <v>12740</v>
      </c>
      <c r="H527" s="77" t="s">
        <v>12525</v>
      </c>
      <c r="I527" s="37"/>
      <c r="J527" s="81" t="s">
        <v>12741</v>
      </c>
      <c r="K527" s="0" t="s">
        <v>12742</v>
      </c>
    </row>
    <row r="528" customFormat="false" ht="13.8" hidden="false" customHeight="false" outlineLevel="0" collapsed="false">
      <c r="A528" s="74"/>
      <c r="B528" s="74"/>
      <c r="C528" s="74"/>
      <c r="D528" s="57" t="s">
        <v>3792</v>
      </c>
      <c r="E528" s="57" t="s">
        <v>3792</v>
      </c>
      <c r="F528" s="57" t="s">
        <v>3792</v>
      </c>
      <c r="G528" s="57" t="s">
        <v>12743</v>
      </c>
      <c r="H528" s="77" t="s">
        <v>12744</v>
      </c>
      <c r="I528" s="34" t="s">
        <v>40</v>
      </c>
      <c r="J528" s="81" t="s">
        <v>12745</v>
      </c>
      <c r="K528" s="0" t="s">
        <v>12746</v>
      </c>
    </row>
    <row r="529" customFormat="false" ht="21.75" hidden="false" customHeight="false" outlineLevel="0" collapsed="false">
      <c r="A529" s="74"/>
      <c r="B529" s="74"/>
      <c r="C529" s="74"/>
      <c r="D529" s="57" t="s">
        <v>12747</v>
      </c>
      <c r="E529" s="57" t="s">
        <v>12748</v>
      </c>
      <c r="F529" s="57" t="s">
        <v>3806</v>
      </c>
      <c r="G529" s="57" t="s">
        <v>1185</v>
      </c>
      <c r="H529" s="77" t="s">
        <v>12556</v>
      </c>
      <c r="I529" s="34"/>
      <c r="J529" s="81" t="s">
        <v>12749</v>
      </c>
      <c r="K529" s="0" t="s">
        <v>12750</v>
      </c>
    </row>
    <row r="530" customFormat="false" ht="13.8" hidden="false" customHeight="false" outlineLevel="0" collapsed="false">
      <c r="A530" s="74"/>
      <c r="B530" s="74"/>
      <c r="C530" s="74"/>
      <c r="D530" s="57" t="s">
        <v>3792</v>
      </c>
      <c r="E530" s="57" t="s">
        <v>3792</v>
      </c>
      <c r="F530" s="57" t="s">
        <v>3792</v>
      </c>
      <c r="G530" s="57" t="s">
        <v>12751</v>
      </c>
      <c r="H530" s="77" t="s">
        <v>12752</v>
      </c>
      <c r="I530" s="39" t="s">
        <v>67</v>
      </c>
      <c r="J530" s="81" t="s">
        <v>12753</v>
      </c>
      <c r="K530" s="0" t="s">
        <v>12538</v>
      </c>
    </row>
    <row r="531" customFormat="false" ht="21.75" hidden="false" customHeight="false" outlineLevel="0" collapsed="false">
      <c r="A531" s="74"/>
      <c r="B531" s="74"/>
      <c r="C531" s="74"/>
      <c r="D531" s="57" t="s">
        <v>12754</v>
      </c>
      <c r="E531" s="57" t="s">
        <v>12755</v>
      </c>
      <c r="F531" s="57" t="s">
        <v>3787</v>
      </c>
      <c r="G531" s="57" t="s">
        <v>12756</v>
      </c>
      <c r="H531" s="77"/>
      <c r="I531" s="39"/>
      <c r="J531" s="81" t="s">
        <v>12757</v>
      </c>
      <c r="K531" s="0" t="s">
        <v>12758</v>
      </c>
    </row>
    <row r="532" customFormat="false" ht="13.8" hidden="false" customHeight="false" outlineLevel="0" collapsed="false">
      <c r="A532" s="74"/>
      <c r="B532" s="74"/>
      <c r="C532" s="74"/>
      <c r="E532" s="57" t="s">
        <v>3792</v>
      </c>
      <c r="F532" s="57" t="s">
        <v>3792</v>
      </c>
      <c r="G532" s="57" t="s">
        <v>12759</v>
      </c>
      <c r="H532" s="77" t="s">
        <v>12760</v>
      </c>
      <c r="I532" s="34" t="s">
        <v>40</v>
      </c>
      <c r="J532" s="81" t="s">
        <v>12761</v>
      </c>
      <c r="K532" s="0" t="s">
        <v>12762</v>
      </c>
    </row>
    <row r="533" customFormat="false" ht="21.75" hidden="false" customHeight="true" outlineLevel="0" collapsed="false">
      <c r="A533" s="74"/>
      <c r="B533" s="74"/>
      <c r="C533" s="75" t="s">
        <v>12763</v>
      </c>
      <c r="D533" s="57" t="s">
        <v>12764</v>
      </c>
      <c r="E533" s="57" t="s">
        <v>12765</v>
      </c>
      <c r="F533" s="57" t="s">
        <v>3806</v>
      </c>
      <c r="G533" s="57" t="s">
        <v>12766</v>
      </c>
      <c r="H533" s="77"/>
      <c r="I533" s="34"/>
      <c r="J533" s="81" t="s">
        <v>11212</v>
      </c>
      <c r="K533" s="0" t="s">
        <v>12767</v>
      </c>
    </row>
    <row r="534" customFormat="false" ht="13.8" hidden="false" customHeight="false" outlineLevel="0" collapsed="false">
      <c r="A534" s="74"/>
      <c r="B534" s="74"/>
      <c r="C534" s="74"/>
      <c r="D534" s="57" t="s">
        <v>3792</v>
      </c>
      <c r="E534" s="57" t="s">
        <v>3792</v>
      </c>
      <c r="F534" s="57" t="s">
        <v>3792</v>
      </c>
      <c r="G534" s="57" t="s">
        <v>12768</v>
      </c>
      <c r="H534" s="77" t="s">
        <v>12769</v>
      </c>
      <c r="I534" s="37" t="s">
        <v>50</v>
      </c>
      <c r="J534" s="81" t="s">
        <v>12770</v>
      </c>
      <c r="K534" s="0" t="s">
        <v>12771</v>
      </c>
    </row>
    <row r="535" customFormat="false" ht="21.75" hidden="false" customHeight="false" outlineLevel="0" collapsed="false">
      <c r="A535" s="74"/>
      <c r="B535" s="74"/>
      <c r="C535" s="74"/>
      <c r="D535" s="57" t="s">
        <v>12772</v>
      </c>
      <c r="E535" s="57" t="s">
        <v>12773</v>
      </c>
      <c r="F535" s="57" t="s">
        <v>3797</v>
      </c>
      <c r="G535" s="57" t="s">
        <v>12774</v>
      </c>
      <c r="H535" s="77"/>
      <c r="I535" s="37"/>
      <c r="J535" s="81" t="s">
        <v>12775</v>
      </c>
      <c r="K535" s="0" t="s">
        <v>12776</v>
      </c>
    </row>
    <row r="536" customFormat="false" ht="13.8" hidden="false" customHeight="false" outlineLevel="0" collapsed="false">
      <c r="A536" s="74"/>
      <c r="B536" s="74"/>
      <c r="C536" s="74"/>
      <c r="D536" s="57" t="s">
        <v>3792</v>
      </c>
      <c r="E536" s="57" t="s">
        <v>3792</v>
      </c>
      <c r="F536" s="57" t="s">
        <v>3792</v>
      </c>
      <c r="G536" s="57" t="s">
        <v>12777</v>
      </c>
      <c r="H536" s="77" t="s">
        <v>12778</v>
      </c>
      <c r="I536" s="34" t="s">
        <v>40</v>
      </c>
      <c r="J536" s="81" t="s">
        <v>12779</v>
      </c>
      <c r="K536" s="0" t="s">
        <v>12780</v>
      </c>
    </row>
    <row r="537" customFormat="false" ht="21.75" hidden="false" customHeight="false" outlineLevel="0" collapsed="false">
      <c r="A537" s="74"/>
      <c r="B537" s="74"/>
      <c r="C537" s="74"/>
      <c r="D537" s="57" t="s">
        <v>12781</v>
      </c>
      <c r="E537" s="57" t="s">
        <v>12782</v>
      </c>
      <c r="F537" s="57" t="s">
        <v>3787</v>
      </c>
      <c r="G537" s="57" t="s">
        <v>12783</v>
      </c>
      <c r="H537" s="77" t="s">
        <v>12556</v>
      </c>
      <c r="I537" s="34"/>
      <c r="J537" s="81" t="s">
        <v>12784</v>
      </c>
      <c r="K537" s="0" t="s">
        <v>12785</v>
      </c>
    </row>
    <row r="538" customFormat="false" ht="13.8" hidden="false" customHeight="false" outlineLevel="0" collapsed="false">
      <c r="A538" s="74"/>
      <c r="B538" s="74"/>
      <c r="C538" s="74"/>
      <c r="D538" s="57" t="s">
        <v>3792</v>
      </c>
      <c r="E538" s="57" t="s">
        <v>3792</v>
      </c>
      <c r="F538" s="57" t="s">
        <v>3792</v>
      </c>
      <c r="G538" s="57" t="s">
        <v>12786</v>
      </c>
      <c r="H538" s="77" t="s">
        <v>12787</v>
      </c>
      <c r="I538" s="39" t="s">
        <v>67</v>
      </c>
      <c r="J538" s="81" t="s">
        <v>12788</v>
      </c>
      <c r="K538" s="0" t="s">
        <v>12789</v>
      </c>
    </row>
    <row r="539" customFormat="false" ht="21.75" hidden="false" customHeight="false" outlineLevel="0" collapsed="false">
      <c r="A539" s="74"/>
      <c r="B539" s="74"/>
      <c r="C539" s="74"/>
      <c r="D539" s="57" t="s">
        <v>12790</v>
      </c>
      <c r="E539" s="57" t="s">
        <v>12791</v>
      </c>
      <c r="F539" s="57" t="s">
        <v>3797</v>
      </c>
      <c r="G539" s="57" t="s">
        <v>12792</v>
      </c>
      <c r="H539" s="77"/>
      <c r="I539" s="39"/>
      <c r="J539" s="81" t="s">
        <v>12793</v>
      </c>
      <c r="K539" s="0" t="s">
        <v>12794</v>
      </c>
    </row>
    <row r="540" customFormat="false" ht="13.8" hidden="false" customHeight="false" outlineLevel="0" collapsed="false">
      <c r="A540" s="74"/>
      <c r="B540" s="74"/>
      <c r="C540" s="74"/>
      <c r="D540" s="57" t="s">
        <v>3792</v>
      </c>
      <c r="E540" s="57" t="s">
        <v>3792</v>
      </c>
      <c r="F540" s="57" t="s">
        <v>3792</v>
      </c>
      <c r="G540" s="57" t="s">
        <v>12542</v>
      </c>
      <c r="H540" s="77" t="s">
        <v>12795</v>
      </c>
      <c r="I540" s="34" t="s">
        <v>40</v>
      </c>
      <c r="J540" s="81" t="s">
        <v>12796</v>
      </c>
      <c r="K540" s="0" t="s">
        <v>12797</v>
      </c>
    </row>
    <row r="541" customFormat="false" ht="21.75" hidden="false" customHeight="false" outlineLevel="0" collapsed="false">
      <c r="A541" s="74"/>
      <c r="B541" s="74"/>
      <c r="C541" s="74"/>
      <c r="D541" s="57" t="s">
        <v>12798</v>
      </c>
      <c r="E541" s="57" t="s">
        <v>12799</v>
      </c>
      <c r="F541" s="57" t="s">
        <v>3806</v>
      </c>
      <c r="G541" s="57" t="s">
        <v>12800</v>
      </c>
      <c r="H541" s="77"/>
      <c r="I541" s="34"/>
      <c r="J541" s="81" t="s">
        <v>12801</v>
      </c>
      <c r="K541" s="0" t="s">
        <v>12802</v>
      </c>
    </row>
    <row r="542" customFormat="false" ht="13.8" hidden="false" customHeight="false" outlineLevel="0" collapsed="false">
      <c r="A542" s="74"/>
      <c r="B542" s="74"/>
      <c r="C542" s="74"/>
      <c r="E542" s="57" t="s">
        <v>3792</v>
      </c>
      <c r="F542" s="57" t="s">
        <v>3792</v>
      </c>
      <c r="G542" s="57" t="s">
        <v>12803</v>
      </c>
      <c r="H542" s="77" t="s">
        <v>12804</v>
      </c>
      <c r="I542" s="37" t="s">
        <v>50</v>
      </c>
      <c r="J542" s="81" t="s">
        <v>12805</v>
      </c>
      <c r="K542" s="0" t="s">
        <v>12806</v>
      </c>
    </row>
    <row r="543" customFormat="false" ht="21.75" hidden="false" customHeight="true" outlineLevel="0" collapsed="false">
      <c r="A543" s="74"/>
      <c r="B543" s="74"/>
      <c r="C543" s="75" t="s">
        <v>12807</v>
      </c>
      <c r="D543" s="57" t="s">
        <v>12808</v>
      </c>
      <c r="E543" s="57" t="s">
        <v>12809</v>
      </c>
      <c r="F543" s="57" t="s">
        <v>3797</v>
      </c>
      <c r="G543" s="57" t="s">
        <v>12810</v>
      </c>
      <c r="H543" s="77"/>
      <c r="I543" s="37"/>
      <c r="J543" s="81" t="s">
        <v>12811</v>
      </c>
      <c r="K543" s="0" t="s">
        <v>12812</v>
      </c>
    </row>
    <row r="544" customFormat="false" ht="13.8" hidden="false" customHeight="false" outlineLevel="0" collapsed="false">
      <c r="A544" s="74"/>
      <c r="B544" s="74"/>
      <c r="C544" s="74"/>
      <c r="D544" s="57" t="s">
        <v>3792</v>
      </c>
      <c r="E544" s="57" t="s">
        <v>3792</v>
      </c>
      <c r="F544" s="57" t="s">
        <v>3792</v>
      </c>
      <c r="G544" s="57" t="s">
        <v>12813</v>
      </c>
      <c r="H544" s="77" t="s">
        <v>12814</v>
      </c>
      <c r="I544" s="34" t="s">
        <v>40</v>
      </c>
      <c r="J544" s="81" t="s">
        <v>12815</v>
      </c>
      <c r="K544" s="0" t="s">
        <v>12816</v>
      </c>
    </row>
    <row r="545" customFormat="false" ht="21.75" hidden="false" customHeight="false" outlineLevel="0" collapsed="false">
      <c r="A545" s="74"/>
      <c r="B545" s="74"/>
      <c r="C545" s="74"/>
      <c r="D545" s="57" t="s">
        <v>12817</v>
      </c>
      <c r="E545" s="57" t="s">
        <v>12818</v>
      </c>
      <c r="F545" s="57" t="s">
        <v>3787</v>
      </c>
      <c r="G545" s="57" t="s">
        <v>12819</v>
      </c>
      <c r="H545" s="77"/>
      <c r="I545" s="34"/>
      <c r="J545" s="81" t="s">
        <v>12820</v>
      </c>
      <c r="K545" s="0" t="s">
        <v>12821</v>
      </c>
    </row>
    <row r="546" customFormat="false" ht="13.8" hidden="false" customHeight="false" outlineLevel="0" collapsed="false">
      <c r="A546" s="74"/>
      <c r="B546" s="74"/>
      <c r="C546" s="74"/>
      <c r="D546" s="57" t="s">
        <v>3792</v>
      </c>
      <c r="E546" s="57" t="s">
        <v>3792</v>
      </c>
      <c r="F546" s="57" t="s">
        <v>3792</v>
      </c>
      <c r="G546" s="57" t="s">
        <v>12822</v>
      </c>
      <c r="H546" s="77" t="s">
        <v>12823</v>
      </c>
      <c r="I546" s="39" t="s">
        <v>67</v>
      </c>
      <c r="J546" s="81" t="s">
        <v>12824</v>
      </c>
      <c r="K546" s="0" t="s">
        <v>12825</v>
      </c>
    </row>
    <row r="547" customFormat="false" ht="21.75" hidden="false" customHeight="false" outlineLevel="0" collapsed="false">
      <c r="A547" s="74"/>
      <c r="B547" s="74"/>
      <c r="C547" s="74"/>
      <c r="D547" s="57" t="s">
        <v>12826</v>
      </c>
      <c r="E547" s="57" t="s">
        <v>12827</v>
      </c>
      <c r="F547" s="57" t="s">
        <v>3806</v>
      </c>
      <c r="G547" s="57" t="s">
        <v>12828</v>
      </c>
      <c r="H547" s="77" t="s">
        <v>12556</v>
      </c>
      <c r="I547" s="39"/>
      <c r="J547" s="81" t="s">
        <v>12829</v>
      </c>
      <c r="K547" s="0" t="s">
        <v>12830</v>
      </c>
    </row>
    <row r="548" customFormat="false" ht="13.8" hidden="false" customHeight="false" outlineLevel="0" collapsed="false">
      <c r="A548" s="74"/>
      <c r="B548" s="74"/>
      <c r="C548" s="74"/>
      <c r="D548" s="57" t="s">
        <v>3792</v>
      </c>
      <c r="E548" s="57" t="s">
        <v>3792</v>
      </c>
      <c r="F548" s="57" t="s">
        <v>3792</v>
      </c>
      <c r="G548" s="57" t="s">
        <v>12831</v>
      </c>
      <c r="H548" s="77" t="s">
        <v>12832</v>
      </c>
      <c r="I548" s="34" t="s">
        <v>40</v>
      </c>
      <c r="J548" s="81" t="s">
        <v>12833</v>
      </c>
      <c r="K548" s="0" t="s">
        <v>12834</v>
      </c>
    </row>
    <row r="549" customFormat="false" ht="21.75" hidden="false" customHeight="false" outlineLevel="0" collapsed="false">
      <c r="A549" s="74"/>
      <c r="B549" s="74"/>
      <c r="C549" s="74"/>
      <c r="D549" s="57" t="s">
        <v>12835</v>
      </c>
      <c r="E549" s="57" t="s">
        <v>12836</v>
      </c>
      <c r="F549" s="57" t="s">
        <v>3787</v>
      </c>
      <c r="G549" s="57" t="s">
        <v>12837</v>
      </c>
      <c r="H549" s="77" t="s">
        <v>12556</v>
      </c>
      <c r="I549" s="34"/>
      <c r="J549" s="81" t="s">
        <v>12838</v>
      </c>
      <c r="K549" s="0" t="s">
        <v>12839</v>
      </c>
    </row>
    <row r="550" customFormat="false" ht="13.8" hidden="false" customHeight="false" outlineLevel="0" collapsed="false">
      <c r="A550" s="74"/>
      <c r="B550" s="74"/>
      <c r="C550" s="74"/>
      <c r="D550" s="57" t="s">
        <v>3792</v>
      </c>
      <c r="E550" s="57" t="s">
        <v>3792</v>
      </c>
      <c r="F550" s="57" t="s">
        <v>3792</v>
      </c>
      <c r="G550" s="57" t="s">
        <v>12840</v>
      </c>
      <c r="H550" s="77" t="s">
        <v>12841</v>
      </c>
      <c r="I550" s="37" t="s">
        <v>50</v>
      </c>
      <c r="J550" s="81" t="s">
        <v>12833</v>
      </c>
      <c r="K550" s="0" t="s">
        <v>12842</v>
      </c>
    </row>
    <row r="551" customFormat="false" ht="21.75" hidden="false" customHeight="false" outlineLevel="0" collapsed="false">
      <c r="A551" s="74"/>
      <c r="B551" s="74"/>
      <c r="C551" s="74"/>
      <c r="D551" s="57" t="s">
        <v>12843</v>
      </c>
      <c r="E551" s="57" t="s">
        <v>12844</v>
      </c>
      <c r="F551" s="57" t="s">
        <v>3797</v>
      </c>
      <c r="G551" s="57" t="s">
        <v>12845</v>
      </c>
      <c r="H551" s="77"/>
      <c r="I551" s="37"/>
      <c r="J551" s="81" t="s">
        <v>12846</v>
      </c>
      <c r="K551" s="0" t="s">
        <v>12847</v>
      </c>
    </row>
    <row r="552" customFormat="false" ht="13.8" hidden="false" customHeight="false" outlineLevel="0" collapsed="false">
      <c r="A552" s="74"/>
      <c r="B552" s="74"/>
      <c r="C552" s="74"/>
      <c r="E552" s="57" t="s">
        <v>3792</v>
      </c>
      <c r="F552" s="57" t="s">
        <v>3792</v>
      </c>
      <c r="G552" s="57" t="s">
        <v>12848</v>
      </c>
      <c r="H552" s="77" t="s">
        <v>12849</v>
      </c>
      <c r="I552" s="34" t="s">
        <v>40</v>
      </c>
      <c r="J552" s="81" t="s">
        <v>12850</v>
      </c>
      <c r="K552" s="0" t="s">
        <v>12851</v>
      </c>
    </row>
    <row r="553" customFormat="false" ht="21.75" hidden="false" customHeight="false" outlineLevel="0" collapsed="false">
      <c r="A553" s="74"/>
      <c r="B553" s="74" t="s">
        <v>12852</v>
      </c>
      <c r="C553" s="74" t="s">
        <v>12853</v>
      </c>
      <c r="D553" s="57" t="s">
        <v>12854</v>
      </c>
      <c r="E553" s="57" t="s">
        <v>12855</v>
      </c>
      <c r="F553" s="57" t="s">
        <v>3806</v>
      </c>
      <c r="G553" s="57" t="s">
        <v>12856</v>
      </c>
      <c r="H553" s="77"/>
      <c r="I553" s="34"/>
      <c r="J553" s="81" t="s">
        <v>12857</v>
      </c>
      <c r="K553" s="0" t="s">
        <v>12858</v>
      </c>
    </row>
    <row r="554" customFormat="false" ht="13.8" hidden="false" customHeight="false" outlineLevel="0" collapsed="false">
      <c r="A554" s="74"/>
      <c r="B554" s="74"/>
      <c r="C554" s="74"/>
      <c r="D554" s="57" t="s">
        <v>3792</v>
      </c>
      <c r="E554" s="57" t="s">
        <v>3792</v>
      </c>
      <c r="F554" s="57" t="s">
        <v>3792</v>
      </c>
      <c r="G554" s="57" t="s">
        <v>12859</v>
      </c>
      <c r="H554" s="77" t="s">
        <v>12860</v>
      </c>
      <c r="I554" s="39" t="s">
        <v>67</v>
      </c>
      <c r="J554" s="81" t="s">
        <v>12861</v>
      </c>
      <c r="K554" s="0" t="s">
        <v>12862</v>
      </c>
    </row>
    <row r="555" customFormat="false" ht="21.75" hidden="false" customHeight="false" outlineLevel="0" collapsed="false">
      <c r="A555" s="74"/>
      <c r="B555" s="74"/>
      <c r="C555" s="74"/>
      <c r="D555" s="57" t="s">
        <v>12863</v>
      </c>
      <c r="E555" s="57" t="s">
        <v>12864</v>
      </c>
      <c r="F555" s="57" t="s">
        <v>3787</v>
      </c>
      <c r="G555" s="57" t="s">
        <v>12865</v>
      </c>
      <c r="H555" s="77"/>
      <c r="I555" s="39"/>
      <c r="J555" s="81" t="s">
        <v>12866</v>
      </c>
      <c r="K555" s="0" t="s">
        <v>12867</v>
      </c>
    </row>
    <row r="556" customFormat="false" ht="13.8" hidden="false" customHeight="false" outlineLevel="0" collapsed="false">
      <c r="A556" s="74"/>
      <c r="B556" s="74"/>
      <c r="C556" s="74"/>
      <c r="D556" s="57" t="s">
        <v>3792</v>
      </c>
      <c r="E556" s="57" t="s">
        <v>3792</v>
      </c>
      <c r="F556" s="57" t="s">
        <v>3792</v>
      </c>
      <c r="G556" s="57" t="s">
        <v>12868</v>
      </c>
      <c r="H556" s="77" t="s">
        <v>12869</v>
      </c>
      <c r="I556" s="34" t="s">
        <v>40</v>
      </c>
      <c r="J556" s="81" t="s">
        <v>12870</v>
      </c>
      <c r="K556" s="0" t="s">
        <v>12871</v>
      </c>
    </row>
    <row r="557" customFormat="false" ht="21.75" hidden="false" customHeight="false" outlineLevel="0" collapsed="false">
      <c r="A557" s="74"/>
      <c r="B557" s="74"/>
      <c r="C557" s="74"/>
      <c r="D557" s="57" t="s">
        <v>12872</v>
      </c>
      <c r="E557" s="57" t="s">
        <v>12873</v>
      </c>
      <c r="F557" s="57" t="s">
        <v>3797</v>
      </c>
      <c r="G557" s="57" t="s">
        <v>12874</v>
      </c>
      <c r="H557" s="77"/>
      <c r="I557" s="34"/>
      <c r="J557" s="81" t="s">
        <v>12875</v>
      </c>
      <c r="K557" s="0" t="s">
        <v>12876</v>
      </c>
    </row>
    <row r="558" customFormat="false" ht="13.8" hidden="false" customHeight="false" outlineLevel="0" collapsed="false">
      <c r="A558" s="74"/>
      <c r="B558" s="74"/>
      <c r="C558" s="74"/>
      <c r="D558" s="57" t="s">
        <v>3792</v>
      </c>
      <c r="E558" s="57" t="s">
        <v>3792</v>
      </c>
      <c r="F558" s="57" t="s">
        <v>3792</v>
      </c>
      <c r="G558" s="57" t="s">
        <v>12877</v>
      </c>
      <c r="H558" s="77" t="s">
        <v>12878</v>
      </c>
      <c r="I558" s="37" t="s">
        <v>50</v>
      </c>
      <c r="J558" s="81" t="s">
        <v>12879</v>
      </c>
      <c r="K558" s="0" t="s">
        <v>12880</v>
      </c>
    </row>
    <row r="559" customFormat="false" ht="21.75" hidden="false" customHeight="false" outlineLevel="0" collapsed="false">
      <c r="A559" s="74"/>
      <c r="B559" s="74"/>
      <c r="C559" s="74"/>
      <c r="D559" s="57" t="s">
        <v>12881</v>
      </c>
      <c r="E559" s="57" t="s">
        <v>12882</v>
      </c>
      <c r="F559" s="57" t="s">
        <v>3806</v>
      </c>
      <c r="G559" s="57" t="s">
        <v>12883</v>
      </c>
      <c r="H559" s="77"/>
      <c r="I559" s="37"/>
      <c r="J559" s="81" t="s">
        <v>12884</v>
      </c>
      <c r="K559" s="0" t="s">
        <v>12885</v>
      </c>
    </row>
    <row r="560" customFormat="false" ht="13.8" hidden="false" customHeight="false" outlineLevel="0" collapsed="false">
      <c r="A560" s="74"/>
      <c r="B560" s="74"/>
      <c r="C560" s="74"/>
      <c r="D560" s="57" t="s">
        <v>3792</v>
      </c>
      <c r="E560" s="57" t="s">
        <v>3792</v>
      </c>
      <c r="F560" s="57" t="s">
        <v>3792</v>
      </c>
      <c r="G560" s="57" t="s">
        <v>12886</v>
      </c>
      <c r="H560" s="77" t="s">
        <v>12887</v>
      </c>
      <c r="I560" s="34" t="s">
        <v>40</v>
      </c>
      <c r="J560" s="81" t="s">
        <v>12888</v>
      </c>
      <c r="K560" s="0" t="s">
        <v>12889</v>
      </c>
    </row>
    <row r="561" customFormat="false" ht="21.75" hidden="false" customHeight="false" outlineLevel="0" collapsed="false">
      <c r="A561" s="74"/>
      <c r="B561" s="74"/>
      <c r="C561" s="74"/>
      <c r="D561" s="57" t="s">
        <v>12890</v>
      </c>
      <c r="E561" s="57" t="s">
        <v>12891</v>
      </c>
      <c r="F561" s="57" t="s">
        <v>3797</v>
      </c>
      <c r="G561" s="57" t="s">
        <v>12892</v>
      </c>
      <c r="H561" s="77"/>
      <c r="I561" s="34"/>
      <c r="J561" s="81" t="s">
        <v>12893</v>
      </c>
      <c r="K561" s="0" t="s">
        <v>12894</v>
      </c>
    </row>
    <row r="562" customFormat="false" ht="13.8" hidden="false" customHeight="false" outlineLevel="0" collapsed="false">
      <c r="A562" s="74"/>
      <c r="B562" s="74"/>
      <c r="C562" s="74"/>
      <c r="E562" s="57" t="s">
        <v>3792</v>
      </c>
      <c r="F562" s="57" t="s">
        <v>3792</v>
      </c>
      <c r="G562" s="57" t="s">
        <v>12895</v>
      </c>
      <c r="H562" s="77" t="s">
        <v>12896</v>
      </c>
      <c r="I562" s="39" t="s">
        <v>67</v>
      </c>
      <c r="J562" s="81" t="s">
        <v>12897</v>
      </c>
      <c r="K562" s="0" t="s">
        <v>12898</v>
      </c>
    </row>
    <row r="563" customFormat="false" ht="21.75" hidden="false" customHeight="true" outlineLevel="0" collapsed="false">
      <c r="A563" s="74"/>
      <c r="B563" s="74"/>
      <c r="C563" s="75" t="s">
        <v>12899</v>
      </c>
      <c r="D563" s="57" t="s">
        <v>12900</v>
      </c>
      <c r="E563" s="57" t="s">
        <v>12901</v>
      </c>
      <c r="F563" s="57" t="s">
        <v>3787</v>
      </c>
      <c r="G563" s="57" t="s">
        <v>12902</v>
      </c>
      <c r="H563" s="77"/>
      <c r="I563" s="39"/>
      <c r="J563" s="81" t="s">
        <v>12903</v>
      </c>
      <c r="K563" s="0" t="s">
        <v>12904</v>
      </c>
    </row>
    <row r="564" customFormat="false" ht="13.8" hidden="false" customHeight="false" outlineLevel="0" collapsed="false">
      <c r="A564" s="74"/>
      <c r="B564" s="74"/>
      <c r="C564" s="74"/>
      <c r="D564" s="57" t="s">
        <v>3792</v>
      </c>
      <c r="E564" s="57" t="s">
        <v>3792</v>
      </c>
      <c r="F564" s="57" t="s">
        <v>3792</v>
      </c>
      <c r="G564" s="57" t="s">
        <v>12905</v>
      </c>
      <c r="H564" s="77" t="s">
        <v>12906</v>
      </c>
      <c r="I564" s="34" t="s">
        <v>40</v>
      </c>
      <c r="J564" s="81" t="s">
        <v>12907</v>
      </c>
      <c r="K564" s="0" t="s">
        <v>12908</v>
      </c>
    </row>
    <row r="565" customFormat="false" ht="21.75" hidden="false" customHeight="false" outlineLevel="0" collapsed="false">
      <c r="A565" s="74"/>
      <c r="B565" s="74"/>
      <c r="C565" s="74"/>
      <c r="D565" s="57" t="s">
        <v>12909</v>
      </c>
      <c r="E565" s="57" t="s">
        <v>12910</v>
      </c>
      <c r="F565" s="57" t="s">
        <v>3806</v>
      </c>
      <c r="G565" s="57" t="s">
        <v>12911</v>
      </c>
      <c r="H565" s="77" t="s">
        <v>12556</v>
      </c>
      <c r="I565" s="34"/>
      <c r="J565" s="81" t="s">
        <v>12912</v>
      </c>
      <c r="K565" s="0" t="s">
        <v>12913</v>
      </c>
    </row>
    <row r="566" customFormat="false" ht="13.8" hidden="false" customHeight="false" outlineLevel="0" collapsed="false">
      <c r="A566" s="74"/>
      <c r="B566" s="74"/>
      <c r="C566" s="74"/>
      <c r="D566" s="57" t="s">
        <v>3792</v>
      </c>
      <c r="E566" s="57" t="s">
        <v>3792</v>
      </c>
      <c r="F566" s="57" t="s">
        <v>3792</v>
      </c>
      <c r="G566" s="57" t="s">
        <v>12914</v>
      </c>
      <c r="H566" s="77" t="s">
        <v>12915</v>
      </c>
      <c r="I566" s="37" t="s">
        <v>50</v>
      </c>
      <c r="J566" s="81" t="s">
        <v>12916</v>
      </c>
      <c r="K566" s="0" t="s">
        <v>12917</v>
      </c>
    </row>
    <row r="567" customFormat="false" ht="21.75" hidden="false" customHeight="false" outlineLevel="0" collapsed="false">
      <c r="A567" s="74"/>
      <c r="B567" s="74"/>
      <c r="C567" s="74"/>
      <c r="D567" s="57" t="s">
        <v>12918</v>
      </c>
      <c r="E567" s="57" t="s">
        <v>12919</v>
      </c>
      <c r="F567" s="57" t="s">
        <v>3787</v>
      </c>
      <c r="G567" s="57" t="s">
        <v>12660</v>
      </c>
      <c r="H567" s="77"/>
      <c r="I567" s="37"/>
      <c r="J567" s="81" t="s">
        <v>12920</v>
      </c>
      <c r="K567" s="0" t="s">
        <v>12921</v>
      </c>
    </row>
    <row r="568" customFormat="false" ht="13.8" hidden="false" customHeight="false" outlineLevel="0" collapsed="false">
      <c r="A568" s="74"/>
      <c r="B568" s="74"/>
      <c r="C568" s="74"/>
      <c r="D568" s="57" t="s">
        <v>3792</v>
      </c>
      <c r="E568" s="57" t="s">
        <v>3792</v>
      </c>
      <c r="F568" s="57" t="s">
        <v>3792</v>
      </c>
      <c r="G568" s="57" t="s">
        <v>12922</v>
      </c>
      <c r="H568" s="77" t="s">
        <v>12923</v>
      </c>
      <c r="I568" s="34" t="s">
        <v>40</v>
      </c>
      <c r="J568" s="81" t="s">
        <v>12924</v>
      </c>
      <c r="K568" s="0" t="s">
        <v>12925</v>
      </c>
    </row>
    <row r="569" customFormat="false" ht="21.75" hidden="false" customHeight="false" outlineLevel="0" collapsed="false">
      <c r="A569" s="74"/>
      <c r="B569" s="74"/>
      <c r="C569" s="74"/>
      <c r="D569" s="57" t="s">
        <v>12926</v>
      </c>
      <c r="E569" s="57" t="s">
        <v>12927</v>
      </c>
      <c r="F569" s="57" t="s">
        <v>3806</v>
      </c>
      <c r="G569" s="57" t="s">
        <v>12928</v>
      </c>
      <c r="H569" s="77"/>
      <c r="I569" s="34"/>
      <c r="J569" s="81" t="s">
        <v>12929</v>
      </c>
      <c r="K569" s="0" t="s">
        <v>12930</v>
      </c>
    </row>
    <row r="570" customFormat="false" ht="13.8" hidden="false" customHeight="false" outlineLevel="0" collapsed="false">
      <c r="A570" s="74"/>
      <c r="B570" s="74"/>
      <c r="C570" s="74"/>
      <c r="D570" s="57" t="s">
        <v>3792</v>
      </c>
      <c r="E570" s="57" t="s">
        <v>3792</v>
      </c>
      <c r="F570" s="57" t="s">
        <v>3792</v>
      </c>
      <c r="G570" s="57" t="s">
        <v>12931</v>
      </c>
      <c r="H570" s="77" t="s">
        <v>12932</v>
      </c>
      <c r="I570" s="39" t="s">
        <v>67</v>
      </c>
      <c r="J570" s="81" t="s">
        <v>12933</v>
      </c>
      <c r="K570" s="0" t="s">
        <v>12934</v>
      </c>
    </row>
    <row r="571" customFormat="false" ht="21.75" hidden="false" customHeight="false" outlineLevel="0" collapsed="false">
      <c r="A571" s="74"/>
      <c r="B571" s="74"/>
      <c r="C571" s="74"/>
      <c r="D571" s="57" t="s">
        <v>12935</v>
      </c>
      <c r="E571" s="57" t="s">
        <v>12936</v>
      </c>
      <c r="F571" s="57" t="s">
        <v>3797</v>
      </c>
      <c r="G571" s="57" t="s">
        <v>12937</v>
      </c>
      <c r="H571" s="77"/>
      <c r="I571" s="39"/>
      <c r="J571" s="81" t="s">
        <v>12938</v>
      </c>
      <c r="K571" s="0" t="s">
        <v>12939</v>
      </c>
    </row>
    <row r="572" customFormat="false" ht="13.8" hidden="false" customHeight="false" outlineLevel="0" collapsed="false">
      <c r="A572" s="74"/>
      <c r="B572" s="74"/>
      <c r="C572" s="74"/>
      <c r="E572" s="57" t="s">
        <v>3792</v>
      </c>
      <c r="F572" s="57" t="s">
        <v>3792</v>
      </c>
      <c r="G572" s="57" t="s">
        <v>12940</v>
      </c>
      <c r="H572" s="77" t="s">
        <v>12941</v>
      </c>
      <c r="I572" s="34" t="s">
        <v>40</v>
      </c>
      <c r="J572" s="81" t="s">
        <v>12942</v>
      </c>
      <c r="K572" s="0" t="s">
        <v>12943</v>
      </c>
    </row>
    <row r="573" customFormat="false" ht="21.75" hidden="false" customHeight="false" outlineLevel="0" collapsed="false">
      <c r="A573" s="74"/>
      <c r="B573" s="74"/>
      <c r="C573" s="74" t="s">
        <v>12944</v>
      </c>
      <c r="D573" s="57" t="s">
        <v>12945</v>
      </c>
      <c r="E573" s="57" t="s">
        <v>12946</v>
      </c>
      <c r="F573" s="57" t="s">
        <v>3787</v>
      </c>
      <c r="G573" s="57" t="s">
        <v>12947</v>
      </c>
      <c r="H573" s="77"/>
      <c r="I573" s="34"/>
      <c r="J573" s="81" t="s">
        <v>12948</v>
      </c>
      <c r="K573" s="0" t="s">
        <v>12949</v>
      </c>
    </row>
    <row r="574" customFormat="false" ht="13.8" hidden="false" customHeight="false" outlineLevel="0" collapsed="false">
      <c r="A574" s="74"/>
      <c r="B574" s="74"/>
      <c r="C574" s="74"/>
      <c r="D574" s="57" t="s">
        <v>3792</v>
      </c>
      <c r="E574" s="57" t="s">
        <v>3792</v>
      </c>
      <c r="F574" s="57" t="s">
        <v>3792</v>
      </c>
      <c r="G574" s="57" t="s">
        <v>12950</v>
      </c>
      <c r="H574" s="77" t="s">
        <v>12951</v>
      </c>
      <c r="I574" s="37" t="s">
        <v>50</v>
      </c>
      <c r="J574" s="81" t="s">
        <v>12952</v>
      </c>
      <c r="K574" s="0" t="s">
        <v>12953</v>
      </c>
    </row>
    <row r="575" customFormat="false" ht="21.75" hidden="false" customHeight="false" outlineLevel="0" collapsed="false">
      <c r="A575" s="74"/>
      <c r="B575" s="74"/>
      <c r="C575" s="74"/>
      <c r="D575" s="57" t="s">
        <v>12954</v>
      </c>
      <c r="E575" s="57" t="s">
        <v>12955</v>
      </c>
      <c r="F575" s="57" t="s">
        <v>3797</v>
      </c>
      <c r="G575" s="57" t="s">
        <v>12956</v>
      </c>
      <c r="H575" s="77"/>
      <c r="I575" s="37"/>
      <c r="J575" s="81" t="s">
        <v>12957</v>
      </c>
      <c r="K575" s="0" t="s">
        <v>12958</v>
      </c>
    </row>
    <row r="576" customFormat="false" ht="13.8" hidden="false" customHeight="false" outlineLevel="0" collapsed="false">
      <c r="A576" s="74"/>
      <c r="B576" s="74"/>
      <c r="C576" s="74"/>
      <c r="D576" s="57" t="s">
        <v>3792</v>
      </c>
      <c r="E576" s="57" t="s">
        <v>3792</v>
      </c>
      <c r="F576" s="57" t="s">
        <v>3792</v>
      </c>
      <c r="G576" s="57" t="s">
        <v>12959</v>
      </c>
      <c r="H576" s="77" t="s">
        <v>12960</v>
      </c>
      <c r="I576" s="34" t="s">
        <v>40</v>
      </c>
      <c r="J576" s="81" t="s">
        <v>12961</v>
      </c>
      <c r="K576" s="0" t="s">
        <v>12962</v>
      </c>
    </row>
    <row r="577" customFormat="false" ht="21.75" hidden="false" customHeight="false" outlineLevel="0" collapsed="false">
      <c r="A577" s="74"/>
      <c r="B577" s="74"/>
      <c r="C577" s="74"/>
      <c r="D577" s="57" t="s">
        <v>12963</v>
      </c>
      <c r="E577" s="57" t="s">
        <v>12964</v>
      </c>
      <c r="F577" s="57" t="s">
        <v>3806</v>
      </c>
      <c r="G577" s="57" t="s">
        <v>12965</v>
      </c>
      <c r="H577" s="77"/>
      <c r="I577" s="34"/>
      <c r="J577" s="81" t="s">
        <v>12966</v>
      </c>
      <c r="K577" s="0" t="s">
        <v>12967</v>
      </c>
    </row>
    <row r="578" customFormat="false" ht="13.8" hidden="false" customHeight="false" outlineLevel="0" collapsed="false">
      <c r="A578" s="74"/>
      <c r="B578" s="74"/>
      <c r="C578" s="74"/>
      <c r="D578" s="57" t="s">
        <v>3792</v>
      </c>
      <c r="E578" s="57" t="s">
        <v>3792</v>
      </c>
      <c r="F578" s="57" t="s">
        <v>3792</v>
      </c>
      <c r="G578" s="57" t="s">
        <v>12968</v>
      </c>
      <c r="H578" s="77" t="s">
        <v>12969</v>
      </c>
      <c r="I578" s="39" t="s">
        <v>67</v>
      </c>
      <c r="J578" s="81" t="s">
        <v>12970</v>
      </c>
      <c r="K578" s="0" t="s">
        <v>12971</v>
      </c>
    </row>
    <row r="579" customFormat="false" ht="21.75" hidden="false" customHeight="false" outlineLevel="0" collapsed="false">
      <c r="A579" s="74"/>
      <c r="B579" s="74"/>
      <c r="C579" s="74"/>
      <c r="D579" s="57" t="s">
        <v>12972</v>
      </c>
      <c r="E579" s="57" t="s">
        <v>12973</v>
      </c>
      <c r="F579" s="57" t="s">
        <v>3787</v>
      </c>
      <c r="G579" s="57" t="s">
        <v>12974</v>
      </c>
      <c r="H579" s="77" t="s">
        <v>12556</v>
      </c>
      <c r="I579" s="39"/>
      <c r="J579" s="81" t="s">
        <v>12975</v>
      </c>
      <c r="K579" s="0" t="s">
        <v>12976</v>
      </c>
    </row>
    <row r="580" customFormat="false" ht="13.8" hidden="false" customHeight="false" outlineLevel="0" collapsed="false">
      <c r="A580" s="74"/>
      <c r="B580" s="74"/>
      <c r="C580" s="74"/>
      <c r="D580" s="57" t="s">
        <v>3792</v>
      </c>
      <c r="E580" s="57" t="s">
        <v>3792</v>
      </c>
      <c r="F580" s="57" t="s">
        <v>3792</v>
      </c>
      <c r="G580" s="57" t="s">
        <v>12977</v>
      </c>
      <c r="H580" s="77" t="s">
        <v>12978</v>
      </c>
      <c r="I580" s="34" t="s">
        <v>40</v>
      </c>
      <c r="J580" s="81" t="s">
        <v>12979</v>
      </c>
      <c r="K580" s="0" t="s">
        <v>12980</v>
      </c>
    </row>
    <row r="581" customFormat="false" ht="21.75" hidden="false" customHeight="false" outlineLevel="0" collapsed="false">
      <c r="A581" s="74"/>
      <c r="B581" s="74"/>
      <c r="C581" s="74"/>
      <c r="D581" s="57" t="s">
        <v>12981</v>
      </c>
      <c r="E581" s="57" t="s">
        <v>12982</v>
      </c>
      <c r="F581" s="57" t="s">
        <v>3797</v>
      </c>
      <c r="G581" s="57" t="s">
        <v>12983</v>
      </c>
      <c r="H581" s="77" t="s">
        <v>12556</v>
      </c>
      <c r="I581" s="34"/>
      <c r="J581" s="81" t="s">
        <v>12984</v>
      </c>
      <c r="K581" s="0" t="s">
        <v>12985</v>
      </c>
    </row>
    <row r="582" customFormat="false" ht="13.8" hidden="false" customHeight="false" outlineLevel="0" collapsed="false">
      <c r="A582" s="74"/>
      <c r="B582" s="74"/>
      <c r="C582" s="74"/>
      <c r="E582" s="57" t="s">
        <v>3792</v>
      </c>
      <c r="F582" s="57" t="s">
        <v>3792</v>
      </c>
      <c r="G582" s="57" t="s">
        <v>12986</v>
      </c>
      <c r="H582" s="77" t="s">
        <v>12987</v>
      </c>
      <c r="I582" s="37" t="s">
        <v>50</v>
      </c>
      <c r="J582" s="81" t="s">
        <v>12988</v>
      </c>
      <c r="K582" s="0" t="s">
        <v>12989</v>
      </c>
    </row>
    <row r="583" customFormat="false" ht="21.75" hidden="false" customHeight="false" outlineLevel="0" collapsed="false">
      <c r="A583" s="74"/>
      <c r="B583" s="74"/>
      <c r="C583" s="74" t="s">
        <v>12990</v>
      </c>
      <c r="D583" s="57" t="s">
        <v>12991</v>
      </c>
      <c r="E583" s="57" t="s">
        <v>12992</v>
      </c>
      <c r="F583" s="57" t="s">
        <v>3806</v>
      </c>
      <c r="G583" s="57" t="s">
        <v>12993</v>
      </c>
      <c r="H583" s="77"/>
      <c r="I583" s="37"/>
      <c r="J583" s="81" t="s">
        <v>12994</v>
      </c>
      <c r="K583" s="0" t="s">
        <v>12995</v>
      </c>
    </row>
    <row r="584" customFormat="false" ht="13.8" hidden="false" customHeight="false" outlineLevel="0" collapsed="false">
      <c r="A584" s="74"/>
      <c r="B584" s="74"/>
      <c r="C584" s="74"/>
      <c r="D584" s="57" t="s">
        <v>3792</v>
      </c>
      <c r="E584" s="57" t="s">
        <v>3792</v>
      </c>
      <c r="F584" s="57" t="s">
        <v>3792</v>
      </c>
      <c r="G584" s="57" t="s">
        <v>12996</v>
      </c>
      <c r="H584" s="77" t="s">
        <v>12997</v>
      </c>
      <c r="I584" s="34" t="s">
        <v>40</v>
      </c>
      <c r="J584" s="81" t="s">
        <v>12998</v>
      </c>
      <c r="K584" s="0" t="s">
        <v>12999</v>
      </c>
    </row>
    <row r="585" customFormat="false" ht="21.75" hidden="false" customHeight="false" outlineLevel="0" collapsed="false">
      <c r="A585" s="74"/>
      <c r="B585" s="74"/>
      <c r="C585" s="74"/>
      <c r="D585" s="57" t="s">
        <v>13000</v>
      </c>
      <c r="E585" s="57" t="s">
        <v>13001</v>
      </c>
      <c r="F585" s="57" t="s">
        <v>3797</v>
      </c>
      <c r="G585" s="57" t="s">
        <v>13002</v>
      </c>
      <c r="H585" s="77" t="s">
        <v>12525</v>
      </c>
      <c r="I585" s="34"/>
      <c r="J585" s="81" t="s">
        <v>13003</v>
      </c>
      <c r="K585" s="0" t="s">
        <v>13004</v>
      </c>
    </row>
    <row r="586" customFormat="false" ht="13.8" hidden="false" customHeight="false" outlineLevel="0" collapsed="false">
      <c r="A586" s="74"/>
      <c r="B586" s="74"/>
      <c r="C586" s="74"/>
      <c r="D586" s="57" t="s">
        <v>3792</v>
      </c>
      <c r="E586" s="57" t="s">
        <v>3792</v>
      </c>
      <c r="F586" s="57" t="s">
        <v>3792</v>
      </c>
      <c r="G586" s="57" t="s">
        <v>13005</v>
      </c>
      <c r="H586" s="77" t="s">
        <v>13006</v>
      </c>
      <c r="I586" s="39" t="s">
        <v>67</v>
      </c>
      <c r="J586" s="81" t="s">
        <v>13007</v>
      </c>
      <c r="K586" s="0" t="s">
        <v>13008</v>
      </c>
    </row>
    <row r="587" customFormat="false" ht="21.75" hidden="false" customHeight="false" outlineLevel="0" collapsed="false">
      <c r="A587" s="74"/>
      <c r="B587" s="74"/>
      <c r="C587" s="74"/>
      <c r="D587" s="57" t="s">
        <v>13009</v>
      </c>
      <c r="E587" s="57" t="s">
        <v>13010</v>
      </c>
      <c r="F587" s="57" t="s">
        <v>3787</v>
      </c>
      <c r="G587" s="57" t="s">
        <v>13011</v>
      </c>
      <c r="H587" s="77"/>
      <c r="I587" s="39"/>
      <c r="J587" s="81" t="s">
        <v>13012</v>
      </c>
      <c r="K587" s="0" t="s">
        <v>13013</v>
      </c>
    </row>
    <row r="588" customFormat="false" ht="13.8" hidden="false" customHeight="false" outlineLevel="0" collapsed="false">
      <c r="A588" s="74"/>
      <c r="B588" s="74"/>
      <c r="C588" s="74"/>
      <c r="D588" s="57" t="s">
        <v>3792</v>
      </c>
      <c r="E588" s="57" t="s">
        <v>3792</v>
      </c>
      <c r="F588" s="57" t="s">
        <v>3792</v>
      </c>
      <c r="G588" s="57" t="s">
        <v>13014</v>
      </c>
      <c r="H588" s="77" t="s">
        <v>13015</v>
      </c>
      <c r="I588" s="34" t="s">
        <v>40</v>
      </c>
      <c r="J588" s="81" t="s">
        <v>13016</v>
      </c>
      <c r="K588" s="0" t="s">
        <v>13017</v>
      </c>
    </row>
    <row r="589" customFormat="false" ht="21.75" hidden="false" customHeight="false" outlineLevel="0" collapsed="false">
      <c r="A589" s="74"/>
      <c r="B589" s="74"/>
      <c r="C589" s="74"/>
      <c r="D589" s="57" t="s">
        <v>13018</v>
      </c>
      <c r="E589" s="57" t="s">
        <v>13019</v>
      </c>
      <c r="F589" s="57" t="s">
        <v>3806</v>
      </c>
      <c r="G589" s="57" t="s">
        <v>13020</v>
      </c>
      <c r="H589" s="77"/>
      <c r="I589" s="34"/>
      <c r="J589" s="81" t="s">
        <v>13021</v>
      </c>
      <c r="K589" s="0" t="s">
        <v>13022</v>
      </c>
    </row>
    <row r="590" customFormat="false" ht="13.8" hidden="false" customHeight="false" outlineLevel="0" collapsed="false">
      <c r="A590" s="74"/>
      <c r="B590" s="74"/>
      <c r="C590" s="74"/>
      <c r="D590" s="57" t="s">
        <v>3792</v>
      </c>
      <c r="E590" s="57" t="s">
        <v>3792</v>
      </c>
      <c r="F590" s="57" t="s">
        <v>3792</v>
      </c>
      <c r="G590" s="57" t="s">
        <v>13023</v>
      </c>
      <c r="H590" s="77" t="s">
        <v>13024</v>
      </c>
      <c r="I590" s="37" t="s">
        <v>50</v>
      </c>
      <c r="J590" s="81" t="s">
        <v>13025</v>
      </c>
      <c r="K590" s="0" t="s">
        <v>13026</v>
      </c>
    </row>
    <row r="591" customFormat="false" ht="21.75" hidden="false" customHeight="false" outlineLevel="0" collapsed="false">
      <c r="A591" s="74"/>
      <c r="B591" s="74"/>
      <c r="C591" s="74"/>
      <c r="D591" s="57" t="s">
        <v>13027</v>
      </c>
      <c r="E591" s="57" t="s">
        <v>13028</v>
      </c>
      <c r="F591" s="57" t="s">
        <v>3787</v>
      </c>
      <c r="G591" s="57" t="s">
        <v>13029</v>
      </c>
      <c r="H591" s="77" t="s">
        <v>12556</v>
      </c>
      <c r="I591" s="37"/>
      <c r="J591" s="81" t="s">
        <v>13030</v>
      </c>
      <c r="K591" s="0" t="s">
        <v>13031</v>
      </c>
    </row>
    <row r="592" customFormat="false" ht="13.8" hidden="false" customHeight="false" outlineLevel="0" collapsed="false">
      <c r="A592" s="74"/>
      <c r="B592" s="74"/>
      <c r="C592" s="74"/>
      <c r="E592" s="57" t="s">
        <v>3792</v>
      </c>
      <c r="F592" s="57" t="s">
        <v>3792</v>
      </c>
      <c r="G592" s="57" t="s">
        <v>13032</v>
      </c>
      <c r="H592" s="77" t="s">
        <v>13033</v>
      </c>
      <c r="I592" s="34" t="s">
        <v>40</v>
      </c>
      <c r="J592" s="81" t="s">
        <v>13034</v>
      </c>
      <c r="K592" s="0" t="s">
        <v>13035</v>
      </c>
    </row>
    <row r="593" customFormat="false" ht="21.75" hidden="false" customHeight="false" outlineLevel="0" collapsed="false">
      <c r="A593" s="74"/>
      <c r="B593" s="74"/>
      <c r="C593" s="74" t="s">
        <v>13036</v>
      </c>
      <c r="D593" s="57" t="s">
        <v>13037</v>
      </c>
      <c r="E593" s="57" t="s">
        <v>13038</v>
      </c>
      <c r="F593" s="57" t="s">
        <v>3797</v>
      </c>
      <c r="G593" s="57" t="s">
        <v>13039</v>
      </c>
      <c r="H593" s="77" t="s">
        <v>12556</v>
      </c>
      <c r="I593" s="34"/>
      <c r="J593" s="81" t="s">
        <v>13040</v>
      </c>
      <c r="K593" s="0" t="s">
        <v>13041</v>
      </c>
    </row>
    <row r="594" customFormat="false" ht="13.8" hidden="false" customHeight="false" outlineLevel="0" collapsed="false">
      <c r="A594" s="74"/>
      <c r="B594" s="74"/>
      <c r="C594" s="74"/>
      <c r="D594" s="57" t="s">
        <v>3792</v>
      </c>
      <c r="E594" s="57" t="s">
        <v>3792</v>
      </c>
      <c r="F594" s="57" t="s">
        <v>3792</v>
      </c>
      <c r="G594" s="57" t="s">
        <v>13042</v>
      </c>
      <c r="H594" s="77" t="s">
        <v>13043</v>
      </c>
      <c r="I594" s="39" t="s">
        <v>67</v>
      </c>
      <c r="J594" s="81" t="s">
        <v>13044</v>
      </c>
      <c r="K594" s="0" t="s">
        <v>13045</v>
      </c>
    </row>
    <row r="595" customFormat="false" ht="21.75" hidden="false" customHeight="false" outlineLevel="0" collapsed="false">
      <c r="A595" s="74"/>
      <c r="B595" s="74"/>
      <c r="C595" s="74"/>
      <c r="D595" s="57" t="s">
        <v>13046</v>
      </c>
      <c r="E595" s="57" t="s">
        <v>13047</v>
      </c>
      <c r="F595" s="57" t="s">
        <v>3806</v>
      </c>
      <c r="G595" s="57" t="s">
        <v>13048</v>
      </c>
      <c r="H595" s="77"/>
      <c r="I595" s="39"/>
      <c r="J595" s="81" t="s">
        <v>13049</v>
      </c>
      <c r="K595" s="0" t="s">
        <v>13050</v>
      </c>
    </row>
    <row r="596" customFormat="false" ht="13.8" hidden="false" customHeight="false" outlineLevel="0" collapsed="false">
      <c r="A596" s="74"/>
      <c r="B596" s="74"/>
      <c r="C596" s="74"/>
      <c r="D596" s="57" t="s">
        <v>3792</v>
      </c>
      <c r="E596" s="57" t="s">
        <v>3792</v>
      </c>
      <c r="F596" s="57" t="s">
        <v>3792</v>
      </c>
      <c r="G596" s="57" t="s">
        <v>13051</v>
      </c>
      <c r="H596" s="77" t="s">
        <v>13052</v>
      </c>
      <c r="I596" s="34" t="s">
        <v>40</v>
      </c>
      <c r="J596" s="81" t="s">
        <v>13053</v>
      </c>
      <c r="K596" s="0" t="s">
        <v>13054</v>
      </c>
    </row>
    <row r="597" customFormat="false" ht="21.75" hidden="false" customHeight="false" outlineLevel="0" collapsed="false">
      <c r="A597" s="74"/>
      <c r="B597" s="74"/>
      <c r="C597" s="74"/>
      <c r="D597" s="57" t="s">
        <v>13055</v>
      </c>
      <c r="E597" s="57" t="s">
        <v>13056</v>
      </c>
      <c r="F597" s="57" t="s">
        <v>3787</v>
      </c>
      <c r="G597" s="57" t="s">
        <v>13057</v>
      </c>
      <c r="H597" s="77"/>
      <c r="I597" s="34"/>
      <c r="J597" s="81" t="s">
        <v>13058</v>
      </c>
      <c r="K597" s="0" t="s">
        <v>13059</v>
      </c>
    </row>
    <row r="598" customFormat="false" ht="13.8" hidden="false" customHeight="false" outlineLevel="0" collapsed="false">
      <c r="A598" s="74"/>
      <c r="B598" s="74"/>
      <c r="C598" s="74"/>
      <c r="D598" s="57" t="s">
        <v>3792</v>
      </c>
      <c r="E598" s="57" t="s">
        <v>3792</v>
      </c>
      <c r="F598" s="57" t="s">
        <v>3792</v>
      </c>
      <c r="G598" s="57" t="s">
        <v>13060</v>
      </c>
      <c r="H598" s="77" t="s">
        <v>13061</v>
      </c>
      <c r="I598" s="37" t="s">
        <v>50</v>
      </c>
      <c r="J598" s="81" t="s">
        <v>13062</v>
      </c>
      <c r="K598" s="0" t="s">
        <v>13063</v>
      </c>
    </row>
    <row r="599" customFormat="false" ht="21.75" hidden="false" customHeight="false" outlineLevel="0" collapsed="false">
      <c r="A599" s="74"/>
      <c r="B599" s="74"/>
      <c r="C599" s="74"/>
      <c r="D599" s="57" t="s">
        <v>13064</v>
      </c>
      <c r="E599" s="57" t="s">
        <v>13065</v>
      </c>
      <c r="F599" s="57" t="s">
        <v>3806</v>
      </c>
      <c r="G599" s="57" t="s">
        <v>13066</v>
      </c>
      <c r="H599" s="77"/>
      <c r="I599" s="37"/>
      <c r="J599" s="81" t="s">
        <v>13067</v>
      </c>
      <c r="K599" s="0" t="s">
        <v>13068</v>
      </c>
    </row>
    <row r="600" customFormat="false" ht="13.8" hidden="false" customHeight="false" outlineLevel="0" collapsed="false">
      <c r="A600" s="74"/>
      <c r="B600" s="74"/>
      <c r="C600" s="74"/>
      <c r="D600" s="57" t="s">
        <v>3792</v>
      </c>
      <c r="E600" s="57" t="s">
        <v>3792</v>
      </c>
      <c r="F600" s="57" t="s">
        <v>3792</v>
      </c>
      <c r="G600" s="57" t="s">
        <v>13069</v>
      </c>
      <c r="H600" s="77" t="s">
        <v>13070</v>
      </c>
      <c r="I600" s="34" t="s">
        <v>40</v>
      </c>
      <c r="J600" s="81" t="s">
        <v>13071</v>
      </c>
      <c r="K600" s="0" t="s">
        <v>13072</v>
      </c>
    </row>
    <row r="601" customFormat="false" ht="21.75" hidden="false" customHeight="false" outlineLevel="0" collapsed="false">
      <c r="A601" s="74"/>
      <c r="B601" s="74"/>
      <c r="C601" s="74"/>
      <c r="D601" s="57" t="s">
        <v>13073</v>
      </c>
      <c r="E601" s="57" t="s">
        <v>13074</v>
      </c>
      <c r="F601" s="57" t="s">
        <v>3797</v>
      </c>
      <c r="G601" s="57" t="s">
        <v>13075</v>
      </c>
      <c r="H601" s="77"/>
      <c r="I601" s="34"/>
      <c r="J601" s="81" t="s">
        <v>13076</v>
      </c>
      <c r="K601" s="0" t="s">
        <v>13077</v>
      </c>
    </row>
    <row r="602" customFormat="false" ht="12.8" hidden="false" customHeight="false" outlineLevel="0" collapsed="false">
      <c r="A602" s="74"/>
      <c r="B602" s="74"/>
      <c r="C602" s="74"/>
      <c r="E602" s="57" t="s">
        <v>3792</v>
      </c>
      <c r="F602" s="57" t="s">
        <v>3792</v>
      </c>
      <c r="G602" s="0" t="s">
        <v>13078</v>
      </c>
    </row>
    <row r="603" customFormat="false" ht="12.8" hidden="false" customHeight="false" outlineLevel="0" collapsed="false">
      <c r="F603" s="57"/>
    </row>
    <row r="604" customFormat="false" ht="12.8" hidden="false" customHeight="false" outlineLevel="0" collapsed="false">
      <c r="F604" s="57"/>
    </row>
    <row r="605" customFormat="false" ht="12.8" hidden="false" customHeight="false" outlineLevel="0" collapsed="false">
      <c r="F605" s="57"/>
    </row>
    <row r="606" customFormat="false" ht="12.8" hidden="false" customHeight="false" outlineLevel="0" collapsed="false">
      <c r="F606" s="57"/>
    </row>
    <row r="607" customFormat="false" ht="12.8" hidden="false" customHeight="false" outlineLevel="0" collapsed="false">
      <c r="F607" s="57"/>
    </row>
    <row r="608" customFormat="false" ht="12.8" hidden="false" customHeight="false" outlineLevel="0" collapsed="false">
      <c r="F608" s="57"/>
    </row>
    <row r="609" customFormat="false" ht="12.8" hidden="false" customHeight="false" outlineLevel="0" collapsed="false">
      <c r="F609" s="57"/>
    </row>
    <row r="610" customFormat="false" ht="12.8" hidden="false" customHeight="false" outlineLevel="0" collapsed="false">
      <c r="F610" s="57"/>
    </row>
    <row r="611" customFormat="false" ht="12.8" hidden="false" customHeight="false" outlineLevel="0" collapsed="false">
      <c r="F611" s="57"/>
    </row>
    <row r="612" customFormat="false" ht="12.8" hidden="false" customHeight="false" outlineLevel="0" collapsed="false">
      <c r="F612" s="57"/>
    </row>
    <row r="613" customFormat="false" ht="12.8" hidden="false" customHeight="false" outlineLevel="0" collapsed="false">
      <c r="F613" s="57"/>
    </row>
    <row r="614" customFormat="false" ht="12.8" hidden="false" customHeight="false" outlineLevel="0" collapsed="false">
      <c r="F614" s="57"/>
    </row>
    <row r="615" customFormat="false" ht="12.8" hidden="false" customHeight="false" outlineLevel="0" collapsed="false">
      <c r="F615" s="57"/>
    </row>
    <row r="616" customFormat="false" ht="12.8" hidden="false" customHeight="false" outlineLevel="0" collapsed="false">
      <c r="F616" s="57"/>
    </row>
    <row r="617" customFormat="false" ht="12.8" hidden="false" customHeight="false" outlineLevel="0" collapsed="false">
      <c r="F617" s="57"/>
    </row>
    <row r="618" customFormat="false" ht="12.8" hidden="false" customHeight="false" outlineLevel="0" collapsed="false">
      <c r="F618" s="57"/>
    </row>
    <row r="619" customFormat="false" ht="12.8" hidden="false" customHeight="false" outlineLevel="0" collapsed="false">
      <c r="F619" s="57"/>
    </row>
    <row r="620" customFormat="false" ht="12.8" hidden="false" customHeight="false" outlineLevel="0" collapsed="false">
      <c r="F620" s="57"/>
    </row>
    <row r="621" customFormat="false" ht="12.8" hidden="false" customHeight="false" outlineLevel="0" collapsed="false">
      <c r="F621" s="57"/>
    </row>
    <row r="622" customFormat="false" ht="12.8" hidden="false" customHeight="false" outlineLevel="0" collapsed="false">
      <c r="F622" s="57"/>
    </row>
    <row r="623" customFormat="false" ht="12.8" hidden="false" customHeight="false" outlineLevel="0" collapsed="false">
      <c r="F623" s="57"/>
    </row>
    <row r="624" customFormat="false" ht="12.8" hidden="false" customHeight="false" outlineLevel="0" collapsed="false">
      <c r="F624" s="57"/>
    </row>
    <row r="625" customFormat="false" ht="12.8" hidden="false" customHeight="false" outlineLevel="0" collapsed="false">
      <c r="F625" s="57"/>
    </row>
    <row r="626" customFormat="false" ht="12.8" hidden="false" customHeight="false" outlineLevel="0" collapsed="false">
      <c r="F626" s="57"/>
    </row>
    <row r="627" customFormat="false" ht="12.8" hidden="false" customHeight="false" outlineLevel="0" collapsed="false">
      <c r="F627" s="57"/>
    </row>
    <row r="628" customFormat="false" ht="12.8" hidden="false" customHeight="false" outlineLevel="0" collapsed="false">
      <c r="F628" s="57"/>
    </row>
    <row r="629" customFormat="false" ht="12.8" hidden="false" customHeight="false" outlineLevel="0" collapsed="false">
      <c r="F629" s="57"/>
    </row>
    <row r="630" customFormat="false" ht="12.8" hidden="false" customHeight="false" outlineLevel="0" collapsed="false">
      <c r="F630" s="57"/>
    </row>
    <row r="631" customFormat="false" ht="12.8" hidden="false" customHeight="false" outlineLevel="0" collapsed="false">
      <c r="F631" s="57"/>
    </row>
    <row r="632" customFormat="false" ht="12.8" hidden="false" customHeight="false" outlineLevel="0" collapsed="false">
      <c r="F632" s="57"/>
    </row>
    <row r="633" customFormat="false" ht="12.8" hidden="false" customHeight="false" outlineLevel="0" collapsed="false">
      <c r="F633" s="57"/>
    </row>
    <row r="634" customFormat="false" ht="12.8" hidden="false" customHeight="false" outlineLevel="0" collapsed="false">
      <c r="F634" s="57"/>
    </row>
    <row r="635" customFormat="false" ht="12.8" hidden="false" customHeight="false" outlineLevel="0" collapsed="false">
      <c r="F635" s="57"/>
    </row>
    <row r="636" customFormat="false" ht="12.8" hidden="false" customHeight="false" outlineLevel="0" collapsed="false">
      <c r="F636" s="57"/>
    </row>
    <row r="637" customFormat="false" ht="12.8" hidden="false" customHeight="false" outlineLevel="0" collapsed="false">
      <c r="F637" s="57"/>
    </row>
    <row r="638" customFormat="false" ht="12.8" hidden="false" customHeight="false" outlineLevel="0" collapsed="false">
      <c r="F638" s="57"/>
    </row>
    <row r="639" customFormat="false" ht="12.8" hidden="false" customHeight="false" outlineLevel="0" collapsed="false">
      <c r="F639" s="57"/>
    </row>
    <row r="640" customFormat="false" ht="12.8" hidden="false" customHeight="false" outlineLevel="0" collapsed="false">
      <c r="F640" s="57"/>
    </row>
    <row r="641" customFormat="false" ht="12.8" hidden="false" customHeight="false" outlineLevel="0" collapsed="false">
      <c r="F641" s="57"/>
    </row>
    <row r="642" customFormat="false" ht="12.8" hidden="false" customHeight="false" outlineLevel="0" collapsed="false">
      <c r="F642" s="57"/>
    </row>
    <row r="643" customFormat="false" ht="12.8" hidden="false" customHeight="false" outlineLevel="0" collapsed="false">
      <c r="F643" s="57"/>
    </row>
    <row r="644" customFormat="false" ht="12.8" hidden="false" customHeight="false" outlineLevel="0" collapsed="false">
      <c r="F644" s="57"/>
    </row>
    <row r="645" customFormat="false" ht="12.8" hidden="false" customHeight="false" outlineLevel="0" collapsed="false">
      <c r="F645" s="57"/>
    </row>
    <row r="646" customFormat="false" ht="12.8" hidden="false" customHeight="false" outlineLevel="0" collapsed="false">
      <c r="F646" s="57"/>
    </row>
    <row r="647" customFormat="false" ht="12.8" hidden="false" customHeight="false" outlineLevel="0" collapsed="false">
      <c r="F647" s="57"/>
    </row>
    <row r="648" customFormat="false" ht="12.8" hidden="false" customHeight="false" outlineLevel="0" collapsed="false">
      <c r="F648" s="57"/>
    </row>
    <row r="649" customFormat="false" ht="12.8" hidden="false" customHeight="false" outlineLevel="0" collapsed="false">
      <c r="F649" s="57"/>
    </row>
    <row r="650" customFormat="false" ht="12.8" hidden="false" customHeight="false" outlineLevel="0" collapsed="false">
      <c r="F650" s="57"/>
    </row>
    <row r="651" customFormat="false" ht="12.8" hidden="false" customHeight="false" outlineLevel="0" collapsed="false">
      <c r="F651" s="57"/>
    </row>
    <row r="652" customFormat="false" ht="12.8" hidden="false" customHeight="false" outlineLevel="0" collapsed="false">
      <c r="F652" s="57"/>
    </row>
    <row r="653" customFormat="false" ht="12.8" hidden="false" customHeight="false" outlineLevel="0" collapsed="false">
      <c r="F653" s="57"/>
    </row>
    <row r="654" customFormat="false" ht="12.8" hidden="false" customHeight="false" outlineLevel="0" collapsed="false">
      <c r="F654" s="57"/>
    </row>
    <row r="655" customFormat="false" ht="12.8" hidden="false" customHeight="false" outlineLevel="0" collapsed="false">
      <c r="F655" s="57"/>
    </row>
    <row r="656" customFormat="false" ht="12.8" hidden="false" customHeight="false" outlineLevel="0" collapsed="false">
      <c r="F656" s="57"/>
    </row>
    <row r="657" customFormat="false" ht="12.8" hidden="false" customHeight="false" outlineLevel="0" collapsed="false">
      <c r="F657" s="57"/>
    </row>
    <row r="658" customFormat="false" ht="12.8" hidden="false" customHeight="false" outlineLevel="0" collapsed="false">
      <c r="F658" s="57"/>
    </row>
    <row r="659" customFormat="false" ht="12.8" hidden="false" customHeight="false" outlineLevel="0" collapsed="false">
      <c r="F659" s="57"/>
    </row>
    <row r="660" customFormat="false" ht="12.8" hidden="false" customHeight="false" outlineLevel="0" collapsed="false">
      <c r="F660" s="57"/>
    </row>
    <row r="661" customFormat="false" ht="12.8" hidden="false" customHeight="false" outlineLevel="0" collapsed="false">
      <c r="F661" s="57"/>
    </row>
    <row r="662" customFormat="false" ht="12.8" hidden="false" customHeight="false" outlineLevel="0" collapsed="false">
      <c r="F662" s="57"/>
    </row>
    <row r="663" customFormat="false" ht="12.8" hidden="false" customHeight="false" outlineLevel="0" collapsed="false">
      <c r="F663" s="57"/>
    </row>
    <row r="664" customFormat="false" ht="12.8" hidden="false" customHeight="false" outlineLevel="0" collapsed="false">
      <c r="F664" s="57"/>
    </row>
    <row r="665" customFormat="false" ht="12.8" hidden="false" customHeight="false" outlineLevel="0" collapsed="false">
      <c r="F665" s="57"/>
    </row>
    <row r="666" customFormat="false" ht="12.8" hidden="false" customHeight="false" outlineLevel="0" collapsed="false">
      <c r="F666" s="57"/>
    </row>
    <row r="667" customFormat="false" ht="12.8" hidden="false" customHeight="false" outlineLevel="0" collapsed="false">
      <c r="F667" s="57"/>
    </row>
    <row r="668" customFormat="false" ht="12.8" hidden="false" customHeight="false" outlineLevel="0" collapsed="false">
      <c r="F668" s="57"/>
    </row>
    <row r="669" customFormat="false" ht="12.8" hidden="false" customHeight="false" outlineLevel="0" collapsed="false">
      <c r="F669" s="57"/>
    </row>
    <row r="670" customFormat="false" ht="12.8" hidden="false" customHeight="false" outlineLevel="0" collapsed="false">
      <c r="F670" s="57"/>
    </row>
    <row r="671" customFormat="false" ht="12.8" hidden="false" customHeight="false" outlineLevel="0" collapsed="false">
      <c r="F671" s="57"/>
    </row>
    <row r="672" customFormat="false" ht="12.8" hidden="false" customHeight="false" outlineLevel="0" collapsed="false">
      <c r="F672" s="57"/>
    </row>
    <row r="673" customFormat="false" ht="12.8" hidden="false" customHeight="false" outlineLevel="0" collapsed="false">
      <c r="F673" s="57"/>
    </row>
    <row r="674" customFormat="false" ht="12.8" hidden="false" customHeight="false" outlineLevel="0" collapsed="false">
      <c r="F674" s="57"/>
    </row>
    <row r="675" customFormat="false" ht="12.8" hidden="false" customHeight="false" outlineLevel="0" collapsed="false">
      <c r="F675" s="57"/>
    </row>
    <row r="676" customFormat="false" ht="12.8" hidden="false" customHeight="false" outlineLevel="0" collapsed="false">
      <c r="F676" s="57"/>
    </row>
    <row r="677" customFormat="false" ht="12.8" hidden="false" customHeight="false" outlineLevel="0" collapsed="false">
      <c r="F677" s="57"/>
    </row>
    <row r="678" customFormat="false" ht="12.8" hidden="false" customHeight="false" outlineLevel="0" collapsed="false">
      <c r="F678" s="57"/>
    </row>
    <row r="679" customFormat="false" ht="12.8" hidden="false" customHeight="false" outlineLevel="0" collapsed="false">
      <c r="F679" s="57"/>
    </row>
    <row r="680" customFormat="false" ht="12.8" hidden="false" customHeight="false" outlineLevel="0" collapsed="false">
      <c r="F680" s="57"/>
    </row>
    <row r="681" customFormat="false" ht="12.8" hidden="false" customHeight="false" outlineLevel="0" collapsed="false">
      <c r="F681" s="57"/>
    </row>
    <row r="682" customFormat="false" ht="12.8" hidden="false" customHeight="false" outlineLevel="0" collapsed="false">
      <c r="F682" s="57"/>
    </row>
    <row r="683" customFormat="false" ht="12.8" hidden="false" customHeight="false" outlineLevel="0" collapsed="false">
      <c r="F683" s="57"/>
    </row>
    <row r="684" customFormat="false" ht="12.8" hidden="false" customHeight="false" outlineLevel="0" collapsed="false">
      <c r="F684" s="57"/>
    </row>
    <row r="685" customFormat="false" ht="12.8" hidden="false" customHeight="false" outlineLevel="0" collapsed="false">
      <c r="F685" s="57"/>
    </row>
    <row r="686" customFormat="false" ht="12.8" hidden="false" customHeight="false" outlineLevel="0" collapsed="false">
      <c r="F686" s="57"/>
    </row>
    <row r="687" customFormat="false" ht="12.8" hidden="false" customHeight="false" outlineLevel="0" collapsed="false">
      <c r="F687" s="57"/>
    </row>
    <row r="688" customFormat="false" ht="12.8" hidden="false" customHeight="false" outlineLevel="0" collapsed="false">
      <c r="F688" s="57"/>
    </row>
    <row r="689" customFormat="false" ht="12.8" hidden="false" customHeight="false" outlineLevel="0" collapsed="false">
      <c r="F689" s="57"/>
    </row>
    <row r="690" customFormat="false" ht="12.8" hidden="false" customHeight="false" outlineLevel="0" collapsed="false">
      <c r="F690" s="57"/>
    </row>
    <row r="691" customFormat="false" ht="12.8" hidden="false" customHeight="false" outlineLevel="0" collapsed="false">
      <c r="F691" s="57"/>
    </row>
    <row r="692" customFormat="false" ht="12.8" hidden="false" customHeight="false" outlineLevel="0" collapsed="false">
      <c r="F692" s="57"/>
    </row>
    <row r="693" customFormat="false" ht="12.8" hidden="false" customHeight="false" outlineLevel="0" collapsed="false">
      <c r="F693" s="57"/>
    </row>
    <row r="694" customFormat="false" ht="12.8" hidden="false" customHeight="false" outlineLevel="0" collapsed="false">
      <c r="F694" s="57"/>
    </row>
    <row r="695" customFormat="false" ht="12.8" hidden="false" customHeight="false" outlineLevel="0" collapsed="false">
      <c r="F695" s="57"/>
    </row>
    <row r="696" customFormat="false" ht="12.8" hidden="false" customHeight="false" outlineLevel="0" collapsed="false">
      <c r="F696" s="57"/>
    </row>
    <row r="697" customFormat="false" ht="12.8" hidden="false" customHeight="false" outlineLevel="0" collapsed="false">
      <c r="F697" s="57"/>
    </row>
    <row r="698" customFormat="false" ht="12.8" hidden="false" customHeight="false" outlineLevel="0" collapsed="false">
      <c r="F698" s="57"/>
    </row>
    <row r="699" customFormat="false" ht="12.8" hidden="false" customHeight="false" outlineLevel="0" collapsed="false">
      <c r="F699" s="57"/>
    </row>
    <row r="700" customFormat="false" ht="12.8" hidden="false" customHeight="false" outlineLevel="0" collapsed="false">
      <c r="F700" s="57"/>
    </row>
    <row r="701" customFormat="false" ht="12.8" hidden="false" customHeight="false" outlineLevel="0" collapsed="false">
      <c r="F701" s="57"/>
    </row>
    <row r="702" customFormat="false" ht="12.8" hidden="false" customHeight="false" outlineLevel="0" collapsed="false">
      <c r="F702" s="57"/>
    </row>
    <row r="703" customFormat="false" ht="12.8" hidden="false" customHeight="false" outlineLevel="0" collapsed="false">
      <c r="F703" s="57"/>
    </row>
    <row r="704" customFormat="false" ht="12.8" hidden="false" customHeight="false" outlineLevel="0" collapsed="false">
      <c r="F704" s="57"/>
    </row>
    <row r="705" customFormat="false" ht="12.8" hidden="false" customHeight="false" outlineLevel="0" collapsed="false">
      <c r="F705" s="57"/>
    </row>
    <row r="706" customFormat="false" ht="12.8" hidden="false" customHeight="false" outlineLevel="0" collapsed="false">
      <c r="F706" s="57"/>
    </row>
    <row r="707" customFormat="false" ht="12.8" hidden="false" customHeight="false" outlineLevel="0" collapsed="false">
      <c r="F707" s="57"/>
    </row>
    <row r="708" customFormat="false" ht="12.8" hidden="false" customHeight="false" outlineLevel="0" collapsed="false">
      <c r="F708" s="57"/>
    </row>
    <row r="709" customFormat="false" ht="12.8" hidden="false" customHeight="false" outlineLevel="0" collapsed="false">
      <c r="F709" s="57"/>
    </row>
    <row r="710" customFormat="false" ht="12.8" hidden="false" customHeight="false" outlineLevel="0" collapsed="false">
      <c r="F710" s="57"/>
    </row>
    <row r="711" customFormat="false" ht="12.8" hidden="false" customHeight="false" outlineLevel="0" collapsed="false">
      <c r="F711" s="57"/>
    </row>
    <row r="712" customFormat="false" ht="12.8" hidden="false" customHeight="false" outlineLevel="0" collapsed="false">
      <c r="F712" s="57"/>
    </row>
    <row r="713" customFormat="false" ht="12.8" hidden="false" customHeight="false" outlineLevel="0" collapsed="false">
      <c r="F713" s="57"/>
    </row>
    <row r="714" customFormat="false" ht="12.8" hidden="false" customHeight="false" outlineLevel="0" collapsed="false">
      <c r="F714" s="57"/>
    </row>
    <row r="715" customFormat="false" ht="12.8" hidden="false" customHeight="false" outlineLevel="0" collapsed="false">
      <c r="F715" s="57"/>
    </row>
    <row r="716" customFormat="false" ht="12.8" hidden="false" customHeight="false" outlineLevel="0" collapsed="false">
      <c r="F716" s="57"/>
    </row>
    <row r="717" customFormat="false" ht="12.8" hidden="false" customHeight="false" outlineLevel="0" collapsed="false">
      <c r="F717" s="57"/>
    </row>
    <row r="718" customFormat="false" ht="12.8" hidden="false" customHeight="false" outlineLevel="0" collapsed="false">
      <c r="F718" s="57"/>
    </row>
    <row r="719" customFormat="false" ht="12.8" hidden="false" customHeight="false" outlineLevel="0" collapsed="false">
      <c r="F719" s="57"/>
    </row>
    <row r="720" customFormat="false" ht="12.8" hidden="false" customHeight="false" outlineLevel="0" collapsed="false">
      <c r="F720" s="57"/>
    </row>
    <row r="721" customFormat="false" ht="12.8" hidden="false" customHeight="false" outlineLevel="0" collapsed="false">
      <c r="F721" s="57"/>
    </row>
    <row r="722" customFormat="false" ht="12.8" hidden="false" customHeight="false" outlineLevel="0" collapsed="false">
      <c r="F722" s="57"/>
    </row>
    <row r="723" customFormat="false" ht="12.8" hidden="false" customHeight="false" outlineLevel="0" collapsed="false">
      <c r="F723" s="57"/>
    </row>
    <row r="724" customFormat="false" ht="12.8" hidden="false" customHeight="false" outlineLevel="0" collapsed="false">
      <c r="F724" s="57"/>
    </row>
    <row r="725" customFormat="false" ht="12.8" hidden="false" customHeight="false" outlineLevel="0" collapsed="false">
      <c r="F725" s="57"/>
    </row>
    <row r="726" customFormat="false" ht="12.8" hidden="false" customHeight="false" outlineLevel="0" collapsed="false">
      <c r="F726" s="57"/>
    </row>
    <row r="727" customFormat="false" ht="12.8" hidden="false" customHeight="false" outlineLevel="0" collapsed="false">
      <c r="F727" s="57"/>
    </row>
    <row r="728" customFormat="false" ht="12.8" hidden="false" customHeight="false" outlineLevel="0" collapsed="false">
      <c r="F728" s="57"/>
    </row>
    <row r="729" customFormat="false" ht="12.8" hidden="false" customHeight="false" outlineLevel="0" collapsed="false">
      <c r="F729" s="57"/>
    </row>
    <row r="730" customFormat="false" ht="12.8" hidden="false" customHeight="false" outlineLevel="0" collapsed="false">
      <c r="F730" s="57"/>
    </row>
    <row r="731" customFormat="false" ht="12.8" hidden="false" customHeight="false" outlineLevel="0" collapsed="false">
      <c r="F731" s="57"/>
    </row>
    <row r="732" customFormat="false" ht="12.8" hidden="false" customHeight="false" outlineLevel="0" collapsed="false">
      <c r="F732" s="57"/>
    </row>
    <row r="733" customFormat="false" ht="12.8" hidden="false" customHeight="false" outlineLevel="0" collapsed="false">
      <c r="F733" s="57"/>
    </row>
    <row r="734" customFormat="false" ht="12.8" hidden="false" customHeight="false" outlineLevel="0" collapsed="false">
      <c r="F734" s="57"/>
    </row>
    <row r="735" customFormat="false" ht="12.8" hidden="false" customHeight="false" outlineLevel="0" collapsed="false">
      <c r="F735" s="57"/>
    </row>
    <row r="736" customFormat="false" ht="12.8" hidden="false" customHeight="false" outlineLevel="0" collapsed="false">
      <c r="F736" s="57"/>
    </row>
    <row r="737" customFormat="false" ht="12.8" hidden="false" customHeight="false" outlineLevel="0" collapsed="false">
      <c r="F737" s="57"/>
    </row>
    <row r="738" customFormat="false" ht="12.8" hidden="false" customHeight="false" outlineLevel="0" collapsed="false">
      <c r="F738" s="57"/>
    </row>
    <row r="739" customFormat="false" ht="12.8" hidden="false" customHeight="false" outlineLevel="0" collapsed="false">
      <c r="F739" s="57"/>
    </row>
    <row r="740" customFormat="false" ht="12.8" hidden="false" customHeight="false" outlineLevel="0" collapsed="false">
      <c r="F740" s="57"/>
    </row>
    <row r="741" customFormat="false" ht="12.8" hidden="false" customHeight="false" outlineLevel="0" collapsed="false">
      <c r="F741" s="57"/>
    </row>
    <row r="742" customFormat="false" ht="12.8" hidden="false" customHeight="false" outlineLevel="0" collapsed="false">
      <c r="F742" s="57"/>
    </row>
    <row r="743" customFormat="false" ht="12.8" hidden="false" customHeight="false" outlineLevel="0" collapsed="false">
      <c r="F743" s="57"/>
    </row>
    <row r="744" customFormat="false" ht="12.8" hidden="false" customHeight="false" outlineLevel="0" collapsed="false">
      <c r="F744" s="57"/>
    </row>
    <row r="745" customFormat="false" ht="12.8" hidden="false" customHeight="false" outlineLevel="0" collapsed="false">
      <c r="F745" s="57"/>
    </row>
    <row r="746" customFormat="false" ht="12.8" hidden="false" customHeight="false" outlineLevel="0" collapsed="false">
      <c r="F746" s="57"/>
    </row>
    <row r="747" customFormat="false" ht="12.8" hidden="false" customHeight="false" outlineLevel="0" collapsed="false">
      <c r="F747" s="57"/>
    </row>
    <row r="748" customFormat="false" ht="12.8" hidden="false" customHeight="false" outlineLevel="0" collapsed="false">
      <c r="F748" s="57"/>
    </row>
    <row r="749" customFormat="false" ht="12.8" hidden="false" customHeight="false" outlineLevel="0" collapsed="false">
      <c r="F749" s="57"/>
    </row>
    <row r="750" customFormat="false" ht="12.8" hidden="false" customHeight="false" outlineLevel="0" collapsed="false">
      <c r="F750" s="57"/>
    </row>
    <row r="751" customFormat="false" ht="12.8" hidden="false" customHeight="false" outlineLevel="0" collapsed="false">
      <c r="F751" s="57"/>
    </row>
    <row r="752" customFormat="false" ht="12.8" hidden="false" customHeight="false" outlineLevel="0" collapsed="false">
      <c r="F752" s="57"/>
    </row>
    <row r="753" customFormat="false" ht="12.8" hidden="false" customHeight="false" outlineLevel="0" collapsed="false">
      <c r="F753" s="57"/>
    </row>
    <row r="754" customFormat="false" ht="12.8" hidden="false" customHeight="false" outlineLevel="0" collapsed="false">
      <c r="F754" s="57"/>
    </row>
    <row r="755" customFormat="false" ht="12.8" hidden="false" customHeight="false" outlineLevel="0" collapsed="false">
      <c r="F755" s="57"/>
    </row>
    <row r="756" customFormat="false" ht="12.8" hidden="false" customHeight="false" outlineLevel="0" collapsed="false">
      <c r="F756" s="57"/>
    </row>
    <row r="757" customFormat="false" ht="12.8" hidden="false" customHeight="false" outlineLevel="0" collapsed="false">
      <c r="F757" s="57"/>
    </row>
    <row r="758" customFormat="false" ht="12.8" hidden="false" customHeight="false" outlineLevel="0" collapsed="false">
      <c r="F758" s="57"/>
    </row>
    <row r="759" customFormat="false" ht="12.8" hidden="false" customHeight="false" outlineLevel="0" collapsed="false">
      <c r="F759" s="57"/>
    </row>
    <row r="760" customFormat="false" ht="12.8" hidden="false" customHeight="false" outlineLevel="0" collapsed="false">
      <c r="F760" s="57"/>
    </row>
    <row r="761" customFormat="false" ht="12.8" hidden="false" customHeight="false" outlineLevel="0" collapsed="false">
      <c r="F761" s="57"/>
    </row>
    <row r="762" customFormat="false" ht="12.8" hidden="false" customHeight="false" outlineLevel="0" collapsed="false">
      <c r="F762" s="57"/>
    </row>
    <row r="763" customFormat="false" ht="12.8" hidden="false" customHeight="false" outlineLevel="0" collapsed="false">
      <c r="F763" s="57"/>
    </row>
    <row r="764" customFormat="false" ht="12.8" hidden="false" customHeight="false" outlineLevel="0" collapsed="false">
      <c r="F764" s="57"/>
    </row>
    <row r="765" customFormat="false" ht="12.8" hidden="false" customHeight="false" outlineLevel="0" collapsed="false">
      <c r="F765" s="57"/>
    </row>
    <row r="766" customFormat="false" ht="12.8" hidden="false" customHeight="false" outlineLevel="0" collapsed="false">
      <c r="F766" s="57"/>
    </row>
    <row r="767" customFormat="false" ht="12.8" hidden="false" customHeight="false" outlineLevel="0" collapsed="false">
      <c r="F767" s="57"/>
    </row>
    <row r="768" customFormat="false" ht="12.8" hidden="false" customHeight="false" outlineLevel="0" collapsed="false">
      <c r="F768" s="57"/>
    </row>
    <row r="769" customFormat="false" ht="12.8" hidden="false" customHeight="false" outlineLevel="0" collapsed="false">
      <c r="F769" s="57"/>
    </row>
    <row r="770" customFormat="false" ht="12.8" hidden="false" customHeight="false" outlineLevel="0" collapsed="false">
      <c r="F770" s="57"/>
    </row>
    <row r="771" customFormat="false" ht="12.8" hidden="false" customHeight="false" outlineLevel="0" collapsed="false">
      <c r="F771" s="57"/>
    </row>
    <row r="772" customFormat="false" ht="12.8" hidden="false" customHeight="false" outlineLevel="0" collapsed="false">
      <c r="F772" s="57"/>
    </row>
    <row r="773" customFormat="false" ht="12.8" hidden="false" customHeight="false" outlineLevel="0" collapsed="false">
      <c r="F773" s="57"/>
    </row>
    <row r="774" customFormat="false" ht="12.8" hidden="false" customHeight="false" outlineLevel="0" collapsed="false">
      <c r="F774" s="57"/>
    </row>
    <row r="775" customFormat="false" ht="12.8" hidden="false" customHeight="false" outlineLevel="0" collapsed="false">
      <c r="F775" s="57"/>
    </row>
    <row r="776" customFormat="false" ht="12.8" hidden="false" customHeight="false" outlineLevel="0" collapsed="false">
      <c r="F776" s="57"/>
    </row>
    <row r="777" customFormat="false" ht="12.8" hidden="false" customHeight="false" outlineLevel="0" collapsed="false">
      <c r="F777" s="57"/>
    </row>
    <row r="778" customFormat="false" ht="12.8" hidden="false" customHeight="false" outlineLevel="0" collapsed="false">
      <c r="F778" s="57"/>
    </row>
    <row r="779" customFormat="false" ht="12.8" hidden="false" customHeight="false" outlineLevel="0" collapsed="false">
      <c r="F779" s="57"/>
    </row>
    <row r="780" customFormat="false" ht="12.8" hidden="false" customHeight="false" outlineLevel="0" collapsed="false">
      <c r="F780" s="57"/>
    </row>
    <row r="781" customFormat="false" ht="12.8" hidden="false" customHeight="false" outlineLevel="0" collapsed="false">
      <c r="F781" s="57"/>
    </row>
    <row r="782" customFormat="false" ht="12.8" hidden="false" customHeight="false" outlineLevel="0" collapsed="false">
      <c r="F782" s="57"/>
    </row>
    <row r="783" customFormat="false" ht="12.8" hidden="false" customHeight="false" outlineLevel="0" collapsed="false">
      <c r="F783" s="57"/>
    </row>
    <row r="784" customFormat="false" ht="12.8" hidden="false" customHeight="false" outlineLevel="0" collapsed="false">
      <c r="F784" s="57"/>
    </row>
    <row r="785" customFormat="false" ht="12.8" hidden="false" customHeight="false" outlineLevel="0" collapsed="false">
      <c r="F785" s="57"/>
    </row>
    <row r="786" customFormat="false" ht="12.8" hidden="false" customHeight="false" outlineLevel="0" collapsed="false">
      <c r="F786" s="57"/>
    </row>
    <row r="787" customFormat="false" ht="12.8" hidden="false" customHeight="false" outlineLevel="0" collapsed="false">
      <c r="F787" s="57"/>
    </row>
    <row r="788" customFormat="false" ht="12.8" hidden="false" customHeight="false" outlineLevel="0" collapsed="false">
      <c r="F788" s="57"/>
    </row>
    <row r="789" customFormat="false" ht="12.8" hidden="false" customHeight="false" outlineLevel="0" collapsed="false">
      <c r="F789" s="57"/>
    </row>
    <row r="790" customFormat="false" ht="12.8" hidden="false" customHeight="false" outlineLevel="0" collapsed="false">
      <c r="F790" s="57"/>
    </row>
    <row r="791" customFormat="false" ht="12.8" hidden="false" customHeight="false" outlineLevel="0" collapsed="false">
      <c r="F791" s="57"/>
    </row>
    <row r="792" customFormat="false" ht="12.8" hidden="false" customHeight="false" outlineLevel="0" collapsed="false">
      <c r="F792" s="57"/>
    </row>
    <row r="793" customFormat="false" ht="12.8" hidden="false" customHeight="false" outlineLevel="0" collapsed="false">
      <c r="F793" s="57"/>
    </row>
    <row r="794" customFormat="false" ht="12.8" hidden="false" customHeight="false" outlineLevel="0" collapsed="false">
      <c r="F794" s="57"/>
    </row>
    <row r="795" customFormat="false" ht="12.8" hidden="false" customHeight="false" outlineLevel="0" collapsed="false">
      <c r="F795" s="57"/>
    </row>
    <row r="796" customFormat="false" ht="12.8" hidden="false" customHeight="false" outlineLevel="0" collapsed="false">
      <c r="F796" s="57"/>
    </row>
    <row r="797" customFormat="false" ht="12.8" hidden="false" customHeight="false" outlineLevel="0" collapsed="false">
      <c r="F797" s="57"/>
    </row>
    <row r="798" customFormat="false" ht="12.8" hidden="false" customHeight="false" outlineLevel="0" collapsed="false">
      <c r="F798" s="57"/>
    </row>
    <row r="799" customFormat="false" ht="12.8" hidden="false" customHeight="false" outlineLevel="0" collapsed="false">
      <c r="F799" s="57"/>
    </row>
    <row r="800" customFormat="false" ht="12.8" hidden="false" customHeight="false" outlineLevel="0" collapsed="false">
      <c r="F800" s="57"/>
    </row>
    <row r="801" customFormat="false" ht="12.8" hidden="false" customHeight="false" outlineLevel="0" collapsed="false">
      <c r="F801" s="57"/>
    </row>
    <row r="802" customFormat="false" ht="12.8" hidden="false" customHeight="false" outlineLevel="0" collapsed="false">
      <c r="F802" s="57"/>
    </row>
    <row r="803" customFormat="false" ht="12.8" hidden="false" customHeight="false" outlineLevel="0" collapsed="false">
      <c r="F803" s="57"/>
    </row>
    <row r="804" customFormat="false" ht="12.8" hidden="false" customHeight="false" outlineLevel="0" collapsed="false">
      <c r="F804" s="57"/>
    </row>
    <row r="805" customFormat="false" ht="12.8" hidden="false" customHeight="false" outlineLevel="0" collapsed="false">
      <c r="F805" s="57"/>
    </row>
    <row r="806" customFormat="false" ht="12.8" hidden="false" customHeight="false" outlineLevel="0" collapsed="false">
      <c r="F806" s="57"/>
    </row>
    <row r="807" customFormat="false" ht="12.8" hidden="false" customHeight="false" outlineLevel="0" collapsed="false">
      <c r="F807" s="57"/>
    </row>
    <row r="808" customFormat="false" ht="12.8" hidden="false" customHeight="false" outlineLevel="0" collapsed="false">
      <c r="F808" s="57"/>
    </row>
    <row r="809" customFormat="false" ht="12.8" hidden="false" customHeight="false" outlineLevel="0" collapsed="false">
      <c r="F809" s="57"/>
    </row>
    <row r="810" customFormat="false" ht="12.8" hidden="false" customHeight="false" outlineLevel="0" collapsed="false">
      <c r="F810" s="57"/>
    </row>
    <row r="811" customFormat="false" ht="12.8" hidden="false" customHeight="false" outlineLevel="0" collapsed="false">
      <c r="F811" s="57"/>
    </row>
    <row r="812" customFormat="false" ht="12.8" hidden="false" customHeight="false" outlineLevel="0" collapsed="false">
      <c r="F812" s="57"/>
    </row>
    <row r="813" customFormat="false" ht="12.8" hidden="false" customHeight="false" outlineLevel="0" collapsed="false">
      <c r="F813" s="57"/>
    </row>
    <row r="814" customFormat="false" ht="12.8" hidden="false" customHeight="false" outlineLevel="0" collapsed="false">
      <c r="F814" s="57"/>
    </row>
    <row r="815" customFormat="false" ht="12.8" hidden="false" customHeight="false" outlineLevel="0" collapsed="false">
      <c r="F815" s="57"/>
    </row>
    <row r="816" customFormat="false" ht="12.8" hidden="false" customHeight="false" outlineLevel="0" collapsed="false">
      <c r="F816" s="57"/>
    </row>
    <row r="817" customFormat="false" ht="12.8" hidden="false" customHeight="false" outlineLevel="0" collapsed="false">
      <c r="F817" s="57"/>
    </row>
    <row r="818" customFormat="false" ht="12.8" hidden="false" customHeight="false" outlineLevel="0" collapsed="false">
      <c r="F818" s="57"/>
    </row>
    <row r="819" customFormat="false" ht="12.8" hidden="false" customHeight="false" outlineLevel="0" collapsed="false">
      <c r="F819" s="57"/>
    </row>
    <row r="820" customFormat="false" ht="12.8" hidden="false" customHeight="false" outlineLevel="0" collapsed="false">
      <c r="F820" s="57"/>
    </row>
    <row r="821" customFormat="false" ht="12.8" hidden="false" customHeight="false" outlineLevel="0" collapsed="false">
      <c r="F821" s="57"/>
    </row>
    <row r="822" customFormat="false" ht="12.8" hidden="false" customHeight="false" outlineLevel="0" collapsed="false">
      <c r="F822" s="57"/>
    </row>
    <row r="823" customFormat="false" ht="12.8" hidden="false" customHeight="false" outlineLevel="0" collapsed="false">
      <c r="F823" s="57"/>
    </row>
    <row r="824" customFormat="false" ht="12.8" hidden="false" customHeight="false" outlineLevel="0" collapsed="false">
      <c r="F824" s="57"/>
    </row>
    <row r="825" customFormat="false" ht="12.8" hidden="false" customHeight="false" outlineLevel="0" collapsed="false">
      <c r="F825" s="57"/>
    </row>
    <row r="826" customFormat="false" ht="12.8" hidden="false" customHeight="false" outlineLevel="0" collapsed="false">
      <c r="F826" s="57"/>
    </row>
    <row r="827" customFormat="false" ht="12.8" hidden="false" customHeight="false" outlineLevel="0" collapsed="false">
      <c r="F827" s="57"/>
    </row>
    <row r="828" customFormat="false" ht="12.8" hidden="false" customHeight="false" outlineLevel="0" collapsed="false">
      <c r="F828" s="57"/>
    </row>
    <row r="829" customFormat="false" ht="12.8" hidden="false" customHeight="false" outlineLevel="0" collapsed="false">
      <c r="F829" s="57"/>
    </row>
    <row r="830" customFormat="false" ht="12.8" hidden="false" customHeight="false" outlineLevel="0" collapsed="false">
      <c r="F830" s="57"/>
    </row>
    <row r="831" customFormat="false" ht="12.8" hidden="false" customHeight="false" outlineLevel="0" collapsed="false">
      <c r="F831" s="57"/>
    </row>
    <row r="832" customFormat="false" ht="12.8" hidden="false" customHeight="false" outlineLevel="0" collapsed="false">
      <c r="F832" s="57"/>
    </row>
    <row r="833" customFormat="false" ht="12.8" hidden="false" customHeight="false" outlineLevel="0" collapsed="false">
      <c r="F833" s="57"/>
    </row>
    <row r="834" customFormat="false" ht="12.8" hidden="false" customHeight="false" outlineLevel="0" collapsed="false">
      <c r="F834" s="57"/>
    </row>
    <row r="835" customFormat="false" ht="12.8" hidden="false" customHeight="false" outlineLevel="0" collapsed="false">
      <c r="F835" s="57"/>
    </row>
    <row r="836" customFormat="false" ht="12.8" hidden="false" customHeight="false" outlineLevel="0" collapsed="false">
      <c r="F836" s="57"/>
    </row>
    <row r="837" customFormat="false" ht="12.8" hidden="false" customHeight="false" outlineLevel="0" collapsed="false">
      <c r="F837" s="57"/>
    </row>
    <row r="838" customFormat="false" ht="12.8" hidden="false" customHeight="false" outlineLevel="0" collapsed="false">
      <c r="F838" s="57"/>
    </row>
    <row r="839" customFormat="false" ht="12.8" hidden="false" customHeight="false" outlineLevel="0" collapsed="false">
      <c r="F839" s="57"/>
    </row>
    <row r="840" customFormat="false" ht="12.8" hidden="false" customHeight="false" outlineLevel="0" collapsed="false">
      <c r="F840" s="57"/>
    </row>
    <row r="841" customFormat="false" ht="12.8" hidden="false" customHeight="false" outlineLevel="0" collapsed="false">
      <c r="F841" s="57"/>
    </row>
    <row r="842" customFormat="false" ht="12.8" hidden="false" customHeight="false" outlineLevel="0" collapsed="false">
      <c r="F842" s="57"/>
    </row>
    <row r="843" customFormat="false" ht="12.8" hidden="false" customHeight="false" outlineLevel="0" collapsed="false">
      <c r="F843" s="57"/>
    </row>
    <row r="844" customFormat="false" ht="12.8" hidden="false" customHeight="false" outlineLevel="0" collapsed="false">
      <c r="F844" s="57"/>
    </row>
    <row r="845" customFormat="false" ht="12.8" hidden="false" customHeight="false" outlineLevel="0" collapsed="false">
      <c r="F845" s="57"/>
    </row>
    <row r="846" customFormat="false" ht="12.8" hidden="false" customHeight="false" outlineLevel="0" collapsed="false">
      <c r="F846" s="57"/>
    </row>
    <row r="847" customFormat="false" ht="12.8" hidden="false" customHeight="false" outlineLevel="0" collapsed="false">
      <c r="F847" s="57"/>
    </row>
    <row r="848" customFormat="false" ht="12.8" hidden="false" customHeight="false" outlineLevel="0" collapsed="false">
      <c r="F848" s="57"/>
    </row>
    <row r="849" customFormat="false" ht="12.8" hidden="false" customHeight="false" outlineLevel="0" collapsed="false">
      <c r="F849" s="57"/>
    </row>
    <row r="850" customFormat="false" ht="12.8" hidden="false" customHeight="false" outlineLevel="0" collapsed="false">
      <c r="F850" s="57"/>
    </row>
    <row r="851" customFormat="false" ht="12.8" hidden="false" customHeight="false" outlineLevel="0" collapsed="false">
      <c r="F851" s="57"/>
    </row>
    <row r="852" customFormat="false" ht="12.8" hidden="false" customHeight="false" outlineLevel="0" collapsed="false">
      <c r="F852" s="57"/>
    </row>
    <row r="853" customFormat="false" ht="12.8" hidden="false" customHeight="false" outlineLevel="0" collapsed="false">
      <c r="F853" s="57"/>
    </row>
    <row r="854" customFormat="false" ht="12.8" hidden="false" customHeight="false" outlineLevel="0" collapsed="false">
      <c r="F854" s="57"/>
    </row>
    <row r="855" customFormat="false" ht="12.8" hidden="false" customHeight="false" outlineLevel="0" collapsed="false">
      <c r="F855" s="57"/>
    </row>
    <row r="856" customFormat="false" ht="12.8" hidden="false" customHeight="false" outlineLevel="0" collapsed="false">
      <c r="F856" s="57"/>
    </row>
    <row r="857" customFormat="false" ht="12.8" hidden="false" customHeight="false" outlineLevel="0" collapsed="false">
      <c r="F857" s="57"/>
    </row>
    <row r="858" customFormat="false" ht="12.8" hidden="false" customHeight="false" outlineLevel="0" collapsed="false">
      <c r="F858" s="57"/>
    </row>
    <row r="859" customFormat="false" ht="12.8" hidden="false" customHeight="false" outlineLevel="0" collapsed="false">
      <c r="F859" s="57"/>
    </row>
    <row r="860" customFormat="false" ht="12.8" hidden="false" customHeight="false" outlineLevel="0" collapsed="false">
      <c r="F860" s="57"/>
    </row>
    <row r="861" customFormat="false" ht="12.8" hidden="false" customHeight="false" outlineLevel="0" collapsed="false">
      <c r="F861" s="57"/>
    </row>
    <row r="862" customFormat="false" ht="12.8" hidden="false" customHeight="false" outlineLevel="0" collapsed="false">
      <c r="F862" s="57"/>
    </row>
    <row r="863" customFormat="false" ht="12.8" hidden="false" customHeight="false" outlineLevel="0" collapsed="false">
      <c r="F863" s="57"/>
    </row>
    <row r="864" customFormat="false" ht="12.8" hidden="false" customHeight="false" outlineLevel="0" collapsed="false">
      <c r="F864" s="57"/>
    </row>
    <row r="865" customFormat="false" ht="12.8" hidden="false" customHeight="false" outlineLevel="0" collapsed="false">
      <c r="F865" s="57"/>
    </row>
    <row r="866" customFormat="false" ht="12.8" hidden="false" customHeight="false" outlineLevel="0" collapsed="false">
      <c r="F866" s="57"/>
    </row>
    <row r="867" customFormat="false" ht="12.8" hidden="false" customHeight="false" outlineLevel="0" collapsed="false">
      <c r="F867" s="57"/>
    </row>
    <row r="868" customFormat="false" ht="12.8" hidden="false" customHeight="false" outlineLevel="0" collapsed="false">
      <c r="F868" s="57"/>
    </row>
    <row r="869" customFormat="false" ht="12.8" hidden="false" customHeight="false" outlineLevel="0" collapsed="false">
      <c r="F869" s="57"/>
    </row>
    <row r="870" customFormat="false" ht="12.8" hidden="false" customHeight="false" outlineLevel="0" collapsed="false">
      <c r="F870" s="57"/>
    </row>
    <row r="871" customFormat="false" ht="12.8" hidden="false" customHeight="false" outlineLevel="0" collapsed="false">
      <c r="F871" s="57"/>
    </row>
    <row r="872" customFormat="false" ht="12.8" hidden="false" customHeight="false" outlineLevel="0" collapsed="false">
      <c r="F872" s="57"/>
    </row>
    <row r="873" customFormat="false" ht="12.8" hidden="false" customHeight="false" outlineLevel="0" collapsed="false">
      <c r="F873" s="57"/>
    </row>
    <row r="874" customFormat="false" ht="12.8" hidden="false" customHeight="false" outlineLevel="0" collapsed="false">
      <c r="F874" s="57"/>
    </row>
    <row r="875" customFormat="false" ht="12.8" hidden="false" customHeight="false" outlineLevel="0" collapsed="false">
      <c r="F875" s="57"/>
    </row>
    <row r="876" customFormat="false" ht="12.8" hidden="false" customHeight="false" outlineLevel="0" collapsed="false">
      <c r="F876" s="57"/>
    </row>
    <row r="877" customFormat="false" ht="12.8" hidden="false" customHeight="false" outlineLevel="0" collapsed="false">
      <c r="F877" s="57"/>
    </row>
    <row r="878" customFormat="false" ht="12.8" hidden="false" customHeight="false" outlineLevel="0" collapsed="false">
      <c r="F878" s="57"/>
    </row>
    <row r="879" customFormat="false" ht="12.8" hidden="false" customHeight="false" outlineLevel="0" collapsed="false">
      <c r="F879" s="57"/>
    </row>
    <row r="880" customFormat="false" ht="12.8" hidden="false" customHeight="false" outlineLevel="0" collapsed="false">
      <c r="F880" s="57"/>
    </row>
    <row r="881" customFormat="false" ht="12.8" hidden="false" customHeight="false" outlineLevel="0" collapsed="false">
      <c r="F881" s="57"/>
    </row>
    <row r="882" customFormat="false" ht="12.8" hidden="false" customHeight="false" outlineLevel="0" collapsed="false">
      <c r="F882" s="57"/>
    </row>
    <row r="883" customFormat="false" ht="12.8" hidden="false" customHeight="false" outlineLevel="0" collapsed="false">
      <c r="F883" s="57"/>
    </row>
    <row r="884" customFormat="false" ht="12.8" hidden="false" customHeight="false" outlineLevel="0" collapsed="false">
      <c r="F884" s="57"/>
    </row>
    <row r="885" customFormat="false" ht="12.8" hidden="false" customHeight="false" outlineLevel="0" collapsed="false">
      <c r="F885" s="57"/>
    </row>
    <row r="886" customFormat="false" ht="12.8" hidden="false" customHeight="false" outlineLevel="0" collapsed="false">
      <c r="F886" s="57"/>
    </row>
    <row r="887" customFormat="false" ht="12.8" hidden="false" customHeight="false" outlineLevel="0" collapsed="false">
      <c r="F887" s="57"/>
    </row>
    <row r="888" customFormat="false" ht="12.8" hidden="false" customHeight="false" outlineLevel="0" collapsed="false">
      <c r="F888" s="57"/>
    </row>
    <row r="889" customFormat="false" ht="12.8" hidden="false" customHeight="false" outlineLevel="0" collapsed="false">
      <c r="F889" s="57"/>
    </row>
    <row r="890" customFormat="false" ht="12.8" hidden="false" customHeight="false" outlineLevel="0" collapsed="false">
      <c r="F890" s="57"/>
    </row>
    <row r="891" customFormat="false" ht="12.8" hidden="false" customHeight="false" outlineLevel="0" collapsed="false">
      <c r="F891" s="57"/>
    </row>
    <row r="892" customFormat="false" ht="12.8" hidden="false" customHeight="false" outlineLevel="0" collapsed="false">
      <c r="F892" s="57"/>
    </row>
    <row r="893" customFormat="false" ht="12.8" hidden="false" customHeight="false" outlineLevel="0" collapsed="false">
      <c r="F893" s="57"/>
    </row>
    <row r="894" customFormat="false" ht="12.8" hidden="false" customHeight="false" outlineLevel="0" collapsed="false">
      <c r="F894" s="57"/>
    </row>
    <row r="895" customFormat="false" ht="12.8" hidden="false" customHeight="false" outlineLevel="0" collapsed="false">
      <c r="F895" s="57"/>
    </row>
    <row r="896" customFormat="false" ht="12.8" hidden="false" customHeight="false" outlineLevel="0" collapsed="false">
      <c r="F896" s="57"/>
    </row>
    <row r="897" customFormat="false" ht="12.8" hidden="false" customHeight="false" outlineLevel="0" collapsed="false">
      <c r="F897" s="57"/>
    </row>
    <row r="898" customFormat="false" ht="12.8" hidden="false" customHeight="false" outlineLevel="0" collapsed="false">
      <c r="F898" s="57"/>
    </row>
    <row r="899" customFormat="false" ht="12.8" hidden="false" customHeight="false" outlineLevel="0" collapsed="false">
      <c r="F899" s="57"/>
    </row>
    <row r="900" customFormat="false" ht="12.8" hidden="false" customHeight="false" outlineLevel="0" collapsed="false">
      <c r="F900" s="57"/>
    </row>
    <row r="901" customFormat="false" ht="12.8" hidden="false" customHeight="false" outlineLevel="0" collapsed="false">
      <c r="F901" s="57"/>
    </row>
    <row r="902" customFormat="false" ht="12.8" hidden="false" customHeight="false" outlineLevel="0" collapsed="false">
      <c r="F902" s="57"/>
    </row>
    <row r="903" customFormat="false" ht="12.8" hidden="false" customHeight="false" outlineLevel="0" collapsed="false">
      <c r="F903" s="57"/>
    </row>
    <row r="904" customFormat="false" ht="12.8" hidden="false" customHeight="false" outlineLevel="0" collapsed="false">
      <c r="F904" s="57"/>
    </row>
    <row r="905" customFormat="false" ht="12.8" hidden="false" customHeight="false" outlineLevel="0" collapsed="false">
      <c r="F905" s="57"/>
    </row>
    <row r="906" customFormat="false" ht="12.8" hidden="false" customHeight="false" outlineLevel="0" collapsed="false">
      <c r="F906" s="57"/>
    </row>
    <row r="907" customFormat="false" ht="12.8" hidden="false" customHeight="false" outlineLevel="0" collapsed="false">
      <c r="F907" s="57"/>
    </row>
    <row r="908" customFormat="false" ht="12.8" hidden="false" customHeight="false" outlineLevel="0" collapsed="false">
      <c r="F908" s="57"/>
    </row>
    <row r="909" customFormat="false" ht="12.8" hidden="false" customHeight="false" outlineLevel="0" collapsed="false">
      <c r="F909" s="57"/>
    </row>
    <row r="910" customFormat="false" ht="12.8" hidden="false" customHeight="false" outlineLevel="0" collapsed="false">
      <c r="F910" s="57"/>
    </row>
    <row r="911" customFormat="false" ht="12.8" hidden="false" customHeight="false" outlineLevel="0" collapsed="false">
      <c r="F911" s="57"/>
    </row>
    <row r="912" customFormat="false" ht="12.8" hidden="false" customHeight="false" outlineLevel="0" collapsed="false">
      <c r="F912" s="57"/>
    </row>
    <row r="913" customFormat="false" ht="12.8" hidden="false" customHeight="false" outlineLevel="0" collapsed="false">
      <c r="F913" s="57"/>
    </row>
    <row r="914" customFormat="false" ht="12.8" hidden="false" customHeight="false" outlineLevel="0" collapsed="false">
      <c r="F914" s="57"/>
    </row>
    <row r="915" customFormat="false" ht="12.8" hidden="false" customHeight="false" outlineLevel="0" collapsed="false">
      <c r="F915" s="57"/>
    </row>
    <row r="916" customFormat="false" ht="12.8" hidden="false" customHeight="false" outlineLevel="0" collapsed="false">
      <c r="F916" s="57"/>
    </row>
    <row r="917" customFormat="false" ht="12.8" hidden="false" customHeight="false" outlineLevel="0" collapsed="false">
      <c r="F917" s="57"/>
    </row>
    <row r="918" customFormat="false" ht="12.8" hidden="false" customHeight="false" outlineLevel="0" collapsed="false">
      <c r="F918" s="57"/>
    </row>
    <row r="919" customFormat="false" ht="12.8" hidden="false" customHeight="false" outlineLevel="0" collapsed="false">
      <c r="F919" s="57"/>
    </row>
    <row r="920" customFormat="false" ht="12.8" hidden="false" customHeight="false" outlineLevel="0" collapsed="false">
      <c r="F920" s="57"/>
    </row>
    <row r="921" customFormat="false" ht="12.8" hidden="false" customHeight="false" outlineLevel="0" collapsed="false">
      <c r="F921" s="57"/>
    </row>
    <row r="922" customFormat="false" ht="12.8" hidden="false" customHeight="false" outlineLevel="0" collapsed="false">
      <c r="F922" s="57"/>
    </row>
    <row r="923" customFormat="false" ht="12.8" hidden="false" customHeight="false" outlineLevel="0" collapsed="false">
      <c r="F923" s="57"/>
    </row>
    <row r="924" customFormat="false" ht="12.8" hidden="false" customHeight="false" outlineLevel="0" collapsed="false">
      <c r="F924" s="57"/>
    </row>
    <row r="925" customFormat="false" ht="12.8" hidden="false" customHeight="false" outlineLevel="0" collapsed="false">
      <c r="F925" s="57"/>
    </row>
    <row r="926" customFormat="false" ht="12.8" hidden="false" customHeight="false" outlineLevel="0" collapsed="false">
      <c r="F926" s="57"/>
    </row>
    <row r="927" customFormat="false" ht="12.8" hidden="false" customHeight="false" outlineLevel="0" collapsed="false">
      <c r="F927" s="57"/>
    </row>
    <row r="928" customFormat="false" ht="12.8" hidden="false" customHeight="false" outlineLevel="0" collapsed="false">
      <c r="F928" s="57"/>
    </row>
    <row r="929" customFormat="false" ht="12.8" hidden="false" customHeight="false" outlineLevel="0" collapsed="false">
      <c r="F929" s="57"/>
    </row>
    <row r="930" customFormat="false" ht="12.8" hidden="false" customHeight="false" outlineLevel="0" collapsed="false">
      <c r="F930" s="57"/>
    </row>
    <row r="931" customFormat="false" ht="12.8" hidden="false" customHeight="false" outlineLevel="0" collapsed="false">
      <c r="F931" s="57"/>
    </row>
    <row r="932" customFormat="false" ht="12.8" hidden="false" customHeight="false" outlineLevel="0" collapsed="false">
      <c r="F932" s="57"/>
    </row>
    <row r="933" customFormat="false" ht="12.8" hidden="false" customHeight="false" outlineLevel="0" collapsed="false">
      <c r="F933" s="57"/>
    </row>
    <row r="934" customFormat="false" ht="12.8" hidden="false" customHeight="false" outlineLevel="0" collapsed="false">
      <c r="F934" s="57"/>
    </row>
    <row r="935" customFormat="false" ht="12.8" hidden="false" customHeight="false" outlineLevel="0" collapsed="false">
      <c r="F935" s="57"/>
    </row>
    <row r="936" customFormat="false" ht="12.8" hidden="false" customHeight="false" outlineLevel="0" collapsed="false">
      <c r="F936" s="57"/>
    </row>
    <row r="937" customFormat="false" ht="12.8" hidden="false" customHeight="false" outlineLevel="0" collapsed="false">
      <c r="F937" s="57"/>
    </row>
    <row r="938" customFormat="false" ht="12.8" hidden="false" customHeight="false" outlineLevel="0" collapsed="false">
      <c r="F938" s="57"/>
    </row>
    <row r="939" customFormat="false" ht="12.8" hidden="false" customHeight="false" outlineLevel="0" collapsed="false">
      <c r="F939" s="57"/>
    </row>
    <row r="940" customFormat="false" ht="12.8" hidden="false" customHeight="false" outlineLevel="0" collapsed="false">
      <c r="F940" s="57"/>
    </row>
    <row r="941" customFormat="false" ht="12.8" hidden="false" customHeight="false" outlineLevel="0" collapsed="false">
      <c r="F941" s="57"/>
    </row>
    <row r="942" customFormat="false" ht="12.8" hidden="false" customHeight="false" outlineLevel="0" collapsed="false">
      <c r="F942" s="57"/>
    </row>
    <row r="943" customFormat="false" ht="12.8" hidden="false" customHeight="false" outlineLevel="0" collapsed="false">
      <c r="F943" s="57"/>
    </row>
    <row r="944" customFormat="false" ht="12.8" hidden="false" customHeight="false" outlineLevel="0" collapsed="false">
      <c r="F944" s="57"/>
    </row>
    <row r="945" customFormat="false" ht="12.8" hidden="false" customHeight="false" outlineLevel="0" collapsed="false">
      <c r="F945" s="57"/>
    </row>
    <row r="946" customFormat="false" ht="12.8" hidden="false" customHeight="false" outlineLevel="0" collapsed="false">
      <c r="F946" s="57"/>
    </row>
    <row r="947" customFormat="false" ht="12.8" hidden="false" customHeight="false" outlineLevel="0" collapsed="false">
      <c r="F947" s="57"/>
    </row>
    <row r="948" customFormat="false" ht="12.8" hidden="false" customHeight="false" outlineLevel="0" collapsed="false">
      <c r="F948" s="57"/>
    </row>
    <row r="949" customFormat="false" ht="12.8" hidden="false" customHeight="false" outlineLevel="0" collapsed="false">
      <c r="F949" s="57"/>
    </row>
    <row r="950" customFormat="false" ht="12.8" hidden="false" customHeight="false" outlineLevel="0" collapsed="false">
      <c r="F950" s="57"/>
    </row>
    <row r="951" customFormat="false" ht="12.8" hidden="false" customHeight="false" outlineLevel="0" collapsed="false">
      <c r="F951" s="57"/>
    </row>
    <row r="952" customFormat="false" ht="12.8" hidden="false" customHeight="false" outlineLevel="0" collapsed="false">
      <c r="F952" s="57"/>
    </row>
    <row r="953" customFormat="false" ht="12.8" hidden="false" customHeight="false" outlineLevel="0" collapsed="false">
      <c r="F953" s="57"/>
    </row>
    <row r="954" customFormat="false" ht="12.8" hidden="false" customHeight="false" outlineLevel="0" collapsed="false">
      <c r="F954" s="57"/>
    </row>
    <row r="955" customFormat="false" ht="12.8" hidden="false" customHeight="false" outlineLevel="0" collapsed="false">
      <c r="F955" s="57"/>
    </row>
    <row r="956" customFormat="false" ht="12.8" hidden="false" customHeight="false" outlineLevel="0" collapsed="false">
      <c r="F956" s="57"/>
    </row>
    <row r="957" customFormat="false" ht="12.8" hidden="false" customHeight="false" outlineLevel="0" collapsed="false">
      <c r="F957" s="57"/>
    </row>
    <row r="958" customFormat="false" ht="12.8" hidden="false" customHeight="false" outlineLevel="0" collapsed="false">
      <c r="F958" s="57"/>
    </row>
    <row r="959" customFormat="false" ht="12.8" hidden="false" customHeight="false" outlineLevel="0" collapsed="false">
      <c r="F959" s="57"/>
    </row>
    <row r="960" customFormat="false" ht="12.8" hidden="false" customHeight="false" outlineLevel="0" collapsed="false">
      <c r="F960" s="57"/>
    </row>
    <row r="961" customFormat="false" ht="12.8" hidden="false" customHeight="false" outlineLevel="0" collapsed="false">
      <c r="F961" s="57"/>
    </row>
    <row r="962" customFormat="false" ht="12.8" hidden="false" customHeight="false" outlineLevel="0" collapsed="false">
      <c r="F962" s="57"/>
    </row>
    <row r="963" customFormat="false" ht="12.8" hidden="false" customHeight="false" outlineLevel="0" collapsed="false">
      <c r="F963" s="57"/>
    </row>
    <row r="964" customFormat="false" ht="12.8" hidden="false" customHeight="false" outlineLevel="0" collapsed="false">
      <c r="F964" s="57"/>
    </row>
    <row r="965" customFormat="false" ht="12.8" hidden="false" customHeight="false" outlineLevel="0" collapsed="false">
      <c r="F965" s="57"/>
    </row>
    <row r="966" customFormat="false" ht="12.8" hidden="false" customHeight="false" outlineLevel="0" collapsed="false">
      <c r="F966" s="57"/>
    </row>
    <row r="967" customFormat="false" ht="12.8" hidden="false" customHeight="false" outlineLevel="0" collapsed="false">
      <c r="F967" s="57"/>
    </row>
    <row r="968" customFormat="false" ht="12.8" hidden="false" customHeight="false" outlineLevel="0" collapsed="false">
      <c r="F968" s="57"/>
    </row>
    <row r="969" customFormat="false" ht="12.8" hidden="false" customHeight="false" outlineLevel="0" collapsed="false">
      <c r="F969" s="57"/>
    </row>
    <row r="970" customFormat="false" ht="12.8" hidden="false" customHeight="false" outlineLevel="0" collapsed="false">
      <c r="F970" s="57"/>
    </row>
    <row r="971" customFormat="false" ht="12.8" hidden="false" customHeight="false" outlineLevel="0" collapsed="false">
      <c r="F971" s="57"/>
    </row>
    <row r="972" customFormat="false" ht="12.8" hidden="false" customHeight="false" outlineLevel="0" collapsed="false">
      <c r="F972" s="57"/>
    </row>
    <row r="973" customFormat="false" ht="12.8" hidden="false" customHeight="false" outlineLevel="0" collapsed="false">
      <c r="F973" s="57"/>
    </row>
    <row r="974" customFormat="false" ht="12.8" hidden="false" customHeight="false" outlineLevel="0" collapsed="false">
      <c r="F974" s="57"/>
    </row>
    <row r="975" customFormat="false" ht="12.8" hidden="false" customHeight="false" outlineLevel="0" collapsed="false">
      <c r="F975" s="57"/>
    </row>
    <row r="976" customFormat="false" ht="12.8" hidden="false" customHeight="false" outlineLevel="0" collapsed="false">
      <c r="F976" s="57"/>
    </row>
    <row r="977" customFormat="false" ht="12.8" hidden="false" customHeight="false" outlineLevel="0" collapsed="false">
      <c r="F977" s="57"/>
    </row>
    <row r="978" customFormat="false" ht="12.8" hidden="false" customHeight="false" outlineLevel="0" collapsed="false">
      <c r="F978" s="57"/>
    </row>
    <row r="979" customFormat="false" ht="12.8" hidden="false" customHeight="false" outlineLevel="0" collapsed="false">
      <c r="F979" s="57"/>
    </row>
    <row r="980" customFormat="false" ht="12.8" hidden="false" customHeight="false" outlineLevel="0" collapsed="false">
      <c r="F980" s="57"/>
    </row>
    <row r="981" customFormat="false" ht="12.8" hidden="false" customHeight="false" outlineLevel="0" collapsed="false">
      <c r="F981" s="57"/>
    </row>
    <row r="982" customFormat="false" ht="12.8" hidden="false" customHeight="false" outlineLevel="0" collapsed="false">
      <c r="F982" s="57"/>
    </row>
    <row r="983" customFormat="false" ht="12.8" hidden="false" customHeight="false" outlineLevel="0" collapsed="false">
      <c r="F983" s="57"/>
    </row>
    <row r="984" customFormat="false" ht="12.8" hidden="false" customHeight="false" outlineLevel="0" collapsed="false">
      <c r="F984" s="57"/>
    </row>
    <row r="985" customFormat="false" ht="12.8" hidden="false" customHeight="false" outlineLevel="0" collapsed="false">
      <c r="F985" s="57"/>
    </row>
    <row r="986" customFormat="false" ht="12.8" hidden="false" customHeight="false" outlineLevel="0" collapsed="false">
      <c r="F986" s="57"/>
    </row>
    <row r="987" customFormat="false" ht="12.8" hidden="false" customHeight="false" outlineLevel="0" collapsed="false">
      <c r="F987" s="57"/>
    </row>
    <row r="988" customFormat="false" ht="12.8" hidden="false" customHeight="false" outlineLevel="0" collapsed="false">
      <c r="F988" s="57"/>
    </row>
    <row r="989" customFormat="false" ht="12.8" hidden="false" customHeight="false" outlineLevel="0" collapsed="false">
      <c r="F989" s="57"/>
    </row>
    <row r="990" customFormat="false" ht="12.8" hidden="false" customHeight="false" outlineLevel="0" collapsed="false">
      <c r="F990" s="57"/>
    </row>
    <row r="991" customFormat="false" ht="12.8" hidden="false" customHeight="false" outlineLevel="0" collapsed="false">
      <c r="F991" s="57"/>
    </row>
    <row r="992" customFormat="false" ht="12.8" hidden="false" customHeight="false" outlineLevel="0" collapsed="false">
      <c r="F992" s="57"/>
    </row>
    <row r="993" customFormat="false" ht="12.8" hidden="false" customHeight="false" outlineLevel="0" collapsed="false">
      <c r="F993" s="57"/>
    </row>
    <row r="994" customFormat="false" ht="12.8" hidden="false" customHeight="false" outlineLevel="0" collapsed="false">
      <c r="F994" s="57"/>
    </row>
    <row r="995" customFormat="false" ht="12.8" hidden="false" customHeight="false" outlineLevel="0" collapsed="false">
      <c r="F995" s="57"/>
    </row>
    <row r="996" customFormat="false" ht="12.8" hidden="false" customHeight="false" outlineLevel="0" collapsed="false">
      <c r="F996" s="57"/>
    </row>
    <row r="997" customFormat="false" ht="12.8" hidden="false" customHeight="false" outlineLevel="0" collapsed="false">
      <c r="F997" s="57"/>
    </row>
    <row r="998" customFormat="false" ht="12.8" hidden="false" customHeight="false" outlineLevel="0" collapsed="false">
      <c r="F998" s="57"/>
    </row>
    <row r="999" customFormat="false" ht="12.8" hidden="false" customHeight="false" outlineLevel="0" collapsed="false">
      <c r="F999" s="57"/>
    </row>
    <row r="1000" customFormat="false" ht="12.8" hidden="false" customHeight="false" outlineLevel="0" collapsed="false">
      <c r="F1000" s="57"/>
    </row>
    <row r="1001" customFormat="false" ht="12.8" hidden="false" customHeight="false" outlineLevel="0" collapsed="false">
      <c r="F1001" s="57"/>
    </row>
    <row r="1002" customFormat="false" ht="12.8" hidden="false" customHeight="false" outlineLevel="0" collapsed="false">
      <c r="F1002" s="57"/>
    </row>
    <row r="1003" customFormat="false" ht="12.8" hidden="false" customHeight="false" outlineLevel="0" collapsed="false">
      <c r="F1003" s="57"/>
    </row>
    <row r="1004" customFormat="false" ht="12.8" hidden="false" customHeight="false" outlineLevel="0" collapsed="false">
      <c r="F1004" s="57"/>
    </row>
    <row r="1005" customFormat="false" ht="12.8" hidden="false" customHeight="false" outlineLevel="0" collapsed="false">
      <c r="F1005" s="57"/>
    </row>
    <row r="1006" customFormat="false" ht="12.8" hidden="false" customHeight="false" outlineLevel="0" collapsed="false">
      <c r="F1006" s="57"/>
    </row>
    <row r="1007" customFormat="false" ht="12.8" hidden="false" customHeight="false" outlineLevel="0" collapsed="false">
      <c r="F1007" s="57"/>
    </row>
    <row r="1008" customFormat="false" ht="12.8" hidden="false" customHeight="false" outlineLevel="0" collapsed="false">
      <c r="F1008" s="57"/>
    </row>
    <row r="1009" customFormat="false" ht="12.8" hidden="false" customHeight="false" outlineLevel="0" collapsed="false">
      <c r="F1009" s="57"/>
    </row>
    <row r="1010" customFormat="false" ht="12.8" hidden="false" customHeight="false" outlineLevel="0" collapsed="false">
      <c r="F1010" s="57"/>
    </row>
    <row r="1011" customFormat="false" ht="12.8" hidden="false" customHeight="false" outlineLevel="0" collapsed="false">
      <c r="F1011" s="57"/>
    </row>
    <row r="1012" customFormat="false" ht="12.8" hidden="false" customHeight="false" outlineLevel="0" collapsed="false">
      <c r="F1012" s="57"/>
    </row>
    <row r="1013" customFormat="false" ht="12.8" hidden="false" customHeight="false" outlineLevel="0" collapsed="false">
      <c r="F1013" s="57"/>
    </row>
    <row r="1014" customFormat="false" ht="12.8" hidden="false" customHeight="false" outlineLevel="0" collapsed="false">
      <c r="F1014" s="57"/>
    </row>
    <row r="1015" customFormat="false" ht="12.8" hidden="false" customHeight="false" outlineLevel="0" collapsed="false">
      <c r="F1015" s="57"/>
    </row>
    <row r="1016" customFormat="false" ht="12.8" hidden="false" customHeight="false" outlineLevel="0" collapsed="false">
      <c r="F1016" s="57"/>
    </row>
    <row r="1017" customFormat="false" ht="12.8" hidden="false" customHeight="false" outlineLevel="0" collapsed="false">
      <c r="F1017" s="57"/>
    </row>
    <row r="1018" customFormat="false" ht="12.8" hidden="false" customHeight="false" outlineLevel="0" collapsed="false">
      <c r="F1018" s="57"/>
    </row>
    <row r="1019" customFormat="false" ht="12.8" hidden="false" customHeight="false" outlineLevel="0" collapsed="false">
      <c r="F1019" s="57"/>
    </row>
    <row r="1020" customFormat="false" ht="12.8" hidden="false" customHeight="false" outlineLevel="0" collapsed="false">
      <c r="F1020" s="57"/>
    </row>
    <row r="1021" customFormat="false" ht="12.8" hidden="false" customHeight="false" outlineLevel="0" collapsed="false">
      <c r="F1021" s="57"/>
    </row>
    <row r="1022" customFormat="false" ht="12.8" hidden="false" customHeight="false" outlineLevel="0" collapsed="false">
      <c r="F1022" s="57"/>
    </row>
    <row r="1023" customFormat="false" ht="12.8" hidden="false" customHeight="false" outlineLevel="0" collapsed="false">
      <c r="F1023" s="57"/>
    </row>
    <row r="1024" customFormat="false" ht="12.8" hidden="false" customHeight="false" outlineLevel="0" collapsed="false">
      <c r="F1024" s="57"/>
    </row>
    <row r="1025" customFormat="false" ht="12.8" hidden="false" customHeight="false" outlineLevel="0" collapsed="false">
      <c r="F1025" s="57"/>
    </row>
    <row r="1026" customFormat="false" ht="12.8" hidden="false" customHeight="false" outlineLevel="0" collapsed="false">
      <c r="F1026" s="57"/>
    </row>
    <row r="1027" customFormat="false" ht="12.8" hidden="false" customHeight="false" outlineLevel="0" collapsed="false">
      <c r="F1027" s="57"/>
    </row>
    <row r="1028" customFormat="false" ht="12.8" hidden="false" customHeight="false" outlineLevel="0" collapsed="false">
      <c r="F1028" s="57"/>
    </row>
    <row r="1029" customFormat="false" ht="12.8" hidden="false" customHeight="false" outlineLevel="0" collapsed="false">
      <c r="F1029" s="57"/>
    </row>
    <row r="1030" customFormat="false" ht="12.8" hidden="false" customHeight="false" outlineLevel="0" collapsed="false">
      <c r="F1030" s="57"/>
    </row>
    <row r="1031" customFormat="false" ht="12.8" hidden="false" customHeight="false" outlineLevel="0" collapsed="false">
      <c r="F1031" s="57"/>
    </row>
    <row r="1032" customFormat="false" ht="12.8" hidden="false" customHeight="false" outlineLevel="0" collapsed="false">
      <c r="F1032" s="57"/>
    </row>
    <row r="1033" customFormat="false" ht="12.8" hidden="false" customHeight="false" outlineLevel="0" collapsed="false">
      <c r="F1033" s="57"/>
    </row>
    <row r="1034" customFormat="false" ht="12.8" hidden="false" customHeight="false" outlineLevel="0" collapsed="false">
      <c r="F1034" s="57"/>
    </row>
    <row r="1035" customFormat="false" ht="12.8" hidden="false" customHeight="false" outlineLevel="0" collapsed="false">
      <c r="F1035" s="57"/>
    </row>
    <row r="1036" customFormat="false" ht="12.8" hidden="false" customHeight="false" outlineLevel="0" collapsed="false">
      <c r="F1036" s="57"/>
    </row>
    <row r="1037" customFormat="false" ht="12.8" hidden="false" customHeight="false" outlineLevel="0" collapsed="false">
      <c r="F1037" s="57"/>
    </row>
    <row r="1038" customFormat="false" ht="12.8" hidden="false" customHeight="false" outlineLevel="0" collapsed="false">
      <c r="F1038" s="57"/>
    </row>
    <row r="1039" customFormat="false" ht="12.8" hidden="false" customHeight="false" outlineLevel="0" collapsed="false">
      <c r="F1039" s="57"/>
    </row>
    <row r="1040" customFormat="false" ht="12.8" hidden="false" customHeight="false" outlineLevel="0" collapsed="false">
      <c r="F1040" s="57"/>
    </row>
    <row r="1041" customFormat="false" ht="12.8" hidden="false" customHeight="false" outlineLevel="0" collapsed="false">
      <c r="F1041" s="57"/>
    </row>
    <row r="1042" customFormat="false" ht="12.8" hidden="false" customHeight="false" outlineLevel="0" collapsed="false">
      <c r="F1042" s="57"/>
    </row>
    <row r="1043" customFormat="false" ht="12.8" hidden="false" customHeight="false" outlineLevel="0" collapsed="false">
      <c r="F1043" s="57"/>
    </row>
    <row r="1044" customFormat="false" ht="12.8" hidden="false" customHeight="false" outlineLevel="0" collapsed="false">
      <c r="F1044" s="57"/>
    </row>
    <row r="1045" customFormat="false" ht="12.8" hidden="false" customHeight="false" outlineLevel="0" collapsed="false">
      <c r="F1045" s="57"/>
    </row>
    <row r="1046" customFormat="false" ht="12.8" hidden="false" customHeight="false" outlineLevel="0" collapsed="false">
      <c r="F1046" s="57"/>
    </row>
    <row r="1047" customFormat="false" ht="12.8" hidden="false" customHeight="false" outlineLevel="0" collapsed="false">
      <c r="F1047" s="57"/>
    </row>
    <row r="1048" customFormat="false" ht="12.8" hidden="false" customHeight="false" outlineLevel="0" collapsed="false">
      <c r="F1048" s="57"/>
    </row>
    <row r="1049" customFormat="false" ht="12.8" hidden="false" customHeight="false" outlineLevel="0" collapsed="false">
      <c r="F1049" s="57"/>
    </row>
    <row r="1050" customFormat="false" ht="12.8" hidden="false" customHeight="false" outlineLevel="0" collapsed="false">
      <c r="F1050" s="57"/>
    </row>
    <row r="1051" customFormat="false" ht="12.8" hidden="false" customHeight="false" outlineLevel="0" collapsed="false">
      <c r="F1051" s="57"/>
    </row>
    <row r="1052" customFormat="false" ht="12.8" hidden="false" customHeight="false" outlineLevel="0" collapsed="false">
      <c r="F1052" s="57"/>
    </row>
    <row r="1053" customFormat="false" ht="12.8" hidden="false" customHeight="false" outlineLevel="0" collapsed="false">
      <c r="F1053" s="57"/>
    </row>
    <row r="1054" customFormat="false" ht="12.8" hidden="false" customHeight="false" outlineLevel="0" collapsed="false">
      <c r="F1054" s="57"/>
    </row>
    <row r="1055" customFormat="false" ht="12.8" hidden="false" customHeight="false" outlineLevel="0" collapsed="false">
      <c r="F1055" s="57"/>
    </row>
    <row r="1056" customFormat="false" ht="12.8" hidden="false" customHeight="false" outlineLevel="0" collapsed="false">
      <c r="F1056" s="57"/>
    </row>
    <row r="1057" customFormat="false" ht="12.8" hidden="false" customHeight="false" outlineLevel="0" collapsed="false">
      <c r="F1057" s="57"/>
    </row>
    <row r="1058" customFormat="false" ht="12.8" hidden="false" customHeight="false" outlineLevel="0" collapsed="false">
      <c r="F1058" s="57"/>
    </row>
    <row r="1059" customFormat="false" ht="12.8" hidden="false" customHeight="false" outlineLevel="0" collapsed="false">
      <c r="F1059" s="57"/>
    </row>
    <row r="1060" customFormat="false" ht="12.8" hidden="false" customHeight="false" outlineLevel="0" collapsed="false">
      <c r="F1060" s="57"/>
    </row>
    <row r="1061" customFormat="false" ht="12.8" hidden="false" customHeight="false" outlineLevel="0" collapsed="false">
      <c r="F1061" s="57"/>
    </row>
    <row r="1062" customFormat="false" ht="12.8" hidden="false" customHeight="false" outlineLevel="0" collapsed="false">
      <c r="F1062" s="57"/>
    </row>
    <row r="1063" customFormat="false" ht="12.8" hidden="false" customHeight="false" outlineLevel="0" collapsed="false">
      <c r="F1063" s="57"/>
    </row>
    <row r="1064" customFormat="false" ht="12.8" hidden="false" customHeight="false" outlineLevel="0" collapsed="false">
      <c r="F1064" s="57"/>
    </row>
    <row r="1065" customFormat="false" ht="12.8" hidden="false" customHeight="false" outlineLevel="0" collapsed="false">
      <c r="F1065" s="57"/>
    </row>
    <row r="1066" customFormat="false" ht="12.8" hidden="false" customHeight="false" outlineLevel="0" collapsed="false">
      <c r="F1066" s="57"/>
    </row>
    <row r="1067" customFormat="false" ht="12.8" hidden="false" customHeight="false" outlineLevel="0" collapsed="false">
      <c r="F1067" s="57"/>
    </row>
    <row r="1068" customFormat="false" ht="12.8" hidden="false" customHeight="false" outlineLevel="0" collapsed="false">
      <c r="F1068" s="57"/>
    </row>
    <row r="1069" customFormat="false" ht="12.8" hidden="false" customHeight="false" outlineLevel="0" collapsed="false">
      <c r="F1069" s="57"/>
    </row>
    <row r="1070" customFormat="false" ht="12.8" hidden="false" customHeight="false" outlineLevel="0" collapsed="false">
      <c r="F1070" s="57"/>
    </row>
    <row r="1071" customFormat="false" ht="12.8" hidden="false" customHeight="false" outlineLevel="0" collapsed="false">
      <c r="F1071" s="57"/>
    </row>
    <row r="1072" customFormat="false" ht="12.8" hidden="false" customHeight="false" outlineLevel="0" collapsed="false">
      <c r="F1072" s="57"/>
    </row>
    <row r="1073" customFormat="false" ht="12.8" hidden="false" customHeight="false" outlineLevel="0" collapsed="false">
      <c r="F1073" s="57"/>
    </row>
    <row r="1074" customFormat="false" ht="12.8" hidden="false" customHeight="false" outlineLevel="0" collapsed="false">
      <c r="F1074" s="57"/>
    </row>
    <row r="1075" customFormat="false" ht="12.8" hidden="false" customHeight="false" outlineLevel="0" collapsed="false">
      <c r="F1075" s="57"/>
    </row>
    <row r="1076" customFormat="false" ht="12.8" hidden="false" customHeight="false" outlineLevel="0" collapsed="false">
      <c r="F1076" s="57"/>
    </row>
    <row r="1077" customFormat="false" ht="12.8" hidden="false" customHeight="false" outlineLevel="0" collapsed="false">
      <c r="F1077" s="57"/>
    </row>
    <row r="1078" customFormat="false" ht="12.8" hidden="false" customHeight="false" outlineLevel="0" collapsed="false">
      <c r="F1078" s="57"/>
    </row>
    <row r="1079" customFormat="false" ht="12.8" hidden="false" customHeight="false" outlineLevel="0" collapsed="false">
      <c r="F1079" s="57"/>
    </row>
    <row r="1080" customFormat="false" ht="12.8" hidden="false" customHeight="false" outlineLevel="0" collapsed="false">
      <c r="F1080" s="57"/>
    </row>
    <row r="1081" customFormat="false" ht="12.8" hidden="false" customHeight="false" outlineLevel="0" collapsed="false">
      <c r="F1081" s="57"/>
    </row>
    <row r="1082" customFormat="false" ht="12.8" hidden="false" customHeight="false" outlineLevel="0" collapsed="false">
      <c r="F1082" s="57"/>
    </row>
    <row r="1083" customFormat="false" ht="12.8" hidden="false" customHeight="false" outlineLevel="0" collapsed="false">
      <c r="F1083" s="57"/>
    </row>
    <row r="1084" customFormat="false" ht="12.8" hidden="false" customHeight="false" outlineLevel="0" collapsed="false">
      <c r="F1084" s="57"/>
    </row>
    <row r="1085" customFormat="false" ht="12.8" hidden="false" customHeight="false" outlineLevel="0" collapsed="false">
      <c r="F1085" s="57"/>
    </row>
    <row r="1086" customFormat="false" ht="12.8" hidden="false" customHeight="false" outlineLevel="0" collapsed="false">
      <c r="F1086" s="57"/>
    </row>
    <row r="1087" customFormat="false" ht="12.8" hidden="false" customHeight="false" outlineLevel="0" collapsed="false">
      <c r="F1087" s="57"/>
    </row>
    <row r="1088" customFormat="false" ht="12.8" hidden="false" customHeight="false" outlineLevel="0" collapsed="false">
      <c r="F1088" s="57"/>
    </row>
    <row r="1089" customFormat="false" ht="12.8" hidden="false" customHeight="false" outlineLevel="0" collapsed="false">
      <c r="F1089" s="57"/>
    </row>
    <row r="1090" customFormat="false" ht="12.8" hidden="false" customHeight="false" outlineLevel="0" collapsed="false">
      <c r="F1090" s="57"/>
    </row>
    <row r="1091" customFormat="false" ht="12.8" hidden="false" customHeight="false" outlineLevel="0" collapsed="false">
      <c r="F1091" s="57"/>
    </row>
    <row r="1092" customFormat="false" ht="12.8" hidden="false" customHeight="false" outlineLevel="0" collapsed="false">
      <c r="F1092" s="57"/>
    </row>
    <row r="1093" customFormat="false" ht="12.8" hidden="false" customHeight="false" outlineLevel="0" collapsed="false">
      <c r="F1093" s="57"/>
    </row>
    <row r="1094" customFormat="false" ht="12.8" hidden="false" customHeight="false" outlineLevel="0" collapsed="false">
      <c r="F1094" s="57"/>
    </row>
    <row r="1095" customFormat="false" ht="12.8" hidden="false" customHeight="false" outlineLevel="0" collapsed="false">
      <c r="F1095" s="57"/>
    </row>
    <row r="1096" customFormat="false" ht="12.8" hidden="false" customHeight="false" outlineLevel="0" collapsed="false">
      <c r="F1096" s="57"/>
    </row>
    <row r="1097" customFormat="false" ht="12.8" hidden="false" customHeight="false" outlineLevel="0" collapsed="false">
      <c r="F1097" s="57"/>
    </row>
    <row r="1098" customFormat="false" ht="12.8" hidden="false" customHeight="false" outlineLevel="0" collapsed="false">
      <c r="F1098" s="57"/>
    </row>
    <row r="1099" customFormat="false" ht="12.8" hidden="false" customHeight="false" outlineLevel="0" collapsed="false">
      <c r="F1099" s="57"/>
    </row>
    <row r="1100" customFormat="false" ht="12.8" hidden="false" customHeight="false" outlineLevel="0" collapsed="false">
      <c r="F1100" s="57"/>
    </row>
    <row r="1101" customFormat="false" ht="12.8" hidden="false" customHeight="false" outlineLevel="0" collapsed="false">
      <c r="F1101" s="57"/>
    </row>
    <row r="1102" customFormat="false" ht="12.8" hidden="false" customHeight="false" outlineLevel="0" collapsed="false">
      <c r="F1102" s="57"/>
    </row>
    <row r="1103" customFormat="false" ht="12.8" hidden="false" customHeight="false" outlineLevel="0" collapsed="false">
      <c r="F1103" s="57"/>
    </row>
    <row r="1104" customFormat="false" ht="12.8" hidden="false" customHeight="false" outlineLevel="0" collapsed="false">
      <c r="F1104" s="57"/>
    </row>
    <row r="1105" customFormat="false" ht="12.8" hidden="false" customHeight="false" outlineLevel="0" collapsed="false">
      <c r="F1105" s="57"/>
    </row>
    <row r="1106" customFormat="false" ht="12.8" hidden="false" customHeight="false" outlineLevel="0" collapsed="false">
      <c r="F1106" s="57"/>
    </row>
    <row r="1107" customFormat="false" ht="12.8" hidden="false" customHeight="false" outlineLevel="0" collapsed="false">
      <c r="F1107" s="57"/>
    </row>
    <row r="1108" customFormat="false" ht="12.8" hidden="false" customHeight="false" outlineLevel="0" collapsed="false">
      <c r="F1108" s="57"/>
    </row>
    <row r="1109" customFormat="false" ht="12.8" hidden="false" customHeight="false" outlineLevel="0" collapsed="false">
      <c r="F1109" s="57"/>
    </row>
    <row r="1110" customFormat="false" ht="12.8" hidden="false" customHeight="false" outlineLevel="0" collapsed="false">
      <c r="F1110" s="57"/>
    </row>
    <row r="1111" customFormat="false" ht="12.8" hidden="false" customHeight="false" outlineLevel="0" collapsed="false">
      <c r="F1111" s="57"/>
    </row>
    <row r="1112" customFormat="false" ht="12.8" hidden="false" customHeight="false" outlineLevel="0" collapsed="false">
      <c r="F1112" s="57"/>
    </row>
    <row r="1113" customFormat="false" ht="12.8" hidden="false" customHeight="false" outlineLevel="0" collapsed="false">
      <c r="F1113" s="57"/>
    </row>
    <row r="1114" customFormat="false" ht="12.8" hidden="false" customHeight="false" outlineLevel="0" collapsed="false">
      <c r="F1114" s="57"/>
    </row>
    <row r="1115" customFormat="false" ht="12.8" hidden="false" customHeight="false" outlineLevel="0" collapsed="false">
      <c r="F1115" s="57"/>
    </row>
    <row r="1116" customFormat="false" ht="12.8" hidden="false" customHeight="false" outlineLevel="0" collapsed="false">
      <c r="F1116" s="57"/>
    </row>
    <row r="1117" customFormat="false" ht="12.8" hidden="false" customHeight="false" outlineLevel="0" collapsed="false">
      <c r="F1117" s="57"/>
    </row>
    <row r="1118" customFormat="false" ht="12.8" hidden="false" customHeight="false" outlineLevel="0" collapsed="false">
      <c r="F1118" s="57"/>
    </row>
    <row r="1119" customFormat="false" ht="12.8" hidden="false" customHeight="false" outlineLevel="0" collapsed="false">
      <c r="F1119" s="57"/>
    </row>
    <row r="1120" customFormat="false" ht="12.8" hidden="false" customHeight="false" outlineLevel="0" collapsed="false">
      <c r="F1120" s="57"/>
    </row>
    <row r="1121" customFormat="false" ht="12.8" hidden="false" customHeight="false" outlineLevel="0" collapsed="false">
      <c r="F1121" s="57"/>
    </row>
    <row r="1122" customFormat="false" ht="12.8" hidden="false" customHeight="false" outlineLevel="0" collapsed="false">
      <c r="F1122" s="57"/>
    </row>
    <row r="1123" customFormat="false" ht="12.8" hidden="false" customHeight="false" outlineLevel="0" collapsed="false">
      <c r="F1123" s="57"/>
    </row>
    <row r="1124" customFormat="false" ht="12.8" hidden="false" customHeight="false" outlineLevel="0" collapsed="false">
      <c r="F1124" s="57"/>
    </row>
    <row r="1125" customFormat="false" ht="12.8" hidden="false" customHeight="false" outlineLevel="0" collapsed="false">
      <c r="F1125" s="57"/>
    </row>
    <row r="1126" customFormat="false" ht="12.8" hidden="false" customHeight="false" outlineLevel="0" collapsed="false">
      <c r="F1126" s="57"/>
    </row>
    <row r="1127" customFormat="false" ht="12.8" hidden="false" customHeight="false" outlineLevel="0" collapsed="false">
      <c r="F1127" s="57"/>
    </row>
    <row r="1128" customFormat="false" ht="12.8" hidden="false" customHeight="false" outlineLevel="0" collapsed="false">
      <c r="F1128" s="57"/>
    </row>
    <row r="1129" customFormat="false" ht="12.8" hidden="false" customHeight="false" outlineLevel="0" collapsed="false">
      <c r="F1129" s="57"/>
    </row>
    <row r="1130" customFormat="false" ht="12.8" hidden="false" customHeight="false" outlineLevel="0" collapsed="false">
      <c r="F1130" s="57"/>
    </row>
    <row r="1131" customFormat="false" ht="12.8" hidden="false" customHeight="false" outlineLevel="0" collapsed="false">
      <c r="F1131" s="57"/>
    </row>
    <row r="1132" customFormat="false" ht="12.8" hidden="false" customHeight="false" outlineLevel="0" collapsed="false">
      <c r="F1132" s="57"/>
    </row>
    <row r="1133" customFormat="false" ht="12.8" hidden="false" customHeight="false" outlineLevel="0" collapsed="false">
      <c r="F1133" s="57"/>
    </row>
    <row r="1134" customFormat="false" ht="12.8" hidden="false" customHeight="false" outlineLevel="0" collapsed="false">
      <c r="F1134" s="57"/>
    </row>
    <row r="1135" customFormat="false" ht="12.8" hidden="false" customHeight="false" outlineLevel="0" collapsed="false">
      <c r="F1135" s="57"/>
    </row>
    <row r="1136" customFormat="false" ht="12.8" hidden="false" customHeight="false" outlineLevel="0" collapsed="false">
      <c r="F1136" s="57"/>
    </row>
    <row r="1137" customFormat="false" ht="12.8" hidden="false" customHeight="false" outlineLevel="0" collapsed="false">
      <c r="F1137" s="57"/>
    </row>
    <row r="1138" customFormat="false" ht="12.8" hidden="false" customHeight="false" outlineLevel="0" collapsed="false">
      <c r="F1138" s="57"/>
    </row>
    <row r="1139" customFormat="false" ht="12.8" hidden="false" customHeight="false" outlineLevel="0" collapsed="false">
      <c r="F1139" s="57"/>
    </row>
    <row r="1140" customFormat="false" ht="12.8" hidden="false" customHeight="false" outlineLevel="0" collapsed="false">
      <c r="F1140" s="57"/>
    </row>
    <row r="1141" customFormat="false" ht="12.8" hidden="false" customHeight="false" outlineLevel="0" collapsed="false">
      <c r="F1141" s="57"/>
    </row>
    <row r="1142" customFormat="false" ht="12.8" hidden="false" customHeight="false" outlineLevel="0" collapsed="false">
      <c r="F1142" s="57"/>
    </row>
    <row r="1143" customFormat="false" ht="12.8" hidden="false" customHeight="false" outlineLevel="0" collapsed="false">
      <c r="F1143" s="57"/>
    </row>
    <row r="1144" customFormat="false" ht="12.8" hidden="false" customHeight="false" outlineLevel="0" collapsed="false">
      <c r="F1144" s="57"/>
    </row>
    <row r="1145" customFormat="false" ht="12.8" hidden="false" customHeight="false" outlineLevel="0" collapsed="false">
      <c r="F1145" s="57"/>
    </row>
    <row r="1146" customFormat="false" ht="12.8" hidden="false" customHeight="false" outlineLevel="0" collapsed="false">
      <c r="F1146" s="57"/>
    </row>
    <row r="1147" customFormat="false" ht="12.8" hidden="false" customHeight="false" outlineLevel="0" collapsed="false">
      <c r="F1147" s="57"/>
    </row>
    <row r="1148" customFormat="false" ht="12.8" hidden="false" customHeight="false" outlineLevel="0" collapsed="false">
      <c r="F1148" s="57"/>
    </row>
    <row r="1149" customFormat="false" ht="12.8" hidden="false" customHeight="false" outlineLevel="0" collapsed="false">
      <c r="F1149" s="57"/>
    </row>
    <row r="1150" customFormat="false" ht="12.8" hidden="false" customHeight="false" outlineLevel="0" collapsed="false">
      <c r="F1150" s="57"/>
    </row>
    <row r="1151" customFormat="false" ht="12.8" hidden="false" customHeight="false" outlineLevel="0" collapsed="false">
      <c r="F1151" s="57"/>
    </row>
    <row r="1152" customFormat="false" ht="12.8" hidden="false" customHeight="false" outlineLevel="0" collapsed="false">
      <c r="F1152" s="57"/>
    </row>
    <row r="1153" customFormat="false" ht="12.8" hidden="false" customHeight="false" outlineLevel="0" collapsed="false">
      <c r="F1153" s="57"/>
    </row>
    <row r="1154" customFormat="false" ht="12.8" hidden="false" customHeight="false" outlineLevel="0" collapsed="false">
      <c r="F1154" s="57"/>
    </row>
    <row r="1155" customFormat="false" ht="12.8" hidden="false" customHeight="false" outlineLevel="0" collapsed="false">
      <c r="F1155" s="57"/>
    </row>
    <row r="1156" customFormat="false" ht="12.8" hidden="false" customHeight="false" outlineLevel="0" collapsed="false">
      <c r="F1156" s="57"/>
    </row>
    <row r="1157" customFormat="false" ht="12.8" hidden="false" customHeight="false" outlineLevel="0" collapsed="false">
      <c r="F1157" s="57"/>
    </row>
    <row r="1158" customFormat="false" ht="12.8" hidden="false" customHeight="false" outlineLevel="0" collapsed="false">
      <c r="F1158" s="57"/>
    </row>
    <row r="1159" customFormat="false" ht="12.8" hidden="false" customHeight="false" outlineLevel="0" collapsed="false">
      <c r="F1159" s="57"/>
    </row>
    <row r="1160" customFormat="false" ht="12.8" hidden="false" customHeight="false" outlineLevel="0" collapsed="false">
      <c r="F1160" s="57"/>
    </row>
  </sheetData>
  <mergeCells count="708">
    <mergeCell ref="A2:A602"/>
    <mergeCell ref="B2:B81"/>
    <mergeCell ref="C2:C11"/>
    <mergeCell ref="D2:D3"/>
    <mergeCell ref="H2:H3"/>
    <mergeCell ref="I2:I3"/>
    <mergeCell ref="D4:D5"/>
    <mergeCell ref="H4:H5"/>
    <mergeCell ref="I4:I5"/>
    <mergeCell ref="D6:D7"/>
    <mergeCell ref="H6:H7"/>
    <mergeCell ref="I6:I7"/>
    <mergeCell ref="D8:D9"/>
    <mergeCell ref="H8:H9"/>
    <mergeCell ref="I8:I9"/>
    <mergeCell ref="D10:D11"/>
    <mergeCell ref="H10:H11"/>
    <mergeCell ref="I10:I11"/>
    <mergeCell ref="C12:C21"/>
    <mergeCell ref="D12:D13"/>
    <mergeCell ref="H12:H13"/>
    <mergeCell ref="I12:I13"/>
    <mergeCell ref="D14:D15"/>
    <mergeCell ref="H14:H15"/>
    <mergeCell ref="I14:I15"/>
    <mergeCell ref="D16:D17"/>
    <mergeCell ref="H16:H17"/>
    <mergeCell ref="I16:I17"/>
    <mergeCell ref="D18:D19"/>
    <mergeCell ref="H18:H19"/>
    <mergeCell ref="I18:I19"/>
    <mergeCell ref="D20:D21"/>
    <mergeCell ref="H20:H21"/>
    <mergeCell ref="I20:I21"/>
    <mergeCell ref="C22:C31"/>
    <mergeCell ref="D22:D23"/>
    <mergeCell ref="H22:H23"/>
    <mergeCell ref="I22:I23"/>
    <mergeCell ref="D24:D25"/>
    <mergeCell ref="H24:H25"/>
    <mergeCell ref="I24:I25"/>
    <mergeCell ref="D26:D27"/>
    <mergeCell ref="H26:H27"/>
    <mergeCell ref="I26:I27"/>
    <mergeCell ref="D28:D29"/>
    <mergeCell ref="H28:H29"/>
    <mergeCell ref="I28:I29"/>
    <mergeCell ref="D30:D31"/>
    <mergeCell ref="H30:H31"/>
    <mergeCell ref="I30:I31"/>
    <mergeCell ref="C32:C41"/>
    <mergeCell ref="D32:D33"/>
    <mergeCell ref="H32:H33"/>
    <mergeCell ref="I32:I33"/>
    <mergeCell ref="D34:D35"/>
    <mergeCell ref="H34:H35"/>
    <mergeCell ref="I34:I35"/>
    <mergeCell ref="D36:D37"/>
    <mergeCell ref="H36:H37"/>
    <mergeCell ref="I36:I37"/>
    <mergeCell ref="D38:D39"/>
    <mergeCell ref="H38:H39"/>
    <mergeCell ref="I38:I39"/>
    <mergeCell ref="D40:D41"/>
    <mergeCell ref="H40:H41"/>
    <mergeCell ref="I40:I41"/>
    <mergeCell ref="C42:C51"/>
    <mergeCell ref="D42:D43"/>
    <mergeCell ref="H42:H43"/>
    <mergeCell ref="I42:I43"/>
    <mergeCell ref="D44:D45"/>
    <mergeCell ref="H44:H45"/>
    <mergeCell ref="I44:I45"/>
    <mergeCell ref="D46:D47"/>
    <mergeCell ref="H46:H47"/>
    <mergeCell ref="I46:I47"/>
    <mergeCell ref="D48:D49"/>
    <mergeCell ref="H48:H49"/>
    <mergeCell ref="I48:I49"/>
    <mergeCell ref="D50:D51"/>
    <mergeCell ref="H50:H51"/>
    <mergeCell ref="I50:I51"/>
    <mergeCell ref="C52:C61"/>
    <mergeCell ref="D52:D53"/>
    <mergeCell ref="H52:H53"/>
    <mergeCell ref="I52:I53"/>
    <mergeCell ref="D54:D55"/>
    <mergeCell ref="H54:H55"/>
    <mergeCell ref="I54:I55"/>
    <mergeCell ref="D56:D57"/>
    <mergeCell ref="H56:H57"/>
    <mergeCell ref="I56:I57"/>
    <mergeCell ref="D58:D59"/>
    <mergeCell ref="H58:H59"/>
    <mergeCell ref="I58:I59"/>
    <mergeCell ref="D60:D61"/>
    <mergeCell ref="H60:H61"/>
    <mergeCell ref="I60:I61"/>
    <mergeCell ref="C62:C71"/>
    <mergeCell ref="D62:D63"/>
    <mergeCell ref="H62:H63"/>
    <mergeCell ref="I62:I63"/>
    <mergeCell ref="D64:D65"/>
    <mergeCell ref="H64:H65"/>
    <mergeCell ref="I64:I65"/>
    <mergeCell ref="D66:D67"/>
    <mergeCell ref="H66:H67"/>
    <mergeCell ref="I66:I67"/>
    <mergeCell ref="D68:D69"/>
    <mergeCell ref="H68:H69"/>
    <mergeCell ref="I68:I69"/>
    <mergeCell ref="D70:D71"/>
    <mergeCell ref="H70:H71"/>
    <mergeCell ref="I70:I71"/>
    <mergeCell ref="C72:C81"/>
    <mergeCell ref="D72:D73"/>
    <mergeCell ref="H72:H73"/>
    <mergeCell ref="I72:I73"/>
    <mergeCell ref="D74:D75"/>
    <mergeCell ref="H74:H75"/>
    <mergeCell ref="I74:I75"/>
    <mergeCell ref="D76:D77"/>
    <mergeCell ref="H76:H77"/>
    <mergeCell ref="I76:I77"/>
    <mergeCell ref="D78:D79"/>
    <mergeCell ref="H78:H79"/>
    <mergeCell ref="I78:I79"/>
    <mergeCell ref="D80:D81"/>
    <mergeCell ref="H80:H81"/>
    <mergeCell ref="I80:I81"/>
    <mergeCell ref="C82:C91"/>
    <mergeCell ref="H82:H83"/>
    <mergeCell ref="I82:I83"/>
    <mergeCell ref="H84:H85"/>
    <mergeCell ref="I84:I85"/>
    <mergeCell ref="H86:H87"/>
    <mergeCell ref="I86:I87"/>
    <mergeCell ref="H88:H89"/>
    <mergeCell ref="I88:I89"/>
    <mergeCell ref="H90:H91"/>
    <mergeCell ref="I90:I91"/>
    <mergeCell ref="C92:C101"/>
    <mergeCell ref="H92:H93"/>
    <mergeCell ref="I92:I93"/>
    <mergeCell ref="H94:H95"/>
    <mergeCell ref="I94:I95"/>
    <mergeCell ref="H96:H97"/>
    <mergeCell ref="I96:I97"/>
    <mergeCell ref="H98:H99"/>
    <mergeCell ref="I98:I99"/>
    <mergeCell ref="H100:H101"/>
    <mergeCell ref="I100:I101"/>
    <mergeCell ref="C102:C111"/>
    <mergeCell ref="H102:H103"/>
    <mergeCell ref="I102:I103"/>
    <mergeCell ref="H104:H105"/>
    <mergeCell ref="I104:I105"/>
    <mergeCell ref="H106:H107"/>
    <mergeCell ref="I106:I107"/>
    <mergeCell ref="H108:H109"/>
    <mergeCell ref="I108:I109"/>
    <mergeCell ref="H110:H111"/>
    <mergeCell ref="I110:I111"/>
    <mergeCell ref="C112:C121"/>
    <mergeCell ref="H112:H113"/>
    <mergeCell ref="I112:I113"/>
    <mergeCell ref="H114:H115"/>
    <mergeCell ref="I114:I115"/>
    <mergeCell ref="H116:H117"/>
    <mergeCell ref="I116:I117"/>
    <mergeCell ref="H118:H119"/>
    <mergeCell ref="I118:I119"/>
    <mergeCell ref="H120:H121"/>
    <mergeCell ref="I120:I121"/>
    <mergeCell ref="C122:C131"/>
    <mergeCell ref="H122:H123"/>
    <mergeCell ref="I122:I123"/>
    <mergeCell ref="H124:H125"/>
    <mergeCell ref="I124:I125"/>
    <mergeCell ref="H126:H127"/>
    <mergeCell ref="I126:I127"/>
    <mergeCell ref="H128:H129"/>
    <mergeCell ref="I128:I129"/>
    <mergeCell ref="H130:H131"/>
    <mergeCell ref="I130:I131"/>
    <mergeCell ref="C132:C141"/>
    <mergeCell ref="H132:H133"/>
    <mergeCell ref="I132:I133"/>
    <mergeCell ref="H134:H135"/>
    <mergeCell ref="I134:I135"/>
    <mergeCell ref="H136:H137"/>
    <mergeCell ref="I136:I137"/>
    <mergeCell ref="H138:H139"/>
    <mergeCell ref="I138:I139"/>
    <mergeCell ref="H140:H141"/>
    <mergeCell ref="I140:I141"/>
    <mergeCell ref="C142:C151"/>
    <mergeCell ref="H142:H143"/>
    <mergeCell ref="I142:I143"/>
    <mergeCell ref="H144:H145"/>
    <mergeCell ref="I144:I145"/>
    <mergeCell ref="H146:H147"/>
    <mergeCell ref="I146:I147"/>
    <mergeCell ref="H148:H149"/>
    <mergeCell ref="I148:I149"/>
    <mergeCell ref="H150:H151"/>
    <mergeCell ref="I150:I151"/>
    <mergeCell ref="C152:C161"/>
    <mergeCell ref="H152:H153"/>
    <mergeCell ref="I152:I153"/>
    <mergeCell ref="H154:H155"/>
    <mergeCell ref="I154:I155"/>
    <mergeCell ref="H156:H157"/>
    <mergeCell ref="I156:I157"/>
    <mergeCell ref="H158:H159"/>
    <mergeCell ref="I158:I159"/>
    <mergeCell ref="H160:H161"/>
    <mergeCell ref="I160:I161"/>
    <mergeCell ref="C162:C171"/>
    <mergeCell ref="H162:H163"/>
    <mergeCell ref="I162:I163"/>
    <mergeCell ref="H164:H165"/>
    <mergeCell ref="I164:I165"/>
    <mergeCell ref="H166:H167"/>
    <mergeCell ref="I166:I167"/>
    <mergeCell ref="H168:H169"/>
    <mergeCell ref="I168:I169"/>
    <mergeCell ref="H170:H171"/>
    <mergeCell ref="I170:I171"/>
    <mergeCell ref="C172:C181"/>
    <mergeCell ref="H172:H173"/>
    <mergeCell ref="I172:I173"/>
    <mergeCell ref="H174:H175"/>
    <mergeCell ref="I174:I175"/>
    <mergeCell ref="H176:H177"/>
    <mergeCell ref="I176:I177"/>
    <mergeCell ref="H178:H179"/>
    <mergeCell ref="I178:I179"/>
    <mergeCell ref="H180:H181"/>
    <mergeCell ref="I180:I181"/>
    <mergeCell ref="C182:C191"/>
    <mergeCell ref="H182:H183"/>
    <mergeCell ref="I182:I183"/>
    <mergeCell ref="H184:H185"/>
    <mergeCell ref="I184:I185"/>
    <mergeCell ref="H186:H187"/>
    <mergeCell ref="I186:I187"/>
    <mergeCell ref="H188:H189"/>
    <mergeCell ref="I188:I189"/>
    <mergeCell ref="H190:H191"/>
    <mergeCell ref="I190:I191"/>
    <mergeCell ref="H192:H193"/>
    <mergeCell ref="I192:I193"/>
    <mergeCell ref="C193:C202"/>
    <mergeCell ref="H194:H195"/>
    <mergeCell ref="I194:I195"/>
    <mergeCell ref="H196:H197"/>
    <mergeCell ref="I196:I197"/>
    <mergeCell ref="H198:H199"/>
    <mergeCell ref="I198:I199"/>
    <mergeCell ref="H200:H201"/>
    <mergeCell ref="I200:I201"/>
    <mergeCell ref="H202:H203"/>
    <mergeCell ref="I202:I203"/>
    <mergeCell ref="C203:C212"/>
    <mergeCell ref="H204:H205"/>
    <mergeCell ref="I204:I205"/>
    <mergeCell ref="H206:H207"/>
    <mergeCell ref="I206:I207"/>
    <mergeCell ref="H208:H209"/>
    <mergeCell ref="I208:I209"/>
    <mergeCell ref="H210:H211"/>
    <mergeCell ref="I210:I211"/>
    <mergeCell ref="H212:H213"/>
    <mergeCell ref="I212:I213"/>
    <mergeCell ref="B213:B272"/>
    <mergeCell ref="C213:C222"/>
    <mergeCell ref="H214:H215"/>
    <mergeCell ref="I214:I215"/>
    <mergeCell ref="H216:H217"/>
    <mergeCell ref="I216:I217"/>
    <mergeCell ref="H218:H219"/>
    <mergeCell ref="I218:I219"/>
    <mergeCell ref="H220:H221"/>
    <mergeCell ref="I220:I221"/>
    <mergeCell ref="H222:H223"/>
    <mergeCell ref="I222:I223"/>
    <mergeCell ref="C223:C232"/>
    <mergeCell ref="H224:H225"/>
    <mergeCell ref="I224:I225"/>
    <mergeCell ref="H226:H227"/>
    <mergeCell ref="I226:I227"/>
    <mergeCell ref="H228:H229"/>
    <mergeCell ref="I228:I229"/>
    <mergeCell ref="H230:H231"/>
    <mergeCell ref="I230:I231"/>
    <mergeCell ref="H232:H233"/>
    <mergeCell ref="I232:I233"/>
    <mergeCell ref="C233:C242"/>
    <mergeCell ref="H234:H235"/>
    <mergeCell ref="I234:I235"/>
    <mergeCell ref="H236:H237"/>
    <mergeCell ref="I236:I237"/>
    <mergeCell ref="H238:H239"/>
    <mergeCell ref="I238:I239"/>
    <mergeCell ref="H240:H241"/>
    <mergeCell ref="I240:I241"/>
    <mergeCell ref="H242:H243"/>
    <mergeCell ref="I242:I243"/>
    <mergeCell ref="C243:C252"/>
    <mergeCell ref="H244:H245"/>
    <mergeCell ref="I244:I245"/>
    <mergeCell ref="H246:H247"/>
    <mergeCell ref="I246:I247"/>
    <mergeCell ref="H248:H249"/>
    <mergeCell ref="I248:I249"/>
    <mergeCell ref="H250:H251"/>
    <mergeCell ref="I250:I251"/>
    <mergeCell ref="H252:H253"/>
    <mergeCell ref="I252:I253"/>
    <mergeCell ref="C253:C262"/>
    <mergeCell ref="H254:H255"/>
    <mergeCell ref="I254:I255"/>
    <mergeCell ref="H256:H257"/>
    <mergeCell ref="I256:I257"/>
    <mergeCell ref="H258:H259"/>
    <mergeCell ref="I258:I259"/>
    <mergeCell ref="H260:H261"/>
    <mergeCell ref="I260:I261"/>
    <mergeCell ref="H262:H263"/>
    <mergeCell ref="I262:I263"/>
    <mergeCell ref="C263:C272"/>
    <mergeCell ref="H264:H265"/>
    <mergeCell ref="I264:I265"/>
    <mergeCell ref="H266:H267"/>
    <mergeCell ref="I266:I267"/>
    <mergeCell ref="H268:H269"/>
    <mergeCell ref="I268:I269"/>
    <mergeCell ref="H270:H271"/>
    <mergeCell ref="I270:I271"/>
    <mergeCell ref="H272:H273"/>
    <mergeCell ref="I272:I273"/>
    <mergeCell ref="B273:B362"/>
    <mergeCell ref="C273:C282"/>
    <mergeCell ref="H274:H275"/>
    <mergeCell ref="I274:I275"/>
    <mergeCell ref="H276:H277"/>
    <mergeCell ref="I276:I277"/>
    <mergeCell ref="H278:H279"/>
    <mergeCell ref="I278:I279"/>
    <mergeCell ref="H280:H281"/>
    <mergeCell ref="I280:I281"/>
    <mergeCell ref="H282:H283"/>
    <mergeCell ref="I282:I283"/>
    <mergeCell ref="C283:C292"/>
    <mergeCell ref="H284:H285"/>
    <mergeCell ref="I284:I285"/>
    <mergeCell ref="H286:H287"/>
    <mergeCell ref="I286:I287"/>
    <mergeCell ref="H288:H289"/>
    <mergeCell ref="I288:I289"/>
    <mergeCell ref="H290:H291"/>
    <mergeCell ref="I290:I291"/>
    <mergeCell ref="H292:H293"/>
    <mergeCell ref="I292:I293"/>
    <mergeCell ref="C293:C302"/>
    <mergeCell ref="H294:H295"/>
    <mergeCell ref="I294:I295"/>
    <mergeCell ref="H296:H297"/>
    <mergeCell ref="I296:I297"/>
    <mergeCell ref="H298:H299"/>
    <mergeCell ref="I298:I299"/>
    <mergeCell ref="H300:H301"/>
    <mergeCell ref="I300:I301"/>
    <mergeCell ref="H302:H303"/>
    <mergeCell ref="I302:I303"/>
    <mergeCell ref="C303:C312"/>
    <mergeCell ref="H304:H305"/>
    <mergeCell ref="I304:I305"/>
    <mergeCell ref="H306:H307"/>
    <mergeCell ref="I306:I307"/>
    <mergeCell ref="H308:H309"/>
    <mergeCell ref="I308:I309"/>
    <mergeCell ref="H310:H311"/>
    <mergeCell ref="I310:I311"/>
    <mergeCell ref="H312:H313"/>
    <mergeCell ref="I312:I313"/>
    <mergeCell ref="C313:C322"/>
    <mergeCell ref="H314:H315"/>
    <mergeCell ref="I314:I315"/>
    <mergeCell ref="H316:H317"/>
    <mergeCell ref="I316:I317"/>
    <mergeCell ref="H318:H319"/>
    <mergeCell ref="I318:I319"/>
    <mergeCell ref="H320:H321"/>
    <mergeCell ref="I320:I321"/>
    <mergeCell ref="H322:H323"/>
    <mergeCell ref="I322:I323"/>
    <mergeCell ref="C323:C332"/>
    <mergeCell ref="H324:H325"/>
    <mergeCell ref="I324:I325"/>
    <mergeCell ref="H326:H327"/>
    <mergeCell ref="I326:I327"/>
    <mergeCell ref="H328:H329"/>
    <mergeCell ref="I328:I329"/>
    <mergeCell ref="H330:H331"/>
    <mergeCell ref="I330:I331"/>
    <mergeCell ref="H332:H333"/>
    <mergeCell ref="I332:I333"/>
    <mergeCell ref="C333:C342"/>
    <mergeCell ref="H334:H335"/>
    <mergeCell ref="I334:I335"/>
    <mergeCell ref="H336:H337"/>
    <mergeCell ref="I336:I337"/>
    <mergeCell ref="H338:H339"/>
    <mergeCell ref="I338:I339"/>
    <mergeCell ref="H340:H341"/>
    <mergeCell ref="I340:I341"/>
    <mergeCell ref="H342:H343"/>
    <mergeCell ref="I342:I343"/>
    <mergeCell ref="C343:C352"/>
    <mergeCell ref="H344:H345"/>
    <mergeCell ref="I344:I345"/>
    <mergeCell ref="H346:H347"/>
    <mergeCell ref="I346:I347"/>
    <mergeCell ref="H348:H349"/>
    <mergeCell ref="I348:I349"/>
    <mergeCell ref="H350:H351"/>
    <mergeCell ref="I350:I351"/>
    <mergeCell ref="H352:H353"/>
    <mergeCell ref="I352:I353"/>
    <mergeCell ref="C353:C362"/>
    <mergeCell ref="H354:H355"/>
    <mergeCell ref="I354:I355"/>
    <mergeCell ref="H356:H357"/>
    <mergeCell ref="I356:I357"/>
    <mergeCell ref="H358:H359"/>
    <mergeCell ref="I358:I359"/>
    <mergeCell ref="H360:H361"/>
    <mergeCell ref="I360:I361"/>
    <mergeCell ref="H362:H363"/>
    <mergeCell ref="I362:I363"/>
    <mergeCell ref="B363:B412"/>
    <mergeCell ref="C363:C372"/>
    <mergeCell ref="H364:H365"/>
    <mergeCell ref="I364:I365"/>
    <mergeCell ref="H366:H367"/>
    <mergeCell ref="I366:I367"/>
    <mergeCell ref="H368:H369"/>
    <mergeCell ref="I368:I369"/>
    <mergeCell ref="H370:H371"/>
    <mergeCell ref="I370:I371"/>
    <mergeCell ref="H372:H373"/>
    <mergeCell ref="I372:I373"/>
    <mergeCell ref="C373:C382"/>
    <mergeCell ref="H374:H375"/>
    <mergeCell ref="I374:I375"/>
    <mergeCell ref="H376:H377"/>
    <mergeCell ref="I376:I377"/>
    <mergeCell ref="H378:H379"/>
    <mergeCell ref="I378:I379"/>
    <mergeCell ref="H380:H381"/>
    <mergeCell ref="I380:I381"/>
    <mergeCell ref="H382:H383"/>
    <mergeCell ref="I382:I383"/>
    <mergeCell ref="C383:C392"/>
    <mergeCell ref="H384:H385"/>
    <mergeCell ref="I384:I385"/>
    <mergeCell ref="H386:H387"/>
    <mergeCell ref="I386:I387"/>
    <mergeCell ref="H388:H389"/>
    <mergeCell ref="I388:I389"/>
    <mergeCell ref="H390:H391"/>
    <mergeCell ref="I390:I391"/>
    <mergeCell ref="H392:H393"/>
    <mergeCell ref="I392:I393"/>
    <mergeCell ref="C393:C402"/>
    <mergeCell ref="H394:H395"/>
    <mergeCell ref="I394:I395"/>
    <mergeCell ref="H396:H397"/>
    <mergeCell ref="I396:I397"/>
    <mergeCell ref="H398:H399"/>
    <mergeCell ref="I398:I399"/>
    <mergeCell ref="H400:H401"/>
    <mergeCell ref="I400:I401"/>
    <mergeCell ref="H402:H403"/>
    <mergeCell ref="I402:I403"/>
    <mergeCell ref="C403:C412"/>
    <mergeCell ref="H404:H405"/>
    <mergeCell ref="I404:I405"/>
    <mergeCell ref="H406:H407"/>
    <mergeCell ref="I406:I407"/>
    <mergeCell ref="H408:H409"/>
    <mergeCell ref="I408:I409"/>
    <mergeCell ref="H410:H411"/>
    <mergeCell ref="I410:I411"/>
    <mergeCell ref="H412:H413"/>
    <mergeCell ref="I412:I413"/>
    <mergeCell ref="B413:B462"/>
    <mergeCell ref="C413:C422"/>
    <mergeCell ref="H414:H415"/>
    <mergeCell ref="I414:I415"/>
    <mergeCell ref="H416:H417"/>
    <mergeCell ref="I416:I417"/>
    <mergeCell ref="H418:H419"/>
    <mergeCell ref="I418:I419"/>
    <mergeCell ref="H420:H421"/>
    <mergeCell ref="I420:I421"/>
    <mergeCell ref="H422:H423"/>
    <mergeCell ref="I422:I423"/>
    <mergeCell ref="C423:C432"/>
    <mergeCell ref="H424:H425"/>
    <mergeCell ref="I424:I425"/>
    <mergeCell ref="H426:H427"/>
    <mergeCell ref="I426:I427"/>
    <mergeCell ref="H428:H429"/>
    <mergeCell ref="I428:I429"/>
    <mergeCell ref="H430:H431"/>
    <mergeCell ref="I430:I431"/>
    <mergeCell ref="H432:H433"/>
    <mergeCell ref="I432:I433"/>
    <mergeCell ref="C433:C442"/>
    <mergeCell ref="H434:H435"/>
    <mergeCell ref="I434:I435"/>
    <mergeCell ref="H436:H437"/>
    <mergeCell ref="I436:I437"/>
    <mergeCell ref="H438:H439"/>
    <mergeCell ref="I438:I439"/>
    <mergeCell ref="H440:H441"/>
    <mergeCell ref="I440:I441"/>
    <mergeCell ref="H442:H443"/>
    <mergeCell ref="I442:I443"/>
    <mergeCell ref="C443:C452"/>
    <mergeCell ref="H444:H445"/>
    <mergeCell ref="I444:I445"/>
    <mergeCell ref="H446:H447"/>
    <mergeCell ref="I446:I447"/>
    <mergeCell ref="H448:H449"/>
    <mergeCell ref="I448:I449"/>
    <mergeCell ref="H450:H451"/>
    <mergeCell ref="I450:I451"/>
    <mergeCell ref="H452:H453"/>
    <mergeCell ref="I452:I453"/>
    <mergeCell ref="C453:C462"/>
    <mergeCell ref="H454:H455"/>
    <mergeCell ref="I454:I455"/>
    <mergeCell ref="H456:H457"/>
    <mergeCell ref="I456:I457"/>
    <mergeCell ref="H458:H459"/>
    <mergeCell ref="I458:I459"/>
    <mergeCell ref="H460:H461"/>
    <mergeCell ref="I460:I461"/>
    <mergeCell ref="H462:H463"/>
    <mergeCell ref="I462:I463"/>
    <mergeCell ref="B463:B552"/>
    <mergeCell ref="C463:C472"/>
    <mergeCell ref="H464:H465"/>
    <mergeCell ref="I464:I465"/>
    <mergeCell ref="H466:H467"/>
    <mergeCell ref="I466:I467"/>
    <mergeCell ref="H468:H469"/>
    <mergeCell ref="I468:I469"/>
    <mergeCell ref="H470:H471"/>
    <mergeCell ref="I470:I471"/>
    <mergeCell ref="H472:H473"/>
    <mergeCell ref="I472:I473"/>
    <mergeCell ref="C473:C482"/>
    <mergeCell ref="H474:H475"/>
    <mergeCell ref="I474:I475"/>
    <mergeCell ref="H476:H477"/>
    <mergeCell ref="I476:I477"/>
    <mergeCell ref="H478:H479"/>
    <mergeCell ref="I478:I479"/>
    <mergeCell ref="H480:H481"/>
    <mergeCell ref="I480:I481"/>
    <mergeCell ref="H482:H483"/>
    <mergeCell ref="I482:I483"/>
    <mergeCell ref="C483:C492"/>
    <mergeCell ref="H484:H485"/>
    <mergeCell ref="I484:I485"/>
    <mergeCell ref="H486:H487"/>
    <mergeCell ref="I486:I487"/>
    <mergeCell ref="H488:H489"/>
    <mergeCell ref="I488:I489"/>
    <mergeCell ref="H490:H491"/>
    <mergeCell ref="I490:I491"/>
    <mergeCell ref="H492:H493"/>
    <mergeCell ref="I492:I493"/>
    <mergeCell ref="C493:C502"/>
    <mergeCell ref="H494:H495"/>
    <mergeCell ref="I494:I495"/>
    <mergeCell ref="H496:H497"/>
    <mergeCell ref="I496:I497"/>
    <mergeCell ref="H498:H499"/>
    <mergeCell ref="I498:I499"/>
    <mergeCell ref="H500:H501"/>
    <mergeCell ref="I500:I501"/>
    <mergeCell ref="H502:H503"/>
    <mergeCell ref="I502:I503"/>
    <mergeCell ref="C503:C512"/>
    <mergeCell ref="H504:H505"/>
    <mergeCell ref="I504:I505"/>
    <mergeCell ref="H506:H507"/>
    <mergeCell ref="I506:I507"/>
    <mergeCell ref="H508:H509"/>
    <mergeCell ref="I508:I509"/>
    <mergeCell ref="H510:H511"/>
    <mergeCell ref="I510:I511"/>
    <mergeCell ref="H512:H513"/>
    <mergeCell ref="I512:I513"/>
    <mergeCell ref="C513:C522"/>
    <mergeCell ref="H514:H515"/>
    <mergeCell ref="I514:I515"/>
    <mergeCell ref="H516:H517"/>
    <mergeCell ref="I516:I517"/>
    <mergeCell ref="H518:H519"/>
    <mergeCell ref="I518:I519"/>
    <mergeCell ref="H520:H521"/>
    <mergeCell ref="I520:I521"/>
    <mergeCell ref="H522:H523"/>
    <mergeCell ref="I522:I523"/>
    <mergeCell ref="C523:C532"/>
    <mergeCell ref="H524:H525"/>
    <mergeCell ref="I524:I525"/>
    <mergeCell ref="H526:H527"/>
    <mergeCell ref="I526:I527"/>
    <mergeCell ref="H528:H529"/>
    <mergeCell ref="I528:I529"/>
    <mergeCell ref="H530:H531"/>
    <mergeCell ref="I530:I531"/>
    <mergeCell ref="H532:H533"/>
    <mergeCell ref="I532:I533"/>
    <mergeCell ref="C533:C542"/>
    <mergeCell ref="H534:H535"/>
    <mergeCell ref="I534:I535"/>
    <mergeCell ref="H536:H537"/>
    <mergeCell ref="I536:I537"/>
    <mergeCell ref="H538:H539"/>
    <mergeCell ref="I538:I539"/>
    <mergeCell ref="H540:H541"/>
    <mergeCell ref="I540:I541"/>
    <mergeCell ref="H542:H543"/>
    <mergeCell ref="I542:I543"/>
    <mergeCell ref="C543:C552"/>
    <mergeCell ref="H544:H545"/>
    <mergeCell ref="I544:I545"/>
    <mergeCell ref="H546:H547"/>
    <mergeCell ref="I546:I547"/>
    <mergeCell ref="H548:H549"/>
    <mergeCell ref="I548:I549"/>
    <mergeCell ref="H550:H551"/>
    <mergeCell ref="I550:I551"/>
    <mergeCell ref="H552:H553"/>
    <mergeCell ref="I552:I553"/>
    <mergeCell ref="B553:B602"/>
    <mergeCell ref="C553:C562"/>
    <mergeCell ref="H554:H555"/>
    <mergeCell ref="I554:I555"/>
    <mergeCell ref="H556:H557"/>
    <mergeCell ref="I556:I557"/>
    <mergeCell ref="H558:H559"/>
    <mergeCell ref="I558:I559"/>
    <mergeCell ref="H560:H561"/>
    <mergeCell ref="I560:I561"/>
    <mergeCell ref="H562:H563"/>
    <mergeCell ref="I562:I563"/>
    <mergeCell ref="C563:C572"/>
    <mergeCell ref="H564:H565"/>
    <mergeCell ref="I564:I565"/>
    <mergeCell ref="H566:H567"/>
    <mergeCell ref="I566:I567"/>
    <mergeCell ref="H568:H569"/>
    <mergeCell ref="I568:I569"/>
    <mergeCell ref="H570:H571"/>
    <mergeCell ref="I570:I571"/>
    <mergeCell ref="H572:H573"/>
    <mergeCell ref="I572:I573"/>
    <mergeCell ref="C573:C582"/>
    <mergeCell ref="H574:H575"/>
    <mergeCell ref="I574:I575"/>
    <mergeCell ref="H576:H577"/>
    <mergeCell ref="I576:I577"/>
    <mergeCell ref="H578:H579"/>
    <mergeCell ref="I578:I579"/>
    <mergeCell ref="H580:H581"/>
    <mergeCell ref="I580:I581"/>
    <mergeCell ref="H582:H583"/>
    <mergeCell ref="I582:I583"/>
    <mergeCell ref="C583:C592"/>
    <mergeCell ref="H584:H585"/>
    <mergeCell ref="I584:I585"/>
    <mergeCell ref="H586:H587"/>
    <mergeCell ref="I586:I587"/>
    <mergeCell ref="H588:H589"/>
    <mergeCell ref="I588:I589"/>
    <mergeCell ref="H590:H591"/>
    <mergeCell ref="I590:I591"/>
    <mergeCell ref="H592:H593"/>
    <mergeCell ref="I592:I593"/>
    <mergeCell ref="C593:C602"/>
    <mergeCell ref="H594:H595"/>
    <mergeCell ref="I594:I595"/>
    <mergeCell ref="H596:H597"/>
    <mergeCell ref="I596:I597"/>
    <mergeCell ref="H598:H599"/>
    <mergeCell ref="I598:I599"/>
    <mergeCell ref="H600:H601"/>
    <mergeCell ref="I600:I60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71"/>
  <sheetViews>
    <sheetView showFormulas="false" showGridLines="true" showRowColHeaders="true" showZeros="true" rightToLeft="false" tabSelected="false" showOutlineSymbols="true" defaultGridColor="true" view="normal" topLeftCell="E1300" colorId="64" zoomScale="124" zoomScaleNormal="124" zoomScalePageLayoutView="100" workbookViewId="0">
      <selection pane="topLeft" activeCell="A1" activeCellId="0" sqref="A1"/>
    </sheetView>
  </sheetViews>
  <sheetFormatPr defaultColWidth="14.30078125" defaultRowHeight="15" zeroHeight="false" outlineLevelRow="0" outlineLevelCol="0"/>
  <cols>
    <col collapsed="false" customWidth="true" hidden="false" outlineLevel="0" max="1" min="1" style="1" width="26.68"/>
    <col collapsed="false" customWidth="true" hidden="false" outlineLevel="0" max="2" min="2" style="1" width="42.22"/>
    <col collapsed="false" customWidth="true" hidden="false" outlineLevel="0" max="3" min="3" style="1" width="75.61"/>
    <col collapsed="false" customWidth="true" hidden="false" outlineLevel="0" max="4" min="4" style="1" width="92.97"/>
    <col collapsed="false" customWidth="true" hidden="false" outlineLevel="0" max="5" min="5" style="1" width="66.97"/>
    <col collapsed="false" customWidth="true" hidden="false" outlineLevel="0" max="6" min="6" style="1" width="12.04"/>
    <col collapsed="false" customWidth="true" hidden="false" outlineLevel="0" max="7" min="7" style="1" width="68.68"/>
    <col collapsed="false" customWidth="true" hidden="false" outlineLevel="0" max="8" min="8" style="1" width="79.34"/>
    <col collapsed="false" customWidth="true" hidden="false" outlineLevel="0" max="9" min="9" style="1" width="19.74"/>
    <col collapsed="false" customWidth="true" hidden="false" outlineLevel="0" max="10" min="10" style="1" width="67.2"/>
    <col collapsed="false" customWidth="true" hidden="false" outlineLevel="0" max="11" min="11" style="1" width="94.1"/>
    <col collapsed="false" customWidth="true" hidden="false" outlineLevel="0" max="26" min="12" style="1" width="12.04"/>
  </cols>
  <sheetData>
    <row r="1" customFormat="false" ht="14.25" hidden="false" customHeight="true" outlineLevel="0" collapsed="false">
      <c r="A1" s="82" t="s">
        <v>1</v>
      </c>
      <c r="B1" s="82" t="s">
        <v>3775</v>
      </c>
      <c r="C1" s="82" t="s">
        <v>13079</v>
      </c>
      <c r="D1" s="82" t="s">
        <v>13080</v>
      </c>
      <c r="E1" s="83" t="s">
        <v>13081</v>
      </c>
      <c r="F1" s="82" t="s">
        <v>13082</v>
      </c>
      <c r="G1" s="82" t="s">
        <v>25</v>
      </c>
      <c r="H1" s="82" t="s">
        <v>28</v>
      </c>
      <c r="I1" s="84" t="s">
        <v>13083</v>
      </c>
      <c r="J1" s="82" t="s">
        <v>3780</v>
      </c>
      <c r="K1" s="82" t="s">
        <v>31</v>
      </c>
    </row>
    <row r="2" customFormat="false" ht="14.25" hidden="false" customHeight="true" outlineLevel="0" collapsed="false">
      <c r="A2" s="85" t="s">
        <v>13084</v>
      </c>
      <c r="B2" s="86" t="s">
        <v>13085</v>
      </c>
      <c r="C2" s="87" t="s">
        <v>13086</v>
      </c>
      <c r="D2" s="88" t="s">
        <v>13087</v>
      </c>
      <c r="E2" s="89" t="s">
        <v>13088</v>
      </c>
      <c r="F2" s="88" t="s">
        <v>38</v>
      </c>
      <c r="G2" s="90" t="s">
        <v>13089</v>
      </c>
      <c r="H2" s="91" t="s">
        <v>13090</v>
      </c>
      <c r="I2" s="92" t="s">
        <v>40</v>
      </c>
      <c r="J2" s="91" t="s">
        <v>13091</v>
      </c>
      <c r="K2" s="93" t="s">
        <v>13092</v>
      </c>
    </row>
    <row r="3" customFormat="false" ht="14.25" hidden="false" customHeight="true" outlineLevel="0" collapsed="false">
      <c r="A3" s="85"/>
      <c r="B3" s="86"/>
      <c r="C3" s="86"/>
      <c r="D3" s="88"/>
      <c r="E3" s="88"/>
      <c r="F3" s="88"/>
      <c r="G3" s="94" t="s">
        <v>13093</v>
      </c>
      <c r="H3" s="95" t="s">
        <v>13094</v>
      </c>
      <c r="I3" s="96" t="s">
        <v>40</v>
      </c>
      <c r="J3" s="95" t="s">
        <v>13095</v>
      </c>
      <c r="K3" s="93" t="s">
        <v>13096</v>
      </c>
    </row>
    <row r="4" customFormat="false" ht="14.25" hidden="false" customHeight="true" outlineLevel="0" collapsed="false">
      <c r="A4" s="85"/>
      <c r="B4" s="86"/>
      <c r="C4" s="86"/>
      <c r="D4" s="88" t="s">
        <v>13097</v>
      </c>
      <c r="E4" s="89" t="s">
        <v>13098</v>
      </c>
      <c r="F4" s="88" t="s">
        <v>38</v>
      </c>
      <c r="G4" s="94" t="s">
        <v>13089</v>
      </c>
      <c r="H4" s="95" t="s">
        <v>13099</v>
      </c>
      <c r="I4" s="96" t="s">
        <v>40</v>
      </c>
      <c r="J4" s="95" t="s">
        <v>13100</v>
      </c>
      <c r="K4" s="93" t="s">
        <v>13101</v>
      </c>
    </row>
    <row r="5" customFormat="false" ht="14.25" hidden="false" customHeight="true" outlineLevel="0" collapsed="false">
      <c r="A5" s="85"/>
      <c r="B5" s="86"/>
      <c r="C5" s="86"/>
      <c r="D5" s="88"/>
      <c r="E5" s="88"/>
      <c r="F5" s="88"/>
      <c r="G5" s="94" t="s">
        <v>13102</v>
      </c>
      <c r="H5" s="95" t="s">
        <v>13103</v>
      </c>
      <c r="I5" s="97" t="s">
        <v>67</v>
      </c>
      <c r="J5" s="95" t="s">
        <v>13104</v>
      </c>
      <c r="K5" s="93" t="s">
        <v>13105</v>
      </c>
    </row>
    <row r="6" customFormat="false" ht="14.25" hidden="false" customHeight="true" outlineLevel="0" collapsed="false">
      <c r="A6" s="85"/>
      <c r="B6" s="86"/>
      <c r="C6" s="86"/>
      <c r="D6" s="88" t="s">
        <v>13106</v>
      </c>
      <c r="E6" s="89" t="s">
        <v>13107</v>
      </c>
      <c r="F6" s="88" t="s">
        <v>48</v>
      </c>
      <c r="G6" s="94" t="s">
        <v>13108</v>
      </c>
      <c r="H6" s="95" t="s">
        <v>13109</v>
      </c>
      <c r="I6" s="98" t="s">
        <v>50</v>
      </c>
      <c r="J6" s="95" t="s">
        <v>13110</v>
      </c>
      <c r="K6" s="93" t="s">
        <v>13111</v>
      </c>
    </row>
    <row r="7" customFormat="false" ht="14.25" hidden="false" customHeight="true" outlineLevel="0" collapsed="false">
      <c r="A7" s="85"/>
      <c r="B7" s="86"/>
      <c r="C7" s="86"/>
      <c r="D7" s="88"/>
      <c r="E7" s="88"/>
      <c r="F7" s="88"/>
      <c r="G7" s="94" t="s">
        <v>13112</v>
      </c>
      <c r="H7" s="95" t="s">
        <v>13113</v>
      </c>
      <c r="I7" s="99" t="s">
        <v>40</v>
      </c>
      <c r="J7" s="95" t="s">
        <v>13114</v>
      </c>
      <c r="K7" s="93" t="s">
        <v>13115</v>
      </c>
    </row>
    <row r="8" customFormat="false" ht="14.25" hidden="false" customHeight="true" outlineLevel="0" collapsed="false">
      <c r="A8" s="85"/>
      <c r="B8" s="86"/>
      <c r="C8" s="86"/>
      <c r="D8" s="88" t="s">
        <v>13116</v>
      </c>
      <c r="E8" s="89" t="s">
        <v>13117</v>
      </c>
      <c r="F8" s="88" t="s">
        <v>38</v>
      </c>
      <c r="G8" s="94" t="s">
        <v>13118</v>
      </c>
      <c r="H8" s="95" t="s">
        <v>13119</v>
      </c>
      <c r="I8" s="99" t="s">
        <v>40</v>
      </c>
      <c r="J8" s="95" t="s">
        <v>13120</v>
      </c>
      <c r="K8" s="93" t="s">
        <v>13121</v>
      </c>
    </row>
    <row r="9" customFormat="false" ht="14.25" hidden="false" customHeight="true" outlineLevel="0" collapsed="false">
      <c r="A9" s="85"/>
      <c r="B9" s="86"/>
      <c r="C9" s="86"/>
      <c r="D9" s="88"/>
      <c r="E9" s="88"/>
      <c r="F9" s="88"/>
      <c r="G9" s="94" t="s">
        <v>13122</v>
      </c>
      <c r="H9" s="95" t="s">
        <v>13123</v>
      </c>
      <c r="I9" s="99" t="s">
        <v>40</v>
      </c>
      <c r="J9" s="95" t="s">
        <v>13124</v>
      </c>
      <c r="K9" s="93" t="s">
        <v>13125</v>
      </c>
    </row>
    <row r="10" customFormat="false" ht="14.25" hidden="false" customHeight="true" outlineLevel="0" collapsed="false">
      <c r="A10" s="85"/>
      <c r="B10" s="86"/>
      <c r="C10" s="86"/>
      <c r="D10" s="88" t="s">
        <v>13126</v>
      </c>
      <c r="E10" s="89" t="s">
        <v>13127</v>
      </c>
      <c r="F10" s="88" t="s">
        <v>48</v>
      </c>
      <c r="G10" s="94" t="s">
        <v>13128</v>
      </c>
      <c r="H10" s="95" t="s">
        <v>13129</v>
      </c>
      <c r="I10" s="99" t="s">
        <v>40</v>
      </c>
      <c r="J10" s="95" t="s">
        <v>13130</v>
      </c>
      <c r="K10" s="93" t="s">
        <v>13131</v>
      </c>
    </row>
    <row r="11" customFormat="false" ht="14.25" hidden="false" customHeight="true" outlineLevel="0" collapsed="false">
      <c r="A11" s="85"/>
      <c r="B11" s="86"/>
      <c r="C11" s="87"/>
      <c r="D11" s="87"/>
      <c r="E11" s="87"/>
      <c r="F11" s="87"/>
      <c r="G11" s="94" t="s">
        <v>13132</v>
      </c>
      <c r="H11" s="95" t="s">
        <v>13133</v>
      </c>
      <c r="I11" s="99" t="s">
        <v>40</v>
      </c>
      <c r="J11" s="95" t="s">
        <v>13134</v>
      </c>
      <c r="K11" s="93" t="s">
        <v>13135</v>
      </c>
    </row>
    <row r="12" customFormat="false" ht="14.25" hidden="false" customHeight="true" outlineLevel="0" collapsed="false">
      <c r="A12" s="85"/>
      <c r="B12" s="86"/>
      <c r="C12" s="87" t="s">
        <v>13136</v>
      </c>
      <c r="D12" s="88" t="s">
        <v>13137</v>
      </c>
      <c r="E12" s="89" t="s">
        <v>13138</v>
      </c>
      <c r="F12" s="88" t="s">
        <v>38</v>
      </c>
      <c r="G12" s="94" t="s">
        <v>13139</v>
      </c>
      <c r="H12" s="95" t="s">
        <v>13140</v>
      </c>
      <c r="I12" s="99" t="s">
        <v>40</v>
      </c>
      <c r="J12" s="95" t="s">
        <v>13141</v>
      </c>
      <c r="K12" s="93" t="s">
        <v>13142</v>
      </c>
    </row>
    <row r="13" customFormat="false" ht="14.25" hidden="false" customHeight="true" outlineLevel="0" collapsed="false">
      <c r="A13" s="85"/>
      <c r="B13" s="86"/>
      <c r="C13" s="86"/>
      <c r="D13" s="88"/>
      <c r="E13" s="88"/>
      <c r="F13" s="88"/>
      <c r="G13" s="94" t="s">
        <v>13143</v>
      </c>
      <c r="H13" s="95" t="s">
        <v>13144</v>
      </c>
      <c r="I13" s="99" t="s">
        <v>40</v>
      </c>
      <c r="J13" s="95" t="s">
        <v>13145</v>
      </c>
      <c r="K13" s="93" t="s">
        <v>13146</v>
      </c>
    </row>
    <row r="14" customFormat="false" ht="14.25" hidden="false" customHeight="true" outlineLevel="0" collapsed="false">
      <c r="A14" s="85"/>
      <c r="B14" s="86"/>
      <c r="C14" s="86"/>
      <c r="D14" s="88" t="s">
        <v>13147</v>
      </c>
      <c r="E14" s="89" t="s">
        <v>13148</v>
      </c>
      <c r="F14" s="86" t="s">
        <v>38</v>
      </c>
      <c r="G14" s="95" t="s">
        <v>13149</v>
      </c>
      <c r="H14" s="95" t="s">
        <v>13150</v>
      </c>
      <c r="I14" s="99" t="s">
        <v>40</v>
      </c>
      <c r="J14" s="95" t="s">
        <v>13151</v>
      </c>
      <c r="K14" s="93" t="s">
        <v>13152</v>
      </c>
    </row>
    <row r="15" customFormat="false" ht="14.25" hidden="false" customHeight="true" outlineLevel="0" collapsed="false">
      <c r="A15" s="85"/>
      <c r="B15" s="86"/>
      <c r="C15" s="86"/>
      <c r="D15" s="88"/>
      <c r="E15" s="88"/>
      <c r="F15" s="88"/>
      <c r="G15" s="95" t="s">
        <v>13153</v>
      </c>
      <c r="H15" s="95" t="s">
        <v>13154</v>
      </c>
      <c r="I15" s="99" t="s">
        <v>40</v>
      </c>
      <c r="J15" s="95" t="s">
        <v>13155</v>
      </c>
      <c r="K15" s="93" t="s">
        <v>13156</v>
      </c>
    </row>
    <row r="16" customFormat="false" ht="14.25" hidden="false" customHeight="true" outlineLevel="0" collapsed="false">
      <c r="A16" s="85"/>
      <c r="B16" s="86"/>
      <c r="C16" s="86"/>
      <c r="D16" s="88" t="s">
        <v>13157</v>
      </c>
      <c r="E16" s="89" t="s">
        <v>13158</v>
      </c>
      <c r="F16" s="88" t="s">
        <v>38</v>
      </c>
      <c r="G16" s="95" t="s">
        <v>13159</v>
      </c>
      <c r="H16" s="95" t="s">
        <v>13160</v>
      </c>
      <c r="I16" s="99" t="s">
        <v>40</v>
      </c>
      <c r="J16" s="95" t="s">
        <v>13161</v>
      </c>
      <c r="K16" s="93" t="s">
        <v>13162</v>
      </c>
    </row>
    <row r="17" customFormat="false" ht="14.25" hidden="false" customHeight="true" outlineLevel="0" collapsed="false">
      <c r="A17" s="85"/>
      <c r="B17" s="86"/>
      <c r="C17" s="86"/>
      <c r="D17" s="88"/>
      <c r="E17" s="88"/>
      <c r="F17" s="88"/>
      <c r="G17" s="95" t="s">
        <v>13163</v>
      </c>
      <c r="H17" s="95" t="s">
        <v>13164</v>
      </c>
      <c r="I17" s="97" t="s">
        <v>67</v>
      </c>
      <c r="J17" s="95" t="s">
        <v>13165</v>
      </c>
      <c r="K17" s="93" t="s">
        <v>13166</v>
      </c>
    </row>
    <row r="18" customFormat="false" ht="14.25" hidden="false" customHeight="true" outlineLevel="0" collapsed="false">
      <c r="A18" s="85"/>
      <c r="B18" s="86"/>
      <c r="C18" s="86"/>
      <c r="D18" s="88" t="s">
        <v>13167</v>
      </c>
      <c r="E18" s="89" t="s">
        <v>13168</v>
      </c>
      <c r="F18" s="86" t="s">
        <v>38</v>
      </c>
      <c r="G18" s="94" t="s">
        <v>13169</v>
      </c>
      <c r="H18" s="95" t="s">
        <v>13170</v>
      </c>
      <c r="I18" s="98" t="s">
        <v>50</v>
      </c>
      <c r="J18" s="95" t="s">
        <v>13171</v>
      </c>
      <c r="K18" s="93" t="s">
        <v>13172</v>
      </c>
    </row>
    <row r="19" customFormat="false" ht="14.25" hidden="false" customHeight="true" outlineLevel="0" collapsed="false">
      <c r="A19" s="85"/>
      <c r="B19" s="86"/>
      <c r="C19" s="86"/>
      <c r="D19" s="88"/>
      <c r="E19" s="88"/>
      <c r="F19" s="88"/>
      <c r="G19" s="94" t="s">
        <v>13143</v>
      </c>
      <c r="H19" s="95" t="s">
        <v>13173</v>
      </c>
      <c r="I19" s="98" t="s">
        <v>50</v>
      </c>
      <c r="J19" s="95" t="s">
        <v>13174</v>
      </c>
      <c r="K19" s="93" t="s">
        <v>13175</v>
      </c>
    </row>
    <row r="20" customFormat="false" ht="14.25" hidden="false" customHeight="true" outlineLevel="0" collapsed="false">
      <c r="A20" s="85"/>
      <c r="B20" s="86"/>
      <c r="C20" s="86"/>
      <c r="D20" s="88" t="s">
        <v>13176</v>
      </c>
      <c r="E20" s="89" t="s">
        <v>13177</v>
      </c>
      <c r="F20" s="88" t="s">
        <v>38</v>
      </c>
      <c r="G20" s="94" t="s">
        <v>13178</v>
      </c>
      <c r="H20" s="95" t="s">
        <v>13179</v>
      </c>
      <c r="I20" s="98" t="s">
        <v>50</v>
      </c>
      <c r="J20" s="95" t="s">
        <v>13180</v>
      </c>
      <c r="K20" s="93" t="s">
        <v>13181</v>
      </c>
    </row>
    <row r="21" customFormat="false" ht="14.25" hidden="false" customHeight="true" outlineLevel="0" collapsed="false">
      <c r="A21" s="85"/>
      <c r="B21" s="86"/>
      <c r="C21" s="87"/>
      <c r="D21" s="87"/>
      <c r="E21" s="87"/>
      <c r="F21" s="87"/>
      <c r="G21" s="94" t="s">
        <v>13182</v>
      </c>
      <c r="H21" s="95" t="s">
        <v>13183</v>
      </c>
      <c r="I21" s="99" t="s">
        <v>40</v>
      </c>
      <c r="J21" s="95" t="s">
        <v>13184</v>
      </c>
      <c r="K21" s="93" t="s">
        <v>13185</v>
      </c>
    </row>
    <row r="22" customFormat="false" ht="14.25" hidden="false" customHeight="true" outlineLevel="0" collapsed="false">
      <c r="A22" s="85"/>
      <c r="B22" s="86"/>
      <c r="C22" s="87" t="s">
        <v>13186</v>
      </c>
      <c r="D22" s="88" t="s">
        <v>13187</v>
      </c>
      <c r="E22" s="89" t="s">
        <v>13188</v>
      </c>
      <c r="F22" s="88" t="s">
        <v>48</v>
      </c>
      <c r="G22" s="94" t="s">
        <v>13189</v>
      </c>
      <c r="H22" s="95" t="s">
        <v>13190</v>
      </c>
      <c r="I22" s="99" t="s">
        <v>40</v>
      </c>
      <c r="J22" s="95" t="s">
        <v>13191</v>
      </c>
      <c r="K22" s="93" t="s">
        <v>13192</v>
      </c>
    </row>
    <row r="23" customFormat="false" ht="14.25" hidden="false" customHeight="true" outlineLevel="0" collapsed="false">
      <c r="A23" s="85"/>
      <c r="B23" s="86"/>
      <c r="C23" s="86"/>
      <c r="D23" s="88"/>
      <c r="E23" s="88"/>
      <c r="F23" s="88"/>
      <c r="G23" s="94" t="s">
        <v>13193</v>
      </c>
      <c r="H23" s="95" t="s">
        <v>13194</v>
      </c>
      <c r="I23" s="99" t="s">
        <v>40</v>
      </c>
      <c r="J23" s="95" t="s">
        <v>13195</v>
      </c>
      <c r="K23" s="93" t="s">
        <v>13196</v>
      </c>
    </row>
    <row r="24" customFormat="false" ht="14.25" hidden="false" customHeight="true" outlineLevel="0" collapsed="false">
      <c r="A24" s="85"/>
      <c r="B24" s="86"/>
      <c r="C24" s="86"/>
      <c r="D24" s="88" t="s">
        <v>13197</v>
      </c>
      <c r="E24" s="89" t="s">
        <v>13198</v>
      </c>
      <c r="F24" s="88" t="s">
        <v>48</v>
      </c>
      <c r="G24" s="94" t="s">
        <v>13199</v>
      </c>
      <c r="H24" s="95" t="s">
        <v>13200</v>
      </c>
      <c r="I24" s="99" t="s">
        <v>40</v>
      </c>
      <c r="J24" s="95" t="s">
        <v>13201</v>
      </c>
      <c r="K24" s="93" t="s">
        <v>13202</v>
      </c>
    </row>
    <row r="25" customFormat="false" ht="14.25" hidden="false" customHeight="true" outlineLevel="0" collapsed="false">
      <c r="A25" s="85"/>
      <c r="B25" s="86"/>
      <c r="C25" s="86"/>
      <c r="D25" s="88"/>
      <c r="E25" s="88"/>
      <c r="F25" s="88"/>
      <c r="G25" s="94" t="s">
        <v>13203</v>
      </c>
      <c r="H25" s="95" t="s">
        <v>13204</v>
      </c>
      <c r="I25" s="99" t="s">
        <v>40</v>
      </c>
      <c r="J25" s="95" t="s">
        <v>13201</v>
      </c>
      <c r="K25" s="93" t="s">
        <v>13205</v>
      </c>
    </row>
    <row r="26" customFormat="false" ht="14.25" hidden="false" customHeight="true" outlineLevel="0" collapsed="false">
      <c r="A26" s="85"/>
      <c r="B26" s="86"/>
      <c r="C26" s="86"/>
      <c r="D26" s="88" t="s">
        <v>13206</v>
      </c>
      <c r="E26" s="89" t="s">
        <v>13207</v>
      </c>
      <c r="F26" s="88" t="s">
        <v>38</v>
      </c>
      <c r="G26" s="94" t="s">
        <v>13208</v>
      </c>
      <c r="H26" s="95" t="s">
        <v>13209</v>
      </c>
      <c r="I26" s="99" t="s">
        <v>40</v>
      </c>
      <c r="J26" s="95" t="s">
        <v>13210</v>
      </c>
      <c r="K26" s="93" t="s">
        <v>13211</v>
      </c>
    </row>
    <row r="27" customFormat="false" ht="14.25" hidden="false" customHeight="true" outlineLevel="0" collapsed="false">
      <c r="A27" s="85"/>
      <c r="B27" s="86"/>
      <c r="C27" s="86"/>
      <c r="D27" s="88"/>
      <c r="E27" s="88"/>
      <c r="F27" s="88"/>
      <c r="G27" s="94" t="s">
        <v>13212</v>
      </c>
      <c r="H27" s="95" t="s">
        <v>13213</v>
      </c>
      <c r="I27" s="99" t="s">
        <v>40</v>
      </c>
      <c r="J27" s="95" t="s">
        <v>13214</v>
      </c>
      <c r="K27" s="93" t="s">
        <v>13215</v>
      </c>
    </row>
    <row r="28" customFormat="false" ht="14.25" hidden="false" customHeight="true" outlineLevel="0" collapsed="false">
      <c r="A28" s="85"/>
      <c r="B28" s="86"/>
      <c r="C28" s="86"/>
      <c r="D28" s="88" t="s">
        <v>13216</v>
      </c>
      <c r="E28" s="89" t="s">
        <v>13217</v>
      </c>
      <c r="F28" s="88" t="s">
        <v>38</v>
      </c>
      <c r="G28" s="94" t="s">
        <v>13218</v>
      </c>
      <c r="H28" s="95" t="s">
        <v>13219</v>
      </c>
      <c r="I28" s="99" t="s">
        <v>40</v>
      </c>
      <c r="J28" s="95" t="s">
        <v>13220</v>
      </c>
      <c r="K28" s="93" t="s">
        <v>13221</v>
      </c>
    </row>
    <row r="29" customFormat="false" ht="14.25" hidden="false" customHeight="true" outlineLevel="0" collapsed="false">
      <c r="A29" s="85"/>
      <c r="B29" s="86"/>
      <c r="C29" s="86"/>
      <c r="D29" s="88"/>
      <c r="E29" s="88"/>
      <c r="F29" s="88"/>
      <c r="G29" s="94" t="s">
        <v>13222</v>
      </c>
      <c r="H29" s="95" t="s">
        <v>13223</v>
      </c>
      <c r="I29" s="99" t="s">
        <v>40</v>
      </c>
      <c r="J29" s="95" t="s">
        <v>13224</v>
      </c>
      <c r="K29" s="93" t="s">
        <v>13225</v>
      </c>
    </row>
    <row r="30" customFormat="false" ht="14.25" hidden="false" customHeight="true" outlineLevel="0" collapsed="false">
      <c r="A30" s="85"/>
      <c r="B30" s="86"/>
      <c r="C30" s="86"/>
      <c r="D30" s="88" t="s">
        <v>13226</v>
      </c>
      <c r="E30" s="89" t="s">
        <v>13227</v>
      </c>
      <c r="F30" s="88" t="s">
        <v>38</v>
      </c>
      <c r="G30" s="94" t="s">
        <v>13228</v>
      </c>
      <c r="H30" s="95" t="s">
        <v>13229</v>
      </c>
      <c r="I30" s="99" t="s">
        <v>40</v>
      </c>
      <c r="J30" s="95" t="s">
        <v>13230</v>
      </c>
      <c r="K30" s="93" t="s">
        <v>13231</v>
      </c>
    </row>
    <row r="31" customFormat="false" ht="14.25" hidden="false" customHeight="true" outlineLevel="0" collapsed="false">
      <c r="A31" s="85"/>
      <c r="B31" s="86"/>
      <c r="C31" s="87"/>
      <c r="D31" s="87"/>
      <c r="E31" s="87"/>
      <c r="F31" s="87"/>
      <c r="G31" s="94" t="s">
        <v>13232</v>
      </c>
      <c r="H31" s="95" t="s">
        <v>13233</v>
      </c>
      <c r="I31" s="99" t="s">
        <v>40</v>
      </c>
      <c r="J31" s="95" t="s">
        <v>13234</v>
      </c>
      <c r="K31" s="93" t="s">
        <v>13235</v>
      </c>
    </row>
    <row r="32" customFormat="false" ht="14.25" hidden="false" customHeight="true" outlineLevel="0" collapsed="false">
      <c r="A32" s="85"/>
      <c r="B32" s="86"/>
      <c r="C32" s="87" t="s">
        <v>13236</v>
      </c>
      <c r="D32" s="88" t="s">
        <v>13237</v>
      </c>
      <c r="E32" s="89" t="s">
        <v>13238</v>
      </c>
      <c r="F32" s="88" t="s">
        <v>38</v>
      </c>
      <c r="G32" s="94" t="s">
        <v>13239</v>
      </c>
      <c r="H32" s="95" t="s">
        <v>13240</v>
      </c>
      <c r="I32" s="99" t="s">
        <v>40</v>
      </c>
      <c r="J32" s="95" t="s">
        <v>13241</v>
      </c>
      <c r="K32" s="93" t="s">
        <v>13242</v>
      </c>
    </row>
    <row r="33" customFormat="false" ht="14.25" hidden="false" customHeight="true" outlineLevel="0" collapsed="false">
      <c r="A33" s="85"/>
      <c r="B33" s="86"/>
      <c r="C33" s="86"/>
      <c r="D33" s="88"/>
      <c r="E33" s="88"/>
      <c r="F33" s="88"/>
      <c r="G33" s="94" t="s">
        <v>13243</v>
      </c>
      <c r="H33" s="95" t="s">
        <v>13244</v>
      </c>
      <c r="I33" s="99" t="s">
        <v>40</v>
      </c>
      <c r="J33" s="95" t="s">
        <v>13245</v>
      </c>
      <c r="K33" s="93" t="s">
        <v>13246</v>
      </c>
    </row>
    <row r="34" customFormat="false" ht="14.25" hidden="false" customHeight="true" outlineLevel="0" collapsed="false">
      <c r="A34" s="85"/>
      <c r="B34" s="86"/>
      <c r="C34" s="86"/>
      <c r="D34" s="88" t="s">
        <v>13247</v>
      </c>
      <c r="E34" s="89" t="s">
        <v>13248</v>
      </c>
      <c r="F34" s="88" t="s">
        <v>38</v>
      </c>
      <c r="G34" s="94" t="s">
        <v>13249</v>
      </c>
      <c r="H34" s="95" t="s">
        <v>13250</v>
      </c>
      <c r="I34" s="99" t="s">
        <v>40</v>
      </c>
      <c r="J34" s="95" t="s">
        <v>13251</v>
      </c>
      <c r="K34" s="93" t="s">
        <v>13252</v>
      </c>
    </row>
    <row r="35" customFormat="false" ht="14.25" hidden="false" customHeight="true" outlineLevel="0" collapsed="false">
      <c r="A35" s="85"/>
      <c r="B35" s="86"/>
      <c r="C35" s="86"/>
      <c r="D35" s="88"/>
      <c r="E35" s="88"/>
      <c r="F35" s="88"/>
      <c r="G35" s="94" t="s">
        <v>13253</v>
      </c>
      <c r="H35" s="95" t="s">
        <v>13254</v>
      </c>
      <c r="I35" s="99" t="s">
        <v>40</v>
      </c>
      <c r="J35" s="95" t="s">
        <v>13255</v>
      </c>
      <c r="K35" s="93" t="s">
        <v>13256</v>
      </c>
    </row>
    <row r="36" customFormat="false" ht="14.25" hidden="false" customHeight="true" outlineLevel="0" collapsed="false">
      <c r="A36" s="85"/>
      <c r="B36" s="86"/>
      <c r="C36" s="86"/>
      <c r="D36" s="88" t="s">
        <v>13257</v>
      </c>
      <c r="E36" s="89" t="s">
        <v>13258</v>
      </c>
      <c r="F36" s="88" t="s">
        <v>38</v>
      </c>
      <c r="G36" s="94" t="s">
        <v>13153</v>
      </c>
      <c r="H36" s="95" t="s">
        <v>13259</v>
      </c>
      <c r="I36" s="99" t="s">
        <v>40</v>
      </c>
      <c r="J36" s="95" t="s">
        <v>13260</v>
      </c>
      <c r="K36" s="93" t="s">
        <v>13261</v>
      </c>
    </row>
    <row r="37" customFormat="false" ht="14.25" hidden="false" customHeight="true" outlineLevel="0" collapsed="false">
      <c r="A37" s="85"/>
      <c r="B37" s="86"/>
      <c r="C37" s="86"/>
      <c r="D37" s="88"/>
      <c r="E37" s="88"/>
      <c r="F37" s="88"/>
      <c r="G37" s="94" t="s">
        <v>13262</v>
      </c>
      <c r="H37" s="95" t="s">
        <v>13263</v>
      </c>
      <c r="I37" s="99" t="s">
        <v>40</v>
      </c>
      <c r="J37" s="95" t="s">
        <v>13264</v>
      </c>
      <c r="K37" s="93" t="s">
        <v>13265</v>
      </c>
    </row>
    <row r="38" customFormat="false" ht="14.25" hidden="false" customHeight="true" outlineLevel="0" collapsed="false">
      <c r="A38" s="85"/>
      <c r="B38" s="86"/>
      <c r="C38" s="86"/>
      <c r="D38" s="88" t="s">
        <v>13266</v>
      </c>
      <c r="E38" s="89" t="s">
        <v>13267</v>
      </c>
      <c r="F38" s="88" t="s">
        <v>58</v>
      </c>
      <c r="G38" s="94" t="s">
        <v>13268</v>
      </c>
      <c r="H38" s="95" t="s">
        <v>13269</v>
      </c>
      <c r="I38" s="98" t="s">
        <v>50</v>
      </c>
      <c r="J38" s="95" t="s">
        <v>13270</v>
      </c>
      <c r="K38" s="93" t="s">
        <v>13271</v>
      </c>
    </row>
    <row r="39" customFormat="false" ht="14.25" hidden="false" customHeight="true" outlineLevel="0" collapsed="false">
      <c r="A39" s="85"/>
      <c r="B39" s="86"/>
      <c r="C39" s="86"/>
      <c r="D39" s="88"/>
      <c r="E39" s="88"/>
      <c r="F39" s="88"/>
      <c r="G39" s="94" t="s">
        <v>13272</v>
      </c>
      <c r="H39" s="95" t="s">
        <v>13273</v>
      </c>
      <c r="I39" s="98" t="s">
        <v>50</v>
      </c>
      <c r="J39" s="95" t="s">
        <v>13274</v>
      </c>
      <c r="K39" s="93" t="s">
        <v>13275</v>
      </c>
    </row>
    <row r="40" customFormat="false" ht="14.25" hidden="false" customHeight="true" outlineLevel="0" collapsed="false">
      <c r="A40" s="85"/>
      <c r="B40" s="86"/>
      <c r="C40" s="86"/>
      <c r="D40" s="88" t="s">
        <v>13276</v>
      </c>
      <c r="E40" s="89" t="s">
        <v>13277</v>
      </c>
      <c r="F40" s="88" t="s">
        <v>38</v>
      </c>
      <c r="G40" s="94" t="s">
        <v>13278</v>
      </c>
      <c r="H40" s="95" t="s">
        <v>13279</v>
      </c>
      <c r="I40" s="98" t="s">
        <v>50</v>
      </c>
      <c r="J40" s="95" t="s">
        <v>13280</v>
      </c>
      <c r="K40" s="93" t="s">
        <v>13281</v>
      </c>
    </row>
    <row r="41" customFormat="false" ht="14.25" hidden="false" customHeight="true" outlineLevel="0" collapsed="false">
      <c r="A41" s="85"/>
      <c r="B41" s="86"/>
      <c r="C41" s="87"/>
      <c r="D41" s="87"/>
      <c r="E41" s="87"/>
      <c r="F41" s="87"/>
      <c r="G41" s="94" t="s">
        <v>13282</v>
      </c>
      <c r="H41" s="95" t="s">
        <v>13283</v>
      </c>
      <c r="I41" s="98" t="s">
        <v>50</v>
      </c>
      <c r="J41" s="95" t="s">
        <v>13284</v>
      </c>
      <c r="K41" s="93" t="s">
        <v>13285</v>
      </c>
    </row>
    <row r="42" customFormat="false" ht="14.25" hidden="false" customHeight="true" outlineLevel="0" collapsed="false">
      <c r="A42" s="85"/>
      <c r="B42" s="86"/>
      <c r="C42" s="100" t="s">
        <v>13286</v>
      </c>
      <c r="D42" s="88" t="s">
        <v>13287</v>
      </c>
      <c r="E42" s="89" t="s">
        <v>13288</v>
      </c>
      <c r="F42" s="88" t="s">
        <v>38</v>
      </c>
      <c r="G42" s="94" t="s">
        <v>13289</v>
      </c>
      <c r="H42" s="95" t="s">
        <v>13290</v>
      </c>
      <c r="I42" s="98" t="s">
        <v>50</v>
      </c>
      <c r="J42" s="95" t="s">
        <v>13291</v>
      </c>
      <c r="K42" s="93" t="s">
        <v>13292</v>
      </c>
    </row>
    <row r="43" customFormat="false" ht="14.25" hidden="false" customHeight="true" outlineLevel="0" collapsed="false">
      <c r="A43" s="85"/>
      <c r="B43" s="86"/>
      <c r="C43" s="86"/>
      <c r="D43" s="88"/>
      <c r="E43" s="88"/>
      <c r="F43" s="88"/>
      <c r="G43" s="94" t="s">
        <v>13293</v>
      </c>
      <c r="H43" s="95" t="s">
        <v>13294</v>
      </c>
      <c r="I43" s="98" t="s">
        <v>50</v>
      </c>
      <c r="J43" s="95" t="s">
        <v>13295</v>
      </c>
      <c r="K43" s="93" t="s">
        <v>13296</v>
      </c>
    </row>
    <row r="44" customFormat="false" ht="14.25" hidden="false" customHeight="true" outlineLevel="0" collapsed="false">
      <c r="A44" s="85"/>
      <c r="B44" s="86"/>
      <c r="C44" s="86"/>
      <c r="D44" s="88" t="s">
        <v>13297</v>
      </c>
      <c r="E44" s="89" t="s">
        <v>13298</v>
      </c>
      <c r="F44" s="88" t="s">
        <v>48</v>
      </c>
      <c r="G44" s="94" t="s">
        <v>13299</v>
      </c>
      <c r="H44" s="95" t="s">
        <v>13300</v>
      </c>
      <c r="I44" s="97" t="s">
        <v>67</v>
      </c>
      <c r="J44" s="95" t="s">
        <v>13301</v>
      </c>
      <c r="K44" s="93" t="s">
        <v>13302</v>
      </c>
    </row>
    <row r="45" customFormat="false" ht="14.25" hidden="false" customHeight="true" outlineLevel="0" collapsed="false">
      <c r="A45" s="85"/>
      <c r="B45" s="86"/>
      <c r="C45" s="86"/>
      <c r="D45" s="88"/>
      <c r="E45" s="88"/>
      <c r="F45" s="88"/>
      <c r="G45" s="94" t="s">
        <v>13303</v>
      </c>
      <c r="H45" s="95" t="s">
        <v>13304</v>
      </c>
      <c r="I45" s="97" t="s">
        <v>67</v>
      </c>
      <c r="J45" s="95" t="s">
        <v>13305</v>
      </c>
      <c r="K45" s="93" t="s">
        <v>13306</v>
      </c>
    </row>
    <row r="46" customFormat="false" ht="14.25" hidden="false" customHeight="true" outlineLevel="0" collapsed="false">
      <c r="A46" s="85"/>
      <c r="B46" s="86"/>
      <c r="C46" s="86"/>
      <c r="D46" s="88" t="s">
        <v>13307</v>
      </c>
      <c r="E46" s="89" t="s">
        <v>13308</v>
      </c>
      <c r="F46" s="88" t="s">
        <v>38</v>
      </c>
      <c r="G46" s="94" t="s">
        <v>13309</v>
      </c>
      <c r="H46" s="95" t="s">
        <v>13310</v>
      </c>
      <c r="I46" s="97" t="s">
        <v>67</v>
      </c>
      <c r="J46" s="95" t="s">
        <v>13311</v>
      </c>
      <c r="K46" s="93" t="s">
        <v>13312</v>
      </c>
    </row>
    <row r="47" customFormat="false" ht="14.25" hidden="false" customHeight="true" outlineLevel="0" collapsed="false">
      <c r="A47" s="85"/>
      <c r="B47" s="86"/>
      <c r="C47" s="86"/>
      <c r="D47" s="88"/>
      <c r="E47" s="88"/>
      <c r="F47" s="88"/>
      <c r="G47" s="94" t="s">
        <v>13313</v>
      </c>
      <c r="H47" s="95" t="s">
        <v>13314</v>
      </c>
      <c r="I47" s="97" t="s">
        <v>67</v>
      </c>
      <c r="J47" s="95" t="s">
        <v>13315</v>
      </c>
      <c r="K47" s="93" t="s">
        <v>13316</v>
      </c>
    </row>
    <row r="48" customFormat="false" ht="14.25" hidden="false" customHeight="true" outlineLevel="0" collapsed="false">
      <c r="A48" s="85"/>
      <c r="B48" s="86"/>
      <c r="C48" s="86"/>
      <c r="D48" s="88" t="s">
        <v>13317</v>
      </c>
      <c r="E48" s="89" t="s">
        <v>13318</v>
      </c>
      <c r="F48" s="88" t="s">
        <v>38</v>
      </c>
      <c r="G48" s="94" t="s">
        <v>13319</v>
      </c>
      <c r="H48" s="95" t="s">
        <v>13320</v>
      </c>
      <c r="I48" s="99" t="s">
        <v>40</v>
      </c>
      <c r="J48" s="95" t="s">
        <v>13321</v>
      </c>
      <c r="K48" s="93" t="s">
        <v>13322</v>
      </c>
    </row>
    <row r="49" customFormat="false" ht="14.25" hidden="false" customHeight="true" outlineLevel="0" collapsed="false">
      <c r="A49" s="85"/>
      <c r="B49" s="86"/>
      <c r="C49" s="86"/>
      <c r="D49" s="88"/>
      <c r="E49" s="88"/>
      <c r="F49" s="88"/>
      <c r="G49" s="94" t="s">
        <v>13323</v>
      </c>
      <c r="H49" s="95" t="s">
        <v>13324</v>
      </c>
      <c r="I49" s="99" t="s">
        <v>40</v>
      </c>
      <c r="J49" s="95" t="s">
        <v>13325</v>
      </c>
      <c r="K49" s="93" t="s">
        <v>13326</v>
      </c>
    </row>
    <row r="50" customFormat="false" ht="14.25" hidden="false" customHeight="true" outlineLevel="0" collapsed="false">
      <c r="A50" s="85"/>
      <c r="B50" s="86"/>
      <c r="C50" s="100"/>
      <c r="D50" s="88" t="s">
        <v>13327</v>
      </c>
      <c r="E50" s="89" t="s">
        <v>13328</v>
      </c>
      <c r="F50" s="88" t="s">
        <v>38</v>
      </c>
      <c r="G50" s="94" t="s">
        <v>13329</v>
      </c>
      <c r="H50" s="95" t="s">
        <v>13330</v>
      </c>
      <c r="I50" s="99" t="s">
        <v>40</v>
      </c>
      <c r="J50" s="95" t="s">
        <v>13331</v>
      </c>
      <c r="K50" s="93" t="s">
        <v>13332</v>
      </c>
    </row>
    <row r="51" customFormat="false" ht="14.25" hidden="false" customHeight="true" outlineLevel="0" collapsed="false">
      <c r="A51" s="85"/>
      <c r="B51" s="88"/>
      <c r="C51" s="100"/>
      <c r="D51" s="100"/>
      <c r="E51" s="100"/>
      <c r="F51" s="100"/>
      <c r="G51" s="94" t="s">
        <v>13333</v>
      </c>
      <c r="H51" s="95" t="s">
        <v>13334</v>
      </c>
      <c r="I51" s="99" t="s">
        <v>40</v>
      </c>
      <c r="J51" s="95" t="s">
        <v>13335</v>
      </c>
      <c r="K51" s="93" t="s">
        <v>13336</v>
      </c>
    </row>
    <row r="52" customFormat="false" ht="14.25" hidden="false" customHeight="true" outlineLevel="0" collapsed="false">
      <c r="A52" s="85"/>
      <c r="B52" s="88" t="s">
        <v>13337</v>
      </c>
      <c r="C52" s="101" t="s">
        <v>13338</v>
      </c>
      <c r="D52" s="88" t="s">
        <v>13339</v>
      </c>
      <c r="E52" s="89" t="s">
        <v>13340</v>
      </c>
      <c r="F52" s="88" t="s">
        <v>48</v>
      </c>
      <c r="G52" s="94" t="s">
        <v>13341</v>
      </c>
      <c r="H52" s="95" t="s">
        <v>13342</v>
      </c>
      <c r="I52" s="99" t="s">
        <v>40</v>
      </c>
      <c r="J52" s="95" t="s">
        <v>13343</v>
      </c>
      <c r="K52" s="93" t="s">
        <v>13344</v>
      </c>
    </row>
    <row r="53" customFormat="false" ht="14.25" hidden="false" customHeight="true" outlineLevel="0" collapsed="false">
      <c r="A53" s="85"/>
      <c r="B53" s="88"/>
      <c r="C53" s="88"/>
      <c r="D53" s="88"/>
      <c r="E53" s="88"/>
      <c r="F53" s="88"/>
      <c r="G53" s="94" t="s">
        <v>13345</v>
      </c>
      <c r="H53" s="95" t="s">
        <v>13346</v>
      </c>
      <c r="I53" s="99" t="s">
        <v>40</v>
      </c>
      <c r="J53" s="95" t="s">
        <v>13347</v>
      </c>
      <c r="K53" s="93" t="s">
        <v>13348</v>
      </c>
    </row>
    <row r="54" customFormat="false" ht="14.25" hidden="false" customHeight="true" outlineLevel="0" collapsed="false">
      <c r="A54" s="85"/>
      <c r="B54" s="88"/>
      <c r="C54" s="88"/>
      <c r="D54" s="88" t="s">
        <v>13349</v>
      </c>
      <c r="E54" s="89" t="s">
        <v>13350</v>
      </c>
      <c r="F54" s="88" t="s">
        <v>48</v>
      </c>
      <c r="G54" s="94" t="s">
        <v>13351</v>
      </c>
      <c r="H54" s="95" t="s">
        <v>13352</v>
      </c>
      <c r="I54" s="99" t="s">
        <v>40</v>
      </c>
      <c r="J54" s="95" t="s">
        <v>13353</v>
      </c>
      <c r="K54" s="93" t="s">
        <v>13354</v>
      </c>
    </row>
    <row r="55" customFormat="false" ht="14.25" hidden="false" customHeight="true" outlineLevel="0" collapsed="false">
      <c r="A55" s="85"/>
      <c r="B55" s="88"/>
      <c r="C55" s="88"/>
      <c r="D55" s="88"/>
      <c r="E55" s="88"/>
      <c r="F55" s="88"/>
      <c r="G55" s="94" t="s">
        <v>13355</v>
      </c>
      <c r="H55" s="95" t="s">
        <v>13356</v>
      </c>
      <c r="I55" s="99" t="s">
        <v>40</v>
      </c>
      <c r="J55" s="95" t="s">
        <v>13357</v>
      </c>
      <c r="K55" s="93" t="s">
        <v>13358</v>
      </c>
    </row>
    <row r="56" customFormat="false" ht="14.25" hidden="false" customHeight="true" outlineLevel="0" collapsed="false">
      <c r="A56" s="85"/>
      <c r="B56" s="88"/>
      <c r="C56" s="88"/>
      <c r="D56" s="88" t="s">
        <v>13359</v>
      </c>
      <c r="E56" s="89" t="s">
        <v>13360</v>
      </c>
      <c r="F56" s="88" t="s">
        <v>48</v>
      </c>
      <c r="G56" s="94" t="s">
        <v>13361</v>
      </c>
      <c r="H56" s="95" t="s">
        <v>13362</v>
      </c>
      <c r="I56" s="99" t="s">
        <v>40</v>
      </c>
      <c r="J56" s="95" t="s">
        <v>13363</v>
      </c>
      <c r="K56" s="93" t="s">
        <v>13364</v>
      </c>
    </row>
    <row r="57" customFormat="false" ht="14.25" hidden="false" customHeight="true" outlineLevel="0" collapsed="false">
      <c r="A57" s="85"/>
      <c r="B57" s="88"/>
      <c r="C57" s="88"/>
      <c r="D57" s="88"/>
      <c r="E57" s="88"/>
      <c r="F57" s="88"/>
      <c r="G57" s="94" t="s">
        <v>13365</v>
      </c>
      <c r="H57" s="95" t="s">
        <v>13366</v>
      </c>
      <c r="I57" s="99" t="s">
        <v>40</v>
      </c>
      <c r="J57" s="95" t="s">
        <v>13367</v>
      </c>
      <c r="K57" s="93" t="s">
        <v>13368</v>
      </c>
    </row>
    <row r="58" customFormat="false" ht="14.25" hidden="false" customHeight="true" outlineLevel="0" collapsed="false">
      <c r="A58" s="85"/>
      <c r="B58" s="88"/>
      <c r="C58" s="88"/>
      <c r="D58" s="88" t="s">
        <v>13369</v>
      </c>
      <c r="E58" s="89" t="s">
        <v>13370</v>
      </c>
      <c r="F58" s="88" t="s">
        <v>38</v>
      </c>
      <c r="G58" s="94" t="s">
        <v>13371</v>
      </c>
      <c r="H58" s="95" t="s">
        <v>13372</v>
      </c>
      <c r="I58" s="99" t="s">
        <v>40</v>
      </c>
      <c r="J58" s="95" t="s">
        <v>13373</v>
      </c>
      <c r="K58" s="93" t="s">
        <v>13374</v>
      </c>
    </row>
    <row r="59" customFormat="false" ht="14.25" hidden="false" customHeight="true" outlineLevel="0" collapsed="false">
      <c r="A59" s="85"/>
      <c r="B59" s="88"/>
      <c r="C59" s="88"/>
      <c r="D59" s="88"/>
      <c r="E59" s="88"/>
      <c r="F59" s="88"/>
      <c r="G59" s="94" t="s">
        <v>13375</v>
      </c>
      <c r="H59" s="95" t="s">
        <v>13376</v>
      </c>
      <c r="I59" s="99" t="s">
        <v>40</v>
      </c>
      <c r="J59" s="95" t="s">
        <v>13377</v>
      </c>
      <c r="K59" s="93" t="s">
        <v>13378</v>
      </c>
    </row>
    <row r="60" customFormat="false" ht="14.25" hidden="false" customHeight="true" outlineLevel="0" collapsed="false">
      <c r="A60" s="85"/>
      <c r="B60" s="88"/>
      <c r="C60" s="101"/>
      <c r="D60" s="88" t="s">
        <v>13379</v>
      </c>
      <c r="E60" s="89" t="s">
        <v>13380</v>
      </c>
      <c r="F60" s="88" t="s">
        <v>48</v>
      </c>
      <c r="G60" s="94" t="s">
        <v>13381</v>
      </c>
      <c r="H60" s="95" t="s">
        <v>13382</v>
      </c>
      <c r="I60" s="99" t="s">
        <v>40</v>
      </c>
      <c r="J60" s="95" t="s">
        <v>13383</v>
      </c>
      <c r="K60" s="93" t="s">
        <v>13384</v>
      </c>
    </row>
    <row r="61" customFormat="false" ht="14.25" hidden="false" customHeight="true" outlineLevel="0" collapsed="false">
      <c r="A61" s="85"/>
      <c r="B61" s="88"/>
      <c r="C61" s="102"/>
      <c r="D61" s="88"/>
      <c r="E61" s="88"/>
      <c r="F61" s="88"/>
      <c r="G61" s="94" t="s">
        <v>13385</v>
      </c>
      <c r="H61" s="95" t="s">
        <v>13386</v>
      </c>
      <c r="I61" s="99" t="s">
        <v>40</v>
      </c>
      <c r="J61" s="95" t="s">
        <v>13387</v>
      </c>
      <c r="K61" s="93" t="s">
        <v>13388</v>
      </c>
    </row>
    <row r="62" customFormat="false" ht="14.25" hidden="false" customHeight="true" outlineLevel="0" collapsed="false">
      <c r="A62" s="85"/>
      <c r="B62" s="88"/>
      <c r="C62" s="103" t="s">
        <v>13389</v>
      </c>
      <c r="D62" s="88" t="s">
        <v>13390</v>
      </c>
      <c r="E62" s="89" t="s">
        <v>13391</v>
      </c>
      <c r="F62" s="88" t="s">
        <v>38</v>
      </c>
      <c r="G62" s="94" t="s">
        <v>13392</v>
      </c>
      <c r="H62" s="95" t="s">
        <v>13393</v>
      </c>
      <c r="I62" s="99" t="s">
        <v>40</v>
      </c>
      <c r="J62" s="95" t="s">
        <v>13394</v>
      </c>
      <c r="K62" s="93" t="s">
        <v>13395</v>
      </c>
    </row>
    <row r="63" customFormat="false" ht="14.25" hidden="false" customHeight="true" outlineLevel="0" collapsed="false">
      <c r="A63" s="85"/>
      <c r="B63" s="88"/>
      <c r="C63" s="88"/>
      <c r="D63" s="88"/>
      <c r="E63" s="88"/>
      <c r="F63" s="88"/>
      <c r="G63" s="94" t="s">
        <v>13396</v>
      </c>
      <c r="H63" s="95" t="s">
        <v>13397</v>
      </c>
      <c r="I63" s="99" t="s">
        <v>40</v>
      </c>
      <c r="J63" s="95" t="s">
        <v>13398</v>
      </c>
      <c r="K63" s="93" t="s">
        <v>13399</v>
      </c>
    </row>
    <row r="64" customFormat="false" ht="14.25" hidden="false" customHeight="true" outlineLevel="0" collapsed="false">
      <c r="A64" s="85"/>
      <c r="B64" s="88"/>
      <c r="C64" s="88"/>
      <c r="D64" s="88" t="s">
        <v>13400</v>
      </c>
      <c r="E64" s="89" t="s">
        <v>13401</v>
      </c>
      <c r="F64" s="88" t="s">
        <v>48</v>
      </c>
      <c r="G64" s="94" t="s">
        <v>13402</v>
      </c>
      <c r="H64" s="95" t="s">
        <v>13403</v>
      </c>
      <c r="I64" s="99" t="s">
        <v>40</v>
      </c>
      <c r="J64" s="95" t="s">
        <v>13404</v>
      </c>
      <c r="K64" s="93" t="s">
        <v>13405</v>
      </c>
    </row>
    <row r="65" customFormat="false" ht="14.25" hidden="false" customHeight="true" outlineLevel="0" collapsed="false">
      <c r="A65" s="85"/>
      <c r="B65" s="88"/>
      <c r="C65" s="88"/>
      <c r="D65" s="88"/>
      <c r="E65" s="88"/>
      <c r="F65" s="88"/>
      <c r="G65" s="94" t="s">
        <v>13406</v>
      </c>
      <c r="H65" s="95" t="s">
        <v>13407</v>
      </c>
      <c r="I65" s="99" t="s">
        <v>40</v>
      </c>
      <c r="J65" s="95" t="s">
        <v>13408</v>
      </c>
      <c r="K65" s="93" t="s">
        <v>13409</v>
      </c>
    </row>
    <row r="66" customFormat="false" ht="14.25" hidden="false" customHeight="true" outlineLevel="0" collapsed="false">
      <c r="A66" s="85"/>
      <c r="B66" s="88"/>
      <c r="C66" s="88"/>
      <c r="D66" s="88" t="s">
        <v>13410</v>
      </c>
      <c r="E66" s="89" t="s">
        <v>13411</v>
      </c>
      <c r="F66" s="88" t="s">
        <v>38</v>
      </c>
      <c r="G66" s="94" t="s">
        <v>13412</v>
      </c>
      <c r="H66" s="95" t="s">
        <v>13413</v>
      </c>
      <c r="I66" s="99" t="s">
        <v>40</v>
      </c>
      <c r="J66" s="95" t="s">
        <v>13414</v>
      </c>
      <c r="K66" s="93" t="s">
        <v>13415</v>
      </c>
    </row>
    <row r="67" customFormat="false" ht="14.25" hidden="false" customHeight="true" outlineLevel="0" collapsed="false">
      <c r="A67" s="85"/>
      <c r="B67" s="88"/>
      <c r="C67" s="88"/>
      <c r="D67" s="88"/>
      <c r="E67" s="88"/>
      <c r="F67" s="88"/>
      <c r="G67" s="94" t="s">
        <v>13416</v>
      </c>
      <c r="H67" s="95" t="s">
        <v>13417</v>
      </c>
      <c r="I67" s="99" t="s">
        <v>40</v>
      </c>
      <c r="J67" s="95" t="s">
        <v>13418</v>
      </c>
      <c r="K67" s="93" t="s">
        <v>13419</v>
      </c>
    </row>
    <row r="68" customFormat="false" ht="14.25" hidden="false" customHeight="true" outlineLevel="0" collapsed="false">
      <c r="A68" s="85"/>
      <c r="B68" s="88"/>
      <c r="C68" s="88"/>
      <c r="D68" s="88" t="s">
        <v>13420</v>
      </c>
      <c r="E68" s="89" t="s">
        <v>13421</v>
      </c>
      <c r="F68" s="88" t="s">
        <v>38</v>
      </c>
      <c r="G68" s="94" t="s">
        <v>13422</v>
      </c>
      <c r="H68" s="95" t="s">
        <v>13423</v>
      </c>
      <c r="I68" s="99" t="s">
        <v>40</v>
      </c>
      <c r="J68" s="95" t="s">
        <v>13424</v>
      </c>
      <c r="K68" s="93" t="s">
        <v>13425</v>
      </c>
    </row>
    <row r="69" customFormat="false" ht="14.25" hidden="false" customHeight="true" outlineLevel="0" collapsed="false">
      <c r="A69" s="85"/>
      <c r="B69" s="88"/>
      <c r="C69" s="88"/>
      <c r="D69" s="88"/>
      <c r="E69" s="88"/>
      <c r="F69" s="88"/>
      <c r="G69" s="94" t="s">
        <v>13426</v>
      </c>
      <c r="H69" s="95" t="s">
        <v>13427</v>
      </c>
      <c r="I69" s="99" t="s">
        <v>40</v>
      </c>
      <c r="J69" s="95" t="s">
        <v>13428</v>
      </c>
      <c r="K69" s="93" t="s">
        <v>13429</v>
      </c>
    </row>
    <row r="70" customFormat="false" ht="14.25" hidden="false" customHeight="true" outlineLevel="0" collapsed="false">
      <c r="A70" s="85"/>
      <c r="B70" s="88"/>
      <c r="C70" s="103"/>
      <c r="D70" s="88" t="s">
        <v>13430</v>
      </c>
      <c r="E70" s="89" t="s">
        <v>13431</v>
      </c>
      <c r="F70" s="88" t="s">
        <v>38</v>
      </c>
      <c r="G70" s="94" t="s">
        <v>13432</v>
      </c>
      <c r="H70" s="95" t="s">
        <v>13433</v>
      </c>
      <c r="I70" s="99" t="s">
        <v>40</v>
      </c>
      <c r="J70" s="95" t="s">
        <v>13434</v>
      </c>
      <c r="K70" s="91" t="s">
        <v>13435</v>
      </c>
    </row>
    <row r="71" customFormat="false" ht="14.25" hidden="false" customHeight="true" outlineLevel="0" collapsed="false">
      <c r="A71" s="85"/>
      <c r="B71" s="88"/>
      <c r="C71" s="102"/>
      <c r="D71" s="88"/>
      <c r="E71" s="88"/>
      <c r="F71" s="88"/>
      <c r="G71" s="94" t="s">
        <v>13436</v>
      </c>
      <c r="H71" s="95" t="s">
        <v>13437</v>
      </c>
      <c r="I71" s="99" t="s">
        <v>40</v>
      </c>
      <c r="J71" s="95" t="s">
        <v>13438</v>
      </c>
      <c r="K71" s="93" t="s">
        <v>13439</v>
      </c>
    </row>
    <row r="72" customFormat="false" ht="14.25" hidden="false" customHeight="true" outlineLevel="0" collapsed="false">
      <c r="A72" s="85"/>
      <c r="B72" s="88"/>
      <c r="C72" s="104" t="s">
        <v>13440</v>
      </c>
      <c r="D72" s="88" t="s">
        <v>13441</v>
      </c>
      <c r="E72" s="89" t="s">
        <v>13442</v>
      </c>
      <c r="F72" s="88" t="s">
        <v>38</v>
      </c>
      <c r="G72" s="94" t="s">
        <v>13443</v>
      </c>
      <c r="H72" s="95" t="s">
        <v>13444</v>
      </c>
      <c r="I72" s="99" t="s">
        <v>40</v>
      </c>
      <c r="J72" s="95" t="s">
        <v>13445</v>
      </c>
      <c r="K72" s="93" t="s">
        <v>13446</v>
      </c>
    </row>
    <row r="73" customFormat="false" ht="14.25" hidden="false" customHeight="true" outlineLevel="0" collapsed="false">
      <c r="A73" s="85"/>
      <c r="B73" s="88"/>
      <c r="C73" s="88"/>
      <c r="D73" s="88"/>
      <c r="E73" s="88"/>
      <c r="F73" s="88"/>
      <c r="G73" s="94" t="s">
        <v>13447</v>
      </c>
      <c r="H73" s="95" t="s">
        <v>13448</v>
      </c>
      <c r="I73" s="99" t="s">
        <v>40</v>
      </c>
      <c r="J73" s="95" t="s">
        <v>13449</v>
      </c>
      <c r="K73" s="93" t="s">
        <v>13450</v>
      </c>
    </row>
    <row r="74" customFormat="false" ht="14.25" hidden="false" customHeight="true" outlineLevel="0" collapsed="false">
      <c r="A74" s="85"/>
      <c r="B74" s="88"/>
      <c r="C74" s="88"/>
      <c r="D74" s="88" t="s">
        <v>13451</v>
      </c>
      <c r="E74" s="89" t="s">
        <v>13452</v>
      </c>
      <c r="F74" s="88" t="s">
        <v>38</v>
      </c>
      <c r="G74" s="94" t="s">
        <v>13453</v>
      </c>
      <c r="H74" s="95" t="s">
        <v>13454</v>
      </c>
      <c r="I74" s="99" t="s">
        <v>40</v>
      </c>
      <c r="J74" s="95" t="s">
        <v>13455</v>
      </c>
      <c r="K74" s="93" t="s">
        <v>13456</v>
      </c>
    </row>
    <row r="75" customFormat="false" ht="14.25" hidden="false" customHeight="true" outlineLevel="0" collapsed="false">
      <c r="A75" s="85"/>
      <c r="B75" s="88"/>
      <c r="C75" s="88"/>
      <c r="D75" s="88"/>
      <c r="E75" s="88"/>
      <c r="F75" s="88"/>
      <c r="G75" s="94" t="s">
        <v>13457</v>
      </c>
      <c r="H75" s="95" t="s">
        <v>13458</v>
      </c>
      <c r="I75" s="99" t="s">
        <v>40</v>
      </c>
      <c r="J75" s="95" t="s">
        <v>13459</v>
      </c>
      <c r="K75" s="93" t="s">
        <v>13460</v>
      </c>
    </row>
    <row r="76" customFormat="false" ht="14.25" hidden="false" customHeight="true" outlineLevel="0" collapsed="false">
      <c r="A76" s="85"/>
      <c r="B76" s="88"/>
      <c r="C76" s="88"/>
      <c r="D76" s="88" t="s">
        <v>13461</v>
      </c>
      <c r="E76" s="89" t="s">
        <v>13462</v>
      </c>
      <c r="F76" s="88" t="s">
        <v>38</v>
      </c>
      <c r="G76" s="94" t="s">
        <v>13463</v>
      </c>
      <c r="H76" s="95" t="s">
        <v>13464</v>
      </c>
      <c r="I76" s="99" t="s">
        <v>40</v>
      </c>
      <c r="J76" s="95" t="s">
        <v>13465</v>
      </c>
      <c r="K76" s="93" t="s">
        <v>13466</v>
      </c>
    </row>
    <row r="77" customFormat="false" ht="14.25" hidden="false" customHeight="true" outlineLevel="0" collapsed="false">
      <c r="A77" s="85"/>
      <c r="B77" s="88"/>
      <c r="C77" s="88"/>
      <c r="D77" s="88"/>
      <c r="E77" s="88"/>
      <c r="F77" s="88"/>
      <c r="G77" s="94" t="s">
        <v>13467</v>
      </c>
      <c r="H77" s="95" t="s">
        <v>13468</v>
      </c>
      <c r="I77" s="99" t="s">
        <v>40</v>
      </c>
      <c r="J77" s="95" t="s">
        <v>13469</v>
      </c>
      <c r="K77" s="93" t="s">
        <v>13470</v>
      </c>
    </row>
    <row r="78" customFormat="false" ht="14.25" hidden="false" customHeight="true" outlineLevel="0" collapsed="false">
      <c r="A78" s="85"/>
      <c r="B78" s="88"/>
      <c r="C78" s="88"/>
      <c r="D78" s="88" t="s">
        <v>13471</v>
      </c>
      <c r="E78" s="89" t="s">
        <v>13472</v>
      </c>
      <c r="F78" s="88" t="s">
        <v>38</v>
      </c>
      <c r="G78" s="94" t="s">
        <v>13473</v>
      </c>
      <c r="H78" s="95" t="s">
        <v>13474</v>
      </c>
      <c r="I78" s="99" t="s">
        <v>40</v>
      </c>
      <c r="J78" s="95" t="s">
        <v>13475</v>
      </c>
      <c r="K78" s="93" t="s">
        <v>13476</v>
      </c>
    </row>
    <row r="79" customFormat="false" ht="14.25" hidden="false" customHeight="true" outlineLevel="0" collapsed="false">
      <c r="A79" s="85"/>
      <c r="B79" s="88"/>
      <c r="C79" s="88"/>
      <c r="D79" s="88"/>
      <c r="E79" s="88"/>
      <c r="F79" s="88"/>
      <c r="G79" s="94" t="s">
        <v>13477</v>
      </c>
      <c r="H79" s="95" t="s">
        <v>13478</v>
      </c>
      <c r="I79" s="98" t="s">
        <v>50</v>
      </c>
      <c r="J79" s="95" t="s">
        <v>13479</v>
      </c>
      <c r="K79" s="93" t="s">
        <v>13480</v>
      </c>
    </row>
    <row r="80" customFormat="false" ht="14.25" hidden="false" customHeight="true" outlineLevel="0" collapsed="false">
      <c r="A80" s="85"/>
      <c r="B80" s="88"/>
      <c r="C80" s="88"/>
      <c r="D80" s="88" t="s">
        <v>13481</v>
      </c>
      <c r="E80" s="89" t="s">
        <v>13482</v>
      </c>
      <c r="F80" s="88" t="s">
        <v>38</v>
      </c>
      <c r="G80" s="94" t="s">
        <v>13483</v>
      </c>
      <c r="H80" s="95" t="s">
        <v>13484</v>
      </c>
      <c r="I80" s="98" t="s">
        <v>50</v>
      </c>
      <c r="J80" s="95" t="s">
        <v>13485</v>
      </c>
      <c r="K80" s="93" t="s">
        <v>13486</v>
      </c>
    </row>
    <row r="81" customFormat="false" ht="14.25" hidden="false" customHeight="true" outlineLevel="0" collapsed="false">
      <c r="A81" s="85"/>
      <c r="B81" s="88"/>
      <c r="C81" s="104"/>
      <c r="D81" s="104"/>
      <c r="E81" s="104"/>
      <c r="F81" s="104"/>
      <c r="G81" s="94" t="s">
        <v>13487</v>
      </c>
      <c r="H81" s="95" t="s">
        <v>13488</v>
      </c>
      <c r="I81" s="98" t="s">
        <v>50</v>
      </c>
      <c r="J81" s="95" t="s">
        <v>13489</v>
      </c>
      <c r="K81" s="93" t="s">
        <v>13490</v>
      </c>
    </row>
    <row r="82" customFormat="false" ht="14.25" hidden="false" customHeight="true" outlineLevel="0" collapsed="false">
      <c r="A82" s="85"/>
      <c r="B82" s="88"/>
      <c r="C82" s="87" t="s">
        <v>13491</v>
      </c>
      <c r="D82" s="88" t="s">
        <v>13492</v>
      </c>
      <c r="E82" s="89" t="s">
        <v>13493</v>
      </c>
      <c r="F82" s="88" t="s">
        <v>38</v>
      </c>
      <c r="G82" s="94" t="s">
        <v>13494</v>
      </c>
      <c r="H82" s="95" t="s">
        <v>13495</v>
      </c>
      <c r="I82" s="98" t="s">
        <v>50</v>
      </c>
      <c r="J82" s="95" t="s">
        <v>13496</v>
      </c>
      <c r="K82" s="93" t="s">
        <v>13497</v>
      </c>
    </row>
    <row r="83" customFormat="false" ht="14.25" hidden="false" customHeight="true" outlineLevel="0" collapsed="false">
      <c r="A83" s="85"/>
      <c r="B83" s="88"/>
      <c r="C83" s="88"/>
      <c r="D83" s="88"/>
      <c r="E83" s="88"/>
      <c r="F83" s="88"/>
      <c r="G83" s="94" t="s">
        <v>13498</v>
      </c>
      <c r="H83" s="95" t="s">
        <v>13499</v>
      </c>
      <c r="I83" s="98" t="s">
        <v>50</v>
      </c>
      <c r="J83" s="95" t="s">
        <v>13500</v>
      </c>
      <c r="K83" s="93" t="s">
        <v>13501</v>
      </c>
    </row>
    <row r="84" customFormat="false" ht="14.25" hidden="false" customHeight="true" outlineLevel="0" collapsed="false">
      <c r="A84" s="85"/>
      <c r="B84" s="88"/>
      <c r="C84" s="88"/>
      <c r="D84" s="88" t="s">
        <v>13502</v>
      </c>
      <c r="E84" s="89" t="s">
        <v>13503</v>
      </c>
      <c r="F84" s="88" t="s">
        <v>48</v>
      </c>
      <c r="G84" s="94" t="s">
        <v>13504</v>
      </c>
      <c r="H84" s="95" t="s">
        <v>13505</v>
      </c>
      <c r="I84" s="98" t="s">
        <v>50</v>
      </c>
      <c r="J84" s="95" t="s">
        <v>13506</v>
      </c>
      <c r="K84" s="93" t="s">
        <v>13507</v>
      </c>
    </row>
    <row r="85" customFormat="false" ht="14.25" hidden="false" customHeight="true" outlineLevel="0" collapsed="false">
      <c r="A85" s="85"/>
      <c r="B85" s="88"/>
      <c r="C85" s="88"/>
      <c r="D85" s="88"/>
      <c r="E85" s="88"/>
      <c r="F85" s="88"/>
      <c r="G85" s="94" t="s">
        <v>13508</v>
      </c>
      <c r="H85" s="95" t="s">
        <v>13509</v>
      </c>
      <c r="I85" s="98" t="s">
        <v>50</v>
      </c>
      <c r="J85" s="95" t="s">
        <v>13510</v>
      </c>
      <c r="K85" s="93" t="s">
        <v>13511</v>
      </c>
    </row>
    <row r="86" customFormat="false" ht="14.25" hidden="false" customHeight="true" outlineLevel="0" collapsed="false">
      <c r="A86" s="85"/>
      <c r="B86" s="88"/>
      <c r="C86" s="88"/>
      <c r="D86" s="88" t="s">
        <v>13512</v>
      </c>
      <c r="E86" s="89" t="s">
        <v>13513</v>
      </c>
      <c r="F86" s="88" t="s">
        <v>38</v>
      </c>
      <c r="G86" s="94" t="s">
        <v>13514</v>
      </c>
      <c r="H86" s="95" t="s">
        <v>13515</v>
      </c>
      <c r="I86" s="98" t="s">
        <v>50</v>
      </c>
      <c r="J86" s="95" t="s">
        <v>13516</v>
      </c>
      <c r="K86" s="93" t="s">
        <v>13517</v>
      </c>
    </row>
    <row r="87" customFormat="false" ht="14.25" hidden="false" customHeight="true" outlineLevel="0" collapsed="false">
      <c r="A87" s="85"/>
      <c r="B87" s="88"/>
      <c r="C87" s="88"/>
      <c r="D87" s="88"/>
      <c r="E87" s="88"/>
      <c r="F87" s="88"/>
      <c r="G87" s="94" t="s">
        <v>13518</v>
      </c>
      <c r="H87" s="95" t="s">
        <v>13519</v>
      </c>
      <c r="I87" s="98" t="s">
        <v>50</v>
      </c>
      <c r="J87" s="95" t="s">
        <v>13520</v>
      </c>
      <c r="K87" s="93" t="s">
        <v>13521</v>
      </c>
    </row>
    <row r="88" customFormat="false" ht="14.25" hidden="false" customHeight="true" outlineLevel="0" collapsed="false">
      <c r="A88" s="85"/>
      <c r="B88" s="88"/>
      <c r="C88" s="88"/>
      <c r="D88" s="88" t="s">
        <v>13522</v>
      </c>
      <c r="E88" s="89" t="s">
        <v>13523</v>
      </c>
      <c r="F88" s="88" t="s">
        <v>38</v>
      </c>
      <c r="G88" s="94" t="s">
        <v>13524</v>
      </c>
      <c r="H88" s="95" t="s">
        <v>13525</v>
      </c>
      <c r="I88" s="98" t="s">
        <v>50</v>
      </c>
      <c r="J88" s="95" t="s">
        <v>13526</v>
      </c>
      <c r="K88" s="93" t="s">
        <v>13527</v>
      </c>
    </row>
    <row r="89" customFormat="false" ht="14.25" hidden="false" customHeight="true" outlineLevel="0" collapsed="false">
      <c r="A89" s="85"/>
      <c r="B89" s="88"/>
      <c r="C89" s="88"/>
      <c r="D89" s="88"/>
      <c r="E89" s="88"/>
      <c r="F89" s="88"/>
      <c r="G89" s="94" t="s">
        <v>13528</v>
      </c>
      <c r="H89" s="95" t="s">
        <v>13529</v>
      </c>
      <c r="I89" s="98" t="s">
        <v>50</v>
      </c>
      <c r="J89" s="95" t="s">
        <v>13530</v>
      </c>
      <c r="K89" s="93" t="s">
        <v>13531</v>
      </c>
    </row>
    <row r="90" customFormat="false" ht="14.25" hidden="false" customHeight="true" outlineLevel="0" collapsed="false">
      <c r="A90" s="85"/>
      <c r="B90" s="88"/>
      <c r="C90" s="88"/>
      <c r="D90" s="88" t="s">
        <v>13532</v>
      </c>
      <c r="E90" s="89" t="s">
        <v>13533</v>
      </c>
      <c r="F90" s="88" t="s">
        <v>38</v>
      </c>
      <c r="G90" s="94" t="s">
        <v>13534</v>
      </c>
      <c r="H90" s="95" t="s">
        <v>13535</v>
      </c>
      <c r="I90" s="98" t="s">
        <v>50</v>
      </c>
      <c r="J90" s="95" t="s">
        <v>13536</v>
      </c>
      <c r="K90" s="93" t="s">
        <v>13537</v>
      </c>
    </row>
    <row r="91" customFormat="false" ht="14.25" hidden="false" customHeight="true" outlineLevel="0" collapsed="false">
      <c r="A91" s="85"/>
      <c r="B91" s="88"/>
      <c r="C91" s="87"/>
      <c r="D91" s="87"/>
      <c r="E91" s="87"/>
      <c r="F91" s="87"/>
      <c r="G91" s="94" t="s">
        <v>13538</v>
      </c>
      <c r="H91" s="95" t="s">
        <v>13539</v>
      </c>
      <c r="I91" s="98" t="s">
        <v>50</v>
      </c>
      <c r="J91" s="95" t="s">
        <v>13540</v>
      </c>
      <c r="K91" s="93" t="s">
        <v>13541</v>
      </c>
    </row>
    <row r="92" customFormat="false" ht="14.25" hidden="false" customHeight="true" outlineLevel="0" collapsed="false">
      <c r="A92" s="85"/>
      <c r="B92" s="88"/>
      <c r="C92" s="87" t="s">
        <v>13542</v>
      </c>
      <c r="D92" s="88" t="s">
        <v>13543</v>
      </c>
      <c r="E92" s="89" t="s">
        <v>13544</v>
      </c>
      <c r="F92" s="88" t="s">
        <v>38</v>
      </c>
      <c r="G92" s="94" t="s">
        <v>13545</v>
      </c>
      <c r="H92" s="95" t="s">
        <v>13546</v>
      </c>
      <c r="I92" s="98" t="s">
        <v>50</v>
      </c>
      <c r="J92" s="95" t="s">
        <v>13547</v>
      </c>
      <c r="K92" s="93" t="s">
        <v>13548</v>
      </c>
    </row>
    <row r="93" customFormat="false" ht="14.25" hidden="false" customHeight="true" outlineLevel="0" collapsed="false">
      <c r="A93" s="85"/>
      <c r="B93" s="88"/>
      <c r="C93" s="88"/>
      <c r="D93" s="88"/>
      <c r="E93" s="88"/>
      <c r="F93" s="88"/>
      <c r="G93" s="94" t="s">
        <v>13549</v>
      </c>
      <c r="H93" s="95" t="s">
        <v>13550</v>
      </c>
      <c r="I93" s="98" t="s">
        <v>50</v>
      </c>
      <c r="J93" s="95" t="s">
        <v>13551</v>
      </c>
      <c r="K93" s="93" t="s">
        <v>13552</v>
      </c>
    </row>
    <row r="94" customFormat="false" ht="14.25" hidden="false" customHeight="true" outlineLevel="0" collapsed="false">
      <c r="A94" s="85"/>
      <c r="B94" s="88"/>
      <c r="C94" s="88"/>
      <c r="D94" s="88" t="s">
        <v>13553</v>
      </c>
      <c r="E94" s="89" t="s">
        <v>13554</v>
      </c>
      <c r="F94" s="88" t="s">
        <v>38</v>
      </c>
      <c r="G94" s="94" t="s">
        <v>13555</v>
      </c>
      <c r="H94" s="95" t="s">
        <v>13556</v>
      </c>
      <c r="I94" s="98" t="s">
        <v>50</v>
      </c>
      <c r="J94" s="95" t="s">
        <v>13557</v>
      </c>
      <c r="K94" s="93" t="s">
        <v>13558</v>
      </c>
    </row>
    <row r="95" customFormat="false" ht="14.25" hidden="false" customHeight="true" outlineLevel="0" collapsed="false">
      <c r="A95" s="85"/>
      <c r="B95" s="88"/>
      <c r="C95" s="88"/>
      <c r="D95" s="88"/>
      <c r="E95" s="88"/>
      <c r="F95" s="88"/>
      <c r="G95" s="94" t="s">
        <v>13559</v>
      </c>
      <c r="H95" s="95" t="s">
        <v>13560</v>
      </c>
      <c r="I95" s="98" t="s">
        <v>50</v>
      </c>
      <c r="J95" s="95" t="s">
        <v>13561</v>
      </c>
      <c r="K95" s="93" t="s">
        <v>13562</v>
      </c>
    </row>
    <row r="96" customFormat="false" ht="14.25" hidden="false" customHeight="true" outlineLevel="0" collapsed="false">
      <c r="A96" s="85"/>
      <c r="B96" s="88"/>
      <c r="C96" s="88"/>
      <c r="D96" s="88" t="s">
        <v>13563</v>
      </c>
      <c r="E96" s="89" t="s">
        <v>13564</v>
      </c>
      <c r="F96" s="88" t="s">
        <v>38</v>
      </c>
      <c r="G96" s="94" t="s">
        <v>13565</v>
      </c>
      <c r="H96" s="95" t="s">
        <v>13566</v>
      </c>
      <c r="I96" s="98" t="s">
        <v>50</v>
      </c>
      <c r="J96" s="95" t="s">
        <v>13567</v>
      </c>
      <c r="K96" s="91" t="s">
        <v>13568</v>
      </c>
    </row>
    <row r="97" customFormat="false" ht="14.25" hidden="false" customHeight="true" outlineLevel="0" collapsed="false">
      <c r="A97" s="85"/>
      <c r="B97" s="88"/>
      <c r="C97" s="88"/>
      <c r="D97" s="88"/>
      <c r="E97" s="88"/>
      <c r="F97" s="88"/>
      <c r="G97" s="94" t="s">
        <v>13569</v>
      </c>
      <c r="H97" s="95" t="s">
        <v>13570</v>
      </c>
      <c r="I97" s="98" t="s">
        <v>50</v>
      </c>
      <c r="J97" s="95" t="s">
        <v>13571</v>
      </c>
      <c r="K97" s="95" t="s">
        <v>13572</v>
      </c>
    </row>
    <row r="98" customFormat="false" ht="14.25" hidden="false" customHeight="true" outlineLevel="0" collapsed="false">
      <c r="A98" s="85"/>
      <c r="B98" s="88"/>
      <c r="C98" s="88"/>
      <c r="D98" s="88" t="s">
        <v>13573</v>
      </c>
      <c r="E98" s="89" t="s">
        <v>13574</v>
      </c>
      <c r="F98" s="88" t="s">
        <v>58</v>
      </c>
      <c r="G98" s="94" t="s">
        <v>13575</v>
      </c>
      <c r="H98" s="95" t="s">
        <v>13576</v>
      </c>
      <c r="I98" s="98" t="s">
        <v>50</v>
      </c>
      <c r="J98" s="95" t="s">
        <v>13577</v>
      </c>
      <c r="K98" s="95" t="s">
        <v>13578</v>
      </c>
    </row>
    <row r="99" customFormat="false" ht="14.25" hidden="false" customHeight="true" outlineLevel="0" collapsed="false">
      <c r="A99" s="85"/>
      <c r="B99" s="88"/>
      <c r="C99" s="88"/>
      <c r="D99" s="88"/>
      <c r="E99" s="88"/>
      <c r="F99" s="88"/>
      <c r="G99" s="94" t="s">
        <v>127</v>
      </c>
      <c r="H99" s="95" t="s">
        <v>13579</v>
      </c>
      <c r="I99" s="98" t="s">
        <v>50</v>
      </c>
      <c r="J99" s="95" t="s">
        <v>13580</v>
      </c>
      <c r="K99" s="95" t="s">
        <v>13581</v>
      </c>
    </row>
    <row r="100" customFormat="false" ht="14.25" hidden="false" customHeight="true" outlineLevel="0" collapsed="false">
      <c r="A100" s="85"/>
      <c r="B100" s="88"/>
      <c r="C100" s="88"/>
      <c r="D100" s="88" t="s">
        <v>13582</v>
      </c>
      <c r="E100" s="89" t="s">
        <v>13583</v>
      </c>
      <c r="F100" s="88" t="s">
        <v>48</v>
      </c>
      <c r="G100" s="94" t="s">
        <v>13584</v>
      </c>
      <c r="H100" s="95" t="s">
        <v>13585</v>
      </c>
      <c r="I100" s="98" t="s">
        <v>50</v>
      </c>
      <c r="J100" s="95" t="s">
        <v>13586</v>
      </c>
      <c r="K100" s="95" t="s">
        <v>13587</v>
      </c>
    </row>
    <row r="101" customFormat="false" ht="14.25" hidden="false" customHeight="true" outlineLevel="0" collapsed="false">
      <c r="A101" s="85"/>
      <c r="B101" s="88"/>
      <c r="C101" s="87"/>
      <c r="D101" s="87"/>
      <c r="E101" s="87"/>
      <c r="F101" s="87"/>
      <c r="G101" s="94" t="s">
        <v>13588</v>
      </c>
      <c r="H101" s="95" t="s">
        <v>13589</v>
      </c>
      <c r="I101" s="98" t="s">
        <v>50</v>
      </c>
      <c r="J101" s="95" t="s">
        <v>13590</v>
      </c>
      <c r="K101" s="95" t="s">
        <v>13591</v>
      </c>
    </row>
    <row r="102" customFormat="false" ht="14.25" hidden="false" customHeight="true" outlineLevel="0" collapsed="false">
      <c r="A102" s="85"/>
      <c r="B102" s="88"/>
      <c r="C102" s="87" t="s">
        <v>13592</v>
      </c>
      <c r="D102" s="88" t="s">
        <v>13593</v>
      </c>
      <c r="E102" s="89" t="s">
        <v>13594</v>
      </c>
      <c r="F102" s="88" t="s">
        <v>38</v>
      </c>
      <c r="G102" s="94" t="s">
        <v>13595</v>
      </c>
      <c r="H102" s="95" t="s">
        <v>13596</v>
      </c>
      <c r="I102" s="105" t="s">
        <v>40</v>
      </c>
      <c r="J102" s="95" t="s">
        <v>13597</v>
      </c>
      <c r="K102" s="95" t="s">
        <v>13598</v>
      </c>
    </row>
    <row r="103" customFormat="false" ht="14.25" hidden="false" customHeight="true" outlineLevel="0" collapsed="false">
      <c r="A103" s="85"/>
      <c r="B103" s="88"/>
      <c r="C103" s="88"/>
      <c r="D103" s="88"/>
      <c r="E103" s="88"/>
      <c r="F103" s="88"/>
      <c r="G103" s="94" t="s">
        <v>13599</v>
      </c>
      <c r="H103" s="95" t="s">
        <v>13600</v>
      </c>
      <c r="I103" s="105" t="s">
        <v>40</v>
      </c>
      <c r="J103" s="95" t="s">
        <v>13601</v>
      </c>
      <c r="K103" s="95" t="s">
        <v>13602</v>
      </c>
    </row>
    <row r="104" customFormat="false" ht="14.25" hidden="false" customHeight="true" outlineLevel="0" collapsed="false">
      <c r="A104" s="85"/>
      <c r="B104" s="88"/>
      <c r="C104" s="88"/>
      <c r="D104" s="88" t="s">
        <v>13603</v>
      </c>
      <c r="E104" s="89" t="s">
        <v>13604</v>
      </c>
      <c r="F104" s="88" t="s">
        <v>38</v>
      </c>
      <c r="G104" s="94" t="s">
        <v>13605</v>
      </c>
      <c r="H104" s="95" t="s">
        <v>13606</v>
      </c>
      <c r="I104" s="105" t="s">
        <v>40</v>
      </c>
      <c r="J104" s="95" t="s">
        <v>13607</v>
      </c>
      <c r="K104" s="95" t="s">
        <v>13608</v>
      </c>
    </row>
    <row r="105" customFormat="false" ht="14.25" hidden="false" customHeight="true" outlineLevel="0" collapsed="false">
      <c r="A105" s="85"/>
      <c r="B105" s="88"/>
      <c r="C105" s="88"/>
      <c r="D105" s="88"/>
      <c r="E105" s="88"/>
      <c r="F105" s="88"/>
      <c r="G105" s="94" t="s">
        <v>13609</v>
      </c>
      <c r="H105" s="95" t="s">
        <v>13610</v>
      </c>
      <c r="I105" s="105" t="s">
        <v>40</v>
      </c>
      <c r="J105" s="95" t="s">
        <v>13611</v>
      </c>
      <c r="K105" s="95" t="s">
        <v>13612</v>
      </c>
    </row>
    <row r="106" customFormat="false" ht="14.25" hidden="false" customHeight="true" outlineLevel="0" collapsed="false">
      <c r="A106" s="85"/>
      <c r="B106" s="88"/>
      <c r="C106" s="88"/>
      <c r="D106" s="88" t="s">
        <v>13613</v>
      </c>
      <c r="E106" s="89" t="s">
        <v>13614</v>
      </c>
      <c r="F106" s="88" t="s">
        <v>48</v>
      </c>
      <c r="G106" s="94" t="s">
        <v>13615</v>
      </c>
      <c r="H106" s="95" t="s">
        <v>13616</v>
      </c>
      <c r="I106" s="105" t="s">
        <v>40</v>
      </c>
      <c r="J106" s="95" t="s">
        <v>13617</v>
      </c>
      <c r="K106" s="95" t="s">
        <v>13618</v>
      </c>
    </row>
    <row r="107" customFormat="false" ht="14.25" hidden="false" customHeight="true" outlineLevel="0" collapsed="false">
      <c r="A107" s="85"/>
      <c r="B107" s="88"/>
      <c r="C107" s="88"/>
      <c r="D107" s="88"/>
      <c r="E107" s="88"/>
      <c r="F107" s="88"/>
      <c r="G107" s="94" t="s">
        <v>13619</v>
      </c>
      <c r="H107" s="95" t="s">
        <v>13620</v>
      </c>
      <c r="I107" s="105" t="s">
        <v>40</v>
      </c>
      <c r="J107" s="95" t="s">
        <v>13621</v>
      </c>
      <c r="K107" s="95" t="s">
        <v>13622</v>
      </c>
    </row>
    <row r="108" customFormat="false" ht="14.25" hidden="false" customHeight="true" outlineLevel="0" collapsed="false">
      <c r="A108" s="85"/>
      <c r="B108" s="88"/>
      <c r="C108" s="88"/>
      <c r="D108" s="88" t="s">
        <v>13623</v>
      </c>
      <c r="E108" s="89" t="s">
        <v>13624</v>
      </c>
      <c r="F108" s="88" t="s">
        <v>38</v>
      </c>
      <c r="G108" s="94" t="s">
        <v>13625</v>
      </c>
      <c r="H108" s="95" t="s">
        <v>13626</v>
      </c>
      <c r="I108" s="105" t="s">
        <v>40</v>
      </c>
      <c r="J108" s="95" t="s">
        <v>13627</v>
      </c>
      <c r="K108" s="95" t="s">
        <v>13628</v>
      </c>
    </row>
    <row r="109" customFormat="false" ht="14.25" hidden="false" customHeight="true" outlineLevel="0" collapsed="false">
      <c r="A109" s="85"/>
      <c r="B109" s="88"/>
      <c r="C109" s="88"/>
      <c r="D109" s="88"/>
      <c r="E109" s="88"/>
      <c r="F109" s="88"/>
      <c r="G109" s="94" t="s">
        <v>13629</v>
      </c>
      <c r="H109" s="95" t="s">
        <v>13630</v>
      </c>
      <c r="I109" s="105" t="s">
        <v>40</v>
      </c>
      <c r="J109" s="95" t="s">
        <v>13631</v>
      </c>
      <c r="K109" s="95" t="s">
        <v>13632</v>
      </c>
    </row>
    <row r="110" customFormat="false" ht="14.25" hidden="false" customHeight="true" outlineLevel="0" collapsed="false">
      <c r="A110" s="85"/>
      <c r="B110" s="88"/>
      <c r="C110" s="87"/>
      <c r="D110" s="88" t="s">
        <v>13633</v>
      </c>
      <c r="E110" s="89" t="s">
        <v>13634</v>
      </c>
      <c r="F110" s="88" t="s">
        <v>38</v>
      </c>
      <c r="G110" s="94" t="s">
        <v>13635</v>
      </c>
      <c r="H110" s="95" t="s">
        <v>13636</v>
      </c>
      <c r="I110" s="105" t="s">
        <v>40</v>
      </c>
      <c r="J110" s="95" t="s">
        <v>13637</v>
      </c>
      <c r="K110" s="95" t="s">
        <v>13638</v>
      </c>
    </row>
    <row r="111" customFormat="false" ht="14.25" hidden="false" customHeight="true" outlineLevel="0" collapsed="false">
      <c r="A111" s="85"/>
      <c r="B111" s="106"/>
      <c r="C111" s="87"/>
      <c r="D111" s="87"/>
      <c r="E111" s="87"/>
      <c r="F111" s="87"/>
      <c r="G111" s="94" t="s">
        <v>13639</v>
      </c>
      <c r="H111" s="95" t="s">
        <v>13640</v>
      </c>
      <c r="I111" s="105" t="s">
        <v>40</v>
      </c>
      <c r="J111" s="95" t="s">
        <v>13641</v>
      </c>
      <c r="K111" s="95" t="s">
        <v>13642</v>
      </c>
    </row>
    <row r="112" customFormat="false" ht="14.25" hidden="false" customHeight="true" outlineLevel="0" collapsed="false">
      <c r="A112" s="85"/>
      <c r="B112" s="86" t="s">
        <v>13643</v>
      </c>
      <c r="C112" s="87" t="s">
        <v>13644</v>
      </c>
      <c r="D112" s="88" t="s">
        <v>13645</v>
      </c>
      <c r="E112" s="89" t="s">
        <v>13646</v>
      </c>
      <c r="F112" s="88" t="s">
        <v>38</v>
      </c>
      <c r="G112" s="94" t="s">
        <v>13647</v>
      </c>
      <c r="H112" s="95" t="s">
        <v>13648</v>
      </c>
      <c r="I112" s="105" t="s">
        <v>40</v>
      </c>
      <c r="J112" s="95" t="s">
        <v>13649</v>
      </c>
      <c r="K112" s="95" t="s">
        <v>13650</v>
      </c>
    </row>
    <row r="113" customFormat="false" ht="14.25" hidden="false" customHeight="true" outlineLevel="0" collapsed="false">
      <c r="A113" s="85"/>
      <c r="B113" s="86"/>
      <c r="C113" s="86"/>
      <c r="D113" s="88"/>
      <c r="E113" s="88"/>
      <c r="F113" s="88"/>
      <c r="G113" s="94" t="s">
        <v>13651</v>
      </c>
      <c r="H113" s="95" t="s">
        <v>13652</v>
      </c>
      <c r="I113" s="105" t="s">
        <v>40</v>
      </c>
      <c r="J113" s="95" t="s">
        <v>13653</v>
      </c>
      <c r="K113" s="95" t="s">
        <v>13654</v>
      </c>
    </row>
    <row r="114" customFormat="false" ht="14.25" hidden="false" customHeight="true" outlineLevel="0" collapsed="false">
      <c r="A114" s="85"/>
      <c r="B114" s="86"/>
      <c r="C114" s="86"/>
      <c r="D114" s="88" t="s">
        <v>13655</v>
      </c>
      <c r="E114" s="89" t="s">
        <v>13656</v>
      </c>
      <c r="F114" s="88" t="s">
        <v>38</v>
      </c>
      <c r="G114" s="94" t="s">
        <v>13657</v>
      </c>
      <c r="H114" s="95" t="s">
        <v>13658</v>
      </c>
      <c r="I114" s="97" t="s">
        <v>67</v>
      </c>
      <c r="J114" s="95" t="s">
        <v>13659</v>
      </c>
      <c r="K114" s="95" t="s">
        <v>13660</v>
      </c>
    </row>
    <row r="115" customFormat="false" ht="14.25" hidden="false" customHeight="true" outlineLevel="0" collapsed="false">
      <c r="A115" s="85"/>
      <c r="B115" s="86"/>
      <c r="C115" s="86"/>
      <c r="D115" s="88"/>
      <c r="E115" s="88"/>
      <c r="F115" s="88"/>
      <c r="G115" s="94" t="s">
        <v>13661</v>
      </c>
      <c r="H115" s="95" t="s">
        <v>13662</v>
      </c>
      <c r="I115" s="97" t="s">
        <v>67</v>
      </c>
      <c r="J115" s="95" t="s">
        <v>13663</v>
      </c>
      <c r="K115" s="95" t="s">
        <v>13664</v>
      </c>
    </row>
    <row r="116" customFormat="false" ht="14.25" hidden="false" customHeight="true" outlineLevel="0" collapsed="false">
      <c r="A116" s="85"/>
      <c r="B116" s="86"/>
      <c r="C116" s="86"/>
      <c r="D116" s="88" t="s">
        <v>13665</v>
      </c>
      <c r="E116" s="89" t="s">
        <v>13666</v>
      </c>
      <c r="F116" s="88" t="s">
        <v>38</v>
      </c>
      <c r="G116" s="94" t="s">
        <v>13667</v>
      </c>
      <c r="H116" s="95" t="s">
        <v>13668</v>
      </c>
      <c r="I116" s="97" t="s">
        <v>67</v>
      </c>
      <c r="J116" s="95" t="s">
        <v>13669</v>
      </c>
      <c r="K116" s="95" t="s">
        <v>13670</v>
      </c>
    </row>
    <row r="117" customFormat="false" ht="14.25" hidden="false" customHeight="true" outlineLevel="0" collapsed="false">
      <c r="A117" s="85"/>
      <c r="B117" s="86"/>
      <c r="C117" s="86"/>
      <c r="D117" s="88"/>
      <c r="E117" s="88"/>
      <c r="F117" s="88"/>
      <c r="G117" s="94" t="s">
        <v>13671</v>
      </c>
      <c r="H117" s="95" t="s">
        <v>13672</v>
      </c>
      <c r="I117" s="105" t="s">
        <v>40</v>
      </c>
      <c r="J117" s="95" t="s">
        <v>13673</v>
      </c>
      <c r="K117" s="95" t="s">
        <v>13674</v>
      </c>
    </row>
    <row r="118" customFormat="false" ht="14.25" hidden="false" customHeight="true" outlineLevel="0" collapsed="false">
      <c r="A118" s="85"/>
      <c r="B118" s="86"/>
      <c r="C118" s="86"/>
      <c r="D118" s="88" t="s">
        <v>13675</v>
      </c>
      <c r="E118" s="89" t="s">
        <v>13676</v>
      </c>
      <c r="F118" s="88" t="s">
        <v>38</v>
      </c>
      <c r="G118" s="94" t="s">
        <v>6240</v>
      </c>
      <c r="H118" s="95" t="s">
        <v>13677</v>
      </c>
      <c r="I118" s="105" t="s">
        <v>40</v>
      </c>
      <c r="J118" s="95" t="s">
        <v>13678</v>
      </c>
      <c r="K118" s="95" t="s">
        <v>13679</v>
      </c>
    </row>
    <row r="119" customFormat="false" ht="14.25" hidden="false" customHeight="true" outlineLevel="0" collapsed="false">
      <c r="A119" s="85"/>
      <c r="B119" s="86"/>
      <c r="C119" s="86"/>
      <c r="D119" s="88"/>
      <c r="E119" s="88"/>
      <c r="F119" s="88"/>
      <c r="G119" s="94" t="s">
        <v>13680</v>
      </c>
      <c r="H119" s="95" t="s">
        <v>13681</v>
      </c>
      <c r="I119" s="105" t="s">
        <v>40</v>
      </c>
      <c r="J119" s="95" t="s">
        <v>13682</v>
      </c>
      <c r="K119" s="95" t="s">
        <v>13683</v>
      </c>
    </row>
    <row r="120" customFormat="false" ht="14.25" hidden="false" customHeight="true" outlineLevel="0" collapsed="false">
      <c r="A120" s="85"/>
      <c r="B120" s="86"/>
      <c r="C120" s="86"/>
      <c r="D120" s="88" t="s">
        <v>13684</v>
      </c>
      <c r="E120" s="89" t="s">
        <v>13685</v>
      </c>
      <c r="F120" s="88" t="s">
        <v>38</v>
      </c>
      <c r="G120" s="94" t="s">
        <v>13686</v>
      </c>
      <c r="H120" s="95" t="s">
        <v>13687</v>
      </c>
      <c r="I120" s="105" t="s">
        <v>40</v>
      </c>
      <c r="J120" s="95" t="s">
        <v>13688</v>
      </c>
      <c r="K120" s="95" t="s">
        <v>13689</v>
      </c>
    </row>
    <row r="121" customFormat="false" ht="14.25" hidden="false" customHeight="true" outlineLevel="0" collapsed="false">
      <c r="A121" s="85"/>
      <c r="B121" s="86"/>
      <c r="C121" s="87"/>
      <c r="D121" s="87"/>
      <c r="E121" s="87"/>
      <c r="F121" s="87"/>
      <c r="G121" s="94" t="s">
        <v>13690</v>
      </c>
      <c r="H121" s="95" t="s">
        <v>13691</v>
      </c>
      <c r="I121" s="105" t="s">
        <v>40</v>
      </c>
      <c r="J121" s="95" t="s">
        <v>13692</v>
      </c>
      <c r="K121" s="95" t="s">
        <v>13693</v>
      </c>
    </row>
    <row r="122" customFormat="false" ht="14.25" hidden="false" customHeight="true" outlineLevel="0" collapsed="false">
      <c r="A122" s="85"/>
      <c r="B122" s="86"/>
      <c r="C122" s="87" t="s">
        <v>13694</v>
      </c>
      <c r="D122" s="88" t="s">
        <v>13695</v>
      </c>
      <c r="E122" s="89" t="s">
        <v>13696</v>
      </c>
      <c r="F122" s="88" t="s">
        <v>38</v>
      </c>
      <c r="G122" s="94" t="s">
        <v>13697</v>
      </c>
      <c r="H122" s="95" t="s">
        <v>13698</v>
      </c>
      <c r="I122" s="105" t="s">
        <v>40</v>
      </c>
      <c r="J122" s="95" t="s">
        <v>13699</v>
      </c>
      <c r="K122" s="95" t="s">
        <v>13700</v>
      </c>
    </row>
    <row r="123" customFormat="false" ht="14.25" hidden="false" customHeight="true" outlineLevel="0" collapsed="false">
      <c r="A123" s="85"/>
      <c r="B123" s="86"/>
      <c r="C123" s="86"/>
      <c r="D123" s="88"/>
      <c r="E123" s="88"/>
      <c r="F123" s="88"/>
      <c r="G123" s="94" t="s">
        <v>13701</v>
      </c>
      <c r="H123" s="95" t="s">
        <v>13702</v>
      </c>
      <c r="I123" s="105" t="s">
        <v>40</v>
      </c>
      <c r="J123" s="95" t="s">
        <v>13703</v>
      </c>
      <c r="K123" s="95" t="s">
        <v>13704</v>
      </c>
    </row>
    <row r="124" customFormat="false" ht="14.25" hidden="false" customHeight="true" outlineLevel="0" collapsed="false">
      <c r="A124" s="85"/>
      <c r="B124" s="86"/>
      <c r="C124" s="86"/>
      <c r="D124" s="88" t="s">
        <v>13705</v>
      </c>
      <c r="E124" s="89" t="s">
        <v>13706</v>
      </c>
      <c r="F124" s="88" t="s">
        <v>58</v>
      </c>
      <c r="G124" s="94" t="s">
        <v>13707</v>
      </c>
      <c r="H124" s="95" t="s">
        <v>13708</v>
      </c>
      <c r="I124" s="105" t="s">
        <v>40</v>
      </c>
      <c r="J124" s="95" t="s">
        <v>13709</v>
      </c>
      <c r="K124" s="95" t="s">
        <v>13710</v>
      </c>
    </row>
    <row r="125" customFormat="false" ht="14.25" hidden="false" customHeight="true" outlineLevel="0" collapsed="false">
      <c r="A125" s="85"/>
      <c r="B125" s="86"/>
      <c r="C125" s="86"/>
      <c r="D125" s="88"/>
      <c r="E125" s="88"/>
      <c r="F125" s="88"/>
      <c r="G125" s="94" t="s">
        <v>13711</v>
      </c>
      <c r="H125" s="95" t="s">
        <v>13712</v>
      </c>
      <c r="I125" s="105" t="s">
        <v>40</v>
      </c>
      <c r="J125" s="95" t="s">
        <v>13713</v>
      </c>
      <c r="K125" s="95" t="s">
        <v>13714</v>
      </c>
    </row>
    <row r="126" customFormat="false" ht="14.25" hidden="false" customHeight="true" outlineLevel="0" collapsed="false">
      <c r="A126" s="85"/>
      <c r="B126" s="86"/>
      <c r="C126" s="86"/>
      <c r="D126" s="88" t="s">
        <v>13715</v>
      </c>
      <c r="E126" s="89" t="s">
        <v>13716</v>
      </c>
      <c r="F126" s="88" t="s">
        <v>58</v>
      </c>
      <c r="G126" s="94" t="s">
        <v>13717</v>
      </c>
      <c r="H126" s="95" t="s">
        <v>13718</v>
      </c>
      <c r="I126" s="105" t="s">
        <v>40</v>
      </c>
      <c r="J126" s="95" t="s">
        <v>13719</v>
      </c>
      <c r="K126" s="95" t="s">
        <v>13720</v>
      </c>
    </row>
    <row r="127" customFormat="false" ht="14.25" hidden="false" customHeight="true" outlineLevel="0" collapsed="false">
      <c r="A127" s="85"/>
      <c r="B127" s="86"/>
      <c r="C127" s="86"/>
      <c r="D127" s="88"/>
      <c r="E127" s="88"/>
      <c r="F127" s="88"/>
      <c r="G127" s="94" t="s">
        <v>13721</v>
      </c>
      <c r="H127" s="95" t="s">
        <v>13722</v>
      </c>
      <c r="I127" s="105" t="s">
        <v>40</v>
      </c>
      <c r="J127" s="95" t="s">
        <v>13723</v>
      </c>
      <c r="K127" s="95" t="s">
        <v>13724</v>
      </c>
    </row>
    <row r="128" customFormat="false" ht="14.25" hidden="false" customHeight="true" outlineLevel="0" collapsed="false">
      <c r="A128" s="85"/>
      <c r="B128" s="86"/>
      <c r="C128" s="86"/>
      <c r="D128" s="88" t="s">
        <v>13725</v>
      </c>
      <c r="E128" s="89" t="s">
        <v>13726</v>
      </c>
      <c r="F128" s="88" t="s">
        <v>38</v>
      </c>
      <c r="G128" s="94" t="s">
        <v>13727</v>
      </c>
      <c r="H128" s="95" t="s">
        <v>13728</v>
      </c>
      <c r="I128" s="105" t="s">
        <v>40</v>
      </c>
      <c r="J128" s="95" t="s">
        <v>13729</v>
      </c>
      <c r="K128" s="95" t="s">
        <v>13730</v>
      </c>
    </row>
    <row r="129" customFormat="false" ht="14.25" hidden="false" customHeight="true" outlineLevel="0" collapsed="false">
      <c r="A129" s="85"/>
      <c r="B129" s="86"/>
      <c r="C129" s="86"/>
      <c r="D129" s="88"/>
      <c r="E129" s="88"/>
      <c r="F129" s="88"/>
      <c r="G129" s="94" t="s">
        <v>13731</v>
      </c>
      <c r="H129" s="95" t="s">
        <v>13732</v>
      </c>
      <c r="I129" s="105" t="s">
        <v>40</v>
      </c>
      <c r="J129" s="95" t="s">
        <v>13733</v>
      </c>
      <c r="K129" s="95" t="s">
        <v>13734</v>
      </c>
    </row>
    <row r="130" customFormat="false" ht="14.25" hidden="false" customHeight="true" outlineLevel="0" collapsed="false">
      <c r="A130" s="85"/>
      <c r="B130" s="86"/>
      <c r="C130" s="86"/>
      <c r="D130" s="88" t="s">
        <v>13735</v>
      </c>
      <c r="E130" s="89" t="s">
        <v>13736</v>
      </c>
      <c r="F130" s="88" t="s">
        <v>38</v>
      </c>
      <c r="G130" s="94" t="s">
        <v>13737</v>
      </c>
      <c r="H130" s="95" t="s">
        <v>13738</v>
      </c>
      <c r="I130" s="105" t="s">
        <v>40</v>
      </c>
      <c r="J130" s="95" t="s">
        <v>13739</v>
      </c>
      <c r="K130" s="95" t="s">
        <v>13740</v>
      </c>
    </row>
    <row r="131" customFormat="false" ht="14.25" hidden="false" customHeight="true" outlineLevel="0" collapsed="false">
      <c r="A131" s="85"/>
      <c r="B131" s="86"/>
      <c r="C131" s="87"/>
      <c r="D131" s="87"/>
      <c r="E131" s="87"/>
      <c r="F131" s="87"/>
      <c r="G131" s="94" t="s">
        <v>13741</v>
      </c>
      <c r="H131" s="95" t="s">
        <v>13742</v>
      </c>
      <c r="I131" s="105" t="s">
        <v>40</v>
      </c>
      <c r="J131" s="95" t="s">
        <v>13743</v>
      </c>
      <c r="K131" s="95" t="s">
        <v>13744</v>
      </c>
    </row>
    <row r="132" customFormat="false" ht="14.25" hidden="false" customHeight="true" outlineLevel="0" collapsed="false">
      <c r="A132" s="85"/>
      <c r="B132" s="86"/>
      <c r="C132" s="87" t="s">
        <v>13745</v>
      </c>
      <c r="D132" s="88" t="s">
        <v>13746</v>
      </c>
      <c r="E132" s="89" t="s">
        <v>13747</v>
      </c>
      <c r="F132" s="88" t="s">
        <v>38</v>
      </c>
      <c r="G132" s="94" t="s">
        <v>13748</v>
      </c>
      <c r="H132" s="95" t="s">
        <v>13749</v>
      </c>
      <c r="I132" s="105" t="s">
        <v>40</v>
      </c>
      <c r="J132" s="95" t="s">
        <v>13750</v>
      </c>
      <c r="K132" s="95" t="s">
        <v>13751</v>
      </c>
    </row>
    <row r="133" customFormat="false" ht="14.25" hidden="false" customHeight="true" outlineLevel="0" collapsed="false">
      <c r="A133" s="85"/>
      <c r="B133" s="86"/>
      <c r="C133" s="86"/>
      <c r="D133" s="88"/>
      <c r="E133" s="88"/>
      <c r="F133" s="88"/>
      <c r="G133" s="94" t="s">
        <v>13752</v>
      </c>
      <c r="H133" s="95" t="s">
        <v>13753</v>
      </c>
      <c r="I133" s="105" t="s">
        <v>40</v>
      </c>
      <c r="J133" s="95" t="s">
        <v>13754</v>
      </c>
      <c r="K133" s="95" t="s">
        <v>13755</v>
      </c>
    </row>
    <row r="134" customFormat="false" ht="14.25" hidden="false" customHeight="true" outlineLevel="0" collapsed="false">
      <c r="A134" s="85"/>
      <c r="B134" s="86"/>
      <c r="C134" s="86"/>
      <c r="D134" s="88" t="s">
        <v>13756</v>
      </c>
      <c r="E134" s="89" t="s">
        <v>13757</v>
      </c>
      <c r="F134" s="88" t="s">
        <v>38</v>
      </c>
      <c r="G134" s="94" t="s">
        <v>13758</v>
      </c>
      <c r="H134" s="95" t="s">
        <v>13759</v>
      </c>
      <c r="I134" s="105" t="s">
        <v>40</v>
      </c>
      <c r="J134" s="95" t="s">
        <v>13760</v>
      </c>
      <c r="K134" s="95" t="s">
        <v>13761</v>
      </c>
    </row>
    <row r="135" customFormat="false" ht="14.25" hidden="false" customHeight="true" outlineLevel="0" collapsed="false">
      <c r="A135" s="85"/>
      <c r="B135" s="86"/>
      <c r="C135" s="86"/>
      <c r="D135" s="88"/>
      <c r="E135" s="88"/>
      <c r="F135" s="88"/>
      <c r="G135" s="94" t="s">
        <v>13762</v>
      </c>
      <c r="H135" s="95" t="s">
        <v>13763</v>
      </c>
      <c r="I135" s="105" t="s">
        <v>40</v>
      </c>
      <c r="J135" s="95" t="s">
        <v>13764</v>
      </c>
      <c r="K135" s="95" t="s">
        <v>13765</v>
      </c>
    </row>
    <row r="136" customFormat="false" ht="14.25" hidden="false" customHeight="true" outlineLevel="0" collapsed="false">
      <c r="A136" s="85"/>
      <c r="B136" s="86"/>
      <c r="C136" s="86"/>
      <c r="D136" s="88" t="s">
        <v>13766</v>
      </c>
      <c r="E136" s="89" t="s">
        <v>13767</v>
      </c>
      <c r="F136" s="88" t="s">
        <v>48</v>
      </c>
      <c r="G136" s="94" t="s">
        <v>13768</v>
      </c>
      <c r="H136" s="95" t="s">
        <v>13769</v>
      </c>
      <c r="I136" s="105" t="s">
        <v>40</v>
      </c>
      <c r="J136" s="95" t="s">
        <v>13770</v>
      </c>
      <c r="K136" s="95" t="s">
        <v>13771</v>
      </c>
    </row>
    <row r="137" customFormat="false" ht="14.25" hidden="false" customHeight="true" outlineLevel="0" collapsed="false">
      <c r="A137" s="85"/>
      <c r="B137" s="86"/>
      <c r="C137" s="86"/>
      <c r="D137" s="88"/>
      <c r="E137" s="88"/>
      <c r="F137" s="88"/>
      <c r="G137" s="94" t="s">
        <v>13772</v>
      </c>
      <c r="H137" s="95" t="s">
        <v>13773</v>
      </c>
      <c r="I137" s="105" t="s">
        <v>40</v>
      </c>
      <c r="J137" s="95" t="s">
        <v>13774</v>
      </c>
      <c r="K137" s="95" t="s">
        <v>13775</v>
      </c>
    </row>
    <row r="138" customFormat="false" ht="14.25" hidden="false" customHeight="true" outlineLevel="0" collapsed="false">
      <c r="A138" s="85"/>
      <c r="B138" s="86"/>
      <c r="C138" s="86"/>
      <c r="D138" s="88" t="s">
        <v>13776</v>
      </c>
      <c r="E138" s="89" t="s">
        <v>13777</v>
      </c>
      <c r="F138" s="88" t="s">
        <v>48</v>
      </c>
      <c r="G138" s="94" t="s">
        <v>13778</v>
      </c>
      <c r="H138" s="95" t="s">
        <v>13779</v>
      </c>
      <c r="I138" s="105" t="s">
        <v>40</v>
      </c>
      <c r="J138" s="95" t="s">
        <v>13780</v>
      </c>
      <c r="K138" s="95" t="s">
        <v>13781</v>
      </c>
    </row>
    <row r="139" customFormat="false" ht="14.25" hidden="false" customHeight="true" outlineLevel="0" collapsed="false">
      <c r="A139" s="85"/>
      <c r="B139" s="86"/>
      <c r="C139" s="86"/>
      <c r="D139" s="88"/>
      <c r="E139" s="88"/>
      <c r="F139" s="88"/>
      <c r="G139" s="94" t="s">
        <v>13782</v>
      </c>
      <c r="H139" s="95" t="s">
        <v>13783</v>
      </c>
      <c r="I139" s="105" t="s">
        <v>40</v>
      </c>
      <c r="J139" s="95" t="s">
        <v>13784</v>
      </c>
      <c r="K139" s="95" t="s">
        <v>13785</v>
      </c>
    </row>
    <row r="140" customFormat="false" ht="14.25" hidden="false" customHeight="true" outlineLevel="0" collapsed="false">
      <c r="A140" s="85"/>
      <c r="B140" s="86"/>
      <c r="C140" s="86"/>
      <c r="D140" s="88" t="s">
        <v>13786</v>
      </c>
      <c r="E140" s="89" t="s">
        <v>13787</v>
      </c>
      <c r="F140" s="88" t="s">
        <v>48</v>
      </c>
      <c r="G140" s="94" t="s">
        <v>13788</v>
      </c>
      <c r="H140" s="95" t="s">
        <v>13789</v>
      </c>
      <c r="I140" s="105" t="s">
        <v>40</v>
      </c>
      <c r="J140" s="95" t="s">
        <v>13790</v>
      </c>
      <c r="K140" s="95" t="s">
        <v>13791</v>
      </c>
    </row>
    <row r="141" customFormat="false" ht="14.25" hidden="false" customHeight="true" outlineLevel="0" collapsed="false">
      <c r="A141" s="85"/>
      <c r="B141" s="86"/>
      <c r="C141" s="87"/>
      <c r="D141" s="87"/>
      <c r="E141" s="87"/>
      <c r="F141" s="87"/>
      <c r="G141" s="94" t="s">
        <v>13792</v>
      </c>
      <c r="H141" s="95" t="s">
        <v>13793</v>
      </c>
      <c r="I141" s="105" t="s">
        <v>40</v>
      </c>
      <c r="J141" s="95" t="s">
        <v>13794</v>
      </c>
      <c r="K141" s="95" t="s">
        <v>13795</v>
      </c>
    </row>
    <row r="142" customFormat="false" ht="14.25" hidden="false" customHeight="true" outlineLevel="0" collapsed="false">
      <c r="A142" s="85"/>
      <c r="B142" s="86"/>
      <c r="C142" s="87" t="s">
        <v>13796</v>
      </c>
      <c r="D142" s="88" t="s">
        <v>13797</v>
      </c>
      <c r="E142" s="89" t="s">
        <v>13798</v>
      </c>
      <c r="F142" s="88" t="s">
        <v>48</v>
      </c>
      <c r="G142" s="94" t="s">
        <v>13799</v>
      </c>
      <c r="H142" s="95" t="s">
        <v>13800</v>
      </c>
      <c r="I142" s="105" t="s">
        <v>40</v>
      </c>
      <c r="J142" s="95" t="s">
        <v>13801</v>
      </c>
      <c r="K142" s="95" t="s">
        <v>13802</v>
      </c>
    </row>
    <row r="143" customFormat="false" ht="14.25" hidden="false" customHeight="true" outlineLevel="0" collapsed="false">
      <c r="A143" s="85"/>
      <c r="B143" s="86"/>
      <c r="C143" s="86"/>
      <c r="D143" s="88"/>
      <c r="E143" s="88"/>
      <c r="F143" s="88"/>
      <c r="G143" s="94" t="s">
        <v>13803</v>
      </c>
      <c r="H143" s="95" t="s">
        <v>13804</v>
      </c>
      <c r="I143" s="105" t="s">
        <v>40</v>
      </c>
      <c r="J143" s="95" t="s">
        <v>13805</v>
      </c>
      <c r="K143" s="95" t="s">
        <v>13806</v>
      </c>
    </row>
    <row r="144" customFormat="false" ht="14.25" hidden="false" customHeight="true" outlineLevel="0" collapsed="false">
      <c r="A144" s="85"/>
      <c r="B144" s="86"/>
      <c r="C144" s="86"/>
      <c r="D144" s="88" t="s">
        <v>13807</v>
      </c>
      <c r="E144" s="89" t="s">
        <v>13808</v>
      </c>
      <c r="F144" s="88" t="s">
        <v>38</v>
      </c>
      <c r="G144" s="94" t="s">
        <v>13809</v>
      </c>
      <c r="H144" s="95" t="s">
        <v>13810</v>
      </c>
      <c r="I144" s="105" t="s">
        <v>40</v>
      </c>
      <c r="J144" s="95" t="s">
        <v>13811</v>
      </c>
      <c r="K144" s="95" t="s">
        <v>13812</v>
      </c>
    </row>
    <row r="145" customFormat="false" ht="14.25" hidden="false" customHeight="true" outlineLevel="0" collapsed="false">
      <c r="A145" s="85"/>
      <c r="B145" s="86"/>
      <c r="C145" s="86"/>
      <c r="D145" s="88"/>
      <c r="E145" s="88"/>
      <c r="F145" s="88"/>
      <c r="G145" s="94" t="s">
        <v>13813</v>
      </c>
      <c r="H145" s="95" t="s">
        <v>13814</v>
      </c>
      <c r="I145" s="105" t="s">
        <v>40</v>
      </c>
      <c r="J145" s="95" t="s">
        <v>13815</v>
      </c>
      <c r="K145" s="95" t="s">
        <v>13816</v>
      </c>
    </row>
    <row r="146" customFormat="false" ht="14.25" hidden="false" customHeight="true" outlineLevel="0" collapsed="false">
      <c r="A146" s="85"/>
      <c r="B146" s="86"/>
      <c r="C146" s="86"/>
      <c r="D146" s="88" t="s">
        <v>13817</v>
      </c>
      <c r="E146" s="89" t="s">
        <v>13818</v>
      </c>
      <c r="F146" s="88" t="s">
        <v>48</v>
      </c>
      <c r="G146" s="94" t="s">
        <v>13819</v>
      </c>
      <c r="H146" s="95" t="s">
        <v>13820</v>
      </c>
      <c r="I146" s="105" t="s">
        <v>40</v>
      </c>
      <c r="J146" s="95" t="s">
        <v>13821</v>
      </c>
      <c r="K146" s="95" t="s">
        <v>13822</v>
      </c>
    </row>
    <row r="147" customFormat="false" ht="14.25" hidden="false" customHeight="true" outlineLevel="0" collapsed="false">
      <c r="A147" s="85"/>
      <c r="B147" s="86"/>
      <c r="C147" s="86"/>
      <c r="D147" s="88"/>
      <c r="E147" s="88"/>
      <c r="F147" s="88"/>
      <c r="G147" s="94" t="s">
        <v>13823</v>
      </c>
      <c r="H147" s="95" t="s">
        <v>13824</v>
      </c>
      <c r="I147" s="105" t="s">
        <v>40</v>
      </c>
      <c r="J147" s="95" t="s">
        <v>13825</v>
      </c>
      <c r="K147" s="95" t="s">
        <v>13826</v>
      </c>
    </row>
    <row r="148" customFormat="false" ht="14.25" hidden="false" customHeight="true" outlineLevel="0" collapsed="false">
      <c r="A148" s="85"/>
      <c r="B148" s="86"/>
      <c r="C148" s="86"/>
      <c r="D148" s="88" t="s">
        <v>13827</v>
      </c>
      <c r="E148" s="89" t="s">
        <v>13828</v>
      </c>
      <c r="F148" s="88" t="s">
        <v>48</v>
      </c>
      <c r="G148" s="94" t="s">
        <v>13829</v>
      </c>
      <c r="H148" s="95" t="s">
        <v>13830</v>
      </c>
      <c r="I148" s="105" t="s">
        <v>40</v>
      </c>
      <c r="J148" s="95" t="s">
        <v>13831</v>
      </c>
      <c r="K148" s="95" t="s">
        <v>13832</v>
      </c>
    </row>
    <row r="149" customFormat="false" ht="14.25" hidden="false" customHeight="true" outlineLevel="0" collapsed="false">
      <c r="A149" s="85"/>
      <c r="B149" s="86"/>
      <c r="C149" s="86"/>
      <c r="D149" s="88"/>
      <c r="E149" s="88"/>
      <c r="F149" s="88"/>
      <c r="G149" s="94" t="s">
        <v>13833</v>
      </c>
      <c r="H149" s="95" t="s">
        <v>13834</v>
      </c>
      <c r="I149" s="105" t="s">
        <v>40</v>
      </c>
      <c r="J149" s="95" t="s">
        <v>13835</v>
      </c>
      <c r="K149" s="95" t="s">
        <v>13836</v>
      </c>
    </row>
    <row r="150" customFormat="false" ht="14.25" hidden="false" customHeight="true" outlineLevel="0" collapsed="false">
      <c r="A150" s="85"/>
      <c r="B150" s="86"/>
      <c r="C150" s="86"/>
      <c r="D150" s="88" t="s">
        <v>13837</v>
      </c>
      <c r="E150" s="89" t="s">
        <v>13838</v>
      </c>
      <c r="F150" s="88" t="s">
        <v>58</v>
      </c>
      <c r="G150" s="94" t="s">
        <v>13839</v>
      </c>
      <c r="H150" s="95" t="s">
        <v>13840</v>
      </c>
      <c r="I150" s="105" t="s">
        <v>40</v>
      </c>
      <c r="J150" s="95" t="s">
        <v>13841</v>
      </c>
      <c r="K150" s="95" t="s">
        <v>13842</v>
      </c>
    </row>
    <row r="151" customFormat="false" ht="14.25" hidden="false" customHeight="true" outlineLevel="0" collapsed="false">
      <c r="A151" s="85"/>
      <c r="B151" s="86"/>
      <c r="C151" s="87"/>
      <c r="D151" s="87"/>
      <c r="E151" s="87"/>
      <c r="F151" s="87"/>
      <c r="G151" s="94" t="s">
        <v>13843</v>
      </c>
      <c r="H151" s="95" t="s">
        <v>13844</v>
      </c>
      <c r="I151" s="105" t="s">
        <v>40</v>
      </c>
      <c r="J151" s="95" t="s">
        <v>13845</v>
      </c>
      <c r="K151" s="95" t="s">
        <v>13846</v>
      </c>
    </row>
    <row r="152" customFormat="false" ht="14.25" hidden="false" customHeight="true" outlineLevel="0" collapsed="false">
      <c r="A152" s="85"/>
      <c r="B152" s="86"/>
      <c r="C152" s="87" t="s">
        <v>13847</v>
      </c>
      <c r="D152" s="88" t="s">
        <v>13848</v>
      </c>
      <c r="E152" s="89" t="s">
        <v>13849</v>
      </c>
      <c r="F152" s="88" t="s">
        <v>38</v>
      </c>
      <c r="G152" s="94" t="s">
        <v>13850</v>
      </c>
      <c r="H152" s="95" t="s">
        <v>13851</v>
      </c>
      <c r="I152" s="105" t="s">
        <v>40</v>
      </c>
      <c r="J152" s="95" t="s">
        <v>13851</v>
      </c>
      <c r="K152" s="95" t="s">
        <v>13852</v>
      </c>
    </row>
    <row r="153" customFormat="false" ht="14.25" hidden="false" customHeight="true" outlineLevel="0" collapsed="false">
      <c r="A153" s="85"/>
      <c r="B153" s="86"/>
      <c r="C153" s="86"/>
      <c r="D153" s="88"/>
      <c r="E153" s="88"/>
      <c r="F153" s="88"/>
      <c r="G153" s="94" t="s">
        <v>13853</v>
      </c>
      <c r="H153" s="95" t="s">
        <v>13854</v>
      </c>
      <c r="I153" s="105" t="s">
        <v>40</v>
      </c>
      <c r="J153" s="95" t="s">
        <v>13854</v>
      </c>
      <c r="K153" s="95" t="s">
        <v>13855</v>
      </c>
    </row>
    <row r="154" customFormat="false" ht="14.25" hidden="false" customHeight="true" outlineLevel="0" collapsed="false">
      <c r="A154" s="85"/>
      <c r="B154" s="86"/>
      <c r="C154" s="86"/>
      <c r="D154" s="88" t="s">
        <v>13856</v>
      </c>
      <c r="E154" s="89" t="s">
        <v>13857</v>
      </c>
      <c r="F154" s="88" t="s">
        <v>38</v>
      </c>
      <c r="G154" s="94" t="s">
        <v>13858</v>
      </c>
      <c r="H154" s="95" t="s">
        <v>13859</v>
      </c>
      <c r="I154" s="105" t="s">
        <v>40</v>
      </c>
      <c r="J154" s="95" t="s">
        <v>13859</v>
      </c>
      <c r="K154" s="95" t="s">
        <v>13860</v>
      </c>
    </row>
    <row r="155" customFormat="false" ht="14.25" hidden="false" customHeight="true" outlineLevel="0" collapsed="false">
      <c r="A155" s="85"/>
      <c r="B155" s="86"/>
      <c r="C155" s="86"/>
      <c r="D155" s="88"/>
      <c r="E155" s="88"/>
      <c r="F155" s="88"/>
      <c r="G155" s="94" t="s">
        <v>13861</v>
      </c>
      <c r="H155" s="95" t="s">
        <v>13862</v>
      </c>
      <c r="I155" s="105" t="s">
        <v>40</v>
      </c>
      <c r="J155" s="95" t="s">
        <v>13862</v>
      </c>
      <c r="K155" s="95" t="s">
        <v>13863</v>
      </c>
    </row>
    <row r="156" customFormat="false" ht="14.25" hidden="false" customHeight="true" outlineLevel="0" collapsed="false">
      <c r="A156" s="85"/>
      <c r="B156" s="86"/>
      <c r="C156" s="86"/>
      <c r="D156" s="88" t="s">
        <v>13864</v>
      </c>
      <c r="E156" s="89" t="s">
        <v>13865</v>
      </c>
      <c r="F156" s="88" t="s">
        <v>38</v>
      </c>
      <c r="G156" s="94" t="s">
        <v>13866</v>
      </c>
      <c r="H156" s="95" t="s">
        <v>13867</v>
      </c>
      <c r="I156" s="105" t="s">
        <v>40</v>
      </c>
      <c r="J156" s="95" t="s">
        <v>13867</v>
      </c>
      <c r="K156" s="95" t="s">
        <v>13868</v>
      </c>
    </row>
    <row r="157" customFormat="false" ht="14.25" hidden="false" customHeight="true" outlineLevel="0" collapsed="false">
      <c r="A157" s="85"/>
      <c r="B157" s="86"/>
      <c r="C157" s="86"/>
      <c r="D157" s="88"/>
      <c r="E157" s="88"/>
      <c r="F157" s="88"/>
      <c r="G157" s="94" t="s">
        <v>13869</v>
      </c>
      <c r="H157" s="95" t="s">
        <v>13870</v>
      </c>
      <c r="I157" s="105" t="s">
        <v>40</v>
      </c>
      <c r="J157" s="95" t="s">
        <v>13870</v>
      </c>
      <c r="K157" s="95" t="s">
        <v>13871</v>
      </c>
    </row>
    <row r="158" customFormat="false" ht="14.25" hidden="false" customHeight="true" outlineLevel="0" collapsed="false">
      <c r="A158" s="85"/>
      <c r="B158" s="86"/>
      <c r="C158" s="86"/>
      <c r="D158" s="88" t="s">
        <v>13872</v>
      </c>
      <c r="E158" s="89" t="s">
        <v>13873</v>
      </c>
      <c r="F158" s="88" t="s">
        <v>38</v>
      </c>
      <c r="G158" s="94" t="s">
        <v>13874</v>
      </c>
      <c r="H158" s="95" t="s">
        <v>13875</v>
      </c>
      <c r="I158" s="105" t="s">
        <v>40</v>
      </c>
      <c r="J158" s="95" t="s">
        <v>13875</v>
      </c>
      <c r="K158" s="95" t="s">
        <v>13876</v>
      </c>
    </row>
    <row r="159" customFormat="false" ht="14.25" hidden="false" customHeight="true" outlineLevel="0" collapsed="false">
      <c r="A159" s="85"/>
      <c r="B159" s="86"/>
      <c r="C159" s="86"/>
      <c r="D159" s="88"/>
      <c r="E159" s="88"/>
      <c r="F159" s="88"/>
      <c r="G159" s="94" t="s">
        <v>13877</v>
      </c>
      <c r="H159" s="95" t="s">
        <v>13878</v>
      </c>
      <c r="I159" s="105" t="s">
        <v>40</v>
      </c>
      <c r="J159" s="95" t="s">
        <v>13878</v>
      </c>
      <c r="K159" s="95" t="s">
        <v>13879</v>
      </c>
    </row>
    <row r="160" customFormat="false" ht="14.25" hidden="false" customHeight="true" outlineLevel="0" collapsed="false">
      <c r="A160" s="85"/>
      <c r="B160" s="86"/>
      <c r="C160" s="86"/>
      <c r="D160" s="88" t="s">
        <v>13880</v>
      </c>
      <c r="E160" s="89" t="s">
        <v>13881</v>
      </c>
      <c r="F160" s="88" t="s">
        <v>38</v>
      </c>
      <c r="G160" s="94" t="s">
        <v>13882</v>
      </c>
      <c r="H160" s="95" t="s">
        <v>13883</v>
      </c>
      <c r="I160" s="105" t="s">
        <v>40</v>
      </c>
      <c r="J160" s="95" t="s">
        <v>13883</v>
      </c>
      <c r="K160" s="95" t="s">
        <v>13884</v>
      </c>
    </row>
    <row r="161" customFormat="false" ht="14.25" hidden="false" customHeight="true" outlineLevel="0" collapsed="false">
      <c r="A161" s="85"/>
      <c r="B161" s="86"/>
      <c r="C161" s="87"/>
      <c r="D161" s="87"/>
      <c r="E161" s="87"/>
      <c r="F161" s="87"/>
      <c r="G161" s="94" t="s">
        <v>13885</v>
      </c>
      <c r="H161" s="95" t="s">
        <v>13886</v>
      </c>
      <c r="I161" s="105" t="s">
        <v>40</v>
      </c>
      <c r="J161" s="95" t="s">
        <v>13886</v>
      </c>
      <c r="K161" s="95" t="s">
        <v>13887</v>
      </c>
    </row>
    <row r="162" customFormat="false" ht="14.25" hidden="false" customHeight="true" outlineLevel="0" collapsed="false">
      <c r="A162" s="85"/>
      <c r="B162" s="86"/>
      <c r="C162" s="87" t="s">
        <v>13888</v>
      </c>
      <c r="D162" s="88" t="s">
        <v>13889</v>
      </c>
      <c r="E162" s="89" t="s">
        <v>13890</v>
      </c>
      <c r="F162" s="88" t="s">
        <v>48</v>
      </c>
      <c r="G162" s="94" t="s">
        <v>13891</v>
      </c>
      <c r="H162" s="95" t="s">
        <v>13892</v>
      </c>
      <c r="I162" s="105" t="s">
        <v>40</v>
      </c>
      <c r="J162" s="95" t="s">
        <v>13892</v>
      </c>
      <c r="K162" s="95" t="s">
        <v>13893</v>
      </c>
    </row>
    <row r="163" customFormat="false" ht="14.25" hidden="false" customHeight="true" outlineLevel="0" collapsed="false">
      <c r="A163" s="85"/>
      <c r="B163" s="86"/>
      <c r="C163" s="86"/>
      <c r="D163" s="88"/>
      <c r="E163" s="88"/>
      <c r="F163" s="88"/>
      <c r="G163" s="94" t="s">
        <v>13894</v>
      </c>
      <c r="H163" s="95" t="s">
        <v>13895</v>
      </c>
      <c r="I163" s="105" t="s">
        <v>40</v>
      </c>
      <c r="J163" s="95" t="s">
        <v>13895</v>
      </c>
      <c r="K163" s="95" t="s">
        <v>13896</v>
      </c>
    </row>
    <row r="164" customFormat="false" ht="14.25" hidden="false" customHeight="true" outlineLevel="0" collapsed="false">
      <c r="A164" s="85"/>
      <c r="B164" s="86"/>
      <c r="C164" s="86"/>
      <c r="D164" s="88" t="s">
        <v>13897</v>
      </c>
      <c r="E164" s="89" t="s">
        <v>13898</v>
      </c>
      <c r="F164" s="88" t="s">
        <v>38</v>
      </c>
      <c r="G164" s="94" t="s">
        <v>13899</v>
      </c>
      <c r="H164" s="95" t="s">
        <v>13900</v>
      </c>
      <c r="I164" s="105" t="s">
        <v>40</v>
      </c>
      <c r="J164" s="95" t="s">
        <v>13900</v>
      </c>
      <c r="K164" s="95" t="s">
        <v>13901</v>
      </c>
    </row>
    <row r="165" customFormat="false" ht="14.25" hidden="false" customHeight="true" outlineLevel="0" collapsed="false">
      <c r="A165" s="85"/>
      <c r="B165" s="86"/>
      <c r="C165" s="86"/>
      <c r="D165" s="88"/>
      <c r="E165" s="88"/>
      <c r="F165" s="88"/>
      <c r="G165" s="94" t="s">
        <v>13902</v>
      </c>
      <c r="H165" s="95" t="s">
        <v>13903</v>
      </c>
      <c r="I165" s="105" t="s">
        <v>40</v>
      </c>
      <c r="J165" s="95" t="s">
        <v>13903</v>
      </c>
      <c r="K165" s="95" t="s">
        <v>13904</v>
      </c>
    </row>
    <row r="166" customFormat="false" ht="14.25" hidden="false" customHeight="true" outlineLevel="0" collapsed="false">
      <c r="A166" s="85"/>
      <c r="B166" s="86"/>
      <c r="C166" s="86"/>
      <c r="D166" s="88" t="s">
        <v>13905</v>
      </c>
      <c r="E166" s="89" t="s">
        <v>13906</v>
      </c>
      <c r="F166" s="88" t="s">
        <v>38</v>
      </c>
      <c r="G166" s="94" t="s">
        <v>13907</v>
      </c>
      <c r="H166" s="95" t="s">
        <v>13908</v>
      </c>
      <c r="I166" s="105" t="s">
        <v>40</v>
      </c>
      <c r="J166" s="95" t="s">
        <v>13908</v>
      </c>
      <c r="K166" s="95" t="s">
        <v>13909</v>
      </c>
    </row>
    <row r="167" customFormat="false" ht="14.25" hidden="false" customHeight="true" outlineLevel="0" collapsed="false">
      <c r="A167" s="85"/>
      <c r="B167" s="86"/>
      <c r="C167" s="86"/>
      <c r="D167" s="88"/>
      <c r="E167" s="88"/>
      <c r="F167" s="88"/>
      <c r="G167" s="94" t="s">
        <v>13910</v>
      </c>
      <c r="H167" s="95" t="s">
        <v>13911</v>
      </c>
      <c r="I167" s="105" t="s">
        <v>40</v>
      </c>
      <c r="J167" s="95" t="s">
        <v>13911</v>
      </c>
      <c r="K167" s="95" t="s">
        <v>13912</v>
      </c>
    </row>
    <row r="168" customFormat="false" ht="14.25" hidden="false" customHeight="true" outlineLevel="0" collapsed="false">
      <c r="A168" s="85"/>
      <c r="B168" s="86"/>
      <c r="C168" s="86"/>
      <c r="D168" s="88" t="s">
        <v>13913</v>
      </c>
      <c r="E168" s="89" t="s">
        <v>13914</v>
      </c>
      <c r="F168" s="88" t="s">
        <v>38</v>
      </c>
      <c r="G168" s="94" t="s">
        <v>13915</v>
      </c>
      <c r="H168" s="95" t="s">
        <v>13916</v>
      </c>
      <c r="I168" s="105" t="s">
        <v>40</v>
      </c>
      <c r="J168" s="95" t="s">
        <v>13916</v>
      </c>
      <c r="K168" s="95" t="s">
        <v>13917</v>
      </c>
    </row>
    <row r="169" customFormat="false" ht="14.25" hidden="false" customHeight="true" outlineLevel="0" collapsed="false">
      <c r="A169" s="85"/>
      <c r="B169" s="86"/>
      <c r="C169" s="86"/>
      <c r="D169" s="88"/>
      <c r="E169" s="88"/>
      <c r="F169" s="88"/>
      <c r="G169" s="94" t="s">
        <v>13918</v>
      </c>
      <c r="H169" s="95" t="s">
        <v>13919</v>
      </c>
      <c r="I169" s="105" t="s">
        <v>40</v>
      </c>
      <c r="J169" s="95" t="s">
        <v>13919</v>
      </c>
      <c r="K169" s="95" t="s">
        <v>13920</v>
      </c>
    </row>
    <row r="170" customFormat="false" ht="14.25" hidden="false" customHeight="true" outlineLevel="0" collapsed="false">
      <c r="A170" s="85"/>
      <c r="B170" s="86"/>
      <c r="C170" s="87"/>
      <c r="D170" s="88" t="s">
        <v>13921</v>
      </c>
      <c r="E170" s="89" t="s">
        <v>13922</v>
      </c>
      <c r="F170" s="88" t="s">
        <v>38</v>
      </c>
      <c r="G170" s="94" t="s">
        <v>13923</v>
      </c>
      <c r="H170" s="95" t="s">
        <v>13924</v>
      </c>
      <c r="I170" s="105" t="s">
        <v>40</v>
      </c>
      <c r="J170" s="95" t="s">
        <v>13924</v>
      </c>
      <c r="K170" s="95" t="s">
        <v>13925</v>
      </c>
    </row>
    <row r="171" customFormat="false" ht="14.25" hidden="false" customHeight="true" outlineLevel="0" collapsed="false">
      <c r="A171" s="85"/>
      <c r="B171" s="107"/>
      <c r="C171" s="87"/>
      <c r="D171" s="87"/>
      <c r="E171" s="87"/>
      <c r="F171" s="87"/>
      <c r="G171" s="94" t="s">
        <v>13926</v>
      </c>
      <c r="H171" s="95" t="s">
        <v>13927</v>
      </c>
      <c r="I171" s="105" t="s">
        <v>40</v>
      </c>
      <c r="J171" s="95" t="s">
        <v>13927</v>
      </c>
      <c r="K171" s="95" t="s">
        <v>13928</v>
      </c>
    </row>
    <row r="172" customFormat="false" ht="14.25" hidden="false" customHeight="true" outlineLevel="0" collapsed="false">
      <c r="A172" s="85"/>
      <c r="B172" s="86" t="s">
        <v>13929</v>
      </c>
      <c r="C172" s="87" t="s">
        <v>13930</v>
      </c>
      <c r="D172" s="88" t="s">
        <v>13931</v>
      </c>
      <c r="E172" s="89" t="s">
        <v>13932</v>
      </c>
      <c r="F172" s="88" t="s">
        <v>38</v>
      </c>
      <c r="G172" s="94" t="s">
        <v>13933</v>
      </c>
      <c r="H172" s="95" t="s">
        <v>13934</v>
      </c>
      <c r="I172" s="105" t="s">
        <v>40</v>
      </c>
      <c r="J172" s="95" t="s">
        <v>13934</v>
      </c>
      <c r="K172" s="95" t="s">
        <v>13935</v>
      </c>
    </row>
    <row r="173" customFormat="false" ht="14.25" hidden="false" customHeight="true" outlineLevel="0" collapsed="false">
      <c r="A173" s="85"/>
      <c r="B173" s="86"/>
      <c r="C173" s="86"/>
      <c r="D173" s="88"/>
      <c r="E173" s="88"/>
      <c r="F173" s="88"/>
      <c r="G173" s="94" t="s">
        <v>13936</v>
      </c>
      <c r="H173" s="95" t="s">
        <v>13937</v>
      </c>
      <c r="I173" s="105" t="s">
        <v>40</v>
      </c>
      <c r="J173" s="95" t="s">
        <v>13937</v>
      </c>
      <c r="K173" s="95" t="s">
        <v>13938</v>
      </c>
    </row>
    <row r="174" customFormat="false" ht="14.25" hidden="false" customHeight="true" outlineLevel="0" collapsed="false">
      <c r="A174" s="85"/>
      <c r="B174" s="86"/>
      <c r="C174" s="86"/>
      <c r="D174" s="88" t="s">
        <v>13939</v>
      </c>
      <c r="E174" s="89" t="s">
        <v>13940</v>
      </c>
      <c r="F174" s="88" t="s">
        <v>38</v>
      </c>
      <c r="G174" s="94" t="s">
        <v>13941</v>
      </c>
      <c r="H174" s="95" t="s">
        <v>13942</v>
      </c>
      <c r="I174" s="105" t="s">
        <v>40</v>
      </c>
      <c r="J174" s="95" t="s">
        <v>13942</v>
      </c>
      <c r="K174" s="95" t="s">
        <v>13943</v>
      </c>
    </row>
    <row r="175" customFormat="false" ht="14.25" hidden="false" customHeight="true" outlineLevel="0" collapsed="false">
      <c r="A175" s="85"/>
      <c r="B175" s="86"/>
      <c r="C175" s="86"/>
      <c r="D175" s="88"/>
      <c r="E175" s="88"/>
      <c r="F175" s="88"/>
      <c r="G175" s="94" t="s">
        <v>13944</v>
      </c>
      <c r="H175" s="95" t="s">
        <v>13945</v>
      </c>
      <c r="I175" s="105" t="s">
        <v>40</v>
      </c>
      <c r="J175" s="95" t="s">
        <v>13945</v>
      </c>
      <c r="K175" s="95" t="s">
        <v>13946</v>
      </c>
    </row>
    <row r="176" customFormat="false" ht="14.25" hidden="false" customHeight="true" outlineLevel="0" collapsed="false">
      <c r="A176" s="85"/>
      <c r="B176" s="86"/>
      <c r="C176" s="86"/>
      <c r="D176" s="88" t="s">
        <v>13947</v>
      </c>
      <c r="E176" s="89" t="s">
        <v>13948</v>
      </c>
      <c r="F176" s="88" t="s">
        <v>38</v>
      </c>
      <c r="G176" s="94" t="s">
        <v>13949</v>
      </c>
      <c r="H176" s="95" t="s">
        <v>13950</v>
      </c>
      <c r="I176" s="105" t="s">
        <v>40</v>
      </c>
      <c r="J176" s="95" t="s">
        <v>13950</v>
      </c>
      <c r="K176" s="95" t="s">
        <v>13951</v>
      </c>
    </row>
    <row r="177" customFormat="false" ht="14.25" hidden="false" customHeight="true" outlineLevel="0" collapsed="false">
      <c r="A177" s="85"/>
      <c r="B177" s="86"/>
      <c r="C177" s="86"/>
      <c r="D177" s="88"/>
      <c r="E177" s="88"/>
      <c r="F177" s="88"/>
      <c r="G177" s="94" t="s">
        <v>13952</v>
      </c>
      <c r="H177" s="95" t="s">
        <v>13953</v>
      </c>
      <c r="I177" s="105" t="s">
        <v>40</v>
      </c>
      <c r="J177" s="95" t="s">
        <v>13953</v>
      </c>
      <c r="K177" s="95" t="s">
        <v>13954</v>
      </c>
    </row>
    <row r="178" customFormat="false" ht="14.25" hidden="false" customHeight="true" outlineLevel="0" collapsed="false">
      <c r="A178" s="85"/>
      <c r="B178" s="86"/>
      <c r="C178" s="86"/>
      <c r="D178" s="88" t="s">
        <v>13955</v>
      </c>
      <c r="E178" s="89" t="s">
        <v>13956</v>
      </c>
      <c r="F178" s="88" t="s">
        <v>38</v>
      </c>
      <c r="G178" s="94" t="s">
        <v>13957</v>
      </c>
      <c r="H178" s="95" t="s">
        <v>13958</v>
      </c>
      <c r="I178" s="105" t="s">
        <v>40</v>
      </c>
      <c r="J178" s="95" t="s">
        <v>13958</v>
      </c>
      <c r="K178" s="95" t="s">
        <v>13959</v>
      </c>
    </row>
    <row r="179" customFormat="false" ht="14.25" hidden="false" customHeight="true" outlineLevel="0" collapsed="false">
      <c r="A179" s="85"/>
      <c r="B179" s="86"/>
      <c r="C179" s="86"/>
      <c r="D179" s="88"/>
      <c r="E179" s="88"/>
      <c r="F179" s="88"/>
      <c r="G179" s="94" t="s">
        <v>13960</v>
      </c>
      <c r="H179" s="95" t="s">
        <v>13961</v>
      </c>
      <c r="I179" s="105" t="s">
        <v>40</v>
      </c>
      <c r="J179" s="95" t="s">
        <v>13961</v>
      </c>
      <c r="K179" s="95" t="s">
        <v>13962</v>
      </c>
    </row>
    <row r="180" customFormat="false" ht="14.25" hidden="false" customHeight="true" outlineLevel="0" collapsed="false">
      <c r="A180" s="85"/>
      <c r="B180" s="86"/>
      <c r="C180" s="86"/>
      <c r="D180" s="88" t="s">
        <v>13963</v>
      </c>
      <c r="E180" s="89" t="s">
        <v>13964</v>
      </c>
      <c r="F180" s="88" t="s">
        <v>38</v>
      </c>
      <c r="G180" s="94" t="s">
        <v>13965</v>
      </c>
      <c r="H180" s="95" t="s">
        <v>13966</v>
      </c>
      <c r="I180" s="105" t="s">
        <v>40</v>
      </c>
      <c r="J180" s="95" t="s">
        <v>13966</v>
      </c>
      <c r="K180" s="95" t="s">
        <v>13967</v>
      </c>
    </row>
    <row r="181" customFormat="false" ht="14.25" hidden="false" customHeight="true" outlineLevel="0" collapsed="false">
      <c r="A181" s="85"/>
      <c r="B181" s="86"/>
      <c r="C181" s="87"/>
      <c r="D181" s="87"/>
      <c r="E181" s="87"/>
      <c r="F181" s="87"/>
      <c r="G181" s="94" t="s">
        <v>13968</v>
      </c>
      <c r="H181" s="95" t="s">
        <v>13969</v>
      </c>
      <c r="I181" s="105" t="s">
        <v>40</v>
      </c>
      <c r="J181" s="95" t="s">
        <v>13969</v>
      </c>
      <c r="K181" s="95" t="s">
        <v>13970</v>
      </c>
    </row>
    <row r="182" customFormat="false" ht="14.25" hidden="false" customHeight="true" outlineLevel="0" collapsed="false">
      <c r="A182" s="85"/>
      <c r="B182" s="86"/>
      <c r="C182" s="87" t="s">
        <v>13971</v>
      </c>
      <c r="D182" s="88" t="s">
        <v>13972</v>
      </c>
      <c r="E182" s="89" t="s">
        <v>13973</v>
      </c>
      <c r="F182" s="88" t="s">
        <v>38</v>
      </c>
      <c r="G182" s="94" t="s">
        <v>13974</v>
      </c>
      <c r="H182" s="95" t="s">
        <v>13975</v>
      </c>
      <c r="I182" s="105" t="s">
        <v>40</v>
      </c>
      <c r="J182" s="95" t="s">
        <v>13976</v>
      </c>
      <c r="K182" s="95" t="s">
        <v>13977</v>
      </c>
    </row>
    <row r="183" customFormat="false" ht="14.25" hidden="false" customHeight="true" outlineLevel="0" collapsed="false">
      <c r="A183" s="85"/>
      <c r="B183" s="86"/>
      <c r="C183" s="86"/>
      <c r="D183" s="88"/>
      <c r="E183" s="88"/>
      <c r="F183" s="88"/>
      <c r="G183" s="94" t="s">
        <v>13978</v>
      </c>
      <c r="H183" s="95" t="s">
        <v>13979</v>
      </c>
      <c r="I183" s="105" t="s">
        <v>40</v>
      </c>
      <c r="J183" s="95" t="s">
        <v>13980</v>
      </c>
      <c r="K183" s="95" t="s">
        <v>13981</v>
      </c>
    </row>
    <row r="184" customFormat="false" ht="14.25" hidden="false" customHeight="true" outlineLevel="0" collapsed="false">
      <c r="A184" s="85"/>
      <c r="B184" s="86"/>
      <c r="C184" s="86"/>
      <c r="D184" s="88" t="s">
        <v>13982</v>
      </c>
      <c r="E184" s="89" t="s">
        <v>13983</v>
      </c>
      <c r="F184" s="88" t="s">
        <v>48</v>
      </c>
      <c r="G184" s="94" t="s">
        <v>13984</v>
      </c>
      <c r="H184" s="95" t="s">
        <v>13985</v>
      </c>
      <c r="I184" s="105" t="s">
        <v>40</v>
      </c>
      <c r="J184" s="95" t="s">
        <v>13986</v>
      </c>
      <c r="K184" s="95" t="s">
        <v>13987</v>
      </c>
    </row>
    <row r="185" customFormat="false" ht="14.25" hidden="false" customHeight="true" outlineLevel="0" collapsed="false">
      <c r="A185" s="85"/>
      <c r="B185" s="86"/>
      <c r="C185" s="86"/>
      <c r="D185" s="88"/>
      <c r="E185" s="88"/>
      <c r="F185" s="88"/>
      <c r="G185" s="94" t="s">
        <v>13988</v>
      </c>
      <c r="H185" s="95" t="s">
        <v>13989</v>
      </c>
      <c r="I185" s="105" t="s">
        <v>40</v>
      </c>
      <c r="J185" s="95" t="s">
        <v>13990</v>
      </c>
      <c r="K185" s="95" t="s">
        <v>13991</v>
      </c>
    </row>
    <row r="186" customFormat="false" ht="14.25" hidden="false" customHeight="true" outlineLevel="0" collapsed="false">
      <c r="A186" s="85"/>
      <c r="B186" s="86"/>
      <c r="C186" s="86"/>
      <c r="D186" s="88" t="s">
        <v>13992</v>
      </c>
      <c r="E186" s="89" t="s">
        <v>13993</v>
      </c>
      <c r="F186" s="88" t="s">
        <v>38</v>
      </c>
      <c r="G186" s="94" t="s">
        <v>13994</v>
      </c>
      <c r="H186" s="95" t="s">
        <v>13995</v>
      </c>
      <c r="I186" s="105" t="s">
        <v>40</v>
      </c>
      <c r="J186" s="95" t="s">
        <v>13996</v>
      </c>
      <c r="K186" s="95" t="s">
        <v>13997</v>
      </c>
    </row>
    <row r="187" customFormat="false" ht="14.25" hidden="false" customHeight="true" outlineLevel="0" collapsed="false">
      <c r="A187" s="85"/>
      <c r="B187" s="86"/>
      <c r="C187" s="86"/>
      <c r="D187" s="88"/>
      <c r="E187" s="88"/>
      <c r="F187" s="88"/>
      <c r="G187" s="94" t="s">
        <v>13998</v>
      </c>
      <c r="H187" s="95" t="s">
        <v>13999</v>
      </c>
      <c r="I187" s="105" t="s">
        <v>40</v>
      </c>
      <c r="J187" s="95" t="s">
        <v>14000</v>
      </c>
      <c r="K187" s="95" t="s">
        <v>14001</v>
      </c>
    </row>
    <row r="188" customFormat="false" ht="14.25" hidden="false" customHeight="true" outlineLevel="0" collapsed="false">
      <c r="A188" s="85"/>
      <c r="B188" s="86"/>
      <c r="C188" s="86"/>
      <c r="D188" s="88" t="s">
        <v>14002</v>
      </c>
      <c r="E188" s="89" t="s">
        <v>14003</v>
      </c>
      <c r="F188" s="88" t="s">
        <v>48</v>
      </c>
      <c r="G188" s="94" t="s">
        <v>14004</v>
      </c>
      <c r="H188" s="95" t="s">
        <v>14005</v>
      </c>
      <c r="I188" s="105" t="s">
        <v>40</v>
      </c>
      <c r="J188" s="95" t="s">
        <v>14006</v>
      </c>
      <c r="K188" s="95" t="s">
        <v>14007</v>
      </c>
    </row>
    <row r="189" customFormat="false" ht="14.25" hidden="false" customHeight="true" outlineLevel="0" collapsed="false">
      <c r="A189" s="85"/>
      <c r="B189" s="86"/>
      <c r="C189" s="86"/>
      <c r="D189" s="88"/>
      <c r="E189" s="88"/>
      <c r="F189" s="88"/>
      <c r="G189" s="94" t="s">
        <v>14008</v>
      </c>
      <c r="H189" s="95" t="s">
        <v>14009</v>
      </c>
      <c r="I189" s="105" t="s">
        <v>40</v>
      </c>
      <c r="J189" s="95" t="s">
        <v>14010</v>
      </c>
      <c r="K189" s="95" t="s">
        <v>14011</v>
      </c>
    </row>
    <row r="190" customFormat="false" ht="14.25" hidden="false" customHeight="true" outlineLevel="0" collapsed="false">
      <c r="A190" s="85"/>
      <c r="B190" s="86"/>
      <c r="C190" s="86"/>
      <c r="D190" s="88" t="s">
        <v>14012</v>
      </c>
      <c r="E190" s="89" t="s">
        <v>14013</v>
      </c>
      <c r="F190" s="88" t="s">
        <v>38</v>
      </c>
      <c r="G190" s="94" t="s">
        <v>14014</v>
      </c>
      <c r="H190" s="95" t="s">
        <v>14015</v>
      </c>
      <c r="I190" s="105" t="s">
        <v>40</v>
      </c>
      <c r="J190" s="95" t="s">
        <v>14016</v>
      </c>
      <c r="K190" s="95" t="s">
        <v>14017</v>
      </c>
    </row>
    <row r="191" customFormat="false" ht="14.25" hidden="false" customHeight="true" outlineLevel="0" collapsed="false">
      <c r="A191" s="85"/>
      <c r="B191" s="86"/>
      <c r="C191" s="87"/>
      <c r="D191" s="87"/>
      <c r="E191" s="87"/>
      <c r="F191" s="87"/>
      <c r="G191" s="94" t="s">
        <v>14018</v>
      </c>
      <c r="H191" s="95" t="s">
        <v>14019</v>
      </c>
      <c r="I191" s="105" t="s">
        <v>40</v>
      </c>
      <c r="J191" s="95" t="s">
        <v>14020</v>
      </c>
      <c r="K191" s="95" t="s">
        <v>14021</v>
      </c>
    </row>
    <row r="192" customFormat="false" ht="14.25" hidden="false" customHeight="true" outlineLevel="0" collapsed="false">
      <c r="A192" s="85"/>
      <c r="B192" s="86"/>
      <c r="C192" s="87" t="s">
        <v>14022</v>
      </c>
      <c r="D192" s="88" t="s">
        <v>14023</v>
      </c>
      <c r="E192" s="89" t="s">
        <v>14024</v>
      </c>
      <c r="F192" s="88" t="s">
        <v>38</v>
      </c>
      <c r="G192" s="94" t="s">
        <v>14025</v>
      </c>
      <c r="H192" s="95" t="s">
        <v>14026</v>
      </c>
      <c r="I192" s="105" t="s">
        <v>40</v>
      </c>
      <c r="J192" s="95" t="s">
        <v>14027</v>
      </c>
      <c r="K192" s="95" t="s">
        <v>14028</v>
      </c>
    </row>
    <row r="193" customFormat="false" ht="14.25" hidden="false" customHeight="true" outlineLevel="0" collapsed="false">
      <c r="A193" s="85"/>
      <c r="B193" s="86"/>
      <c r="C193" s="86"/>
      <c r="D193" s="88"/>
      <c r="E193" s="88"/>
      <c r="F193" s="88"/>
      <c r="G193" s="94" t="s">
        <v>14029</v>
      </c>
      <c r="H193" s="95" t="s">
        <v>14030</v>
      </c>
      <c r="I193" s="105" t="s">
        <v>40</v>
      </c>
      <c r="J193" s="95" t="s">
        <v>14031</v>
      </c>
      <c r="K193" s="95" t="s">
        <v>14032</v>
      </c>
    </row>
    <row r="194" customFormat="false" ht="14.25" hidden="false" customHeight="true" outlineLevel="0" collapsed="false">
      <c r="A194" s="85"/>
      <c r="B194" s="86"/>
      <c r="C194" s="86"/>
      <c r="D194" s="88" t="s">
        <v>14033</v>
      </c>
      <c r="E194" s="89" t="s">
        <v>14034</v>
      </c>
      <c r="F194" s="88" t="s">
        <v>38</v>
      </c>
      <c r="G194" s="94" t="s">
        <v>14035</v>
      </c>
      <c r="H194" s="95" t="s">
        <v>14036</v>
      </c>
      <c r="I194" s="105" t="s">
        <v>40</v>
      </c>
      <c r="J194" s="95" t="s">
        <v>14037</v>
      </c>
      <c r="K194" s="95" t="s">
        <v>14038</v>
      </c>
    </row>
    <row r="195" customFormat="false" ht="14.25" hidden="false" customHeight="true" outlineLevel="0" collapsed="false">
      <c r="A195" s="85"/>
      <c r="B195" s="86"/>
      <c r="C195" s="86"/>
      <c r="D195" s="88"/>
      <c r="E195" s="88"/>
      <c r="F195" s="88"/>
      <c r="G195" s="94" t="s">
        <v>14039</v>
      </c>
      <c r="H195" s="95" t="s">
        <v>14040</v>
      </c>
      <c r="I195" s="105" t="s">
        <v>40</v>
      </c>
      <c r="J195" s="95" t="s">
        <v>14041</v>
      </c>
      <c r="K195" s="95" t="s">
        <v>14042</v>
      </c>
    </row>
    <row r="196" customFormat="false" ht="14.25" hidden="false" customHeight="true" outlineLevel="0" collapsed="false">
      <c r="A196" s="85"/>
      <c r="B196" s="86"/>
      <c r="C196" s="86"/>
      <c r="D196" s="88" t="s">
        <v>14043</v>
      </c>
      <c r="E196" s="89" t="s">
        <v>14044</v>
      </c>
      <c r="F196" s="88" t="s">
        <v>48</v>
      </c>
      <c r="G196" s="94" t="s">
        <v>14045</v>
      </c>
      <c r="H196" s="95" t="s">
        <v>14046</v>
      </c>
      <c r="I196" s="105" t="s">
        <v>40</v>
      </c>
      <c r="J196" s="95" t="s">
        <v>14047</v>
      </c>
      <c r="K196" s="95" t="s">
        <v>14048</v>
      </c>
    </row>
    <row r="197" customFormat="false" ht="14.25" hidden="false" customHeight="true" outlineLevel="0" collapsed="false">
      <c r="A197" s="85"/>
      <c r="B197" s="86"/>
      <c r="C197" s="86"/>
      <c r="D197" s="88"/>
      <c r="E197" s="88"/>
      <c r="F197" s="88"/>
      <c r="G197" s="94" t="s">
        <v>14049</v>
      </c>
      <c r="H197" s="95" t="s">
        <v>14050</v>
      </c>
      <c r="I197" s="105" t="s">
        <v>40</v>
      </c>
      <c r="J197" s="95" t="s">
        <v>14051</v>
      </c>
      <c r="K197" s="95" t="s">
        <v>14052</v>
      </c>
    </row>
    <row r="198" customFormat="false" ht="14.25" hidden="false" customHeight="true" outlineLevel="0" collapsed="false">
      <c r="A198" s="85"/>
      <c r="B198" s="86"/>
      <c r="C198" s="86"/>
      <c r="D198" s="88" t="s">
        <v>14053</v>
      </c>
      <c r="E198" s="89" t="s">
        <v>14054</v>
      </c>
      <c r="F198" s="88" t="s">
        <v>48</v>
      </c>
      <c r="G198" s="94" t="s">
        <v>14055</v>
      </c>
      <c r="H198" s="95" t="s">
        <v>14056</v>
      </c>
      <c r="I198" s="105" t="s">
        <v>40</v>
      </c>
      <c r="J198" s="95" t="s">
        <v>14057</v>
      </c>
      <c r="K198" s="95" t="s">
        <v>14058</v>
      </c>
    </row>
    <row r="199" customFormat="false" ht="14.25" hidden="false" customHeight="true" outlineLevel="0" collapsed="false">
      <c r="A199" s="85"/>
      <c r="B199" s="86"/>
      <c r="C199" s="86"/>
      <c r="D199" s="88"/>
      <c r="E199" s="88"/>
      <c r="F199" s="88"/>
      <c r="G199" s="94" t="s">
        <v>14059</v>
      </c>
      <c r="H199" s="95" t="s">
        <v>14060</v>
      </c>
      <c r="I199" s="105" t="s">
        <v>40</v>
      </c>
      <c r="J199" s="95" t="s">
        <v>14061</v>
      </c>
      <c r="K199" s="95" t="s">
        <v>14062</v>
      </c>
    </row>
    <row r="200" customFormat="false" ht="14.25" hidden="false" customHeight="true" outlineLevel="0" collapsed="false">
      <c r="A200" s="85"/>
      <c r="B200" s="86"/>
      <c r="C200" s="86"/>
      <c r="D200" s="88" t="s">
        <v>14063</v>
      </c>
      <c r="E200" s="89" t="s">
        <v>14064</v>
      </c>
      <c r="F200" s="88" t="s">
        <v>38</v>
      </c>
      <c r="G200" s="94" t="s">
        <v>14065</v>
      </c>
      <c r="H200" s="95" t="s">
        <v>14066</v>
      </c>
      <c r="I200" s="105" t="s">
        <v>40</v>
      </c>
      <c r="J200" s="95" t="s">
        <v>14067</v>
      </c>
      <c r="K200" s="95" t="s">
        <v>14068</v>
      </c>
    </row>
    <row r="201" customFormat="false" ht="14.25" hidden="false" customHeight="true" outlineLevel="0" collapsed="false">
      <c r="A201" s="85"/>
      <c r="B201" s="86"/>
      <c r="C201" s="87"/>
      <c r="D201" s="87"/>
      <c r="E201" s="87"/>
      <c r="F201" s="87"/>
      <c r="G201" s="94" t="s">
        <v>14069</v>
      </c>
      <c r="H201" s="95" t="s">
        <v>14070</v>
      </c>
      <c r="I201" s="105" t="s">
        <v>40</v>
      </c>
      <c r="J201" s="95" t="s">
        <v>14071</v>
      </c>
      <c r="K201" s="95" t="s">
        <v>14072</v>
      </c>
    </row>
    <row r="202" customFormat="false" ht="14.25" hidden="false" customHeight="true" outlineLevel="0" collapsed="false">
      <c r="A202" s="85"/>
      <c r="B202" s="86"/>
      <c r="C202" s="87" t="s">
        <v>14073</v>
      </c>
      <c r="D202" s="88" t="s">
        <v>14074</v>
      </c>
      <c r="E202" s="89" t="s">
        <v>14075</v>
      </c>
      <c r="F202" s="88" t="s">
        <v>38</v>
      </c>
      <c r="G202" s="94" t="s">
        <v>14076</v>
      </c>
      <c r="H202" s="95" t="s">
        <v>14077</v>
      </c>
      <c r="I202" s="105" t="s">
        <v>40</v>
      </c>
      <c r="J202" s="95" t="s">
        <v>14078</v>
      </c>
      <c r="K202" s="95" t="s">
        <v>14079</v>
      </c>
    </row>
    <row r="203" customFormat="false" ht="14.25" hidden="false" customHeight="true" outlineLevel="0" collapsed="false">
      <c r="A203" s="85"/>
      <c r="B203" s="86"/>
      <c r="C203" s="86"/>
      <c r="D203" s="88"/>
      <c r="E203" s="88"/>
      <c r="F203" s="88"/>
      <c r="G203" s="94" t="s">
        <v>14080</v>
      </c>
      <c r="H203" s="95" t="s">
        <v>14081</v>
      </c>
      <c r="I203" s="105" t="s">
        <v>40</v>
      </c>
      <c r="J203" s="95" t="s">
        <v>14082</v>
      </c>
      <c r="K203" s="95" t="s">
        <v>14083</v>
      </c>
    </row>
    <row r="204" customFormat="false" ht="14.25" hidden="false" customHeight="true" outlineLevel="0" collapsed="false">
      <c r="A204" s="85"/>
      <c r="B204" s="86"/>
      <c r="C204" s="86"/>
      <c r="D204" s="88" t="s">
        <v>14084</v>
      </c>
      <c r="E204" s="89" t="s">
        <v>14085</v>
      </c>
      <c r="F204" s="88" t="s">
        <v>38</v>
      </c>
      <c r="G204" s="94" t="s">
        <v>14086</v>
      </c>
      <c r="H204" s="95" t="s">
        <v>14087</v>
      </c>
      <c r="I204" s="105" t="s">
        <v>40</v>
      </c>
      <c r="J204" s="95" t="s">
        <v>14088</v>
      </c>
      <c r="K204" s="95" t="s">
        <v>14089</v>
      </c>
    </row>
    <row r="205" customFormat="false" ht="14.25" hidden="false" customHeight="true" outlineLevel="0" collapsed="false">
      <c r="A205" s="85"/>
      <c r="B205" s="86"/>
      <c r="C205" s="86"/>
      <c r="D205" s="88"/>
      <c r="E205" s="88"/>
      <c r="F205" s="88"/>
      <c r="G205" s="94" t="s">
        <v>14090</v>
      </c>
      <c r="H205" s="95" t="s">
        <v>14091</v>
      </c>
      <c r="I205" s="105" t="s">
        <v>40</v>
      </c>
      <c r="J205" s="95" t="s">
        <v>14092</v>
      </c>
      <c r="K205" s="95" t="s">
        <v>14093</v>
      </c>
    </row>
    <row r="206" customFormat="false" ht="14.25" hidden="false" customHeight="true" outlineLevel="0" collapsed="false">
      <c r="A206" s="85"/>
      <c r="B206" s="86"/>
      <c r="C206" s="86"/>
      <c r="D206" s="88" t="s">
        <v>14094</v>
      </c>
      <c r="E206" s="89" t="s">
        <v>14095</v>
      </c>
      <c r="F206" s="88" t="s">
        <v>48</v>
      </c>
      <c r="G206" s="94" t="s">
        <v>14096</v>
      </c>
      <c r="H206" s="95" t="s">
        <v>14097</v>
      </c>
      <c r="I206" s="105" t="s">
        <v>40</v>
      </c>
      <c r="J206" s="95" t="s">
        <v>14098</v>
      </c>
      <c r="K206" s="95" t="s">
        <v>14099</v>
      </c>
    </row>
    <row r="207" customFormat="false" ht="14.25" hidden="false" customHeight="true" outlineLevel="0" collapsed="false">
      <c r="A207" s="85"/>
      <c r="B207" s="86"/>
      <c r="C207" s="86"/>
      <c r="D207" s="88"/>
      <c r="E207" s="88"/>
      <c r="F207" s="88"/>
      <c r="G207" s="94" t="s">
        <v>14100</v>
      </c>
      <c r="H207" s="95" t="s">
        <v>14101</v>
      </c>
      <c r="I207" s="105" t="s">
        <v>40</v>
      </c>
      <c r="J207" s="95" t="s">
        <v>14102</v>
      </c>
      <c r="K207" s="95" t="s">
        <v>14103</v>
      </c>
    </row>
    <row r="208" customFormat="false" ht="14.25" hidden="false" customHeight="true" outlineLevel="0" collapsed="false">
      <c r="A208" s="85"/>
      <c r="B208" s="86"/>
      <c r="C208" s="86"/>
      <c r="D208" s="88" t="s">
        <v>14104</v>
      </c>
      <c r="E208" s="89" t="s">
        <v>14105</v>
      </c>
      <c r="F208" s="88" t="s">
        <v>48</v>
      </c>
      <c r="G208" s="94" t="s">
        <v>14106</v>
      </c>
      <c r="H208" s="95" t="s">
        <v>14107</v>
      </c>
      <c r="I208" s="105" t="s">
        <v>40</v>
      </c>
      <c r="J208" s="95" t="s">
        <v>14108</v>
      </c>
      <c r="K208" s="95" t="s">
        <v>14109</v>
      </c>
    </row>
    <row r="209" customFormat="false" ht="14.25" hidden="false" customHeight="true" outlineLevel="0" collapsed="false">
      <c r="A209" s="85"/>
      <c r="B209" s="86"/>
      <c r="C209" s="86"/>
      <c r="D209" s="88"/>
      <c r="E209" s="88"/>
      <c r="F209" s="88"/>
      <c r="G209" s="94" t="s">
        <v>14110</v>
      </c>
      <c r="H209" s="95" t="s">
        <v>14111</v>
      </c>
      <c r="I209" s="105" t="s">
        <v>40</v>
      </c>
      <c r="J209" s="95" t="s">
        <v>14112</v>
      </c>
      <c r="K209" s="95" t="s">
        <v>14113</v>
      </c>
    </row>
    <row r="210" customFormat="false" ht="14.25" hidden="false" customHeight="true" outlineLevel="0" collapsed="false">
      <c r="A210" s="85"/>
      <c r="B210" s="86"/>
      <c r="C210" s="86"/>
      <c r="D210" s="88" t="s">
        <v>14114</v>
      </c>
      <c r="E210" s="89" t="s">
        <v>14115</v>
      </c>
      <c r="F210" s="88" t="s">
        <v>38</v>
      </c>
      <c r="G210" s="94" t="s">
        <v>14116</v>
      </c>
      <c r="H210" s="95" t="s">
        <v>14117</v>
      </c>
      <c r="I210" s="105" t="s">
        <v>40</v>
      </c>
      <c r="J210" s="95" t="s">
        <v>14118</v>
      </c>
      <c r="K210" s="95" t="s">
        <v>14119</v>
      </c>
    </row>
    <row r="211" customFormat="false" ht="14.25" hidden="false" customHeight="true" outlineLevel="0" collapsed="false">
      <c r="A211" s="85"/>
      <c r="B211" s="86"/>
      <c r="C211" s="87"/>
      <c r="D211" s="87"/>
      <c r="E211" s="87"/>
      <c r="F211" s="87"/>
      <c r="G211" s="94" t="s">
        <v>14120</v>
      </c>
      <c r="H211" s="95" t="s">
        <v>14121</v>
      </c>
      <c r="I211" s="105" t="s">
        <v>40</v>
      </c>
      <c r="J211" s="95" t="s">
        <v>14122</v>
      </c>
      <c r="K211" s="95" t="s">
        <v>14123</v>
      </c>
    </row>
    <row r="212" customFormat="false" ht="14.25" hidden="false" customHeight="true" outlineLevel="0" collapsed="false">
      <c r="A212" s="85"/>
      <c r="B212" s="86"/>
      <c r="C212" s="87" t="s">
        <v>14124</v>
      </c>
      <c r="D212" s="88" t="s">
        <v>14125</v>
      </c>
      <c r="E212" s="89" t="s">
        <v>14126</v>
      </c>
      <c r="F212" s="88" t="s">
        <v>58</v>
      </c>
      <c r="G212" s="94" t="s">
        <v>14127</v>
      </c>
      <c r="H212" s="95" t="s">
        <v>14128</v>
      </c>
      <c r="I212" s="105" t="s">
        <v>40</v>
      </c>
      <c r="J212" s="95" t="s">
        <v>14129</v>
      </c>
      <c r="K212" s="95" t="s">
        <v>14130</v>
      </c>
    </row>
    <row r="213" customFormat="false" ht="14.25" hidden="false" customHeight="true" outlineLevel="0" collapsed="false">
      <c r="A213" s="85"/>
      <c r="B213" s="86"/>
      <c r="C213" s="86"/>
      <c r="D213" s="88"/>
      <c r="E213" s="88"/>
      <c r="F213" s="88"/>
      <c r="G213" s="94" t="s">
        <v>14131</v>
      </c>
      <c r="H213" s="95"/>
      <c r="I213" s="105" t="s">
        <v>40</v>
      </c>
      <c r="J213" s="95"/>
      <c r="K213" s="95"/>
    </row>
    <row r="214" customFormat="false" ht="14.25" hidden="false" customHeight="true" outlineLevel="0" collapsed="false">
      <c r="A214" s="85"/>
      <c r="B214" s="86"/>
      <c r="C214" s="86"/>
      <c r="D214" s="88" t="s">
        <v>14132</v>
      </c>
      <c r="E214" s="89" t="s">
        <v>14133</v>
      </c>
      <c r="F214" s="88" t="s">
        <v>38</v>
      </c>
      <c r="G214" s="94" t="s">
        <v>14134</v>
      </c>
      <c r="H214" s="95" t="s">
        <v>14135</v>
      </c>
      <c r="I214" s="105" t="s">
        <v>40</v>
      </c>
      <c r="J214" s="95" t="s">
        <v>14136</v>
      </c>
      <c r="K214" s="95" t="s">
        <v>14137</v>
      </c>
    </row>
    <row r="215" customFormat="false" ht="14.25" hidden="false" customHeight="true" outlineLevel="0" collapsed="false">
      <c r="A215" s="85"/>
      <c r="B215" s="86"/>
      <c r="C215" s="86"/>
      <c r="D215" s="88"/>
      <c r="E215" s="88"/>
      <c r="F215" s="88"/>
      <c r="G215" s="94" t="s">
        <v>14138</v>
      </c>
      <c r="H215" s="95" t="s">
        <v>14139</v>
      </c>
      <c r="I215" s="105" t="s">
        <v>40</v>
      </c>
      <c r="J215" s="95" t="s">
        <v>14140</v>
      </c>
      <c r="K215" s="95" t="s">
        <v>14141</v>
      </c>
    </row>
    <row r="216" customFormat="false" ht="14.25" hidden="false" customHeight="true" outlineLevel="0" collapsed="false">
      <c r="A216" s="85"/>
      <c r="B216" s="86"/>
      <c r="C216" s="86"/>
      <c r="D216" s="88" t="s">
        <v>14142</v>
      </c>
      <c r="E216" s="89" t="s">
        <v>14143</v>
      </c>
      <c r="F216" s="88" t="s">
        <v>48</v>
      </c>
      <c r="G216" s="94" t="s">
        <v>14144</v>
      </c>
      <c r="H216" s="95" t="s">
        <v>14145</v>
      </c>
      <c r="I216" s="105" t="s">
        <v>40</v>
      </c>
      <c r="J216" s="95" t="s">
        <v>14146</v>
      </c>
      <c r="K216" s="95" t="s">
        <v>14147</v>
      </c>
    </row>
    <row r="217" customFormat="false" ht="14.25" hidden="false" customHeight="true" outlineLevel="0" collapsed="false">
      <c r="A217" s="85"/>
      <c r="B217" s="86"/>
      <c r="C217" s="86"/>
      <c r="D217" s="88"/>
      <c r="E217" s="88"/>
      <c r="F217" s="88"/>
      <c r="G217" s="94" t="s">
        <v>14148</v>
      </c>
      <c r="H217" s="95" t="s">
        <v>14149</v>
      </c>
      <c r="I217" s="105" t="s">
        <v>40</v>
      </c>
      <c r="J217" s="95" t="s">
        <v>14150</v>
      </c>
      <c r="K217" s="95" t="s">
        <v>14151</v>
      </c>
    </row>
    <row r="218" customFormat="false" ht="14.25" hidden="false" customHeight="true" outlineLevel="0" collapsed="false">
      <c r="A218" s="85"/>
      <c r="B218" s="86"/>
      <c r="C218" s="86"/>
      <c r="D218" s="88" t="s">
        <v>14152</v>
      </c>
      <c r="E218" s="89" t="s">
        <v>14153</v>
      </c>
      <c r="F218" s="88" t="s">
        <v>38</v>
      </c>
      <c r="G218" s="94" t="s">
        <v>14154</v>
      </c>
      <c r="H218" s="95" t="s">
        <v>14155</v>
      </c>
      <c r="I218" s="105" t="s">
        <v>40</v>
      </c>
      <c r="J218" s="95" t="s">
        <v>14156</v>
      </c>
      <c r="K218" s="95" t="s">
        <v>14157</v>
      </c>
    </row>
    <row r="219" customFormat="false" ht="14.25" hidden="false" customHeight="true" outlineLevel="0" collapsed="false">
      <c r="A219" s="85"/>
      <c r="B219" s="86"/>
      <c r="C219" s="86"/>
      <c r="D219" s="88"/>
      <c r="E219" s="88"/>
      <c r="F219" s="88"/>
      <c r="G219" s="94" t="s">
        <v>14158</v>
      </c>
      <c r="H219" s="95" t="s">
        <v>14159</v>
      </c>
      <c r="I219" s="105" t="s">
        <v>40</v>
      </c>
      <c r="J219" s="95" t="s">
        <v>14160</v>
      </c>
      <c r="K219" s="95" t="s">
        <v>14161</v>
      </c>
    </row>
    <row r="220" customFormat="false" ht="14.25" hidden="false" customHeight="true" outlineLevel="0" collapsed="false">
      <c r="A220" s="85"/>
      <c r="B220" s="86"/>
      <c r="C220" s="87"/>
      <c r="D220" s="88" t="s">
        <v>14162</v>
      </c>
      <c r="E220" s="89" t="s">
        <v>14163</v>
      </c>
      <c r="F220" s="88" t="s">
        <v>38</v>
      </c>
      <c r="G220" s="94" t="s">
        <v>14164</v>
      </c>
      <c r="H220" s="95" t="s">
        <v>14165</v>
      </c>
      <c r="I220" s="105" t="s">
        <v>40</v>
      </c>
      <c r="J220" s="95" t="s">
        <v>14166</v>
      </c>
      <c r="K220" s="95" t="s">
        <v>14167</v>
      </c>
    </row>
    <row r="221" customFormat="false" ht="14.25" hidden="false" customHeight="true" outlineLevel="0" collapsed="false">
      <c r="A221" s="107"/>
      <c r="B221" s="107"/>
      <c r="C221" s="87"/>
      <c r="D221" s="87"/>
      <c r="E221" s="87"/>
      <c r="F221" s="87"/>
      <c r="G221" s="94" t="s">
        <v>14168</v>
      </c>
      <c r="H221" s="95" t="s">
        <v>14169</v>
      </c>
      <c r="I221" s="105" t="s">
        <v>40</v>
      </c>
      <c r="J221" s="95" t="s">
        <v>14170</v>
      </c>
      <c r="K221" s="95" t="s">
        <v>14171</v>
      </c>
    </row>
    <row r="222" customFormat="false" ht="14.25" hidden="false" customHeight="true" outlineLevel="0" collapsed="false">
      <c r="A222" s="108" t="s">
        <v>14172</v>
      </c>
      <c r="B222" s="86" t="s">
        <v>14173</v>
      </c>
      <c r="C222" s="87" t="s">
        <v>14174</v>
      </c>
      <c r="D222" s="88" t="s">
        <v>14175</v>
      </c>
      <c r="E222" s="89" t="s">
        <v>14176</v>
      </c>
      <c r="F222" s="88" t="s">
        <v>38</v>
      </c>
      <c r="G222" s="94" t="s">
        <v>14177</v>
      </c>
      <c r="H222" s="95" t="s">
        <v>14178</v>
      </c>
      <c r="I222" s="105" t="s">
        <v>40</v>
      </c>
      <c r="J222" s="95" t="s">
        <v>14179</v>
      </c>
      <c r="K222" s="95" t="s">
        <v>14180</v>
      </c>
    </row>
    <row r="223" customFormat="false" ht="14.25" hidden="false" customHeight="true" outlineLevel="0" collapsed="false">
      <c r="A223" s="108"/>
      <c r="B223" s="86"/>
      <c r="C223" s="86"/>
      <c r="D223" s="88"/>
      <c r="E223" s="88"/>
      <c r="F223" s="88"/>
      <c r="G223" s="94" t="s">
        <v>14181</v>
      </c>
      <c r="H223" s="95" t="s">
        <v>14182</v>
      </c>
      <c r="I223" s="105" t="s">
        <v>40</v>
      </c>
      <c r="J223" s="95" t="s">
        <v>14183</v>
      </c>
      <c r="K223" s="95" t="s">
        <v>14184</v>
      </c>
    </row>
    <row r="224" customFormat="false" ht="14.25" hidden="false" customHeight="true" outlineLevel="0" collapsed="false">
      <c r="A224" s="108"/>
      <c r="B224" s="86"/>
      <c r="C224" s="86"/>
      <c r="D224" s="88" t="s">
        <v>14185</v>
      </c>
      <c r="E224" s="89" t="s">
        <v>14186</v>
      </c>
      <c r="F224" s="88" t="s">
        <v>38</v>
      </c>
      <c r="G224" s="94" t="s">
        <v>14187</v>
      </c>
      <c r="H224" s="95" t="s">
        <v>14188</v>
      </c>
      <c r="I224" s="105" t="s">
        <v>40</v>
      </c>
      <c r="J224" s="95" t="s">
        <v>14189</v>
      </c>
      <c r="K224" s="95" t="s">
        <v>14190</v>
      </c>
    </row>
    <row r="225" customFormat="false" ht="14.25" hidden="false" customHeight="true" outlineLevel="0" collapsed="false">
      <c r="A225" s="108"/>
      <c r="B225" s="86"/>
      <c r="C225" s="86"/>
      <c r="D225" s="88"/>
      <c r="E225" s="88"/>
      <c r="F225" s="88"/>
      <c r="G225" s="94" t="s">
        <v>14191</v>
      </c>
      <c r="H225" s="95" t="s">
        <v>14192</v>
      </c>
      <c r="I225" s="105" t="s">
        <v>40</v>
      </c>
      <c r="J225" s="95" t="s">
        <v>14193</v>
      </c>
      <c r="K225" s="95" t="s">
        <v>14194</v>
      </c>
    </row>
    <row r="226" customFormat="false" ht="14.25" hidden="false" customHeight="true" outlineLevel="0" collapsed="false">
      <c r="A226" s="108"/>
      <c r="B226" s="86"/>
      <c r="C226" s="86"/>
      <c r="D226" s="88" t="s">
        <v>14195</v>
      </c>
      <c r="E226" s="89" t="s">
        <v>14196</v>
      </c>
      <c r="F226" s="88" t="s">
        <v>48</v>
      </c>
      <c r="G226" s="94" t="s">
        <v>14197</v>
      </c>
      <c r="H226" s="95" t="s">
        <v>14198</v>
      </c>
      <c r="I226" s="105" t="s">
        <v>40</v>
      </c>
      <c r="J226" s="95" t="s">
        <v>14199</v>
      </c>
      <c r="K226" s="95" t="s">
        <v>14200</v>
      </c>
    </row>
    <row r="227" customFormat="false" ht="14.25" hidden="false" customHeight="true" outlineLevel="0" collapsed="false">
      <c r="A227" s="108"/>
      <c r="B227" s="86"/>
      <c r="C227" s="86"/>
      <c r="D227" s="88"/>
      <c r="E227" s="88"/>
      <c r="F227" s="88"/>
      <c r="G227" s="94" t="s">
        <v>14201</v>
      </c>
      <c r="H227" s="95" t="s">
        <v>14202</v>
      </c>
      <c r="I227" s="97" t="s">
        <v>67</v>
      </c>
      <c r="J227" s="95" t="s">
        <v>14203</v>
      </c>
      <c r="K227" s="95" t="s">
        <v>14204</v>
      </c>
    </row>
    <row r="228" customFormat="false" ht="14.25" hidden="false" customHeight="true" outlineLevel="0" collapsed="false">
      <c r="A228" s="108"/>
      <c r="B228" s="86"/>
      <c r="C228" s="86"/>
      <c r="D228" s="88" t="s">
        <v>14205</v>
      </c>
      <c r="E228" s="89" t="s">
        <v>14206</v>
      </c>
      <c r="F228" s="88" t="s">
        <v>48</v>
      </c>
      <c r="G228" s="94" t="s">
        <v>14207</v>
      </c>
      <c r="H228" s="95" t="s">
        <v>14208</v>
      </c>
      <c r="I228" s="97" t="s">
        <v>67</v>
      </c>
      <c r="J228" s="95" t="s">
        <v>14209</v>
      </c>
      <c r="K228" s="95" t="s">
        <v>14210</v>
      </c>
    </row>
    <row r="229" customFormat="false" ht="14.25" hidden="false" customHeight="true" outlineLevel="0" collapsed="false">
      <c r="A229" s="108"/>
      <c r="B229" s="86"/>
      <c r="C229" s="86"/>
      <c r="D229" s="88"/>
      <c r="E229" s="88"/>
      <c r="F229" s="88"/>
      <c r="G229" s="94" t="s">
        <v>14211</v>
      </c>
      <c r="H229" s="95" t="s">
        <v>14212</v>
      </c>
      <c r="I229" s="97" t="s">
        <v>67</v>
      </c>
      <c r="J229" s="95" t="s">
        <v>14213</v>
      </c>
      <c r="K229" s="95" t="s">
        <v>14214</v>
      </c>
    </row>
    <row r="230" customFormat="false" ht="14.25" hidden="false" customHeight="true" outlineLevel="0" collapsed="false">
      <c r="A230" s="108"/>
      <c r="B230" s="86"/>
      <c r="C230" s="86"/>
      <c r="D230" s="88" t="s">
        <v>14215</v>
      </c>
      <c r="E230" s="89" t="s">
        <v>14216</v>
      </c>
      <c r="F230" s="88" t="s">
        <v>48</v>
      </c>
      <c r="G230" s="94" t="s">
        <v>14217</v>
      </c>
      <c r="H230" s="95" t="s">
        <v>14218</v>
      </c>
      <c r="I230" s="97" t="s">
        <v>67</v>
      </c>
      <c r="J230" s="95" t="s">
        <v>14219</v>
      </c>
      <c r="K230" s="95" t="s">
        <v>14220</v>
      </c>
    </row>
    <row r="231" customFormat="false" ht="14.25" hidden="false" customHeight="true" outlineLevel="0" collapsed="false">
      <c r="A231" s="108"/>
      <c r="B231" s="86"/>
      <c r="C231" s="87"/>
      <c r="D231" s="87"/>
      <c r="E231" s="87"/>
      <c r="F231" s="87"/>
      <c r="G231" s="94" t="s">
        <v>14221</v>
      </c>
      <c r="H231" s="95" t="s">
        <v>14222</v>
      </c>
      <c r="I231" s="97" t="s">
        <v>67</v>
      </c>
      <c r="J231" s="95" t="s">
        <v>14223</v>
      </c>
      <c r="K231" s="95" t="s">
        <v>14224</v>
      </c>
    </row>
    <row r="232" customFormat="false" ht="14.25" hidden="false" customHeight="true" outlineLevel="0" collapsed="false">
      <c r="A232" s="108"/>
      <c r="B232" s="86"/>
      <c r="C232" s="87" t="s">
        <v>14225</v>
      </c>
      <c r="D232" s="88" t="s">
        <v>14226</v>
      </c>
      <c r="E232" s="89" t="s">
        <v>14227</v>
      </c>
      <c r="F232" s="88" t="s">
        <v>48</v>
      </c>
      <c r="G232" s="94" t="s">
        <v>14228</v>
      </c>
      <c r="H232" s="95" t="s">
        <v>14229</v>
      </c>
      <c r="I232" s="97" t="s">
        <v>67</v>
      </c>
      <c r="J232" s="95" t="s">
        <v>14230</v>
      </c>
      <c r="K232" s="95" t="s">
        <v>14231</v>
      </c>
    </row>
    <row r="233" customFormat="false" ht="14.25" hidden="false" customHeight="true" outlineLevel="0" collapsed="false">
      <c r="A233" s="108"/>
      <c r="B233" s="86"/>
      <c r="C233" s="86"/>
      <c r="D233" s="88"/>
      <c r="E233" s="88"/>
      <c r="F233" s="88"/>
      <c r="G233" s="94" t="s">
        <v>14232</v>
      </c>
      <c r="H233" s="95" t="s">
        <v>14233</v>
      </c>
      <c r="I233" s="97" t="s">
        <v>67</v>
      </c>
      <c r="J233" s="95" t="s">
        <v>14234</v>
      </c>
      <c r="K233" s="95" t="s">
        <v>14235</v>
      </c>
    </row>
    <row r="234" customFormat="false" ht="14.25" hidden="false" customHeight="true" outlineLevel="0" collapsed="false">
      <c r="A234" s="108"/>
      <c r="B234" s="86"/>
      <c r="C234" s="86"/>
      <c r="D234" s="88" t="s">
        <v>14236</v>
      </c>
      <c r="E234" s="89" t="s">
        <v>14237</v>
      </c>
      <c r="F234" s="88" t="s">
        <v>38</v>
      </c>
      <c r="G234" s="94" t="s">
        <v>14238</v>
      </c>
      <c r="H234" s="95" t="s">
        <v>14239</v>
      </c>
      <c r="I234" s="97" t="s">
        <v>67</v>
      </c>
      <c r="J234" s="95" t="s">
        <v>14240</v>
      </c>
      <c r="K234" s="95" t="s">
        <v>14241</v>
      </c>
    </row>
    <row r="235" customFormat="false" ht="14.25" hidden="false" customHeight="true" outlineLevel="0" collapsed="false">
      <c r="A235" s="108"/>
      <c r="B235" s="86"/>
      <c r="C235" s="86"/>
      <c r="D235" s="88"/>
      <c r="E235" s="88"/>
      <c r="F235" s="88"/>
      <c r="G235" s="94" t="s">
        <v>14242</v>
      </c>
      <c r="H235" s="95" t="s">
        <v>14243</v>
      </c>
      <c r="I235" s="97" t="s">
        <v>67</v>
      </c>
      <c r="J235" s="95" t="s">
        <v>14244</v>
      </c>
      <c r="K235" s="95" t="s">
        <v>14245</v>
      </c>
    </row>
    <row r="236" customFormat="false" ht="14.25" hidden="false" customHeight="true" outlineLevel="0" collapsed="false">
      <c r="A236" s="108"/>
      <c r="B236" s="86"/>
      <c r="C236" s="86"/>
      <c r="D236" s="88" t="s">
        <v>14246</v>
      </c>
      <c r="E236" s="89" t="s">
        <v>14247</v>
      </c>
      <c r="F236" s="88" t="s">
        <v>48</v>
      </c>
      <c r="G236" s="94" t="s">
        <v>14248</v>
      </c>
      <c r="H236" s="95" t="s">
        <v>14249</v>
      </c>
      <c r="I236" s="97" t="s">
        <v>67</v>
      </c>
      <c r="J236" s="95" t="s">
        <v>14250</v>
      </c>
      <c r="K236" s="95" t="s">
        <v>14251</v>
      </c>
    </row>
    <row r="237" customFormat="false" ht="14.25" hidden="false" customHeight="true" outlineLevel="0" collapsed="false">
      <c r="A237" s="108"/>
      <c r="B237" s="86"/>
      <c r="C237" s="86"/>
      <c r="D237" s="88"/>
      <c r="E237" s="88"/>
      <c r="F237" s="88"/>
      <c r="G237" s="94" t="s">
        <v>14252</v>
      </c>
      <c r="H237" s="95" t="s">
        <v>14253</v>
      </c>
      <c r="I237" s="97" t="s">
        <v>67</v>
      </c>
      <c r="J237" s="95" t="s">
        <v>14254</v>
      </c>
      <c r="K237" s="95" t="s">
        <v>14255</v>
      </c>
    </row>
    <row r="238" customFormat="false" ht="14.25" hidden="false" customHeight="true" outlineLevel="0" collapsed="false">
      <c r="A238" s="108"/>
      <c r="B238" s="86"/>
      <c r="C238" s="86"/>
      <c r="D238" s="88" t="s">
        <v>14256</v>
      </c>
      <c r="E238" s="89" t="s">
        <v>14257</v>
      </c>
      <c r="F238" s="88" t="s">
        <v>38</v>
      </c>
      <c r="G238" s="94" t="s">
        <v>14258</v>
      </c>
      <c r="H238" s="95" t="s">
        <v>14259</v>
      </c>
      <c r="I238" s="97" t="s">
        <v>67</v>
      </c>
      <c r="J238" s="95" t="s">
        <v>14260</v>
      </c>
      <c r="K238" s="95" t="s">
        <v>14261</v>
      </c>
    </row>
    <row r="239" customFormat="false" ht="14.25" hidden="false" customHeight="true" outlineLevel="0" collapsed="false">
      <c r="A239" s="108"/>
      <c r="B239" s="86"/>
      <c r="C239" s="86"/>
      <c r="D239" s="88"/>
      <c r="E239" s="88"/>
      <c r="F239" s="88"/>
      <c r="G239" s="94" t="s">
        <v>14262</v>
      </c>
      <c r="H239" s="95" t="s">
        <v>14263</v>
      </c>
      <c r="I239" s="97" t="s">
        <v>67</v>
      </c>
      <c r="J239" s="95" t="s">
        <v>14264</v>
      </c>
      <c r="K239" s="95" t="s">
        <v>14265</v>
      </c>
    </row>
    <row r="240" customFormat="false" ht="14.25" hidden="false" customHeight="true" outlineLevel="0" collapsed="false">
      <c r="A240" s="108"/>
      <c r="B240" s="86"/>
      <c r="C240" s="86"/>
      <c r="D240" s="88" t="s">
        <v>14266</v>
      </c>
      <c r="E240" s="89" t="s">
        <v>14267</v>
      </c>
      <c r="F240" s="88" t="s">
        <v>38</v>
      </c>
      <c r="G240" s="94" t="s">
        <v>14268</v>
      </c>
      <c r="H240" s="95" t="s">
        <v>14269</v>
      </c>
      <c r="I240" s="98" t="s">
        <v>50</v>
      </c>
      <c r="J240" s="95" t="s">
        <v>14270</v>
      </c>
      <c r="K240" s="95" t="s">
        <v>14271</v>
      </c>
    </row>
    <row r="241" customFormat="false" ht="14.25" hidden="false" customHeight="true" outlineLevel="0" collapsed="false">
      <c r="A241" s="108"/>
      <c r="B241" s="86"/>
      <c r="C241" s="87"/>
      <c r="D241" s="87"/>
      <c r="E241" s="87"/>
      <c r="F241" s="87"/>
      <c r="G241" s="94" t="s">
        <v>14272</v>
      </c>
      <c r="H241" s="95" t="s">
        <v>14273</v>
      </c>
      <c r="I241" s="98" t="s">
        <v>50</v>
      </c>
      <c r="J241" s="95" t="s">
        <v>14274</v>
      </c>
      <c r="K241" s="95" t="s">
        <v>14275</v>
      </c>
    </row>
    <row r="242" customFormat="false" ht="14.25" hidden="false" customHeight="true" outlineLevel="0" collapsed="false">
      <c r="A242" s="108"/>
      <c r="B242" s="86"/>
      <c r="C242" s="87" t="s">
        <v>14276</v>
      </c>
      <c r="D242" s="88" t="s">
        <v>14277</v>
      </c>
      <c r="E242" s="89" t="s">
        <v>14278</v>
      </c>
      <c r="F242" s="88" t="s">
        <v>38</v>
      </c>
      <c r="G242" s="94" t="s">
        <v>14279</v>
      </c>
      <c r="H242" s="95" t="s">
        <v>14280</v>
      </c>
      <c r="I242" s="98" t="s">
        <v>50</v>
      </c>
      <c r="J242" s="95" t="s">
        <v>14281</v>
      </c>
      <c r="K242" s="95" t="s">
        <v>14282</v>
      </c>
    </row>
    <row r="243" customFormat="false" ht="14.25" hidden="false" customHeight="true" outlineLevel="0" collapsed="false">
      <c r="A243" s="108"/>
      <c r="B243" s="86"/>
      <c r="C243" s="86"/>
      <c r="D243" s="88"/>
      <c r="E243" s="88"/>
      <c r="F243" s="88"/>
      <c r="G243" s="94" t="s">
        <v>14283</v>
      </c>
      <c r="H243" s="95" t="s">
        <v>14284</v>
      </c>
      <c r="I243" s="98" t="s">
        <v>50</v>
      </c>
      <c r="J243" s="95" t="s">
        <v>14285</v>
      </c>
      <c r="K243" s="95" t="s">
        <v>14286</v>
      </c>
    </row>
    <row r="244" customFormat="false" ht="14.25" hidden="false" customHeight="true" outlineLevel="0" collapsed="false">
      <c r="A244" s="108"/>
      <c r="B244" s="86"/>
      <c r="C244" s="86"/>
      <c r="D244" s="88" t="s">
        <v>14287</v>
      </c>
      <c r="E244" s="89" t="s">
        <v>14288</v>
      </c>
      <c r="F244" s="88" t="s">
        <v>38</v>
      </c>
      <c r="G244" s="94" t="s">
        <v>14289</v>
      </c>
      <c r="H244" s="95" t="s">
        <v>14290</v>
      </c>
      <c r="I244" s="98" t="s">
        <v>50</v>
      </c>
      <c r="J244" s="95" t="s">
        <v>14291</v>
      </c>
      <c r="K244" s="95" t="s">
        <v>14292</v>
      </c>
    </row>
    <row r="245" customFormat="false" ht="14.25" hidden="false" customHeight="true" outlineLevel="0" collapsed="false">
      <c r="A245" s="108"/>
      <c r="B245" s="86"/>
      <c r="C245" s="86"/>
      <c r="D245" s="88"/>
      <c r="E245" s="88"/>
      <c r="F245" s="88"/>
      <c r="G245" s="94" t="s">
        <v>14293</v>
      </c>
      <c r="H245" s="95" t="s">
        <v>14294</v>
      </c>
      <c r="I245" s="98" t="s">
        <v>50</v>
      </c>
      <c r="J245" s="95" t="s">
        <v>14295</v>
      </c>
      <c r="K245" s="95" t="s">
        <v>14296</v>
      </c>
    </row>
    <row r="246" customFormat="false" ht="14.25" hidden="false" customHeight="true" outlineLevel="0" collapsed="false">
      <c r="A246" s="108"/>
      <c r="B246" s="86"/>
      <c r="C246" s="86"/>
      <c r="D246" s="88" t="s">
        <v>14297</v>
      </c>
      <c r="E246" s="89" t="s">
        <v>14298</v>
      </c>
      <c r="F246" s="88" t="s">
        <v>38</v>
      </c>
      <c r="G246" s="94" t="s">
        <v>14299</v>
      </c>
      <c r="H246" s="95" t="s">
        <v>14300</v>
      </c>
      <c r="I246" s="98" t="s">
        <v>50</v>
      </c>
      <c r="J246" s="95" t="s">
        <v>14301</v>
      </c>
      <c r="K246" s="95" t="s">
        <v>14302</v>
      </c>
    </row>
    <row r="247" customFormat="false" ht="14.25" hidden="false" customHeight="true" outlineLevel="0" collapsed="false">
      <c r="A247" s="108"/>
      <c r="B247" s="86"/>
      <c r="C247" s="86"/>
      <c r="D247" s="88"/>
      <c r="E247" s="88"/>
      <c r="F247" s="88"/>
      <c r="G247" s="94" t="s">
        <v>14303</v>
      </c>
      <c r="H247" s="95" t="s">
        <v>14304</v>
      </c>
      <c r="I247" s="98" t="s">
        <v>50</v>
      </c>
      <c r="J247" s="95" t="s">
        <v>14305</v>
      </c>
      <c r="K247" s="95" t="s">
        <v>14306</v>
      </c>
    </row>
    <row r="248" customFormat="false" ht="14.25" hidden="false" customHeight="true" outlineLevel="0" collapsed="false">
      <c r="A248" s="108"/>
      <c r="B248" s="86"/>
      <c r="C248" s="86"/>
      <c r="D248" s="88" t="s">
        <v>14307</v>
      </c>
      <c r="E248" s="89" t="s">
        <v>14308</v>
      </c>
      <c r="F248" s="88" t="s">
        <v>48</v>
      </c>
      <c r="G248" s="94" t="s">
        <v>14309</v>
      </c>
      <c r="H248" s="95" t="s">
        <v>14310</v>
      </c>
      <c r="I248" s="98" t="s">
        <v>50</v>
      </c>
      <c r="J248" s="95" t="s">
        <v>14311</v>
      </c>
      <c r="K248" s="95" t="s">
        <v>14312</v>
      </c>
    </row>
    <row r="249" customFormat="false" ht="14.25" hidden="false" customHeight="true" outlineLevel="0" collapsed="false">
      <c r="A249" s="108"/>
      <c r="B249" s="86"/>
      <c r="C249" s="86"/>
      <c r="D249" s="88"/>
      <c r="E249" s="88"/>
      <c r="F249" s="88"/>
      <c r="G249" s="94" t="s">
        <v>14313</v>
      </c>
      <c r="H249" s="95" t="s">
        <v>14314</v>
      </c>
      <c r="I249" s="98" t="s">
        <v>50</v>
      </c>
      <c r="J249" s="95" t="s">
        <v>14315</v>
      </c>
      <c r="K249" s="95" t="s">
        <v>14316</v>
      </c>
    </row>
    <row r="250" customFormat="false" ht="14.25" hidden="false" customHeight="true" outlineLevel="0" collapsed="false">
      <c r="A250" s="108"/>
      <c r="B250" s="86"/>
      <c r="C250" s="86"/>
      <c r="D250" s="88" t="s">
        <v>14317</v>
      </c>
      <c r="E250" s="89" t="s">
        <v>14318</v>
      </c>
      <c r="F250" s="88" t="s">
        <v>58</v>
      </c>
      <c r="G250" s="94" t="s">
        <v>14319</v>
      </c>
      <c r="H250" s="95" t="s">
        <v>14320</v>
      </c>
      <c r="I250" s="98" t="s">
        <v>50</v>
      </c>
      <c r="J250" s="95" t="s">
        <v>14321</v>
      </c>
      <c r="K250" s="95" t="s">
        <v>14322</v>
      </c>
    </row>
    <row r="251" customFormat="false" ht="14.25" hidden="false" customHeight="true" outlineLevel="0" collapsed="false">
      <c r="A251" s="108"/>
      <c r="B251" s="86"/>
      <c r="C251" s="87"/>
      <c r="D251" s="87"/>
      <c r="E251" s="87"/>
      <c r="F251" s="87"/>
      <c r="G251" s="94" t="s">
        <v>14323</v>
      </c>
      <c r="H251" s="95" t="s">
        <v>14324</v>
      </c>
      <c r="I251" s="98" t="s">
        <v>50</v>
      </c>
      <c r="J251" s="95" t="s">
        <v>14325</v>
      </c>
      <c r="K251" s="95" t="s">
        <v>14326</v>
      </c>
    </row>
    <row r="252" customFormat="false" ht="14.25" hidden="false" customHeight="true" outlineLevel="0" collapsed="false">
      <c r="A252" s="108"/>
      <c r="B252" s="86"/>
      <c r="C252" s="87" t="s">
        <v>14327</v>
      </c>
      <c r="D252" s="88" t="s">
        <v>14328</v>
      </c>
      <c r="E252" s="89" t="s">
        <v>14329</v>
      </c>
      <c r="F252" s="88" t="s">
        <v>38</v>
      </c>
      <c r="G252" s="94" t="s">
        <v>14330</v>
      </c>
      <c r="H252" s="95" t="s">
        <v>14331</v>
      </c>
      <c r="I252" s="98" t="s">
        <v>50</v>
      </c>
      <c r="J252" s="95" t="s">
        <v>14332</v>
      </c>
      <c r="K252" s="95" t="s">
        <v>14333</v>
      </c>
    </row>
    <row r="253" customFormat="false" ht="14.25" hidden="false" customHeight="true" outlineLevel="0" collapsed="false">
      <c r="A253" s="108"/>
      <c r="B253" s="86"/>
      <c r="C253" s="86"/>
      <c r="D253" s="88"/>
      <c r="E253" s="88"/>
      <c r="F253" s="88"/>
      <c r="G253" s="94" t="s">
        <v>14334</v>
      </c>
      <c r="H253" s="95" t="s">
        <v>14314</v>
      </c>
      <c r="I253" s="98" t="s">
        <v>50</v>
      </c>
      <c r="J253" s="95" t="s">
        <v>14335</v>
      </c>
      <c r="K253" s="95" t="s">
        <v>14336</v>
      </c>
    </row>
    <row r="254" customFormat="false" ht="14.25" hidden="false" customHeight="true" outlineLevel="0" collapsed="false">
      <c r="A254" s="108"/>
      <c r="B254" s="86"/>
      <c r="C254" s="86"/>
      <c r="D254" s="88" t="s">
        <v>14337</v>
      </c>
      <c r="E254" s="89" t="s">
        <v>14338</v>
      </c>
      <c r="F254" s="88" t="s">
        <v>38</v>
      </c>
      <c r="G254" s="94" t="s">
        <v>14339</v>
      </c>
      <c r="H254" s="95" t="s">
        <v>14340</v>
      </c>
      <c r="I254" s="98" t="s">
        <v>50</v>
      </c>
      <c r="J254" s="95" t="s">
        <v>14341</v>
      </c>
      <c r="K254" s="95" t="s">
        <v>14342</v>
      </c>
    </row>
    <row r="255" customFormat="false" ht="14.25" hidden="false" customHeight="true" outlineLevel="0" collapsed="false">
      <c r="A255" s="108"/>
      <c r="B255" s="86"/>
      <c r="C255" s="86"/>
      <c r="D255" s="88"/>
      <c r="E255" s="88"/>
      <c r="F255" s="88"/>
      <c r="G255" s="94" t="s">
        <v>14343</v>
      </c>
      <c r="H255" s="95" t="s">
        <v>14344</v>
      </c>
      <c r="I255" s="98" t="s">
        <v>50</v>
      </c>
      <c r="J255" s="95" t="s">
        <v>14345</v>
      </c>
      <c r="K255" s="95" t="s">
        <v>14346</v>
      </c>
    </row>
    <row r="256" customFormat="false" ht="14.25" hidden="false" customHeight="true" outlineLevel="0" collapsed="false">
      <c r="A256" s="108"/>
      <c r="B256" s="86"/>
      <c r="C256" s="86"/>
      <c r="D256" s="88" t="s">
        <v>14347</v>
      </c>
      <c r="E256" s="89" t="s">
        <v>14348</v>
      </c>
      <c r="F256" s="88" t="s">
        <v>38</v>
      </c>
      <c r="G256" s="94" t="s">
        <v>14349</v>
      </c>
      <c r="H256" s="95" t="s">
        <v>14350</v>
      </c>
      <c r="I256" s="98" t="s">
        <v>50</v>
      </c>
      <c r="J256" s="95" t="s">
        <v>14351</v>
      </c>
      <c r="K256" s="95" t="s">
        <v>14352</v>
      </c>
    </row>
    <row r="257" customFormat="false" ht="14.25" hidden="false" customHeight="true" outlineLevel="0" collapsed="false">
      <c r="A257" s="108"/>
      <c r="B257" s="86"/>
      <c r="C257" s="86"/>
      <c r="D257" s="88"/>
      <c r="E257" s="88"/>
      <c r="F257" s="88"/>
      <c r="G257" s="94" t="s">
        <v>14353</v>
      </c>
      <c r="H257" s="95" t="s">
        <v>14354</v>
      </c>
      <c r="I257" s="98" t="s">
        <v>50</v>
      </c>
      <c r="J257" s="95" t="s">
        <v>14355</v>
      </c>
      <c r="K257" s="95" t="s">
        <v>14356</v>
      </c>
    </row>
    <row r="258" customFormat="false" ht="14.25" hidden="false" customHeight="true" outlineLevel="0" collapsed="false">
      <c r="A258" s="108"/>
      <c r="B258" s="86"/>
      <c r="C258" s="86"/>
      <c r="D258" s="88" t="s">
        <v>14357</v>
      </c>
      <c r="E258" s="89" t="s">
        <v>14358</v>
      </c>
      <c r="F258" s="88" t="s">
        <v>48</v>
      </c>
      <c r="G258" s="94" t="s">
        <v>14359</v>
      </c>
      <c r="H258" s="95" t="s">
        <v>14360</v>
      </c>
      <c r="I258" s="109" t="s">
        <v>40</v>
      </c>
      <c r="J258" s="95" t="s">
        <v>14361</v>
      </c>
      <c r="K258" s="95" t="s">
        <v>14362</v>
      </c>
    </row>
    <row r="259" customFormat="false" ht="14.25" hidden="false" customHeight="true" outlineLevel="0" collapsed="false">
      <c r="A259" s="108"/>
      <c r="B259" s="86"/>
      <c r="C259" s="86"/>
      <c r="D259" s="88"/>
      <c r="E259" s="88"/>
      <c r="F259" s="88"/>
      <c r="G259" s="94" t="s">
        <v>14363</v>
      </c>
      <c r="H259" s="95" t="s">
        <v>14364</v>
      </c>
      <c r="I259" s="110" t="s">
        <v>40</v>
      </c>
      <c r="J259" s="95" t="s">
        <v>14365</v>
      </c>
      <c r="K259" s="95" t="s">
        <v>14366</v>
      </c>
    </row>
    <row r="260" customFormat="false" ht="14.25" hidden="false" customHeight="true" outlineLevel="0" collapsed="false">
      <c r="A260" s="108"/>
      <c r="B260" s="86"/>
      <c r="C260" s="86"/>
      <c r="D260" s="88" t="s">
        <v>14367</v>
      </c>
      <c r="E260" s="89" t="s">
        <v>14368</v>
      </c>
      <c r="F260" s="88" t="s">
        <v>38</v>
      </c>
      <c r="G260" s="94" t="s">
        <v>14369</v>
      </c>
      <c r="H260" s="95" t="s">
        <v>14370</v>
      </c>
      <c r="I260" s="110" t="s">
        <v>40</v>
      </c>
      <c r="J260" s="95" t="s">
        <v>14371</v>
      </c>
      <c r="K260" s="95" t="s">
        <v>14372</v>
      </c>
    </row>
    <row r="261" customFormat="false" ht="14.25" hidden="false" customHeight="true" outlineLevel="0" collapsed="false">
      <c r="A261" s="108"/>
      <c r="B261" s="86"/>
      <c r="C261" s="87"/>
      <c r="D261" s="87"/>
      <c r="E261" s="87"/>
      <c r="F261" s="87"/>
      <c r="G261" s="94" t="s">
        <v>14373</v>
      </c>
      <c r="H261" s="95" t="s">
        <v>14374</v>
      </c>
      <c r="I261" s="109" t="s">
        <v>40</v>
      </c>
      <c r="J261" s="95" t="s">
        <v>14375</v>
      </c>
      <c r="K261" s="95" t="s">
        <v>14376</v>
      </c>
    </row>
    <row r="262" customFormat="false" ht="14.25" hidden="false" customHeight="true" outlineLevel="0" collapsed="false">
      <c r="A262" s="108"/>
      <c r="B262" s="86"/>
      <c r="C262" s="87" t="s">
        <v>14377</v>
      </c>
      <c r="D262" s="88" t="s">
        <v>14378</v>
      </c>
      <c r="E262" s="89" t="s">
        <v>14379</v>
      </c>
      <c r="F262" s="88" t="s">
        <v>38</v>
      </c>
      <c r="G262" s="94" t="s">
        <v>14380</v>
      </c>
      <c r="H262" s="95" t="s">
        <v>14381</v>
      </c>
      <c r="I262" s="110" t="s">
        <v>40</v>
      </c>
      <c r="J262" s="95" t="s">
        <v>14382</v>
      </c>
      <c r="K262" s="95" t="s">
        <v>14383</v>
      </c>
    </row>
    <row r="263" customFormat="false" ht="14.25" hidden="false" customHeight="true" outlineLevel="0" collapsed="false">
      <c r="A263" s="108"/>
      <c r="B263" s="86"/>
      <c r="C263" s="86"/>
      <c r="D263" s="88"/>
      <c r="E263" s="88"/>
      <c r="F263" s="88"/>
      <c r="G263" s="94" t="s">
        <v>14384</v>
      </c>
      <c r="H263" s="95" t="s">
        <v>14385</v>
      </c>
      <c r="I263" s="110" t="s">
        <v>40</v>
      </c>
      <c r="J263" s="95" t="s">
        <v>14386</v>
      </c>
      <c r="K263" s="95" t="s">
        <v>14387</v>
      </c>
    </row>
    <row r="264" customFormat="false" ht="14.25" hidden="false" customHeight="true" outlineLevel="0" collapsed="false">
      <c r="A264" s="108"/>
      <c r="B264" s="86"/>
      <c r="C264" s="86"/>
      <c r="D264" s="88" t="s">
        <v>14388</v>
      </c>
      <c r="E264" s="89" t="s">
        <v>14389</v>
      </c>
      <c r="F264" s="88" t="s">
        <v>38</v>
      </c>
      <c r="G264" s="94" t="s">
        <v>14390</v>
      </c>
      <c r="H264" s="95" t="s">
        <v>14391</v>
      </c>
      <c r="I264" s="111" t="s">
        <v>50</v>
      </c>
      <c r="J264" s="95" t="s">
        <v>14392</v>
      </c>
      <c r="K264" s="95" t="s">
        <v>14393</v>
      </c>
    </row>
    <row r="265" customFormat="false" ht="14.25" hidden="false" customHeight="true" outlineLevel="0" collapsed="false">
      <c r="A265" s="108"/>
      <c r="B265" s="86"/>
      <c r="C265" s="86"/>
      <c r="D265" s="88"/>
      <c r="E265" s="88"/>
      <c r="F265" s="88"/>
      <c r="G265" s="94" t="s">
        <v>14394</v>
      </c>
      <c r="H265" s="95" t="s">
        <v>14395</v>
      </c>
      <c r="I265" s="111" t="s">
        <v>50</v>
      </c>
      <c r="J265" s="95" t="s">
        <v>14396</v>
      </c>
      <c r="K265" s="95" t="s">
        <v>14397</v>
      </c>
    </row>
    <row r="266" customFormat="false" ht="14.25" hidden="false" customHeight="true" outlineLevel="0" collapsed="false">
      <c r="A266" s="108"/>
      <c r="B266" s="86"/>
      <c r="C266" s="86"/>
      <c r="D266" s="88" t="s">
        <v>14398</v>
      </c>
      <c r="E266" s="89" t="s">
        <v>14399</v>
      </c>
      <c r="F266" s="88" t="s">
        <v>48</v>
      </c>
      <c r="G266" s="94" t="s">
        <v>14400</v>
      </c>
      <c r="H266" s="95" t="s">
        <v>14401</v>
      </c>
      <c r="I266" s="111" t="s">
        <v>50</v>
      </c>
      <c r="J266" s="95" t="s">
        <v>14402</v>
      </c>
      <c r="K266" s="95" t="s">
        <v>14403</v>
      </c>
    </row>
    <row r="267" customFormat="false" ht="14.25" hidden="false" customHeight="true" outlineLevel="0" collapsed="false">
      <c r="A267" s="108"/>
      <c r="B267" s="86"/>
      <c r="C267" s="86"/>
      <c r="D267" s="88"/>
      <c r="E267" s="88"/>
      <c r="F267" s="88"/>
      <c r="G267" s="94" t="s">
        <v>14404</v>
      </c>
      <c r="H267" s="95" t="s">
        <v>14405</v>
      </c>
      <c r="I267" s="111" t="s">
        <v>50</v>
      </c>
      <c r="J267" s="95" t="s">
        <v>14406</v>
      </c>
      <c r="K267" s="95" t="s">
        <v>14407</v>
      </c>
    </row>
    <row r="268" customFormat="false" ht="14.25" hidden="false" customHeight="true" outlineLevel="0" collapsed="false">
      <c r="A268" s="108"/>
      <c r="B268" s="86"/>
      <c r="C268" s="86"/>
      <c r="D268" s="88" t="s">
        <v>14408</v>
      </c>
      <c r="E268" s="89" t="s">
        <v>14409</v>
      </c>
      <c r="F268" s="88" t="s">
        <v>48</v>
      </c>
      <c r="G268" s="94" t="s">
        <v>14410</v>
      </c>
      <c r="H268" s="95" t="s">
        <v>14411</v>
      </c>
      <c r="I268" s="111" t="s">
        <v>50</v>
      </c>
      <c r="J268" s="95" t="s">
        <v>14412</v>
      </c>
      <c r="K268" s="95" t="s">
        <v>14413</v>
      </c>
    </row>
    <row r="269" customFormat="false" ht="14.25" hidden="false" customHeight="true" outlineLevel="0" collapsed="false">
      <c r="A269" s="108"/>
      <c r="B269" s="86"/>
      <c r="C269" s="86"/>
      <c r="D269" s="88"/>
      <c r="E269" s="88"/>
      <c r="F269" s="88"/>
      <c r="G269" s="94" t="s">
        <v>14414</v>
      </c>
      <c r="H269" s="95" t="s">
        <v>14415</v>
      </c>
      <c r="I269" s="111" t="s">
        <v>50</v>
      </c>
      <c r="J269" s="95" t="s">
        <v>14416</v>
      </c>
      <c r="K269" s="95" t="s">
        <v>14417</v>
      </c>
    </row>
    <row r="270" customFormat="false" ht="14.25" hidden="false" customHeight="true" outlineLevel="0" collapsed="false">
      <c r="A270" s="108"/>
      <c r="B270" s="86"/>
      <c r="C270" s="86"/>
      <c r="D270" s="88" t="s">
        <v>14418</v>
      </c>
      <c r="E270" s="89" t="s">
        <v>14419</v>
      </c>
      <c r="F270" s="88" t="s">
        <v>48</v>
      </c>
      <c r="G270" s="94" t="s">
        <v>14420</v>
      </c>
      <c r="H270" s="95" t="s">
        <v>14421</v>
      </c>
      <c r="I270" s="111" t="s">
        <v>50</v>
      </c>
      <c r="J270" s="95" t="s">
        <v>14422</v>
      </c>
      <c r="K270" s="95" t="s">
        <v>14423</v>
      </c>
    </row>
    <row r="271" customFormat="false" ht="14.25" hidden="false" customHeight="true" outlineLevel="0" collapsed="false">
      <c r="A271" s="108"/>
      <c r="B271" s="86"/>
      <c r="C271" s="87"/>
      <c r="D271" s="87"/>
      <c r="E271" s="87"/>
      <c r="F271" s="87"/>
      <c r="G271" s="94" t="s">
        <v>14424</v>
      </c>
      <c r="H271" s="95" t="s">
        <v>14425</v>
      </c>
      <c r="I271" s="111" t="s">
        <v>50</v>
      </c>
      <c r="J271" s="95" t="s">
        <v>14426</v>
      </c>
      <c r="K271" s="95" t="s">
        <v>14427</v>
      </c>
    </row>
    <row r="272" customFormat="false" ht="14.25" hidden="false" customHeight="true" outlineLevel="0" collapsed="false">
      <c r="A272" s="108"/>
      <c r="B272" s="86"/>
      <c r="C272" s="87" t="s">
        <v>14428</v>
      </c>
      <c r="D272" s="88" t="s">
        <v>14429</v>
      </c>
      <c r="E272" s="89" t="s">
        <v>14430</v>
      </c>
      <c r="F272" s="88" t="s">
        <v>48</v>
      </c>
      <c r="G272" s="94" t="s">
        <v>14431</v>
      </c>
      <c r="H272" s="95" t="s">
        <v>14432</v>
      </c>
      <c r="I272" s="111" t="s">
        <v>50</v>
      </c>
      <c r="J272" s="95" t="s">
        <v>14433</v>
      </c>
      <c r="K272" s="95" t="s">
        <v>14434</v>
      </c>
    </row>
    <row r="273" customFormat="false" ht="14.25" hidden="false" customHeight="true" outlineLevel="0" collapsed="false">
      <c r="A273" s="108"/>
      <c r="B273" s="86"/>
      <c r="C273" s="86"/>
      <c r="D273" s="88"/>
      <c r="E273" s="88"/>
      <c r="F273" s="88"/>
      <c r="G273" s="94" t="s">
        <v>14435</v>
      </c>
      <c r="H273" s="95" t="s">
        <v>14436</v>
      </c>
      <c r="I273" s="111" t="s">
        <v>50</v>
      </c>
      <c r="J273" s="95" t="s">
        <v>14436</v>
      </c>
      <c r="K273" s="95" t="s">
        <v>14437</v>
      </c>
    </row>
    <row r="274" customFormat="false" ht="14.25" hidden="false" customHeight="true" outlineLevel="0" collapsed="false">
      <c r="A274" s="108"/>
      <c r="B274" s="86"/>
      <c r="C274" s="86"/>
      <c r="D274" s="88" t="s">
        <v>14438</v>
      </c>
      <c r="E274" s="89" t="s">
        <v>14439</v>
      </c>
      <c r="F274" s="88" t="s">
        <v>38</v>
      </c>
      <c r="G274" s="94" t="s">
        <v>14440</v>
      </c>
      <c r="H274" s="95" t="s">
        <v>14441</v>
      </c>
      <c r="I274" s="111" t="s">
        <v>50</v>
      </c>
      <c r="J274" s="95" t="s">
        <v>14442</v>
      </c>
      <c r="K274" s="95" t="s">
        <v>14443</v>
      </c>
    </row>
    <row r="275" customFormat="false" ht="14.25" hidden="false" customHeight="true" outlineLevel="0" collapsed="false">
      <c r="A275" s="108"/>
      <c r="B275" s="86"/>
      <c r="C275" s="86"/>
      <c r="D275" s="88"/>
      <c r="E275" s="88"/>
      <c r="F275" s="88"/>
      <c r="G275" s="94" t="s">
        <v>14444</v>
      </c>
      <c r="H275" s="95" t="s">
        <v>14445</v>
      </c>
      <c r="I275" s="111" t="s">
        <v>50</v>
      </c>
      <c r="J275" s="95" t="s">
        <v>14441</v>
      </c>
      <c r="K275" s="95" t="s">
        <v>14446</v>
      </c>
    </row>
    <row r="276" customFormat="false" ht="14.25" hidden="false" customHeight="true" outlineLevel="0" collapsed="false">
      <c r="A276" s="108"/>
      <c r="B276" s="86"/>
      <c r="C276" s="86"/>
      <c r="D276" s="88" t="s">
        <v>14447</v>
      </c>
      <c r="E276" s="89" t="s">
        <v>14448</v>
      </c>
      <c r="F276" s="88" t="s">
        <v>38</v>
      </c>
      <c r="G276" s="94" t="s">
        <v>14449</v>
      </c>
      <c r="H276" s="95" t="s">
        <v>14450</v>
      </c>
      <c r="I276" s="111" t="s">
        <v>50</v>
      </c>
      <c r="J276" s="95" t="s">
        <v>14451</v>
      </c>
      <c r="K276" s="95" t="s">
        <v>14452</v>
      </c>
    </row>
    <row r="277" customFormat="false" ht="14.25" hidden="false" customHeight="true" outlineLevel="0" collapsed="false">
      <c r="A277" s="108"/>
      <c r="B277" s="86"/>
      <c r="C277" s="86"/>
      <c r="D277" s="88"/>
      <c r="E277" s="88"/>
      <c r="F277" s="88"/>
      <c r="G277" s="94" t="s">
        <v>14453</v>
      </c>
      <c r="H277" s="95" t="s">
        <v>14454</v>
      </c>
      <c r="I277" s="111" t="s">
        <v>50</v>
      </c>
      <c r="J277" s="95" t="s">
        <v>14445</v>
      </c>
      <c r="K277" s="95" t="s">
        <v>14455</v>
      </c>
    </row>
    <row r="278" customFormat="false" ht="14.25" hidden="false" customHeight="true" outlineLevel="0" collapsed="false">
      <c r="A278" s="108"/>
      <c r="B278" s="86"/>
      <c r="C278" s="86"/>
      <c r="D278" s="88" t="s">
        <v>14456</v>
      </c>
      <c r="E278" s="89" t="s">
        <v>14457</v>
      </c>
      <c r="F278" s="88" t="s">
        <v>38</v>
      </c>
      <c r="G278" s="94" t="s">
        <v>14458</v>
      </c>
      <c r="H278" s="95" t="s">
        <v>14459</v>
      </c>
      <c r="I278" s="111" t="s">
        <v>50</v>
      </c>
      <c r="J278" s="95" t="s">
        <v>14460</v>
      </c>
      <c r="K278" s="95" t="s">
        <v>14461</v>
      </c>
    </row>
    <row r="279" customFormat="false" ht="14.25" hidden="false" customHeight="true" outlineLevel="0" collapsed="false">
      <c r="A279" s="108"/>
      <c r="B279" s="86"/>
      <c r="C279" s="86"/>
      <c r="D279" s="88"/>
      <c r="E279" s="88"/>
      <c r="F279" s="88"/>
      <c r="G279" s="94" t="s">
        <v>13222</v>
      </c>
      <c r="H279" s="95" t="s">
        <v>14462</v>
      </c>
      <c r="I279" s="111" t="s">
        <v>50</v>
      </c>
      <c r="J279" s="95" t="s">
        <v>14450</v>
      </c>
      <c r="K279" s="95" t="s">
        <v>14463</v>
      </c>
    </row>
    <row r="280" customFormat="false" ht="14.25" hidden="false" customHeight="true" outlineLevel="0" collapsed="false">
      <c r="A280" s="108"/>
      <c r="B280" s="86"/>
      <c r="C280" s="87"/>
      <c r="D280" s="88" t="s">
        <v>14464</v>
      </c>
      <c r="E280" s="89" t="s">
        <v>14465</v>
      </c>
      <c r="F280" s="88" t="s">
        <v>38</v>
      </c>
      <c r="G280" s="94" t="s">
        <v>14466</v>
      </c>
      <c r="H280" s="95" t="s">
        <v>14467</v>
      </c>
      <c r="I280" s="111" t="s">
        <v>50</v>
      </c>
      <c r="J280" s="95" t="s">
        <v>14468</v>
      </c>
      <c r="K280" s="95" t="s">
        <v>14469</v>
      </c>
    </row>
    <row r="281" customFormat="false" ht="14.25" hidden="false" customHeight="true" outlineLevel="0" collapsed="false">
      <c r="A281" s="108"/>
      <c r="B281" s="107"/>
      <c r="C281" s="87"/>
      <c r="D281" s="87"/>
      <c r="E281" s="87"/>
      <c r="F281" s="87"/>
      <c r="G281" s="94" t="s">
        <v>14470</v>
      </c>
      <c r="H281" s="95" t="s">
        <v>14471</v>
      </c>
      <c r="I281" s="111" t="s">
        <v>50</v>
      </c>
      <c r="J281" s="95" t="s">
        <v>14454</v>
      </c>
      <c r="K281" s="95" t="s">
        <v>14472</v>
      </c>
    </row>
    <row r="282" customFormat="false" ht="14.25" hidden="false" customHeight="true" outlineLevel="0" collapsed="false">
      <c r="A282" s="108"/>
      <c r="B282" s="86" t="s">
        <v>14473</v>
      </c>
      <c r="C282" s="87" t="s">
        <v>14474</v>
      </c>
      <c r="D282" s="88" t="s">
        <v>14475</v>
      </c>
      <c r="E282" s="89" t="s">
        <v>14476</v>
      </c>
      <c r="F282" s="88" t="s">
        <v>38</v>
      </c>
      <c r="G282" s="94" t="s">
        <v>14477</v>
      </c>
      <c r="H282" s="95" t="s">
        <v>14478</v>
      </c>
      <c r="I282" s="111" t="s">
        <v>50</v>
      </c>
      <c r="J282" s="95" t="s">
        <v>14479</v>
      </c>
      <c r="K282" s="95" t="s">
        <v>14480</v>
      </c>
    </row>
    <row r="283" customFormat="false" ht="14.25" hidden="false" customHeight="true" outlineLevel="0" collapsed="false">
      <c r="A283" s="108"/>
      <c r="B283" s="86"/>
      <c r="C283" s="86"/>
      <c r="D283" s="88"/>
      <c r="E283" s="88"/>
      <c r="F283" s="88"/>
      <c r="G283" s="94" t="s">
        <v>14481</v>
      </c>
      <c r="H283" s="95" t="s">
        <v>14482</v>
      </c>
      <c r="I283" s="111" t="s">
        <v>50</v>
      </c>
      <c r="J283" s="95" t="s">
        <v>14459</v>
      </c>
      <c r="K283" s="95" t="s">
        <v>14480</v>
      </c>
    </row>
    <row r="284" customFormat="false" ht="14.25" hidden="false" customHeight="true" outlineLevel="0" collapsed="false">
      <c r="A284" s="108"/>
      <c r="B284" s="86"/>
      <c r="C284" s="86"/>
      <c r="D284" s="88" t="s">
        <v>14483</v>
      </c>
      <c r="E284" s="89" t="s">
        <v>14484</v>
      </c>
      <c r="F284" s="88" t="s">
        <v>38</v>
      </c>
      <c r="G284" s="94" t="s">
        <v>14485</v>
      </c>
      <c r="H284" s="95" t="s">
        <v>14486</v>
      </c>
      <c r="I284" s="111" t="s">
        <v>50</v>
      </c>
      <c r="J284" s="95" t="s">
        <v>14487</v>
      </c>
      <c r="K284" s="95" t="s">
        <v>14488</v>
      </c>
    </row>
    <row r="285" customFormat="false" ht="14.25" hidden="false" customHeight="true" outlineLevel="0" collapsed="false">
      <c r="A285" s="108"/>
      <c r="B285" s="86"/>
      <c r="C285" s="86"/>
      <c r="D285" s="88"/>
      <c r="E285" s="88"/>
      <c r="F285" s="88"/>
      <c r="G285" s="94" t="s">
        <v>14489</v>
      </c>
      <c r="H285" s="95" t="s">
        <v>14490</v>
      </c>
      <c r="I285" s="111" t="s">
        <v>50</v>
      </c>
      <c r="J285" s="95" t="s">
        <v>14462</v>
      </c>
      <c r="K285" s="95" t="s">
        <v>14491</v>
      </c>
    </row>
    <row r="286" customFormat="false" ht="14.25" hidden="false" customHeight="true" outlineLevel="0" collapsed="false">
      <c r="A286" s="108"/>
      <c r="B286" s="86"/>
      <c r="C286" s="86"/>
      <c r="D286" s="88" t="s">
        <v>14492</v>
      </c>
      <c r="E286" s="89" t="s">
        <v>14493</v>
      </c>
      <c r="F286" s="88" t="s">
        <v>38</v>
      </c>
      <c r="G286" s="94" t="s">
        <v>14494</v>
      </c>
      <c r="H286" s="95" t="s">
        <v>14495</v>
      </c>
      <c r="I286" s="112" t="s">
        <v>40</v>
      </c>
      <c r="J286" s="95" t="s">
        <v>14496</v>
      </c>
      <c r="K286" s="95" t="s">
        <v>14497</v>
      </c>
    </row>
    <row r="287" customFormat="false" ht="14.25" hidden="false" customHeight="true" outlineLevel="0" collapsed="false">
      <c r="A287" s="108"/>
      <c r="B287" s="86"/>
      <c r="C287" s="86"/>
      <c r="D287" s="88"/>
      <c r="E287" s="88"/>
      <c r="F287" s="88"/>
      <c r="G287" s="94" t="s">
        <v>14498</v>
      </c>
      <c r="H287" s="95" t="s">
        <v>14499</v>
      </c>
      <c r="I287" s="112" t="s">
        <v>40</v>
      </c>
      <c r="J287" s="95" t="s">
        <v>14467</v>
      </c>
      <c r="K287" s="95" t="s">
        <v>14500</v>
      </c>
    </row>
    <row r="288" customFormat="false" ht="14.25" hidden="false" customHeight="true" outlineLevel="0" collapsed="false">
      <c r="A288" s="108"/>
      <c r="B288" s="86"/>
      <c r="C288" s="86"/>
      <c r="D288" s="88" t="s">
        <v>14501</v>
      </c>
      <c r="E288" s="89" t="s">
        <v>14502</v>
      </c>
      <c r="F288" s="88" t="s">
        <v>38</v>
      </c>
      <c r="G288" s="94" t="s">
        <v>14503</v>
      </c>
      <c r="H288" s="95" t="s">
        <v>14504</v>
      </c>
      <c r="I288" s="112" t="s">
        <v>40</v>
      </c>
      <c r="J288" s="95" t="s">
        <v>14504</v>
      </c>
      <c r="K288" s="95" t="s">
        <v>14505</v>
      </c>
    </row>
    <row r="289" customFormat="false" ht="14.25" hidden="false" customHeight="true" outlineLevel="0" collapsed="false">
      <c r="A289" s="108"/>
      <c r="B289" s="86"/>
      <c r="C289" s="86"/>
      <c r="D289" s="88"/>
      <c r="E289" s="88"/>
      <c r="F289" s="88"/>
      <c r="G289" s="94" t="s">
        <v>14506</v>
      </c>
      <c r="H289" s="95" t="s">
        <v>14507</v>
      </c>
      <c r="I289" s="112" t="s">
        <v>40</v>
      </c>
      <c r="J289" s="95" t="s">
        <v>14507</v>
      </c>
      <c r="K289" s="95" t="s">
        <v>14508</v>
      </c>
    </row>
    <row r="290" customFormat="false" ht="14.25" hidden="false" customHeight="true" outlineLevel="0" collapsed="false">
      <c r="A290" s="108"/>
      <c r="B290" s="86"/>
      <c r="C290" s="86"/>
      <c r="D290" s="88" t="s">
        <v>14509</v>
      </c>
      <c r="E290" s="89" t="s">
        <v>14510</v>
      </c>
      <c r="F290" s="88" t="s">
        <v>38</v>
      </c>
      <c r="G290" s="94" t="s">
        <v>14511</v>
      </c>
      <c r="H290" s="95" t="s">
        <v>14512</v>
      </c>
      <c r="I290" s="112" t="s">
        <v>40</v>
      </c>
      <c r="J290" s="95" t="s">
        <v>14512</v>
      </c>
      <c r="K290" s="95" t="s">
        <v>14513</v>
      </c>
    </row>
    <row r="291" customFormat="false" ht="14.25" hidden="false" customHeight="true" outlineLevel="0" collapsed="false">
      <c r="A291" s="108"/>
      <c r="B291" s="86"/>
      <c r="C291" s="87"/>
      <c r="D291" s="87"/>
      <c r="E291" s="87"/>
      <c r="F291" s="87"/>
      <c r="G291" s="94" t="s">
        <v>14514</v>
      </c>
      <c r="H291" s="95" t="s">
        <v>14515</v>
      </c>
      <c r="I291" s="112" t="s">
        <v>40</v>
      </c>
      <c r="J291" s="95" t="s">
        <v>14515</v>
      </c>
      <c r="K291" s="95" t="s">
        <v>14516</v>
      </c>
    </row>
    <row r="292" customFormat="false" ht="14.25" hidden="false" customHeight="true" outlineLevel="0" collapsed="false">
      <c r="A292" s="108"/>
      <c r="B292" s="86"/>
      <c r="C292" s="87" t="s">
        <v>14517</v>
      </c>
      <c r="D292" s="88" t="s">
        <v>14518</v>
      </c>
      <c r="E292" s="89" t="s">
        <v>14519</v>
      </c>
      <c r="F292" s="88" t="s">
        <v>38</v>
      </c>
      <c r="G292" s="94" t="s">
        <v>14520</v>
      </c>
      <c r="H292" s="95" t="s">
        <v>14521</v>
      </c>
      <c r="I292" s="112" t="s">
        <v>40</v>
      </c>
      <c r="J292" s="95" t="s">
        <v>14521</v>
      </c>
      <c r="K292" s="95" t="s">
        <v>14522</v>
      </c>
    </row>
    <row r="293" customFormat="false" ht="14.25" hidden="false" customHeight="true" outlineLevel="0" collapsed="false">
      <c r="A293" s="108"/>
      <c r="B293" s="86"/>
      <c r="C293" s="86"/>
      <c r="D293" s="88"/>
      <c r="E293" s="88"/>
      <c r="F293" s="88"/>
      <c r="G293" s="94" t="s">
        <v>14523</v>
      </c>
      <c r="H293" s="95" t="s">
        <v>14524</v>
      </c>
      <c r="I293" s="112" t="s">
        <v>40</v>
      </c>
      <c r="J293" s="95" t="s">
        <v>14524</v>
      </c>
      <c r="K293" s="95" t="s">
        <v>14525</v>
      </c>
    </row>
    <row r="294" customFormat="false" ht="14.25" hidden="false" customHeight="true" outlineLevel="0" collapsed="false">
      <c r="A294" s="108"/>
      <c r="B294" s="86"/>
      <c r="C294" s="86"/>
      <c r="D294" s="88" t="s">
        <v>14526</v>
      </c>
      <c r="E294" s="89" t="s">
        <v>14527</v>
      </c>
      <c r="F294" s="88" t="s">
        <v>38</v>
      </c>
      <c r="G294" s="94" t="s">
        <v>14528</v>
      </c>
      <c r="H294" s="95" t="s">
        <v>14529</v>
      </c>
      <c r="I294" s="112" t="s">
        <v>40</v>
      </c>
      <c r="J294" s="95" t="s">
        <v>14529</v>
      </c>
      <c r="K294" s="95" t="s">
        <v>14530</v>
      </c>
    </row>
    <row r="295" customFormat="false" ht="14.25" hidden="false" customHeight="true" outlineLevel="0" collapsed="false">
      <c r="A295" s="108"/>
      <c r="B295" s="86"/>
      <c r="C295" s="86"/>
      <c r="D295" s="88"/>
      <c r="E295" s="88"/>
      <c r="F295" s="88"/>
      <c r="G295" s="94" t="s">
        <v>14531</v>
      </c>
      <c r="H295" s="95" t="s">
        <v>14532</v>
      </c>
      <c r="I295" s="112" t="s">
        <v>40</v>
      </c>
      <c r="J295" s="95" t="s">
        <v>14532</v>
      </c>
      <c r="K295" s="95" t="s">
        <v>14533</v>
      </c>
    </row>
    <row r="296" customFormat="false" ht="14.25" hidden="false" customHeight="true" outlineLevel="0" collapsed="false">
      <c r="A296" s="108"/>
      <c r="B296" s="86"/>
      <c r="C296" s="86"/>
      <c r="D296" s="88" t="s">
        <v>14534</v>
      </c>
      <c r="E296" s="89" t="s">
        <v>14535</v>
      </c>
      <c r="F296" s="88" t="s">
        <v>38</v>
      </c>
      <c r="G296" s="94" t="s">
        <v>14536</v>
      </c>
      <c r="H296" s="95" t="s">
        <v>14537</v>
      </c>
      <c r="I296" s="112" t="s">
        <v>40</v>
      </c>
      <c r="J296" s="95" t="s">
        <v>14537</v>
      </c>
      <c r="K296" s="95" t="s">
        <v>14538</v>
      </c>
    </row>
    <row r="297" customFormat="false" ht="14.25" hidden="false" customHeight="true" outlineLevel="0" collapsed="false">
      <c r="A297" s="108"/>
      <c r="B297" s="86"/>
      <c r="C297" s="86"/>
      <c r="D297" s="88"/>
      <c r="E297" s="88"/>
      <c r="F297" s="88"/>
      <c r="G297" s="94" t="s">
        <v>14539</v>
      </c>
      <c r="H297" s="95" t="s">
        <v>14540</v>
      </c>
      <c r="I297" s="112" t="s">
        <v>40</v>
      </c>
      <c r="J297" s="95" t="s">
        <v>14540</v>
      </c>
      <c r="K297" s="95" t="s">
        <v>14541</v>
      </c>
    </row>
    <row r="298" customFormat="false" ht="14.25" hidden="false" customHeight="true" outlineLevel="0" collapsed="false">
      <c r="A298" s="108"/>
      <c r="B298" s="86"/>
      <c r="C298" s="86"/>
      <c r="D298" s="88" t="s">
        <v>14542</v>
      </c>
      <c r="E298" s="89" t="s">
        <v>14543</v>
      </c>
      <c r="F298" s="88" t="s">
        <v>38</v>
      </c>
      <c r="G298" s="94" t="s">
        <v>14544</v>
      </c>
      <c r="H298" s="95" t="s">
        <v>14545</v>
      </c>
      <c r="I298" s="112" t="s">
        <v>40</v>
      </c>
      <c r="J298" s="95" t="s">
        <v>14545</v>
      </c>
      <c r="K298" s="95" t="s">
        <v>14546</v>
      </c>
    </row>
    <row r="299" customFormat="false" ht="14.25" hidden="false" customHeight="true" outlineLevel="0" collapsed="false">
      <c r="A299" s="108"/>
      <c r="B299" s="86"/>
      <c r="C299" s="86"/>
      <c r="D299" s="88"/>
      <c r="E299" s="88"/>
      <c r="F299" s="88"/>
      <c r="G299" s="94" t="s">
        <v>14547</v>
      </c>
      <c r="H299" s="95" t="s">
        <v>14548</v>
      </c>
      <c r="I299" s="112" t="s">
        <v>40</v>
      </c>
      <c r="J299" s="95" t="s">
        <v>14548</v>
      </c>
      <c r="K299" s="95" t="s">
        <v>14549</v>
      </c>
    </row>
    <row r="300" customFormat="false" ht="14.25" hidden="false" customHeight="true" outlineLevel="0" collapsed="false">
      <c r="A300" s="108"/>
      <c r="B300" s="86"/>
      <c r="C300" s="86"/>
      <c r="D300" s="88" t="s">
        <v>14550</v>
      </c>
      <c r="E300" s="89" t="s">
        <v>14551</v>
      </c>
      <c r="F300" s="88" t="s">
        <v>38</v>
      </c>
      <c r="G300" s="94" t="s">
        <v>14552</v>
      </c>
      <c r="H300" s="95" t="s">
        <v>14553</v>
      </c>
      <c r="I300" s="112" t="s">
        <v>40</v>
      </c>
      <c r="J300" s="95" t="s">
        <v>14553</v>
      </c>
      <c r="K300" s="95" t="s">
        <v>14554</v>
      </c>
    </row>
    <row r="301" customFormat="false" ht="14.25" hidden="false" customHeight="true" outlineLevel="0" collapsed="false">
      <c r="A301" s="108"/>
      <c r="B301" s="86"/>
      <c r="C301" s="87"/>
      <c r="D301" s="87"/>
      <c r="E301" s="87"/>
      <c r="F301" s="87"/>
      <c r="G301" s="94" t="s">
        <v>14555</v>
      </c>
      <c r="H301" s="95" t="s">
        <v>14556</v>
      </c>
      <c r="I301" s="112" t="s">
        <v>40</v>
      </c>
      <c r="J301" s="95" t="s">
        <v>14556</v>
      </c>
      <c r="K301" s="95" t="s">
        <v>14557</v>
      </c>
    </row>
    <row r="302" customFormat="false" ht="14.25" hidden="false" customHeight="true" outlineLevel="0" collapsed="false">
      <c r="A302" s="108"/>
      <c r="B302" s="86"/>
      <c r="C302" s="87" t="s">
        <v>14558</v>
      </c>
      <c r="D302" s="88" t="s">
        <v>14559</v>
      </c>
      <c r="E302" s="89" t="s">
        <v>14560</v>
      </c>
      <c r="F302" s="88" t="s">
        <v>48</v>
      </c>
      <c r="G302" s="94" t="s">
        <v>14561</v>
      </c>
      <c r="H302" s="95" t="s">
        <v>14562</v>
      </c>
      <c r="I302" s="112" t="s">
        <v>40</v>
      </c>
      <c r="J302" s="95" t="s">
        <v>14562</v>
      </c>
      <c r="K302" s="95" t="s">
        <v>14563</v>
      </c>
    </row>
    <row r="303" customFormat="false" ht="14.25" hidden="false" customHeight="true" outlineLevel="0" collapsed="false">
      <c r="A303" s="108"/>
      <c r="B303" s="86"/>
      <c r="C303" s="86"/>
      <c r="D303" s="88"/>
      <c r="E303" s="88"/>
      <c r="F303" s="88"/>
      <c r="G303" s="94" t="s">
        <v>14564</v>
      </c>
      <c r="H303" s="95" t="s">
        <v>14565</v>
      </c>
      <c r="I303" s="112" t="s">
        <v>40</v>
      </c>
      <c r="J303" s="95" t="s">
        <v>14565</v>
      </c>
      <c r="K303" s="95" t="s">
        <v>14566</v>
      </c>
    </row>
    <row r="304" customFormat="false" ht="14.25" hidden="false" customHeight="true" outlineLevel="0" collapsed="false">
      <c r="A304" s="108"/>
      <c r="B304" s="86"/>
      <c r="C304" s="86"/>
      <c r="D304" s="88" t="s">
        <v>14567</v>
      </c>
      <c r="E304" s="89" t="s">
        <v>14568</v>
      </c>
      <c r="F304" s="88" t="s">
        <v>38</v>
      </c>
      <c r="G304" s="94" t="s">
        <v>14569</v>
      </c>
      <c r="H304" s="95" t="s">
        <v>14570</v>
      </c>
      <c r="I304" s="112" t="s">
        <v>40</v>
      </c>
      <c r="J304" s="95" t="s">
        <v>14570</v>
      </c>
      <c r="K304" s="95" t="s">
        <v>14571</v>
      </c>
    </row>
    <row r="305" customFormat="false" ht="14.25" hidden="false" customHeight="true" outlineLevel="0" collapsed="false">
      <c r="A305" s="108"/>
      <c r="B305" s="86"/>
      <c r="C305" s="86"/>
      <c r="D305" s="88"/>
      <c r="E305" s="88"/>
      <c r="F305" s="88"/>
      <c r="G305" s="94" t="s">
        <v>14572</v>
      </c>
      <c r="H305" s="95" t="s">
        <v>14573</v>
      </c>
      <c r="I305" s="112" t="s">
        <v>40</v>
      </c>
      <c r="J305" s="95" t="s">
        <v>14573</v>
      </c>
      <c r="K305" s="95" t="s">
        <v>14574</v>
      </c>
    </row>
    <row r="306" customFormat="false" ht="14.25" hidden="false" customHeight="true" outlineLevel="0" collapsed="false">
      <c r="A306" s="108"/>
      <c r="B306" s="86"/>
      <c r="C306" s="86"/>
      <c r="D306" s="88" t="s">
        <v>14575</v>
      </c>
      <c r="E306" s="89" t="s">
        <v>14576</v>
      </c>
      <c r="F306" s="88" t="s">
        <v>48</v>
      </c>
      <c r="G306" s="94" t="s">
        <v>14577</v>
      </c>
      <c r="H306" s="95" t="s">
        <v>14578</v>
      </c>
      <c r="I306" s="112" t="s">
        <v>40</v>
      </c>
      <c r="J306" s="95" t="s">
        <v>14578</v>
      </c>
      <c r="K306" s="95" t="s">
        <v>14579</v>
      </c>
    </row>
    <row r="307" customFormat="false" ht="14.25" hidden="false" customHeight="true" outlineLevel="0" collapsed="false">
      <c r="A307" s="108"/>
      <c r="B307" s="86"/>
      <c r="C307" s="86"/>
      <c r="D307" s="88"/>
      <c r="E307" s="88"/>
      <c r="F307" s="88"/>
      <c r="G307" s="94" t="s">
        <v>14580</v>
      </c>
      <c r="H307" s="95" t="s">
        <v>14581</v>
      </c>
      <c r="I307" s="112" t="s">
        <v>40</v>
      </c>
      <c r="J307" s="95" t="s">
        <v>14581</v>
      </c>
      <c r="K307" s="95" t="s">
        <v>14582</v>
      </c>
    </row>
    <row r="308" customFormat="false" ht="14.25" hidden="false" customHeight="true" outlineLevel="0" collapsed="false">
      <c r="A308" s="108"/>
      <c r="B308" s="86"/>
      <c r="C308" s="86"/>
      <c r="D308" s="88" t="s">
        <v>14583</v>
      </c>
      <c r="E308" s="89" t="s">
        <v>14584</v>
      </c>
      <c r="F308" s="88" t="s">
        <v>48</v>
      </c>
      <c r="G308" s="94" t="s">
        <v>14585</v>
      </c>
      <c r="H308" s="95" t="s">
        <v>14586</v>
      </c>
      <c r="I308" s="112" t="s">
        <v>40</v>
      </c>
      <c r="J308" s="95" t="s">
        <v>14586</v>
      </c>
      <c r="K308" s="95" t="s">
        <v>14587</v>
      </c>
    </row>
    <row r="309" customFormat="false" ht="14.25" hidden="false" customHeight="true" outlineLevel="0" collapsed="false">
      <c r="A309" s="108"/>
      <c r="B309" s="86"/>
      <c r="C309" s="86"/>
      <c r="D309" s="88"/>
      <c r="E309" s="88"/>
      <c r="F309" s="88"/>
      <c r="G309" s="94" t="s">
        <v>14588</v>
      </c>
      <c r="H309" s="95" t="s">
        <v>14589</v>
      </c>
      <c r="I309" s="112" t="s">
        <v>40</v>
      </c>
      <c r="J309" s="95" t="s">
        <v>14589</v>
      </c>
      <c r="K309" s="95" t="s">
        <v>14590</v>
      </c>
    </row>
    <row r="310" customFormat="false" ht="14.25" hidden="false" customHeight="true" outlineLevel="0" collapsed="false">
      <c r="A310" s="108"/>
      <c r="B310" s="86"/>
      <c r="C310" s="86"/>
      <c r="D310" s="88" t="s">
        <v>14591</v>
      </c>
      <c r="E310" s="89" t="s">
        <v>14592</v>
      </c>
      <c r="F310" s="88" t="s">
        <v>38</v>
      </c>
      <c r="G310" s="94" t="s">
        <v>14593</v>
      </c>
      <c r="H310" s="95" t="s">
        <v>14594</v>
      </c>
      <c r="I310" s="112" t="s">
        <v>40</v>
      </c>
      <c r="J310" s="95" t="s">
        <v>14594</v>
      </c>
      <c r="K310" s="95" t="s">
        <v>14595</v>
      </c>
    </row>
    <row r="311" customFormat="false" ht="14.25" hidden="false" customHeight="true" outlineLevel="0" collapsed="false">
      <c r="A311" s="108"/>
      <c r="B311" s="86"/>
      <c r="C311" s="87"/>
      <c r="D311" s="87"/>
      <c r="E311" s="87"/>
      <c r="F311" s="87"/>
      <c r="G311" s="94" t="s">
        <v>14596</v>
      </c>
      <c r="H311" s="95" t="s">
        <v>14597</v>
      </c>
      <c r="I311" s="112" t="s">
        <v>40</v>
      </c>
      <c r="J311" s="95" t="s">
        <v>14597</v>
      </c>
      <c r="K311" s="95" t="s">
        <v>14598</v>
      </c>
    </row>
    <row r="312" customFormat="false" ht="14.25" hidden="false" customHeight="true" outlineLevel="0" collapsed="false">
      <c r="A312" s="108"/>
      <c r="B312" s="86"/>
      <c r="C312" s="87" t="s">
        <v>14599</v>
      </c>
      <c r="D312" s="88" t="s">
        <v>14600</v>
      </c>
      <c r="E312" s="89" t="s">
        <v>14601</v>
      </c>
      <c r="F312" s="88" t="s">
        <v>38</v>
      </c>
      <c r="G312" s="94" t="s">
        <v>14602</v>
      </c>
      <c r="H312" s="95" t="s">
        <v>14603</v>
      </c>
      <c r="I312" s="112" t="s">
        <v>40</v>
      </c>
      <c r="J312" s="95" t="s">
        <v>14603</v>
      </c>
      <c r="K312" s="95" t="s">
        <v>14604</v>
      </c>
    </row>
    <row r="313" customFormat="false" ht="14.25" hidden="false" customHeight="true" outlineLevel="0" collapsed="false">
      <c r="A313" s="108"/>
      <c r="B313" s="86"/>
      <c r="C313" s="86"/>
      <c r="D313" s="88"/>
      <c r="E313" s="88"/>
      <c r="F313" s="88"/>
      <c r="G313" s="94" t="s">
        <v>14605</v>
      </c>
      <c r="H313" s="95" t="s">
        <v>14606</v>
      </c>
      <c r="I313" s="112" t="s">
        <v>40</v>
      </c>
      <c r="J313" s="95" t="s">
        <v>14606</v>
      </c>
      <c r="K313" s="95" t="s">
        <v>14607</v>
      </c>
    </row>
    <row r="314" customFormat="false" ht="14.25" hidden="false" customHeight="true" outlineLevel="0" collapsed="false">
      <c r="A314" s="108"/>
      <c r="B314" s="86"/>
      <c r="C314" s="86"/>
      <c r="D314" s="88" t="s">
        <v>14608</v>
      </c>
      <c r="E314" s="89" t="s">
        <v>14609</v>
      </c>
      <c r="F314" s="88" t="s">
        <v>38</v>
      </c>
      <c r="G314" s="94" t="s">
        <v>14610</v>
      </c>
      <c r="H314" s="95" t="s">
        <v>14611</v>
      </c>
      <c r="I314" s="112" t="s">
        <v>40</v>
      </c>
      <c r="J314" s="95" t="s">
        <v>14611</v>
      </c>
      <c r="K314" s="95" t="s">
        <v>14612</v>
      </c>
    </row>
    <row r="315" customFormat="false" ht="14.25" hidden="false" customHeight="true" outlineLevel="0" collapsed="false">
      <c r="A315" s="108"/>
      <c r="B315" s="86"/>
      <c r="C315" s="86"/>
      <c r="D315" s="88"/>
      <c r="E315" s="88"/>
      <c r="F315" s="88"/>
      <c r="G315" s="94" t="s">
        <v>14613</v>
      </c>
      <c r="H315" s="95" t="s">
        <v>14614</v>
      </c>
      <c r="I315" s="112" t="s">
        <v>40</v>
      </c>
      <c r="J315" s="95" t="s">
        <v>14614</v>
      </c>
      <c r="K315" s="95" t="s">
        <v>14615</v>
      </c>
    </row>
    <row r="316" customFormat="false" ht="14.25" hidden="false" customHeight="true" outlineLevel="0" collapsed="false">
      <c r="A316" s="108"/>
      <c r="B316" s="86"/>
      <c r="C316" s="86"/>
      <c r="D316" s="88" t="s">
        <v>14616</v>
      </c>
      <c r="E316" s="89" t="s">
        <v>14617</v>
      </c>
      <c r="F316" s="88" t="s">
        <v>38</v>
      </c>
      <c r="G316" s="94" t="s">
        <v>14618</v>
      </c>
      <c r="H316" s="95" t="s">
        <v>14619</v>
      </c>
      <c r="I316" s="112" t="s">
        <v>40</v>
      </c>
      <c r="J316" s="95" t="s">
        <v>14619</v>
      </c>
      <c r="K316" s="95" t="s">
        <v>14620</v>
      </c>
    </row>
    <row r="317" customFormat="false" ht="14.25" hidden="false" customHeight="true" outlineLevel="0" collapsed="false">
      <c r="A317" s="108"/>
      <c r="B317" s="86"/>
      <c r="C317" s="86"/>
      <c r="D317" s="88"/>
      <c r="E317" s="88"/>
      <c r="F317" s="88"/>
      <c r="G317" s="94" t="s">
        <v>14621</v>
      </c>
      <c r="H317" s="95" t="s">
        <v>14622</v>
      </c>
      <c r="I317" s="112" t="s">
        <v>40</v>
      </c>
      <c r="J317" s="95" t="s">
        <v>14623</v>
      </c>
      <c r="K317" s="95" t="s">
        <v>14624</v>
      </c>
    </row>
    <row r="318" customFormat="false" ht="14.25" hidden="false" customHeight="true" outlineLevel="0" collapsed="false">
      <c r="A318" s="108"/>
      <c r="B318" s="86"/>
      <c r="C318" s="86"/>
      <c r="D318" s="88" t="s">
        <v>14625</v>
      </c>
      <c r="E318" s="89" t="s">
        <v>14626</v>
      </c>
      <c r="F318" s="88" t="s">
        <v>38</v>
      </c>
      <c r="G318" s="94" t="s">
        <v>14627</v>
      </c>
      <c r="H318" s="95" t="s">
        <v>14628</v>
      </c>
      <c r="I318" s="112" t="s">
        <v>40</v>
      </c>
      <c r="J318" s="95" t="s">
        <v>14629</v>
      </c>
      <c r="K318" s="95" t="s">
        <v>14630</v>
      </c>
    </row>
    <row r="319" customFormat="false" ht="14.25" hidden="false" customHeight="true" outlineLevel="0" collapsed="false">
      <c r="A319" s="108"/>
      <c r="B319" s="86"/>
      <c r="C319" s="86"/>
      <c r="D319" s="88"/>
      <c r="E319" s="88"/>
      <c r="F319" s="88"/>
      <c r="G319" s="94" t="s">
        <v>14631</v>
      </c>
      <c r="H319" s="95" t="s">
        <v>14632</v>
      </c>
      <c r="I319" s="112" t="s">
        <v>40</v>
      </c>
      <c r="J319" s="95" t="s">
        <v>14633</v>
      </c>
      <c r="K319" s="95" t="s">
        <v>14634</v>
      </c>
    </row>
    <row r="320" customFormat="false" ht="14.25" hidden="false" customHeight="true" outlineLevel="0" collapsed="false">
      <c r="A320" s="108"/>
      <c r="B320" s="86"/>
      <c r="C320" s="86"/>
      <c r="D320" s="88" t="s">
        <v>14635</v>
      </c>
      <c r="E320" s="89" t="s">
        <v>14636</v>
      </c>
      <c r="F320" s="88" t="s">
        <v>38</v>
      </c>
      <c r="G320" s="94" t="s">
        <v>14637</v>
      </c>
      <c r="H320" s="95" t="s">
        <v>14638</v>
      </c>
      <c r="I320" s="112" t="s">
        <v>40</v>
      </c>
      <c r="J320" s="95" t="s">
        <v>14639</v>
      </c>
      <c r="K320" s="95" t="s">
        <v>14640</v>
      </c>
    </row>
    <row r="321" customFormat="false" ht="14.25" hidden="false" customHeight="true" outlineLevel="0" collapsed="false">
      <c r="A321" s="108"/>
      <c r="B321" s="86"/>
      <c r="C321" s="87"/>
      <c r="D321" s="87"/>
      <c r="E321" s="87"/>
      <c r="F321" s="87"/>
      <c r="G321" s="94" t="s">
        <v>14641</v>
      </c>
      <c r="H321" s="95" t="s">
        <v>14642</v>
      </c>
      <c r="I321" s="112" t="s">
        <v>40</v>
      </c>
      <c r="J321" s="95" t="s">
        <v>14643</v>
      </c>
      <c r="K321" s="95" t="s">
        <v>14644</v>
      </c>
    </row>
    <row r="322" customFormat="false" ht="14.25" hidden="false" customHeight="true" outlineLevel="0" collapsed="false">
      <c r="A322" s="108"/>
      <c r="B322" s="86"/>
      <c r="C322" s="87" t="s">
        <v>14645</v>
      </c>
      <c r="D322" s="88" t="s">
        <v>14646</v>
      </c>
      <c r="E322" s="89" t="s">
        <v>14647</v>
      </c>
      <c r="F322" s="88" t="s">
        <v>48</v>
      </c>
      <c r="G322" s="94" t="s">
        <v>14648</v>
      </c>
      <c r="H322" s="95" t="s">
        <v>14649</v>
      </c>
      <c r="I322" s="112" t="s">
        <v>40</v>
      </c>
      <c r="J322" s="95" t="s">
        <v>14650</v>
      </c>
      <c r="K322" s="95" t="s">
        <v>14651</v>
      </c>
    </row>
    <row r="323" customFormat="false" ht="14.25" hidden="false" customHeight="true" outlineLevel="0" collapsed="false">
      <c r="A323" s="108"/>
      <c r="B323" s="86"/>
      <c r="C323" s="86"/>
      <c r="D323" s="88"/>
      <c r="E323" s="88"/>
      <c r="F323" s="88"/>
      <c r="G323" s="94" t="s">
        <v>14652</v>
      </c>
      <c r="H323" s="95" t="s">
        <v>14653</v>
      </c>
      <c r="I323" s="112" t="s">
        <v>40</v>
      </c>
      <c r="J323" s="95" t="s">
        <v>14654</v>
      </c>
      <c r="K323" s="95" t="s">
        <v>14655</v>
      </c>
    </row>
    <row r="324" customFormat="false" ht="14.25" hidden="false" customHeight="true" outlineLevel="0" collapsed="false">
      <c r="A324" s="108"/>
      <c r="B324" s="86"/>
      <c r="C324" s="86"/>
      <c r="D324" s="88" t="s">
        <v>14656</v>
      </c>
      <c r="E324" s="89" t="s">
        <v>14657</v>
      </c>
      <c r="F324" s="88" t="s">
        <v>48</v>
      </c>
      <c r="G324" s="94" t="s">
        <v>14658</v>
      </c>
      <c r="H324" s="95" t="s">
        <v>14659</v>
      </c>
      <c r="I324" s="112" t="s">
        <v>40</v>
      </c>
      <c r="J324" s="95" t="s">
        <v>14660</v>
      </c>
      <c r="K324" s="95" t="s">
        <v>14661</v>
      </c>
    </row>
    <row r="325" customFormat="false" ht="14.25" hidden="false" customHeight="true" outlineLevel="0" collapsed="false">
      <c r="A325" s="108"/>
      <c r="B325" s="86"/>
      <c r="C325" s="86"/>
      <c r="D325" s="88"/>
      <c r="E325" s="88"/>
      <c r="F325" s="88"/>
      <c r="G325" s="94" t="s">
        <v>14662</v>
      </c>
      <c r="H325" s="95" t="s">
        <v>14663</v>
      </c>
      <c r="I325" s="112" t="s">
        <v>40</v>
      </c>
      <c r="J325" s="95" t="s">
        <v>14664</v>
      </c>
      <c r="K325" s="95" t="s">
        <v>14665</v>
      </c>
    </row>
    <row r="326" customFormat="false" ht="14.25" hidden="false" customHeight="true" outlineLevel="0" collapsed="false">
      <c r="A326" s="108"/>
      <c r="B326" s="86"/>
      <c r="C326" s="86"/>
      <c r="D326" s="88" t="s">
        <v>14666</v>
      </c>
      <c r="E326" s="89" t="s">
        <v>14667</v>
      </c>
      <c r="F326" s="88" t="s">
        <v>48</v>
      </c>
      <c r="G326" s="94" t="s">
        <v>14668</v>
      </c>
      <c r="H326" s="95" t="s">
        <v>14669</v>
      </c>
      <c r="I326" s="112" t="s">
        <v>40</v>
      </c>
      <c r="J326" s="95" t="s">
        <v>14670</v>
      </c>
      <c r="K326" s="95" t="s">
        <v>14671</v>
      </c>
    </row>
    <row r="327" customFormat="false" ht="14.25" hidden="false" customHeight="true" outlineLevel="0" collapsed="false">
      <c r="A327" s="108"/>
      <c r="B327" s="86"/>
      <c r="C327" s="86"/>
      <c r="D327" s="88"/>
      <c r="E327" s="88"/>
      <c r="F327" s="88"/>
      <c r="G327" s="94" t="s">
        <v>14672</v>
      </c>
      <c r="H327" s="95" t="s">
        <v>14673</v>
      </c>
      <c r="I327" s="112" t="s">
        <v>40</v>
      </c>
      <c r="J327" s="95" t="s">
        <v>14674</v>
      </c>
      <c r="K327" s="95" t="s">
        <v>14675</v>
      </c>
    </row>
    <row r="328" customFormat="false" ht="14.25" hidden="false" customHeight="true" outlineLevel="0" collapsed="false">
      <c r="A328" s="108"/>
      <c r="B328" s="86"/>
      <c r="C328" s="86"/>
      <c r="D328" s="88" t="s">
        <v>14676</v>
      </c>
      <c r="E328" s="89" t="s">
        <v>14677</v>
      </c>
      <c r="F328" s="88" t="s">
        <v>38</v>
      </c>
      <c r="G328" s="94" t="s">
        <v>14678</v>
      </c>
      <c r="H328" s="95" t="s">
        <v>14679</v>
      </c>
      <c r="I328" s="112" t="s">
        <v>40</v>
      </c>
      <c r="J328" s="95" t="s">
        <v>14680</v>
      </c>
      <c r="K328" s="95" t="s">
        <v>14681</v>
      </c>
    </row>
    <row r="329" customFormat="false" ht="14.25" hidden="false" customHeight="true" outlineLevel="0" collapsed="false">
      <c r="A329" s="108"/>
      <c r="B329" s="86"/>
      <c r="C329" s="86"/>
      <c r="D329" s="88"/>
      <c r="E329" s="88"/>
      <c r="F329" s="88"/>
      <c r="G329" s="94" t="s">
        <v>14682</v>
      </c>
      <c r="H329" s="95" t="s">
        <v>14683</v>
      </c>
      <c r="I329" s="112" t="s">
        <v>40</v>
      </c>
      <c r="J329" s="95" t="s">
        <v>14684</v>
      </c>
      <c r="K329" s="95" t="s">
        <v>14685</v>
      </c>
    </row>
    <row r="330" customFormat="false" ht="14.25" hidden="false" customHeight="true" outlineLevel="0" collapsed="false">
      <c r="A330" s="108"/>
      <c r="B330" s="86"/>
      <c r="C330" s="87"/>
      <c r="D330" s="88" t="s">
        <v>14686</v>
      </c>
      <c r="E330" s="89" t="s">
        <v>14687</v>
      </c>
      <c r="F330" s="88" t="s">
        <v>38</v>
      </c>
      <c r="G330" s="94" t="s">
        <v>14688</v>
      </c>
      <c r="H330" s="95" t="s">
        <v>14689</v>
      </c>
      <c r="I330" s="112" t="s">
        <v>40</v>
      </c>
      <c r="J330" s="95" t="s">
        <v>14690</v>
      </c>
      <c r="K330" s="95" t="s">
        <v>14691</v>
      </c>
    </row>
    <row r="331" customFormat="false" ht="14.25" hidden="false" customHeight="true" outlineLevel="0" collapsed="false">
      <c r="A331" s="108"/>
      <c r="B331" s="107"/>
      <c r="C331" s="87"/>
      <c r="D331" s="87"/>
      <c r="E331" s="87"/>
      <c r="F331" s="87"/>
      <c r="G331" s="94" t="s">
        <v>14692</v>
      </c>
      <c r="H331" s="95" t="s">
        <v>14693</v>
      </c>
      <c r="I331" s="112" t="s">
        <v>40</v>
      </c>
      <c r="J331" s="95" t="s">
        <v>14694</v>
      </c>
      <c r="K331" s="95" t="s">
        <v>14695</v>
      </c>
    </row>
    <row r="332" customFormat="false" ht="14.25" hidden="false" customHeight="true" outlineLevel="0" collapsed="false">
      <c r="A332" s="108"/>
      <c r="B332" s="86" t="s">
        <v>14696</v>
      </c>
      <c r="C332" s="87" t="s">
        <v>14697</v>
      </c>
      <c r="D332" s="88" t="s">
        <v>14698</v>
      </c>
      <c r="E332" s="89" t="s">
        <v>14699</v>
      </c>
      <c r="F332" s="88" t="s">
        <v>38</v>
      </c>
      <c r="G332" s="94" t="s">
        <v>14700</v>
      </c>
      <c r="H332" s="95" t="s">
        <v>14701</v>
      </c>
      <c r="I332" s="112" t="s">
        <v>40</v>
      </c>
      <c r="J332" s="95" t="s">
        <v>14702</v>
      </c>
      <c r="K332" s="95" t="s">
        <v>14703</v>
      </c>
    </row>
    <row r="333" customFormat="false" ht="14.25" hidden="false" customHeight="true" outlineLevel="0" collapsed="false">
      <c r="A333" s="108"/>
      <c r="B333" s="86"/>
      <c r="C333" s="86"/>
      <c r="D333" s="88"/>
      <c r="E333" s="88"/>
      <c r="F333" s="88"/>
      <c r="G333" s="94" t="s">
        <v>14704</v>
      </c>
      <c r="H333" s="95" t="s">
        <v>14705</v>
      </c>
      <c r="I333" s="112" t="s">
        <v>40</v>
      </c>
      <c r="J333" s="95" t="s">
        <v>14706</v>
      </c>
      <c r="K333" s="95" t="s">
        <v>14707</v>
      </c>
    </row>
    <row r="334" customFormat="false" ht="14.25" hidden="false" customHeight="true" outlineLevel="0" collapsed="false">
      <c r="A334" s="108"/>
      <c r="B334" s="86"/>
      <c r="C334" s="86"/>
      <c r="D334" s="88" t="s">
        <v>14708</v>
      </c>
      <c r="E334" s="89" t="s">
        <v>14709</v>
      </c>
      <c r="F334" s="88" t="s">
        <v>48</v>
      </c>
      <c r="G334" s="94" t="s">
        <v>14710</v>
      </c>
      <c r="H334" s="95" t="s">
        <v>14711</v>
      </c>
      <c r="I334" s="112" t="s">
        <v>40</v>
      </c>
      <c r="J334" s="95" t="s">
        <v>14712</v>
      </c>
      <c r="K334" s="95" t="s">
        <v>14713</v>
      </c>
    </row>
    <row r="335" customFormat="false" ht="14.25" hidden="false" customHeight="true" outlineLevel="0" collapsed="false">
      <c r="A335" s="108"/>
      <c r="B335" s="86"/>
      <c r="C335" s="86"/>
      <c r="D335" s="88"/>
      <c r="E335" s="88"/>
      <c r="F335" s="88"/>
      <c r="G335" s="94" t="s">
        <v>14714</v>
      </c>
      <c r="H335" s="95" t="s">
        <v>14715</v>
      </c>
      <c r="I335" s="112" t="s">
        <v>40</v>
      </c>
      <c r="J335" s="95" t="s">
        <v>14716</v>
      </c>
      <c r="K335" s="95" t="s">
        <v>14717</v>
      </c>
    </row>
    <row r="336" customFormat="false" ht="14.25" hidden="false" customHeight="true" outlineLevel="0" collapsed="false">
      <c r="A336" s="108"/>
      <c r="B336" s="86"/>
      <c r="C336" s="86"/>
      <c r="D336" s="88" t="s">
        <v>14718</v>
      </c>
      <c r="E336" s="89" t="s">
        <v>14719</v>
      </c>
      <c r="F336" s="88" t="s">
        <v>38</v>
      </c>
      <c r="G336" s="94" t="s">
        <v>14720</v>
      </c>
      <c r="H336" s="95" t="s">
        <v>14721</v>
      </c>
      <c r="I336" s="112" t="s">
        <v>40</v>
      </c>
      <c r="J336" s="95" t="s">
        <v>14722</v>
      </c>
      <c r="K336" s="95" t="s">
        <v>14723</v>
      </c>
    </row>
    <row r="337" customFormat="false" ht="14.25" hidden="false" customHeight="true" outlineLevel="0" collapsed="false">
      <c r="A337" s="108"/>
      <c r="B337" s="86"/>
      <c r="C337" s="86"/>
      <c r="D337" s="88"/>
      <c r="E337" s="88"/>
      <c r="F337" s="88"/>
      <c r="G337" s="94" t="s">
        <v>14724</v>
      </c>
      <c r="H337" s="95" t="s">
        <v>14725</v>
      </c>
      <c r="I337" s="112" t="s">
        <v>40</v>
      </c>
      <c r="J337" s="95" t="s">
        <v>14726</v>
      </c>
      <c r="K337" s="95" t="s">
        <v>14727</v>
      </c>
    </row>
    <row r="338" customFormat="false" ht="14.25" hidden="false" customHeight="true" outlineLevel="0" collapsed="false">
      <c r="A338" s="108"/>
      <c r="B338" s="86"/>
      <c r="C338" s="86"/>
      <c r="D338" s="88" t="s">
        <v>14728</v>
      </c>
      <c r="E338" s="89" t="s">
        <v>14729</v>
      </c>
      <c r="F338" s="88" t="s">
        <v>48</v>
      </c>
      <c r="G338" s="94" t="s">
        <v>14730</v>
      </c>
      <c r="H338" s="95" t="s">
        <v>14731</v>
      </c>
      <c r="I338" s="112" t="s">
        <v>40</v>
      </c>
      <c r="J338" s="95" t="s">
        <v>14732</v>
      </c>
      <c r="K338" s="95" t="s">
        <v>14733</v>
      </c>
    </row>
    <row r="339" customFormat="false" ht="14.25" hidden="false" customHeight="true" outlineLevel="0" collapsed="false">
      <c r="A339" s="108"/>
      <c r="B339" s="86"/>
      <c r="C339" s="86"/>
      <c r="D339" s="88"/>
      <c r="E339" s="88"/>
      <c r="F339" s="88"/>
      <c r="G339" s="94" t="s">
        <v>14734</v>
      </c>
      <c r="H339" s="95" t="s">
        <v>14735</v>
      </c>
      <c r="I339" s="113" t="s">
        <v>67</v>
      </c>
      <c r="J339" s="95" t="s">
        <v>14736</v>
      </c>
      <c r="K339" s="95" t="s">
        <v>14737</v>
      </c>
    </row>
    <row r="340" customFormat="false" ht="14.25" hidden="false" customHeight="true" outlineLevel="0" collapsed="false">
      <c r="A340" s="108"/>
      <c r="B340" s="86"/>
      <c r="C340" s="86"/>
      <c r="D340" s="88" t="s">
        <v>14738</v>
      </c>
      <c r="E340" s="89" t="s">
        <v>14738</v>
      </c>
      <c r="F340" s="88" t="s">
        <v>38</v>
      </c>
      <c r="G340" s="94" t="s">
        <v>14739</v>
      </c>
      <c r="H340" s="95" t="s">
        <v>14740</v>
      </c>
      <c r="I340" s="113" t="s">
        <v>67</v>
      </c>
      <c r="J340" s="95" t="s">
        <v>14741</v>
      </c>
      <c r="K340" s="95" t="s">
        <v>14742</v>
      </c>
    </row>
    <row r="341" customFormat="false" ht="14.25" hidden="false" customHeight="true" outlineLevel="0" collapsed="false">
      <c r="A341" s="108"/>
      <c r="B341" s="86"/>
      <c r="C341" s="87"/>
      <c r="D341" s="87"/>
      <c r="E341" s="87"/>
      <c r="F341" s="87"/>
      <c r="G341" s="94" t="s">
        <v>14743</v>
      </c>
      <c r="H341" s="95" t="s">
        <v>14744</v>
      </c>
      <c r="I341" s="113" t="s">
        <v>67</v>
      </c>
      <c r="J341" s="95" t="s">
        <v>14745</v>
      </c>
      <c r="K341" s="95" t="s">
        <v>14746</v>
      </c>
    </row>
    <row r="342" customFormat="false" ht="14.25" hidden="false" customHeight="true" outlineLevel="0" collapsed="false">
      <c r="A342" s="108"/>
      <c r="B342" s="86"/>
      <c r="C342" s="87" t="s">
        <v>14747</v>
      </c>
      <c r="D342" s="88" t="s">
        <v>14748</v>
      </c>
      <c r="E342" s="89" t="s">
        <v>14749</v>
      </c>
      <c r="F342" s="88" t="s">
        <v>58</v>
      </c>
      <c r="G342" s="94" t="s">
        <v>14750</v>
      </c>
      <c r="H342" s="95" t="s">
        <v>14751</v>
      </c>
      <c r="I342" s="113" t="s">
        <v>67</v>
      </c>
      <c r="J342" s="95" t="s">
        <v>14752</v>
      </c>
      <c r="K342" s="95" t="s">
        <v>14753</v>
      </c>
    </row>
    <row r="343" customFormat="false" ht="14.25" hidden="false" customHeight="true" outlineLevel="0" collapsed="false">
      <c r="A343" s="108"/>
      <c r="B343" s="86"/>
      <c r="C343" s="86"/>
      <c r="D343" s="88"/>
      <c r="E343" s="88"/>
      <c r="F343" s="88"/>
      <c r="G343" s="94" t="s">
        <v>14754</v>
      </c>
      <c r="H343" s="95" t="s">
        <v>14755</v>
      </c>
      <c r="I343" s="113" t="s">
        <v>67</v>
      </c>
      <c r="J343" s="95" t="s">
        <v>14756</v>
      </c>
      <c r="K343" s="95" t="s">
        <v>14757</v>
      </c>
    </row>
    <row r="344" customFormat="false" ht="14.25" hidden="false" customHeight="true" outlineLevel="0" collapsed="false">
      <c r="A344" s="108"/>
      <c r="B344" s="86"/>
      <c r="C344" s="86"/>
      <c r="D344" s="88" t="s">
        <v>14758</v>
      </c>
      <c r="E344" s="89" t="s">
        <v>14759</v>
      </c>
      <c r="F344" s="88" t="s">
        <v>38</v>
      </c>
      <c r="G344" s="94" t="s">
        <v>14760</v>
      </c>
      <c r="H344" s="95" t="s">
        <v>14761</v>
      </c>
      <c r="I344" s="113" t="s">
        <v>67</v>
      </c>
      <c r="J344" s="95" t="s">
        <v>14762</v>
      </c>
      <c r="K344" s="95" t="s">
        <v>14763</v>
      </c>
    </row>
    <row r="345" customFormat="false" ht="14.25" hidden="false" customHeight="true" outlineLevel="0" collapsed="false">
      <c r="A345" s="108"/>
      <c r="B345" s="86"/>
      <c r="C345" s="86"/>
      <c r="D345" s="88"/>
      <c r="E345" s="88"/>
      <c r="F345" s="88"/>
      <c r="G345" s="94" t="s">
        <v>14764</v>
      </c>
      <c r="H345" s="95" t="s">
        <v>14765</v>
      </c>
      <c r="I345" s="111" t="s">
        <v>50</v>
      </c>
      <c r="J345" s="95" t="s">
        <v>14766</v>
      </c>
      <c r="K345" s="95" t="s">
        <v>14767</v>
      </c>
    </row>
    <row r="346" customFormat="false" ht="14.25" hidden="false" customHeight="true" outlineLevel="0" collapsed="false">
      <c r="A346" s="108"/>
      <c r="B346" s="86"/>
      <c r="C346" s="86"/>
      <c r="D346" s="88" t="s">
        <v>14768</v>
      </c>
      <c r="E346" s="89" t="s">
        <v>14769</v>
      </c>
      <c r="F346" s="88" t="s">
        <v>38</v>
      </c>
      <c r="G346" s="94" t="s">
        <v>13402</v>
      </c>
      <c r="H346" s="95" t="s">
        <v>14770</v>
      </c>
      <c r="I346" s="111" t="s">
        <v>50</v>
      </c>
      <c r="J346" s="95" t="s">
        <v>14771</v>
      </c>
      <c r="K346" s="95" t="s">
        <v>14772</v>
      </c>
    </row>
    <row r="347" customFormat="false" ht="14.25" hidden="false" customHeight="true" outlineLevel="0" collapsed="false">
      <c r="A347" s="108"/>
      <c r="B347" s="86"/>
      <c r="C347" s="86"/>
      <c r="D347" s="88"/>
      <c r="E347" s="88"/>
      <c r="F347" s="88"/>
      <c r="G347" s="94" t="s">
        <v>616</v>
      </c>
      <c r="H347" s="95" t="s">
        <v>14773</v>
      </c>
      <c r="I347" s="111" t="s">
        <v>50</v>
      </c>
      <c r="J347" s="95" t="s">
        <v>14774</v>
      </c>
      <c r="K347" s="95" t="s">
        <v>14775</v>
      </c>
    </row>
    <row r="348" customFormat="false" ht="14.25" hidden="false" customHeight="true" outlineLevel="0" collapsed="false">
      <c r="A348" s="108"/>
      <c r="B348" s="86"/>
      <c r="C348" s="86"/>
      <c r="D348" s="88" t="s">
        <v>14776</v>
      </c>
      <c r="E348" s="89" t="s">
        <v>14777</v>
      </c>
      <c r="F348" s="88" t="s">
        <v>58</v>
      </c>
      <c r="G348" s="94" t="s">
        <v>14778</v>
      </c>
      <c r="H348" s="95" t="s">
        <v>14779</v>
      </c>
      <c r="I348" s="111" t="s">
        <v>50</v>
      </c>
      <c r="J348" s="95" t="s">
        <v>14780</v>
      </c>
      <c r="K348" s="95" t="s">
        <v>14781</v>
      </c>
    </row>
    <row r="349" customFormat="false" ht="14.25" hidden="false" customHeight="true" outlineLevel="0" collapsed="false">
      <c r="A349" s="108"/>
      <c r="B349" s="86"/>
      <c r="C349" s="86"/>
      <c r="D349" s="88"/>
      <c r="E349" s="88"/>
      <c r="F349" s="88"/>
      <c r="G349" s="94" t="s">
        <v>14782</v>
      </c>
      <c r="H349" s="95" t="s">
        <v>14783</v>
      </c>
      <c r="I349" s="111" t="s">
        <v>50</v>
      </c>
      <c r="J349" s="95" t="s">
        <v>14784</v>
      </c>
      <c r="K349" s="95" t="s">
        <v>14785</v>
      </c>
    </row>
    <row r="350" customFormat="false" ht="14.25" hidden="false" customHeight="true" outlineLevel="0" collapsed="false">
      <c r="A350" s="108"/>
      <c r="B350" s="86"/>
      <c r="C350" s="86"/>
      <c r="D350" s="88" t="s">
        <v>14786</v>
      </c>
      <c r="E350" s="89" t="s">
        <v>14787</v>
      </c>
      <c r="F350" s="88" t="s">
        <v>38</v>
      </c>
      <c r="G350" s="94" t="s">
        <v>14788</v>
      </c>
      <c r="H350" s="95" t="s">
        <v>14789</v>
      </c>
      <c r="I350" s="111" t="s">
        <v>50</v>
      </c>
      <c r="J350" s="95" t="s">
        <v>14790</v>
      </c>
      <c r="K350" s="95" t="s">
        <v>14791</v>
      </c>
    </row>
    <row r="351" customFormat="false" ht="14.25" hidden="false" customHeight="true" outlineLevel="0" collapsed="false">
      <c r="A351" s="108"/>
      <c r="B351" s="86"/>
      <c r="C351" s="87"/>
      <c r="D351" s="87"/>
      <c r="E351" s="87"/>
      <c r="F351" s="87"/>
      <c r="G351" s="94" t="s">
        <v>14792</v>
      </c>
      <c r="H351" s="95" t="s">
        <v>14793</v>
      </c>
      <c r="I351" s="111" t="s">
        <v>50</v>
      </c>
      <c r="J351" s="95" t="s">
        <v>14794</v>
      </c>
      <c r="K351" s="95" t="s">
        <v>14795</v>
      </c>
    </row>
    <row r="352" customFormat="false" ht="14.25" hidden="false" customHeight="true" outlineLevel="0" collapsed="false">
      <c r="A352" s="108"/>
      <c r="B352" s="86"/>
      <c r="C352" s="87" t="s">
        <v>14796</v>
      </c>
      <c r="D352" s="88" t="s">
        <v>14797</v>
      </c>
      <c r="E352" s="89" t="s">
        <v>14798</v>
      </c>
      <c r="F352" s="88" t="s">
        <v>38</v>
      </c>
      <c r="G352" s="94" t="s">
        <v>14799</v>
      </c>
      <c r="H352" s="95" t="s">
        <v>14800</v>
      </c>
      <c r="I352" s="111" t="s">
        <v>50</v>
      </c>
      <c r="J352" s="95" t="s">
        <v>14801</v>
      </c>
      <c r="K352" s="95" t="s">
        <v>14802</v>
      </c>
    </row>
    <row r="353" customFormat="false" ht="14.25" hidden="false" customHeight="true" outlineLevel="0" collapsed="false">
      <c r="A353" s="108"/>
      <c r="B353" s="86"/>
      <c r="C353" s="86"/>
      <c r="D353" s="88"/>
      <c r="E353" s="88"/>
      <c r="F353" s="88"/>
      <c r="G353" s="94" t="s">
        <v>14803</v>
      </c>
      <c r="H353" s="95" t="s">
        <v>14804</v>
      </c>
      <c r="I353" s="111" t="s">
        <v>50</v>
      </c>
      <c r="J353" s="95" t="s">
        <v>14805</v>
      </c>
      <c r="K353" s="95" t="s">
        <v>14806</v>
      </c>
    </row>
    <row r="354" customFormat="false" ht="14.25" hidden="false" customHeight="true" outlineLevel="0" collapsed="false">
      <c r="A354" s="108"/>
      <c r="B354" s="86"/>
      <c r="C354" s="86"/>
      <c r="D354" s="88" t="s">
        <v>14807</v>
      </c>
      <c r="E354" s="89" t="s">
        <v>14808</v>
      </c>
      <c r="F354" s="88" t="s">
        <v>38</v>
      </c>
      <c r="G354" s="94" t="s">
        <v>14809</v>
      </c>
      <c r="H354" s="95" t="s">
        <v>14810</v>
      </c>
      <c r="I354" s="111" t="s">
        <v>50</v>
      </c>
      <c r="J354" s="95" t="s">
        <v>14811</v>
      </c>
      <c r="K354" s="95" t="s">
        <v>14812</v>
      </c>
    </row>
    <row r="355" customFormat="false" ht="14.25" hidden="false" customHeight="true" outlineLevel="0" collapsed="false">
      <c r="A355" s="108"/>
      <c r="B355" s="86"/>
      <c r="C355" s="86"/>
      <c r="D355" s="88"/>
      <c r="E355" s="88"/>
      <c r="F355" s="88"/>
      <c r="G355" s="94" t="s">
        <v>14813</v>
      </c>
      <c r="H355" s="95" t="s">
        <v>14814</v>
      </c>
      <c r="I355" s="111" t="s">
        <v>50</v>
      </c>
      <c r="J355" s="95" t="s">
        <v>14815</v>
      </c>
      <c r="K355" s="95" t="s">
        <v>14816</v>
      </c>
    </row>
    <row r="356" customFormat="false" ht="14.25" hidden="false" customHeight="true" outlineLevel="0" collapsed="false">
      <c r="A356" s="108"/>
      <c r="B356" s="86"/>
      <c r="C356" s="86"/>
      <c r="D356" s="88" t="s">
        <v>14817</v>
      </c>
      <c r="E356" s="89" t="s">
        <v>14818</v>
      </c>
      <c r="F356" s="88" t="s">
        <v>48</v>
      </c>
      <c r="G356" s="94" t="s">
        <v>14819</v>
      </c>
      <c r="H356" s="95" t="s">
        <v>14820</v>
      </c>
      <c r="I356" s="111" t="s">
        <v>50</v>
      </c>
      <c r="J356" s="95" t="s">
        <v>14821</v>
      </c>
      <c r="K356" s="95" t="s">
        <v>14822</v>
      </c>
    </row>
    <row r="357" customFormat="false" ht="14.25" hidden="false" customHeight="true" outlineLevel="0" collapsed="false">
      <c r="A357" s="108"/>
      <c r="B357" s="86"/>
      <c r="C357" s="86"/>
      <c r="D357" s="88"/>
      <c r="E357" s="88"/>
      <c r="F357" s="88"/>
      <c r="G357" s="94" t="s">
        <v>14734</v>
      </c>
      <c r="H357" s="95" t="s">
        <v>14823</v>
      </c>
      <c r="I357" s="111" t="s">
        <v>50</v>
      </c>
      <c r="J357" s="95" t="s">
        <v>14824</v>
      </c>
      <c r="K357" s="95" t="s">
        <v>14825</v>
      </c>
    </row>
    <row r="358" customFormat="false" ht="14.25" hidden="false" customHeight="true" outlineLevel="0" collapsed="false">
      <c r="A358" s="108"/>
      <c r="B358" s="86"/>
      <c r="C358" s="86"/>
      <c r="D358" s="88" t="s">
        <v>14826</v>
      </c>
      <c r="E358" s="89" t="s">
        <v>14827</v>
      </c>
      <c r="F358" s="88" t="s">
        <v>38</v>
      </c>
      <c r="G358" s="94" t="s">
        <v>14828</v>
      </c>
      <c r="H358" s="95" t="s">
        <v>14829</v>
      </c>
      <c r="I358" s="111" t="s">
        <v>50</v>
      </c>
      <c r="J358" s="95" t="s">
        <v>14830</v>
      </c>
      <c r="K358" s="95" t="s">
        <v>14831</v>
      </c>
    </row>
    <row r="359" customFormat="false" ht="14.25" hidden="false" customHeight="true" outlineLevel="0" collapsed="false">
      <c r="A359" s="108"/>
      <c r="B359" s="86"/>
      <c r="C359" s="86"/>
      <c r="D359" s="88"/>
      <c r="E359" s="88"/>
      <c r="F359" s="88"/>
      <c r="G359" s="94" t="s">
        <v>14832</v>
      </c>
      <c r="H359" s="95" t="s">
        <v>14833</v>
      </c>
      <c r="I359" s="111" t="s">
        <v>50</v>
      </c>
      <c r="J359" s="95" t="s">
        <v>14834</v>
      </c>
      <c r="K359" s="95" t="s">
        <v>14835</v>
      </c>
    </row>
    <row r="360" customFormat="false" ht="14.25" hidden="false" customHeight="true" outlineLevel="0" collapsed="false">
      <c r="A360" s="108"/>
      <c r="B360" s="86"/>
      <c r="C360" s="86"/>
      <c r="D360" s="88" t="s">
        <v>14836</v>
      </c>
      <c r="E360" s="89" t="s">
        <v>14837</v>
      </c>
      <c r="F360" s="88" t="s">
        <v>38</v>
      </c>
      <c r="G360" s="94" t="s">
        <v>14838</v>
      </c>
      <c r="H360" s="95" t="s">
        <v>14839</v>
      </c>
      <c r="I360" s="111" t="s">
        <v>50</v>
      </c>
      <c r="J360" s="95" t="s">
        <v>14840</v>
      </c>
      <c r="K360" s="95" t="s">
        <v>14841</v>
      </c>
    </row>
    <row r="361" customFormat="false" ht="14.25" hidden="false" customHeight="true" outlineLevel="0" collapsed="false">
      <c r="A361" s="108"/>
      <c r="B361" s="86"/>
      <c r="C361" s="87"/>
      <c r="D361" s="87"/>
      <c r="E361" s="87"/>
      <c r="F361" s="87"/>
      <c r="G361" s="94" t="s">
        <v>14842</v>
      </c>
      <c r="H361" s="95" t="s">
        <v>14843</v>
      </c>
      <c r="I361" s="111" t="s">
        <v>50</v>
      </c>
      <c r="J361" s="95" t="s">
        <v>14844</v>
      </c>
      <c r="K361" s="95" t="s">
        <v>14845</v>
      </c>
    </row>
    <row r="362" customFormat="false" ht="14.25" hidden="false" customHeight="true" outlineLevel="0" collapsed="false">
      <c r="A362" s="108"/>
      <c r="B362" s="86"/>
      <c r="C362" s="87" t="s">
        <v>14846</v>
      </c>
      <c r="D362" s="88" t="s">
        <v>14847</v>
      </c>
      <c r="E362" s="89" t="s">
        <v>14848</v>
      </c>
      <c r="F362" s="88" t="s">
        <v>58</v>
      </c>
      <c r="G362" s="94" t="s">
        <v>14849</v>
      </c>
      <c r="H362" s="95" t="s">
        <v>14850</v>
      </c>
      <c r="I362" s="111" t="s">
        <v>50</v>
      </c>
      <c r="J362" s="95" t="s">
        <v>14851</v>
      </c>
      <c r="K362" s="95" t="s">
        <v>14852</v>
      </c>
    </row>
    <row r="363" customFormat="false" ht="14.25" hidden="false" customHeight="true" outlineLevel="0" collapsed="false">
      <c r="A363" s="108"/>
      <c r="B363" s="86"/>
      <c r="C363" s="86"/>
      <c r="D363" s="88"/>
      <c r="E363" s="88"/>
      <c r="F363" s="88"/>
      <c r="G363" s="94" t="s">
        <v>14853</v>
      </c>
      <c r="H363" s="95" t="s">
        <v>14854</v>
      </c>
      <c r="I363" s="111" t="s">
        <v>50</v>
      </c>
      <c r="J363" s="95" t="s">
        <v>14855</v>
      </c>
      <c r="K363" s="95" t="s">
        <v>14856</v>
      </c>
    </row>
    <row r="364" customFormat="false" ht="14.25" hidden="false" customHeight="true" outlineLevel="0" collapsed="false">
      <c r="A364" s="108"/>
      <c r="B364" s="86"/>
      <c r="C364" s="86"/>
      <c r="D364" s="88" t="s">
        <v>14857</v>
      </c>
      <c r="E364" s="89" t="s">
        <v>14858</v>
      </c>
      <c r="F364" s="88" t="s">
        <v>38</v>
      </c>
      <c r="G364" s="94" t="s">
        <v>14859</v>
      </c>
      <c r="H364" s="95" t="s">
        <v>14860</v>
      </c>
      <c r="I364" s="111" t="s">
        <v>50</v>
      </c>
      <c r="J364" s="95" t="s">
        <v>14861</v>
      </c>
      <c r="K364" s="95" t="s">
        <v>14862</v>
      </c>
    </row>
    <row r="365" customFormat="false" ht="14.25" hidden="false" customHeight="true" outlineLevel="0" collapsed="false">
      <c r="A365" s="108"/>
      <c r="B365" s="86"/>
      <c r="C365" s="86"/>
      <c r="D365" s="88"/>
      <c r="E365" s="88"/>
      <c r="F365" s="88"/>
      <c r="G365" s="94" t="s">
        <v>14863</v>
      </c>
      <c r="H365" s="95" t="s">
        <v>14864</v>
      </c>
      <c r="I365" s="111" t="s">
        <v>50</v>
      </c>
      <c r="J365" s="95" t="s">
        <v>14865</v>
      </c>
      <c r="K365" s="95" t="s">
        <v>14866</v>
      </c>
    </row>
    <row r="366" customFormat="false" ht="14.25" hidden="false" customHeight="true" outlineLevel="0" collapsed="false">
      <c r="A366" s="108"/>
      <c r="B366" s="86"/>
      <c r="C366" s="86"/>
      <c r="D366" s="88" t="s">
        <v>14867</v>
      </c>
      <c r="E366" s="89" t="s">
        <v>14868</v>
      </c>
      <c r="F366" s="88" t="s">
        <v>38</v>
      </c>
      <c r="G366" s="94" t="s">
        <v>14869</v>
      </c>
      <c r="H366" s="95" t="s">
        <v>14870</v>
      </c>
      <c r="I366" s="111" t="s">
        <v>50</v>
      </c>
      <c r="J366" s="95" t="s">
        <v>14871</v>
      </c>
      <c r="K366" s="95" t="s">
        <v>14872</v>
      </c>
    </row>
    <row r="367" customFormat="false" ht="14.25" hidden="false" customHeight="true" outlineLevel="0" collapsed="false">
      <c r="A367" s="108"/>
      <c r="B367" s="86"/>
      <c r="C367" s="86"/>
      <c r="D367" s="88"/>
      <c r="E367" s="88"/>
      <c r="F367" s="88"/>
      <c r="G367" s="94" t="s">
        <v>14873</v>
      </c>
      <c r="H367" s="95" t="s">
        <v>14874</v>
      </c>
      <c r="I367" s="111" t="s">
        <v>50</v>
      </c>
      <c r="J367" s="95" t="s">
        <v>14875</v>
      </c>
      <c r="K367" s="95" t="s">
        <v>14876</v>
      </c>
    </row>
    <row r="368" customFormat="false" ht="14.25" hidden="false" customHeight="true" outlineLevel="0" collapsed="false">
      <c r="A368" s="108"/>
      <c r="B368" s="86"/>
      <c r="C368" s="86"/>
      <c r="D368" s="88" t="s">
        <v>14877</v>
      </c>
      <c r="E368" s="89" t="s">
        <v>14878</v>
      </c>
      <c r="F368" s="88" t="s">
        <v>48</v>
      </c>
      <c r="G368" s="94" t="s">
        <v>14879</v>
      </c>
      <c r="H368" s="95" t="s">
        <v>14880</v>
      </c>
      <c r="I368" s="111" t="s">
        <v>50</v>
      </c>
      <c r="J368" s="95" t="s">
        <v>14881</v>
      </c>
      <c r="K368" s="95" t="s">
        <v>14882</v>
      </c>
    </row>
    <row r="369" customFormat="false" ht="14.25" hidden="false" customHeight="true" outlineLevel="0" collapsed="false">
      <c r="A369" s="108"/>
      <c r="B369" s="86"/>
      <c r="C369" s="86"/>
      <c r="D369" s="88"/>
      <c r="E369" s="88"/>
      <c r="F369" s="88"/>
      <c r="G369" s="94" t="s">
        <v>14883</v>
      </c>
      <c r="H369" s="95" t="s">
        <v>14884</v>
      </c>
      <c r="I369" s="111" t="s">
        <v>50</v>
      </c>
      <c r="J369" s="95" t="s">
        <v>14885</v>
      </c>
      <c r="K369" s="95" t="s">
        <v>14886</v>
      </c>
    </row>
    <row r="370" customFormat="false" ht="14.25" hidden="false" customHeight="true" outlineLevel="0" collapsed="false">
      <c r="A370" s="108"/>
      <c r="B370" s="86"/>
      <c r="C370" s="86"/>
      <c r="D370" s="88" t="s">
        <v>14887</v>
      </c>
      <c r="E370" s="89" t="s">
        <v>14888</v>
      </c>
      <c r="F370" s="88" t="s">
        <v>38</v>
      </c>
      <c r="G370" s="94" t="s">
        <v>14889</v>
      </c>
      <c r="H370" s="95" t="s">
        <v>14890</v>
      </c>
      <c r="I370" s="111" t="s">
        <v>50</v>
      </c>
      <c r="J370" s="95" t="s">
        <v>14891</v>
      </c>
      <c r="K370" s="95" t="s">
        <v>14892</v>
      </c>
    </row>
    <row r="371" customFormat="false" ht="14.25" hidden="false" customHeight="true" outlineLevel="0" collapsed="false">
      <c r="A371" s="108"/>
      <c r="B371" s="86"/>
      <c r="C371" s="87"/>
      <c r="D371" s="87"/>
      <c r="E371" s="87"/>
      <c r="F371" s="87"/>
      <c r="G371" s="94" t="s">
        <v>14893</v>
      </c>
      <c r="H371" s="95" t="s">
        <v>14894</v>
      </c>
      <c r="I371" s="111" t="s">
        <v>50</v>
      </c>
      <c r="J371" s="95" t="s">
        <v>14895</v>
      </c>
      <c r="K371" s="95" t="s">
        <v>14896</v>
      </c>
    </row>
    <row r="372" customFormat="false" ht="14.25" hidden="false" customHeight="true" outlineLevel="0" collapsed="false">
      <c r="A372" s="108"/>
      <c r="B372" s="86"/>
      <c r="C372" s="87" t="s">
        <v>14897</v>
      </c>
      <c r="D372" s="88" t="s">
        <v>14898</v>
      </c>
      <c r="E372" s="89" t="s">
        <v>14899</v>
      </c>
      <c r="F372" s="88" t="s">
        <v>38</v>
      </c>
      <c r="G372" s="94" t="s">
        <v>14900</v>
      </c>
      <c r="H372" s="95" t="s">
        <v>14901</v>
      </c>
      <c r="I372" s="111" t="s">
        <v>50</v>
      </c>
      <c r="J372" s="95" t="s">
        <v>14902</v>
      </c>
      <c r="K372" s="95" t="s">
        <v>14903</v>
      </c>
    </row>
    <row r="373" customFormat="false" ht="14.25" hidden="false" customHeight="true" outlineLevel="0" collapsed="false">
      <c r="A373" s="108"/>
      <c r="B373" s="86"/>
      <c r="C373" s="86"/>
      <c r="D373" s="88"/>
      <c r="E373" s="88"/>
      <c r="F373" s="88"/>
      <c r="G373" s="94" t="s">
        <v>14904</v>
      </c>
      <c r="H373" s="95" t="s">
        <v>14905</v>
      </c>
      <c r="I373" s="111" t="s">
        <v>50</v>
      </c>
      <c r="J373" s="95" t="s">
        <v>14906</v>
      </c>
      <c r="K373" s="95" t="s">
        <v>14907</v>
      </c>
    </row>
    <row r="374" customFormat="false" ht="14.25" hidden="false" customHeight="true" outlineLevel="0" collapsed="false">
      <c r="A374" s="108"/>
      <c r="B374" s="86"/>
      <c r="C374" s="86"/>
      <c r="D374" s="88" t="s">
        <v>14908</v>
      </c>
      <c r="E374" s="89" t="s">
        <v>14909</v>
      </c>
      <c r="F374" s="88" t="s">
        <v>48</v>
      </c>
      <c r="G374" s="94" t="s">
        <v>14910</v>
      </c>
      <c r="H374" s="95" t="s">
        <v>14911</v>
      </c>
      <c r="I374" s="111" t="s">
        <v>50</v>
      </c>
      <c r="J374" s="95" t="s">
        <v>14912</v>
      </c>
      <c r="K374" s="95" t="s">
        <v>14913</v>
      </c>
    </row>
    <row r="375" customFormat="false" ht="14.25" hidden="false" customHeight="true" outlineLevel="0" collapsed="false">
      <c r="A375" s="108"/>
      <c r="B375" s="86"/>
      <c r="C375" s="86"/>
      <c r="D375" s="88"/>
      <c r="E375" s="88"/>
      <c r="F375" s="88"/>
      <c r="G375" s="94" t="s">
        <v>14914</v>
      </c>
      <c r="H375" s="95" t="s">
        <v>14915</v>
      </c>
      <c r="I375" s="111" t="s">
        <v>50</v>
      </c>
      <c r="J375" s="95" t="s">
        <v>14916</v>
      </c>
      <c r="K375" s="95" t="s">
        <v>14917</v>
      </c>
    </row>
    <row r="376" customFormat="false" ht="14.25" hidden="false" customHeight="true" outlineLevel="0" collapsed="false">
      <c r="A376" s="108"/>
      <c r="B376" s="86"/>
      <c r="C376" s="86"/>
      <c r="D376" s="88" t="s">
        <v>14918</v>
      </c>
      <c r="E376" s="89" t="s">
        <v>14919</v>
      </c>
      <c r="F376" s="88" t="s">
        <v>38</v>
      </c>
      <c r="G376" s="94" t="s">
        <v>13467</v>
      </c>
      <c r="H376" s="95" t="s">
        <v>14920</v>
      </c>
      <c r="I376" s="111" t="s">
        <v>50</v>
      </c>
      <c r="J376" s="95" t="s">
        <v>14921</v>
      </c>
      <c r="K376" s="95" t="s">
        <v>14922</v>
      </c>
    </row>
    <row r="377" customFormat="false" ht="14.25" hidden="false" customHeight="true" outlineLevel="0" collapsed="false">
      <c r="A377" s="108"/>
      <c r="B377" s="86"/>
      <c r="C377" s="86"/>
      <c r="D377" s="88"/>
      <c r="E377" s="88"/>
      <c r="F377" s="88"/>
      <c r="G377" s="94" t="s">
        <v>14923</v>
      </c>
      <c r="H377" s="95" t="s">
        <v>14924</v>
      </c>
      <c r="I377" s="111" t="s">
        <v>50</v>
      </c>
      <c r="J377" s="95" t="s">
        <v>14925</v>
      </c>
      <c r="K377" s="95" t="s">
        <v>14926</v>
      </c>
    </row>
    <row r="378" customFormat="false" ht="14.25" hidden="false" customHeight="true" outlineLevel="0" collapsed="false">
      <c r="A378" s="108"/>
      <c r="B378" s="86"/>
      <c r="C378" s="86"/>
      <c r="D378" s="88" t="s">
        <v>14927</v>
      </c>
      <c r="E378" s="89" t="s">
        <v>14928</v>
      </c>
      <c r="F378" s="88" t="s">
        <v>38</v>
      </c>
      <c r="G378" s="94" t="s">
        <v>14929</v>
      </c>
      <c r="H378" s="95" t="s">
        <v>14930</v>
      </c>
      <c r="I378" s="111" t="s">
        <v>50</v>
      </c>
      <c r="J378" s="95" t="s">
        <v>14931</v>
      </c>
      <c r="K378" s="95" t="s">
        <v>14932</v>
      </c>
    </row>
    <row r="379" customFormat="false" ht="14.25" hidden="false" customHeight="true" outlineLevel="0" collapsed="false">
      <c r="A379" s="108"/>
      <c r="B379" s="86"/>
      <c r="C379" s="86"/>
      <c r="D379" s="88"/>
      <c r="E379" s="88"/>
      <c r="F379" s="88"/>
      <c r="G379" s="94" t="s">
        <v>14933</v>
      </c>
      <c r="H379" s="95" t="s">
        <v>14934</v>
      </c>
      <c r="I379" s="111" t="s">
        <v>50</v>
      </c>
      <c r="J379" s="95" t="s">
        <v>14935</v>
      </c>
      <c r="K379" s="95" t="s">
        <v>14936</v>
      </c>
    </row>
    <row r="380" customFormat="false" ht="14.25" hidden="false" customHeight="true" outlineLevel="0" collapsed="false">
      <c r="A380" s="108"/>
      <c r="B380" s="86"/>
      <c r="C380" s="86"/>
      <c r="D380" s="88" t="s">
        <v>14937</v>
      </c>
      <c r="E380" s="89" t="s">
        <v>14938</v>
      </c>
      <c r="F380" s="88" t="s">
        <v>48</v>
      </c>
      <c r="G380" s="94" t="s">
        <v>14939</v>
      </c>
      <c r="H380" s="95" t="s">
        <v>14940</v>
      </c>
      <c r="I380" s="111" t="s">
        <v>50</v>
      </c>
      <c r="J380" s="95" t="s">
        <v>14941</v>
      </c>
      <c r="K380" s="95" t="s">
        <v>14942</v>
      </c>
    </row>
    <row r="381" customFormat="false" ht="14.25" hidden="false" customHeight="true" outlineLevel="0" collapsed="false">
      <c r="A381" s="108"/>
      <c r="B381" s="86"/>
      <c r="C381" s="87"/>
      <c r="D381" s="87"/>
      <c r="E381" s="87"/>
      <c r="F381" s="87"/>
      <c r="G381" s="94" t="s">
        <v>14943</v>
      </c>
      <c r="H381" s="95" t="s">
        <v>14944</v>
      </c>
      <c r="I381" s="111" t="s">
        <v>50</v>
      </c>
      <c r="J381" s="95" t="s">
        <v>14945</v>
      </c>
      <c r="K381" s="95" t="s">
        <v>14946</v>
      </c>
    </row>
    <row r="382" customFormat="false" ht="14.25" hidden="false" customHeight="true" outlineLevel="0" collapsed="false">
      <c r="A382" s="108"/>
      <c r="B382" s="86"/>
      <c r="C382" s="87" t="s">
        <v>14947</v>
      </c>
      <c r="D382" s="88" t="s">
        <v>14948</v>
      </c>
      <c r="E382" s="89" t="s">
        <v>14949</v>
      </c>
      <c r="F382" s="88" t="s">
        <v>48</v>
      </c>
      <c r="G382" s="94" t="s">
        <v>14950</v>
      </c>
      <c r="H382" s="95" t="s">
        <v>14951</v>
      </c>
      <c r="I382" s="114" t="s">
        <v>40</v>
      </c>
      <c r="J382" s="95" t="s">
        <v>14952</v>
      </c>
      <c r="K382" s="95" t="s">
        <v>14953</v>
      </c>
    </row>
    <row r="383" customFormat="false" ht="14.25" hidden="false" customHeight="true" outlineLevel="0" collapsed="false">
      <c r="A383" s="108"/>
      <c r="B383" s="86"/>
      <c r="C383" s="86"/>
      <c r="D383" s="88"/>
      <c r="E383" s="88"/>
      <c r="F383" s="88"/>
      <c r="G383" s="94" t="s">
        <v>14954</v>
      </c>
      <c r="H383" s="95" t="s">
        <v>14955</v>
      </c>
      <c r="I383" s="114" t="s">
        <v>40</v>
      </c>
      <c r="J383" s="95" t="s">
        <v>14956</v>
      </c>
      <c r="K383" s="95" t="s">
        <v>14957</v>
      </c>
    </row>
    <row r="384" customFormat="false" ht="14.25" hidden="false" customHeight="true" outlineLevel="0" collapsed="false">
      <c r="A384" s="108"/>
      <c r="B384" s="86"/>
      <c r="C384" s="86"/>
      <c r="D384" s="88" t="s">
        <v>14958</v>
      </c>
      <c r="E384" s="89" t="s">
        <v>14959</v>
      </c>
      <c r="F384" s="88" t="s">
        <v>38</v>
      </c>
      <c r="G384" s="94" t="s">
        <v>14960</v>
      </c>
      <c r="H384" s="95" t="s">
        <v>14961</v>
      </c>
      <c r="I384" s="114" t="s">
        <v>40</v>
      </c>
      <c r="J384" s="95" t="s">
        <v>14962</v>
      </c>
      <c r="K384" s="95" t="s">
        <v>14963</v>
      </c>
    </row>
    <row r="385" customFormat="false" ht="14.25" hidden="false" customHeight="true" outlineLevel="0" collapsed="false">
      <c r="A385" s="108"/>
      <c r="B385" s="86"/>
      <c r="C385" s="86"/>
      <c r="D385" s="88"/>
      <c r="E385" s="88"/>
      <c r="F385" s="88"/>
      <c r="G385" s="94" t="s">
        <v>14964</v>
      </c>
      <c r="H385" s="95" t="s">
        <v>14965</v>
      </c>
      <c r="I385" s="114" t="s">
        <v>40</v>
      </c>
      <c r="J385" s="95" t="s">
        <v>14966</v>
      </c>
      <c r="K385" s="95" t="s">
        <v>14967</v>
      </c>
    </row>
    <row r="386" customFormat="false" ht="14.25" hidden="false" customHeight="true" outlineLevel="0" collapsed="false">
      <c r="A386" s="108"/>
      <c r="B386" s="86"/>
      <c r="C386" s="86"/>
      <c r="D386" s="88" t="s">
        <v>14968</v>
      </c>
      <c r="E386" s="89" t="s">
        <v>14969</v>
      </c>
      <c r="F386" s="88" t="s">
        <v>38</v>
      </c>
      <c r="G386" s="94" t="s">
        <v>14970</v>
      </c>
      <c r="H386" s="95" t="s">
        <v>14971</v>
      </c>
      <c r="I386" s="114" t="s">
        <v>40</v>
      </c>
      <c r="J386" s="95" t="s">
        <v>14972</v>
      </c>
      <c r="K386" s="95" t="s">
        <v>14973</v>
      </c>
    </row>
    <row r="387" customFormat="false" ht="14.25" hidden="false" customHeight="true" outlineLevel="0" collapsed="false">
      <c r="A387" s="108"/>
      <c r="B387" s="86"/>
      <c r="C387" s="86"/>
      <c r="D387" s="88"/>
      <c r="E387" s="88"/>
      <c r="F387" s="88"/>
      <c r="G387" s="94" t="s">
        <v>14974</v>
      </c>
      <c r="H387" s="95" t="s">
        <v>14975</v>
      </c>
      <c r="I387" s="114" t="s">
        <v>40</v>
      </c>
      <c r="J387" s="95" t="s">
        <v>14976</v>
      </c>
      <c r="K387" s="95" t="s">
        <v>14977</v>
      </c>
    </row>
    <row r="388" customFormat="false" ht="14.25" hidden="false" customHeight="true" outlineLevel="0" collapsed="false">
      <c r="A388" s="108"/>
      <c r="B388" s="86"/>
      <c r="C388" s="86"/>
      <c r="D388" s="88" t="s">
        <v>14978</v>
      </c>
      <c r="E388" s="89" t="s">
        <v>14979</v>
      </c>
      <c r="F388" s="88" t="s">
        <v>48</v>
      </c>
      <c r="G388" s="94" t="s">
        <v>14980</v>
      </c>
      <c r="H388" s="95" t="s">
        <v>14981</v>
      </c>
      <c r="I388" s="114" t="s">
        <v>40</v>
      </c>
      <c r="J388" s="95" t="s">
        <v>14982</v>
      </c>
      <c r="K388" s="95" t="s">
        <v>14983</v>
      </c>
    </row>
    <row r="389" customFormat="false" ht="14.25" hidden="false" customHeight="true" outlineLevel="0" collapsed="false">
      <c r="A389" s="108"/>
      <c r="B389" s="86"/>
      <c r="C389" s="86"/>
      <c r="D389" s="88"/>
      <c r="E389" s="88"/>
      <c r="F389" s="88"/>
      <c r="G389" s="94" t="s">
        <v>14984</v>
      </c>
      <c r="H389" s="95" t="s">
        <v>14985</v>
      </c>
      <c r="I389" s="114" t="s">
        <v>40</v>
      </c>
      <c r="J389" s="95" t="s">
        <v>14986</v>
      </c>
      <c r="K389" s="95" t="s">
        <v>14987</v>
      </c>
    </row>
    <row r="390" customFormat="false" ht="14.25" hidden="false" customHeight="true" outlineLevel="0" collapsed="false">
      <c r="A390" s="108"/>
      <c r="B390" s="86"/>
      <c r="C390" s="87"/>
      <c r="D390" s="88" t="s">
        <v>14988</v>
      </c>
      <c r="E390" s="89" t="s">
        <v>14989</v>
      </c>
      <c r="F390" s="88" t="s">
        <v>38</v>
      </c>
      <c r="G390" s="94" t="s">
        <v>14990</v>
      </c>
      <c r="H390" s="95" t="s">
        <v>14991</v>
      </c>
      <c r="I390" s="114" t="s">
        <v>40</v>
      </c>
      <c r="J390" s="95" t="s">
        <v>14992</v>
      </c>
      <c r="K390" s="95" t="s">
        <v>14993</v>
      </c>
    </row>
    <row r="391" customFormat="false" ht="14.25" hidden="false" customHeight="true" outlineLevel="0" collapsed="false">
      <c r="A391" s="108"/>
      <c r="B391" s="107"/>
      <c r="C391" s="87"/>
      <c r="D391" s="87"/>
      <c r="E391" s="87"/>
      <c r="F391" s="87"/>
      <c r="G391" s="94" t="s">
        <v>14994</v>
      </c>
      <c r="H391" s="95" t="s">
        <v>14995</v>
      </c>
      <c r="I391" s="114" t="s">
        <v>40</v>
      </c>
      <c r="J391" s="95" t="s">
        <v>14996</v>
      </c>
      <c r="K391" s="95" t="s">
        <v>14997</v>
      </c>
    </row>
    <row r="392" customFormat="false" ht="14.25" hidden="false" customHeight="true" outlineLevel="0" collapsed="false">
      <c r="A392" s="108"/>
      <c r="B392" s="104" t="s">
        <v>14998</v>
      </c>
      <c r="C392" s="87" t="s">
        <v>14999</v>
      </c>
      <c r="D392" s="88" t="s">
        <v>15000</v>
      </c>
      <c r="E392" s="89" t="s">
        <v>15001</v>
      </c>
      <c r="F392" s="88" t="s">
        <v>38</v>
      </c>
      <c r="G392" s="94" t="s">
        <v>15002</v>
      </c>
      <c r="H392" s="95" t="s">
        <v>15003</v>
      </c>
      <c r="I392" s="114" t="s">
        <v>40</v>
      </c>
      <c r="J392" s="95" t="s">
        <v>15004</v>
      </c>
      <c r="K392" s="95" t="s">
        <v>15005</v>
      </c>
    </row>
    <row r="393" customFormat="false" ht="14.25" hidden="false" customHeight="true" outlineLevel="0" collapsed="false">
      <c r="A393" s="108"/>
      <c r="B393" s="104"/>
      <c r="C393" s="104"/>
      <c r="D393" s="88"/>
      <c r="E393" s="88"/>
      <c r="F393" s="88"/>
      <c r="G393" s="94" t="s">
        <v>15006</v>
      </c>
      <c r="H393" s="95" t="s">
        <v>15007</v>
      </c>
      <c r="I393" s="114" t="s">
        <v>40</v>
      </c>
      <c r="J393" s="95" t="s">
        <v>15008</v>
      </c>
      <c r="K393" s="95" t="s">
        <v>15009</v>
      </c>
    </row>
    <row r="394" customFormat="false" ht="14.25" hidden="false" customHeight="true" outlineLevel="0" collapsed="false">
      <c r="A394" s="108"/>
      <c r="B394" s="104"/>
      <c r="C394" s="104"/>
      <c r="D394" s="88" t="s">
        <v>15010</v>
      </c>
      <c r="E394" s="89" t="s">
        <v>15011</v>
      </c>
      <c r="F394" s="88" t="s">
        <v>48</v>
      </c>
      <c r="G394" s="94" t="s">
        <v>15012</v>
      </c>
      <c r="H394" s="95" t="s">
        <v>15013</v>
      </c>
      <c r="I394" s="114" t="s">
        <v>40</v>
      </c>
      <c r="J394" s="95" t="s">
        <v>15014</v>
      </c>
      <c r="K394" s="95" t="s">
        <v>15015</v>
      </c>
    </row>
    <row r="395" customFormat="false" ht="14.25" hidden="false" customHeight="true" outlineLevel="0" collapsed="false">
      <c r="A395" s="108"/>
      <c r="B395" s="104"/>
      <c r="C395" s="104"/>
      <c r="D395" s="88"/>
      <c r="E395" s="88"/>
      <c r="F395" s="88"/>
      <c r="G395" s="94" t="s">
        <v>15016</v>
      </c>
      <c r="H395" s="95" t="s">
        <v>15017</v>
      </c>
      <c r="I395" s="114" t="s">
        <v>40</v>
      </c>
      <c r="J395" s="95" t="s">
        <v>15018</v>
      </c>
      <c r="K395" s="95" t="s">
        <v>15019</v>
      </c>
    </row>
    <row r="396" customFormat="false" ht="14.25" hidden="false" customHeight="true" outlineLevel="0" collapsed="false">
      <c r="A396" s="108"/>
      <c r="B396" s="104"/>
      <c r="C396" s="104"/>
      <c r="D396" s="88" t="s">
        <v>15020</v>
      </c>
      <c r="E396" s="89" t="s">
        <v>15021</v>
      </c>
      <c r="F396" s="88" t="s">
        <v>48</v>
      </c>
      <c r="G396" s="94" t="s">
        <v>15022</v>
      </c>
      <c r="H396" s="95" t="s">
        <v>15023</v>
      </c>
      <c r="I396" s="114" t="s">
        <v>40</v>
      </c>
      <c r="J396" s="95" t="s">
        <v>15024</v>
      </c>
      <c r="K396" s="95" t="s">
        <v>15025</v>
      </c>
    </row>
    <row r="397" customFormat="false" ht="14.25" hidden="false" customHeight="true" outlineLevel="0" collapsed="false">
      <c r="A397" s="108"/>
      <c r="B397" s="104"/>
      <c r="C397" s="104"/>
      <c r="D397" s="88"/>
      <c r="E397" s="88"/>
      <c r="F397" s="88"/>
      <c r="G397" s="94" t="s">
        <v>15026</v>
      </c>
      <c r="H397" s="95" t="s">
        <v>15027</v>
      </c>
      <c r="I397" s="114" t="s">
        <v>40</v>
      </c>
      <c r="J397" s="95" t="s">
        <v>15028</v>
      </c>
      <c r="K397" s="95" t="s">
        <v>15029</v>
      </c>
    </row>
    <row r="398" customFormat="false" ht="14.25" hidden="false" customHeight="true" outlineLevel="0" collapsed="false">
      <c r="A398" s="108"/>
      <c r="B398" s="104"/>
      <c r="C398" s="104"/>
      <c r="D398" s="88" t="s">
        <v>15030</v>
      </c>
      <c r="E398" s="89" t="s">
        <v>15031</v>
      </c>
      <c r="F398" s="88" t="s">
        <v>58</v>
      </c>
      <c r="G398" s="94" t="s">
        <v>15032</v>
      </c>
      <c r="H398" s="95" t="s">
        <v>15033</v>
      </c>
      <c r="I398" s="114" t="s">
        <v>40</v>
      </c>
      <c r="J398" s="95" t="s">
        <v>15034</v>
      </c>
      <c r="K398" s="95" t="s">
        <v>15035</v>
      </c>
    </row>
    <row r="399" customFormat="false" ht="14.25" hidden="false" customHeight="true" outlineLevel="0" collapsed="false">
      <c r="A399" s="108"/>
      <c r="B399" s="104"/>
      <c r="C399" s="104"/>
      <c r="D399" s="88"/>
      <c r="E399" s="88"/>
      <c r="F399" s="88"/>
      <c r="G399" s="94" t="s">
        <v>15036</v>
      </c>
      <c r="H399" s="95" t="s">
        <v>15037</v>
      </c>
      <c r="I399" s="114" t="s">
        <v>40</v>
      </c>
      <c r="J399" s="95" t="s">
        <v>15038</v>
      </c>
      <c r="K399" s="95" t="s">
        <v>15039</v>
      </c>
    </row>
    <row r="400" customFormat="false" ht="14.25" hidden="false" customHeight="true" outlineLevel="0" collapsed="false">
      <c r="A400" s="108"/>
      <c r="B400" s="104"/>
      <c r="C400" s="104"/>
      <c r="D400" s="88" t="s">
        <v>15040</v>
      </c>
      <c r="E400" s="89" t="s">
        <v>15041</v>
      </c>
      <c r="F400" s="88" t="s">
        <v>38</v>
      </c>
      <c r="G400" s="94" t="s">
        <v>15042</v>
      </c>
      <c r="H400" s="95" t="s">
        <v>15043</v>
      </c>
      <c r="I400" s="114" t="s">
        <v>40</v>
      </c>
      <c r="J400" s="95" t="s">
        <v>15044</v>
      </c>
      <c r="K400" s="95" t="s">
        <v>15045</v>
      </c>
    </row>
    <row r="401" customFormat="false" ht="14.25" hidden="false" customHeight="true" outlineLevel="0" collapsed="false">
      <c r="A401" s="108"/>
      <c r="B401" s="104"/>
      <c r="C401" s="87"/>
      <c r="D401" s="87"/>
      <c r="E401" s="87"/>
      <c r="F401" s="87"/>
      <c r="G401" s="94" t="s">
        <v>15046</v>
      </c>
      <c r="H401" s="95" t="s">
        <v>15047</v>
      </c>
      <c r="I401" s="114" t="s">
        <v>40</v>
      </c>
      <c r="J401" s="95" t="s">
        <v>15048</v>
      </c>
      <c r="K401" s="95" t="s">
        <v>15049</v>
      </c>
    </row>
    <row r="402" customFormat="false" ht="14.25" hidden="false" customHeight="true" outlineLevel="0" collapsed="false">
      <c r="A402" s="108"/>
      <c r="B402" s="104"/>
      <c r="C402" s="87" t="s">
        <v>15050</v>
      </c>
      <c r="D402" s="88" t="s">
        <v>15051</v>
      </c>
      <c r="E402" s="89" t="s">
        <v>15052</v>
      </c>
      <c r="F402" s="88" t="s">
        <v>38</v>
      </c>
      <c r="G402" s="94" t="s">
        <v>15053</v>
      </c>
      <c r="H402" s="95" t="s">
        <v>15054</v>
      </c>
      <c r="I402" s="114" t="s">
        <v>40</v>
      </c>
      <c r="J402" s="95" t="s">
        <v>15055</v>
      </c>
      <c r="K402" s="95" t="s">
        <v>15056</v>
      </c>
    </row>
    <row r="403" customFormat="false" ht="14.25" hidden="false" customHeight="true" outlineLevel="0" collapsed="false">
      <c r="A403" s="108"/>
      <c r="B403" s="104"/>
      <c r="C403" s="104"/>
      <c r="D403" s="88"/>
      <c r="E403" s="88"/>
      <c r="F403" s="88"/>
      <c r="G403" s="94" t="s">
        <v>15057</v>
      </c>
      <c r="H403" s="95" t="s">
        <v>15058</v>
      </c>
      <c r="I403" s="114" t="s">
        <v>40</v>
      </c>
      <c r="J403" s="95" t="s">
        <v>15059</v>
      </c>
      <c r="K403" s="95" t="s">
        <v>15060</v>
      </c>
    </row>
    <row r="404" customFormat="false" ht="14.25" hidden="false" customHeight="true" outlineLevel="0" collapsed="false">
      <c r="A404" s="108"/>
      <c r="B404" s="104"/>
      <c r="C404" s="104"/>
      <c r="D404" s="88" t="s">
        <v>15061</v>
      </c>
      <c r="E404" s="89" t="s">
        <v>15062</v>
      </c>
      <c r="F404" s="88" t="s">
        <v>58</v>
      </c>
      <c r="G404" s="94" t="s">
        <v>15063</v>
      </c>
      <c r="H404" s="95" t="s">
        <v>15064</v>
      </c>
      <c r="I404" s="114" t="s">
        <v>40</v>
      </c>
      <c r="J404" s="95" t="s">
        <v>15065</v>
      </c>
      <c r="K404" s="95" t="s">
        <v>15066</v>
      </c>
    </row>
    <row r="405" customFormat="false" ht="14.25" hidden="false" customHeight="true" outlineLevel="0" collapsed="false">
      <c r="A405" s="108"/>
      <c r="B405" s="104"/>
      <c r="C405" s="104"/>
      <c r="D405" s="88"/>
      <c r="E405" s="88"/>
      <c r="F405" s="88"/>
      <c r="G405" s="94" t="s">
        <v>15067</v>
      </c>
      <c r="H405" s="95" t="s">
        <v>15068</v>
      </c>
      <c r="I405" s="114" t="s">
        <v>40</v>
      </c>
      <c r="J405" s="95" t="s">
        <v>15069</v>
      </c>
      <c r="K405" s="95" t="s">
        <v>15070</v>
      </c>
    </row>
    <row r="406" customFormat="false" ht="14.25" hidden="false" customHeight="true" outlineLevel="0" collapsed="false">
      <c r="A406" s="108"/>
      <c r="B406" s="104"/>
      <c r="C406" s="104"/>
      <c r="D406" s="88" t="s">
        <v>15071</v>
      </c>
      <c r="E406" s="89" t="s">
        <v>15072</v>
      </c>
      <c r="F406" s="88" t="s">
        <v>38</v>
      </c>
      <c r="G406" s="94" t="s">
        <v>15073</v>
      </c>
      <c r="H406" s="95" t="s">
        <v>15074</v>
      </c>
      <c r="I406" s="114" t="s">
        <v>40</v>
      </c>
      <c r="J406" s="95" t="s">
        <v>15075</v>
      </c>
      <c r="K406" s="95" t="s">
        <v>15076</v>
      </c>
    </row>
    <row r="407" customFormat="false" ht="14.25" hidden="false" customHeight="true" outlineLevel="0" collapsed="false">
      <c r="A407" s="108"/>
      <c r="B407" s="104"/>
      <c r="C407" s="104"/>
      <c r="D407" s="88"/>
      <c r="E407" s="88"/>
      <c r="F407" s="88"/>
      <c r="G407" s="94" t="s">
        <v>15077</v>
      </c>
      <c r="H407" s="95" t="s">
        <v>15078</v>
      </c>
      <c r="I407" s="114" t="s">
        <v>40</v>
      </c>
      <c r="J407" s="95" t="s">
        <v>15079</v>
      </c>
      <c r="K407" s="95" t="s">
        <v>15080</v>
      </c>
    </row>
    <row r="408" customFormat="false" ht="14.25" hidden="false" customHeight="true" outlineLevel="0" collapsed="false">
      <c r="A408" s="108"/>
      <c r="B408" s="104"/>
      <c r="C408" s="104"/>
      <c r="D408" s="88" t="s">
        <v>15081</v>
      </c>
      <c r="E408" s="89" t="s">
        <v>15082</v>
      </c>
      <c r="F408" s="88" t="s">
        <v>38</v>
      </c>
      <c r="G408" s="94" t="s">
        <v>15083</v>
      </c>
      <c r="H408" s="95" t="s">
        <v>15084</v>
      </c>
      <c r="I408" s="114" t="s">
        <v>40</v>
      </c>
      <c r="J408" s="95" t="s">
        <v>15085</v>
      </c>
      <c r="K408" s="95" t="s">
        <v>15086</v>
      </c>
    </row>
    <row r="409" customFormat="false" ht="14.25" hidden="false" customHeight="true" outlineLevel="0" collapsed="false">
      <c r="A409" s="108"/>
      <c r="B409" s="104"/>
      <c r="C409" s="104"/>
      <c r="D409" s="88"/>
      <c r="E409" s="88"/>
      <c r="F409" s="88"/>
      <c r="G409" s="94" t="s">
        <v>15087</v>
      </c>
      <c r="H409" s="95" t="s">
        <v>15088</v>
      </c>
      <c r="I409" s="114" t="s">
        <v>40</v>
      </c>
      <c r="J409" s="95" t="s">
        <v>15089</v>
      </c>
      <c r="K409" s="95" t="s">
        <v>15090</v>
      </c>
    </row>
    <row r="410" customFormat="false" ht="14.25" hidden="false" customHeight="true" outlineLevel="0" collapsed="false">
      <c r="A410" s="108"/>
      <c r="B410" s="104"/>
      <c r="C410" s="104"/>
      <c r="D410" s="88" t="s">
        <v>15091</v>
      </c>
      <c r="E410" s="89" t="s">
        <v>15092</v>
      </c>
      <c r="F410" s="88" t="s">
        <v>38</v>
      </c>
      <c r="G410" s="94" t="s">
        <v>15093</v>
      </c>
      <c r="H410" s="95" t="s">
        <v>15094</v>
      </c>
      <c r="I410" s="111" t="s">
        <v>50</v>
      </c>
      <c r="J410" s="95" t="s">
        <v>15095</v>
      </c>
      <c r="K410" s="95" t="s">
        <v>15096</v>
      </c>
    </row>
    <row r="411" customFormat="false" ht="14.25" hidden="false" customHeight="true" outlineLevel="0" collapsed="false">
      <c r="A411" s="108"/>
      <c r="B411" s="104"/>
      <c r="C411" s="87"/>
      <c r="D411" s="87"/>
      <c r="E411" s="87"/>
      <c r="F411" s="87"/>
      <c r="G411" s="94" t="s">
        <v>15097</v>
      </c>
      <c r="H411" s="95" t="s">
        <v>15098</v>
      </c>
      <c r="I411" s="111" t="s">
        <v>50</v>
      </c>
      <c r="J411" s="95" t="s">
        <v>15099</v>
      </c>
      <c r="K411" s="95" t="s">
        <v>15100</v>
      </c>
    </row>
    <row r="412" customFormat="false" ht="14.25" hidden="false" customHeight="true" outlineLevel="0" collapsed="false">
      <c r="A412" s="108"/>
      <c r="B412" s="104"/>
      <c r="C412" s="87" t="s">
        <v>15101</v>
      </c>
      <c r="D412" s="88" t="s">
        <v>15102</v>
      </c>
      <c r="E412" s="89" t="s">
        <v>15103</v>
      </c>
      <c r="F412" s="88" t="s">
        <v>38</v>
      </c>
      <c r="G412" s="94" t="s">
        <v>15104</v>
      </c>
      <c r="H412" s="95" t="s">
        <v>15105</v>
      </c>
      <c r="I412" s="111" t="s">
        <v>50</v>
      </c>
      <c r="J412" s="95" t="s">
        <v>15106</v>
      </c>
      <c r="K412" s="95" t="s">
        <v>15107</v>
      </c>
    </row>
    <row r="413" customFormat="false" ht="14.25" hidden="false" customHeight="true" outlineLevel="0" collapsed="false">
      <c r="A413" s="108"/>
      <c r="B413" s="104"/>
      <c r="C413" s="104"/>
      <c r="D413" s="88"/>
      <c r="E413" s="88"/>
      <c r="F413" s="88"/>
      <c r="G413" s="94" t="s">
        <v>15108</v>
      </c>
      <c r="H413" s="95" t="s">
        <v>15109</v>
      </c>
      <c r="I413" s="111" t="s">
        <v>50</v>
      </c>
      <c r="J413" s="95" t="s">
        <v>15110</v>
      </c>
      <c r="K413" s="95" t="s">
        <v>15111</v>
      </c>
    </row>
    <row r="414" customFormat="false" ht="14.25" hidden="false" customHeight="true" outlineLevel="0" collapsed="false">
      <c r="A414" s="108"/>
      <c r="B414" s="104"/>
      <c r="C414" s="104"/>
      <c r="D414" s="88" t="s">
        <v>15112</v>
      </c>
      <c r="E414" s="89" t="s">
        <v>15113</v>
      </c>
      <c r="F414" s="88" t="s">
        <v>38</v>
      </c>
      <c r="G414" s="94" t="s">
        <v>15114</v>
      </c>
      <c r="H414" s="95" t="s">
        <v>15115</v>
      </c>
      <c r="I414" s="111" t="s">
        <v>50</v>
      </c>
      <c r="J414" s="95" t="s">
        <v>15116</v>
      </c>
      <c r="K414" s="95" t="s">
        <v>15117</v>
      </c>
    </row>
    <row r="415" customFormat="false" ht="14.25" hidden="false" customHeight="true" outlineLevel="0" collapsed="false">
      <c r="A415" s="108"/>
      <c r="B415" s="104"/>
      <c r="C415" s="104"/>
      <c r="D415" s="88"/>
      <c r="E415" s="88"/>
      <c r="F415" s="88"/>
      <c r="G415" s="94" t="s">
        <v>15118</v>
      </c>
      <c r="H415" s="95" t="s">
        <v>15119</v>
      </c>
      <c r="I415" s="111" t="s">
        <v>50</v>
      </c>
      <c r="J415" s="95" t="s">
        <v>15120</v>
      </c>
      <c r="K415" s="95" t="s">
        <v>15121</v>
      </c>
    </row>
    <row r="416" customFormat="false" ht="14.25" hidden="false" customHeight="true" outlineLevel="0" collapsed="false">
      <c r="A416" s="108"/>
      <c r="B416" s="104"/>
      <c r="C416" s="104"/>
      <c r="D416" s="88" t="s">
        <v>15122</v>
      </c>
      <c r="E416" s="89" t="s">
        <v>15123</v>
      </c>
      <c r="F416" s="88" t="s">
        <v>48</v>
      </c>
      <c r="G416" s="94" t="s">
        <v>15124</v>
      </c>
      <c r="H416" s="95" t="s">
        <v>15125</v>
      </c>
      <c r="I416" s="111" t="s">
        <v>50</v>
      </c>
      <c r="J416" s="95" t="s">
        <v>15126</v>
      </c>
      <c r="K416" s="95" t="s">
        <v>15127</v>
      </c>
    </row>
    <row r="417" customFormat="false" ht="14.25" hidden="false" customHeight="true" outlineLevel="0" collapsed="false">
      <c r="A417" s="108"/>
      <c r="B417" s="104"/>
      <c r="C417" s="104"/>
      <c r="D417" s="88"/>
      <c r="E417" s="88"/>
      <c r="F417" s="88"/>
      <c r="G417" s="94" t="s">
        <v>15128</v>
      </c>
      <c r="H417" s="95" t="s">
        <v>15129</v>
      </c>
      <c r="I417" s="111" t="s">
        <v>50</v>
      </c>
      <c r="J417" s="95" t="s">
        <v>15130</v>
      </c>
      <c r="K417" s="95" t="s">
        <v>15131</v>
      </c>
    </row>
    <row r="418" customFormat="false" ht="14.25" hidden="false" customHeight="true" outlineLevel="0" collapsed="false">
      <c r="A418" s="108"/>
      <c r="B418" s="104"/>
      <c r="C418" s="104"/>
      <c r="D418" s="88" t="s">
        <v>15132</v>
      </c>
      <c r="E418" s="89" t="s">
        <v>15133</v>
      </c>
      <c r="F418" s="88" t="s">
        <v>48</v>
      </c>
      <c r="G418" s="94" t="s">
        <v>15134</v>
      </c>
      <c r="H418" s="95" t="s">
        <v>15135</v>
      </c>
      <c r="I418" s="111" t="s">
        <v>50</v>
      </c>
      <c r="J418" s="95" t="s">
        <v>15136</v>
      </c>
      <c r="K418" s="95" t="s">
        <v>15137</v>
      </c>
    </row>
    <row r="419" customFormat="false" ht="14.25" hidden="false" customHeight="true" outlineLevel="0" collapsed="false">
      <c r="A419" s="108"/>
      <c r="B419" s="104"/>
      <c r="C419" s="104"/>
      <c r="D419" s="88"/>
      <c r="E419" s="88"/>
      <c r="F419" s="88"/>
      <c r="G419" s="94" t="s">
        <v>15138</v>
      </c>
      <c r="H419" s="95" t="s">
        <v>15139</v>
      </c>
      <c r="I419" s="111" t="s">
        <v>50</v>
      </c>
      <c r="J419" s="95" t="s">
        <v>15140</v>
      </c>
      <c r="K419" s="95" t="s">
        <v>15141</v>
      </c>
    </row>
    <row r="420" customFormat="false" ht="14.25" hidden="false" customHeight="true" outlineLevel="0" collapsed="false">
      <c r="A420" s="108"/>
      <c r="B420" s="104"/>
      <c r="C420" s="104"/>
      <c r="D420" s="88" t="s">
        <v>15142</v>
      </c>
      <c r="E420" s="89" t="s">
        <v>15143</v>
      </c>
      <c r="F420" s="88" t="s">
        <v>38</v>
      </c>
      <c r="G420" s="94" t="s">
        <v>15144</v>
      </c>
      <c r="H420" s="95" t="s">
        <v>15145</v>
      </c>
      <c r="I420" s="111" t="s">
        <v>50</v>
      </c>
      <c r="J420" s="95" t="s">
        <v>15146</v>
      </c>
      <c r="K420" s="95" t="s">
        <v>15147</v>
      </c>
    </row>
    <row r="421" customFormat="false" ht="14.25" hidden="false" customHeight="true" outlineLevel="0" collapsed="false">
      <c r="A421" s="108"/>
      <c r="B421" s="104"/>
      <c r="C421" s="87"/>
      <c r="D421" s="87"/>
      <c r="E421" s="87"/>
      <c r="F421" s="87"/>
      <c r="G421" s="94" t="s">
        <v>15148</v>
      </c>
      <c r="H421" s="95" t="s">
        <v>15149</v>
      </c>
      <c r="I421" s="111" t="s">
        <v>50</v>
      </c>
      <c r="J421" s="95" t="s">
        <v>15150</v>
      </c>
      <c r="K421" s="95" t="s">
        <v>15151</v>
      </c>
    </row>
    <row r="422" customFormat="false" ht="14.25" hidden="false" customHeight="true" outlineLevel="0" collapsed="false">
      <c r="A422" s="108"/>
      <c r="B422" s="104"/>
      <c r="C422" s="87" t="s">
        <v>15152</v>
      </c>
      <c r="D422" s="88" t="s">
        <v>15153</v>
      </c>
      <c r="E422" s="89" t="s">
        <v>15154</v>
      </c>
      <c r="F422" s="88" t="s">
        <v>38</v>
      </c>
      <c r="G422" s="94" t="s">
        <v>15155</v>
      </c>
      <c r="H422" s="95" t="s">
        <v>15156</v>
      </c>
      <c r="I422" s="111" t="s">
        <v>50</v>
      </c>
      <c r="J422" s="95" t="s">
        <v>15157</v>
      </c>
      <c r="K422" s="95" t="s">
        <v>15158</v>
      </c>
    </row>
    <row r="423" customFormat="false" ht="14.25" hidden="false" customHeight="true" outlineLevel="0" collapsed="false">
      <c r="A423" s="108"/>
      <c r="B423" s="104"/>
      <c r="C423" s="104"/>
      <c r="D423" s="88"/>
      <c r="E423" s="88"/>
      <c r="F423" s="88"/>
      <c r="G423" s="94" t="s">
        <v>15159</v>
      </c>
      <c r="H423" s="95" t="s">
        <v>15160</v>
      </c>
      <c r="I423" s="111" t="s">
        <v>50</v>
      </c>
      <c r="J423" s="95" t="s">
        <v>15161</v>
      </c>
      <c r="K423" s="95" t="s">
        <v>15162</v>
      </c>
    </row>
    <row r="424" customFormat="false" ht="14.25" hidden="false" customHeight="true" outlineLevel="0" collapsed="false">
      <c r="A424" s="108"/>
      <c r="B424" s="104"/>
      <c r="C424" s="104"/>
      <c r="D424" s="88" t="s">
        <v>15163</v>
      </c>
      <c r="E424" s="89" t="s">
        <v>15164</v>
      </c>
      <c r="F424" s="88" t="s">
        <v>38</v>
      </c>
      <c r="G424" s="94" t="s">
        <v>15165</v>
      </c>
      <c r="H424" s="95" t="s">
        <v>15166</v>
      </c>
      <c r="I424" s="111" t="s">
        <v>50</v>
      </c>
      <c r="J424" s="95" t="s">
        <v>15167</v>
      </c>
      <c r="K424" s="95" t="s">
        <v>15168</v>
      </c>
    </row>
    <row r="425" customFormat="false" ht="14.25" hidden="false" customHeight="true" outlineLevel="0" collapsed="false">
      <c r="A425" s="108"/>
      <c r="B425" s="104"/>
      <c r="C425" s="104"/>
      <c r="D425" s="88"/>
      <c r="E425" s="88"/>
      <c r="F425" s="88"/>
      <c r="G425" s="94" t="s">
        <v>15169</v>
      </c>
      <c r="H425" s="95" t="s">
        <v>15170</v>
      </c>
      <c r="I425" s="111" t="s">
        <v>50</v>
      </c>
      <c r="J425" s="95" t="s">
        <v>15171</v>
      </c>
      <c r="K425" s="95" t="s">
        <v>15172</v>
      </c>
    </row>
    <row r="426" customFormat="false" ht="14.25" hidden="false" customHeight="true" outlineLevel="0" collapsed="false">
      <c r="A426" s="108"/>
      <c r="B426" s="104"/>
      <c r="C426" s="104"/>
      <c r="D426" s="88" t="s">
        <v>15173</v>
      </c>
      <c r="E426" s="89" t="s">
        <v>15174</v>
      </c>
      <c r="F426" s="88" t="s">
        <v>38</v>
      </c>
      <c r="G426" s="94" t="s">
        <v>15175</v>
      </c>
      <c r="H426" s="95" t="s">
        <v>15176</v>
      </c>
      <c r="I426" s="111" t="s">
        <v>50</v>
      </c>
      <c r="J426" s="95" t="s">
        <v>15177</v>
      </c>
      <c r="K426" s="95" t="s">
        <v>15178</v>
      </c>
    </row>
    <row r="427" customFormat="false" ht="14.25" hidden="false" customHeight="true" outlineLevel="0" collapsed="false">
      <c r="A427" s="108"/>
      <c r="B427" s="104"/>
      <c r="C427" s="104"/>
      <c r="D427" s="88"/>
      <c r="E427" s="88"/>
      <c r="F427" s="88"/>
      <c r="G427" s="94" t="s">
        <v>15179</v>
      </c>
      <c r="H427" s="95" t="s">
        <v>15180</v>
      </c>
      <c r="I427" s="111" t="s">
        <v>50</v>
      </c>
      <c r="J427" s="95" t="s">
        <v>15181</v>
      </c>
      <c r="K427" s="95" t="s">
        <v>15182</v>
      </c>
    </row>
    <row r="428" customFormat="false" ht="14.25" hidden="false" customHeight="true" outlineLevel="0" collapsed="false">
      <c r="A428" s="108"/>
      <c r="B428" s="104"/>
      <c r="C428" s="104"/>
      <c r="D428" s="88" t="s">
        <v>15183</v>
      </c>
      <c r="E428" s="89" t="s">
        <v>15184</v>
      </c>
      <c r="F428" s="88" t="s">
        <v>38</v>
      </c>
      <c r="G428" s="94" t="s">
        <v>15185</v>
      </c>
      <c r="H428" s="95" t="s">
        <v>15186</v>
      </c>
      <c r="I428" s="111" t="s">
        <v>50</v>
      </c>
      <c r="J428" s="95" t="s">
        <v>15187</v>
      </c>
      <c r="K428" s="95" t="s">
        <v>15188</v>
      </c>
    </row>
    <row r="429" customFormat="false" ht="14.25" hidden="false" customHeight="true" outlineLevel="0" collapsed="false">
      <c r="A429" s="108"/>
      <c r="B429" s="104"/>
      <c r="C429" s="104"/>
      <c r="D429" s="88"/>
      <c r="E429" s="88"/>
      <c r="F429" s="88"/>
      <c r="G429" s="94" t="s">
        <v>15189</v>
      </c>
      <c r="H429" s="95" t="s">
        <v>15190</v>
      </c>
      <c r="I429" s="111" t="s">
        <v>50</v>
      </c>
      <c r="J429" s="95" t="s">
        <v>15191</v>
      </c>
      <c r="K429" s="95" t="s">
        <v>15192</v>
      </c>
    </row>
    <row r="430" customFormat="false" ht="14.25" hidden="false" customHeight="true" outlineLevel="0" collapsed="false">
      <c r="A430" s="108"/>
      <c r="B430" s="104"/>
      <c r="C430" s="104"/>
      <c r="D430" s="88" t="s">
        <v>15193</v>
      </c>
      <c r="E430" s="89" t="s">
        <v>15194</v>
      </c>
      <c r="F430" s="88" t="s">
        <v>38</v>
      </c>
      <c r="G430" s="94" t="s">
        <v>15195</v>
      </c>
      <c r="H430" s="95" t="s">
        <v>15196</v>
      </c>
      <c r="I430" s="111" t="s">
        <v>50</v>
      </c>
      <c r="J430" s="95" t="s">
        <v>15197</v>
      </c>
      <c r="K430" s="95" t="s">
        <v>15198</v>
      </c>
    </row>
    <row r="431" customFormat="false" ht="14.25" hidden="false" customHeight="true" outlineLevel="0" collapsed="false">
      <c r="A431" s="108"/>
      <c r="B431" s="104"/>
      <c r="C431" s="87"/>
      <c r="D431" s="87"/>
      <c r="E431" s="87"/>
      <c r="F431" s="87"/>
      <c r="G431" s="94" t="s">
        <v>15199</v>
      </c>
      <c r="H431" s="95" t="s">
        <v>15200</v>
      </c>
      <c r="I431" s="111" t="s">
        <v>50</v>
      </c>
      <c r="J431" s="95" t="s">
        <v>15201</v>
      </c>
      <c r="K431" s="95" t="s">
        <v>15202</v>
      </c>
    </row>
    <row r="432" customFormat="false" ht="14.25" hidden="false" customHeight="true" outlineLevel="0" collapsed="false">
      <c r="A432" s="108"/>
      <c r="B432" s="104"/>
      <c r="C432" s="87" t="s">
        <v>15203</v>
      </c>
      <c r="D432" s="88" t="s">
        <v>15204</v>
      </c>
      <c r="E432" s="89" t="s">
        <v>15205</v>
      </c>
      <c r="F432" s="88" t="s">
        <v>38</v>
      </c>
      <c r="G432" s="94" t="s">
        <v>15206</v>
      </c>
      <c r="H432" s="95" t="s">
        <v>15207</v>
      </c>
      <c r="I432" s="111" t="s">
        <v>50</v>
      </c>
      <c r="J432" s="95" t="s">
        <v>15208</v>
      </c>
      <c r="K432" s="95" t="s">
        <v>15209</v>
      </c>
    </row>
    <row r="433" customFormat="false" ht="14.25" hidden="false" customHeight="true" outlineLevel="0" collapsed="false">
      <c r="A433" s="108"/>
      <c r="B433" s="104"/>
      <c r="C433" s="104"/>
      <c r="D433" s="88"/>
      <c r="E433" s="88"/>
      <c r="F433" s="88"/>
      <c r="G433" s="94" t="s">
        <v>15210</v>
      </c>
      <c r="H433" s="95" t="s">
        <v>15211</v>
      </c>
      <c r="I433" s="111" t="s">
        <v>50</v>
      </c>
      <c r="J433" s="95" t="s">
        <v>15212</v>
      </c>
      <c r="K433" s="95" t="s">
        <v>15213</v>
      </c>
    </row>
    <row r="434" customFormat="false" ht="14.25" hidden="false" customHeight="true" outlineLevel="0" collapsed="false">
      <c r="A434" s="108"/>
      <c r="B434" s="104"/>
      <c r="C434" s="104"/>
      <c r="D434" s="88" t="s">
        <v>15214</v>
      </c>
      <c r="E434" s="89" t="s">
        <v>15215</v>
      </c>
      <c r="F434" s="88" t="s">
        <v>38</v>
      </c>
      <c r="G434" s="94" t="s">
        <v>15216</v>
      </c>
      <c r="H434" s="95" t="s">
        <v>15217</v>
      </c>
      <c r="I434" s="111" t="s">
        <v>50</v>
      </c>
      <c r="J434" s="95" t="s">
        <v>15218</v>
      </c>
      <c r="K434" s="95" t="s">
        <v>15219</v>
      </c>
    </row>
    <row r="435" customFormat="false" ht="14.25" hidden="false" customHeight="true" outlineLevel="0" collapsed="false">
      <c r="A435" s="108"/>
      <c r="B435" s="104"/>
      <c r="C435" s="104"/>
      <c r="D435" s="88"/>
      <c r="E435" s="88"/>
      <c r="F435" s="88"/>
      <c r="G435" s="94" t="s">
        <v>15220</v>
      </c>
      <c r="H435" s="95" t="s">
        <v>15221</v>
      </c>
      <c r="I435" s="111" t="s">
        <v>50</v>
      </c>
      <c r="J435" s="95" t="s">
        <v>15222</v>
      </c>
      <c r="K435" s="95" t="s">
        <v>15223</v>
      </c>
    </row>
    <row r="436" customFormat="false" ht="14.25" hidden="false" customHeight="true" outlineLevel="0" collapsed="false">
      <c r="A436" s="108"/>
      <c r="B436" s="104"/>
      <c r="C436" s="104"/>
      <c r="D436" s="88" t="s">
        <v>15224</v>
      </c>
      <c r="E436" s="89" t="s">
        <v>15225</v>
      </c>
      <c r="F436" s="88" t="s">
        <v>48</v>
      </c>
      <c r="G436" s="94" t="s">
        <v>15226</v>
      </c>
      <c r="H436" s="95" t="s">
        <v>15227</v>
      </c>
      <c r="I436" s="111" t="s">
        <v>50</v>
      </c>
      <c r="J436" s="95" t="s">
        <v>15228</v>
      </c>
      <c r="K436" s="95" t="s">
        <v>15229</v>
      </c>
    </row>
    <row r="437" customFormat="false" ht="14.25" hidden="false" customHeight="true" outlineLevel="0" collapsed="false">
      <c r="A437" s="108"/>
      <c r="B437" s="104"/>
      <c r="C437" s="104"/>
      <c r="D437" s="88"/>
      <c r="E437" s="88"/>
      <c r="F437" s="88"/>
      <c r="G437" s="94" t="s">
        <v>15230</v>
      </c>
      <c r="H437" s="95" t="s">
        <v>15231</v>
      </c>
      <c r="I437" s="111" t="s">
        <v>50</v>
      </c>
      <c r="J437" s="95" t="s">
        <v>15232</v>
      </c>
      <c r="K437" s="95" t="s">
        <v>15233</v>
      </c>
    </row>
    <row r="438" customFormat="false" ht="14.25" hidden="false" customHeight="true" outlineLevel="0" collapsed="false">
      <c r="A438" s="108"/>
      <c r="B438" s="104"/>
      <c r="C438" s="104"/>
      <c r="D438" s="88" t="s">
        <v>15234</v>
      </c>
      <c r="E438" s="89" t="s">
        <v>15235</v>
      </c>
      <c r="F438" s="88" t="s">
        <v>38</v>
      </c>
      <c r="G438" s="94" t="s">
        <v>15236</v>
      </c>
      <c r="H438" s="95" t="s">
        <v>15237</v>
      </c>
      <c r="I438" s="111" t="s">
        <v>50</v>
      </c>
      <c r="J438" s="95" t="s">
        <v>15238</v>
      </c>
      <c r="K438" s="95" t="s">
        <v>15239</v>
      </c>
    </row>
    <row r="439" customFormat="false" ht="14.25" hidden="false" customHeight="true" outlineLevel="0" collapsed="false">
      <c r="A439" s="108"/>
      <c r="B439" s="104"/>
      <c r="C439" s="104"/>
      <c r="D439" s="88"/>
      <c r="E439" s="88"/>
      <c r="F439" s="88"/>
      <c r="G439" s="94" t="s">
        <v>15240</v>
      </c>
      <c r="H439" s="95" t="s">
        <v>15241</v>
      </c>
      <c r="I439" s="111" t="s">
        <v>50</v>
      </c>
      <c r="J439" s="95" t="s">
        <v>15242</v>
      </c>
      <c r="K439" s="95" t="s">
        <v>15243</v>
      </c>
    </row>
    <row r="440" customFormat="false" ht="14.25" hidden="false" customHeight="true" outlineLevel="0" collapsed="false">
      <c r="A440" s="108"/>
      <c r="B440" s="104"/>
      <c r="C440" s="104"/>
      <c r="D440" s="88" t="s">
        <v>15244</v>
      </c>
      <c r="E440" s="89" t="s">
        <v>15245</v>
      </c>
      <c r="F440" s="88" t="s">
        <v>38</v>
      </c>
      <c r="G440" s="94" t="s">
        <v>15246</v>
      </c>
      <c r="H440" s="95" t="s">
        <v>15247</v>
      </c>
      <c r="I440" s="111" t="s">
        <v>50</v>
      </c>
      <c r="J440" s="95" t="s">
        <v>15248</v>
      </c>
      <c r="K440" s="95" t="s">
        <v>15249</v>
      </c>
    </row>
    <row r="441" customFormat="false" ht="14.25" hidden="false" customHeight="true" outlineLevel="0" collapsed="false">
      <c r="A441" s="108"/>
      <c r="B441" s="104"/>
      <c r="C441" s="87"/>
      <c r="D441" s="87"/>
      <c r="E441" s="87"/>
      <c r="F441" s="87"/>
      <c r="G441" s="94" t="s">
        <v>15250</v>
      </c>
      <c r="H441" s="95" t="s">
        <v>15251</v>
      </c>
      <c r="I441" s="111" t="s">
        <v>50</v>
      </c>
      <c r="J441" s="95" t="s">
        <v>15252</v>
      </c>
      <c r="K441" s="95" t="s">
        <v>15253</v>
      </c>
    </row>
    <row r="442" customFormat="false" ht="14.25" hidden="false" customHeight="true" outlineLevel="0" collapsed="false">
      <c r="A442" s="108"/>
      <c r="B442" s="104"/>
      <c r="C442" s="87" t="s">
        <v>15254</v>
      </c>
      <c r="D442" s="88" t="s">
        <v>15255</v>
      </c>
      <c r="E442" s="89" t="s">
        <v>15256</v>
      </c>
      <c r="F442" s="88" t="s">
        <v>48</v>
      </c>
      <c r="G442" s="94" t="s">
        <v>15257</v>
      </c>
      <c r="H442" s="95" t="s">
        <v>15258</v>
      </c>
      <c r="I442" s="111" t="s">
        <v>50</v>
      </c>
      <c r="J442" s="95" t="s">
        <v>15259</v>
      </c>
      <c r="K442" s="95" t="s">
        <v>15260</v>
      </c>
    </row>
    <row r="443" customFormat="false" ht="14.25" hidden="false" customHeight="true" outlineLevel="0" collapsed="false">
      <c r="A443" s="108"/>
      <c r="B443" s="104"/>
      <c r="C443" s="104"/>
      <c r="D443" s="88"/>
      <c r="E443" s="88"/>
      <c r="F443" s="88"/>
      <c r="G443" s="94" t="s">
        <v>15261</v>
      </c>
      <c r="H443" s="95" t="s">
        <v>15262</v>
      </c>
      <c r="I443" s="111" t="s">
        <v>50</v>
      </c>
      <c r="J443" s="95" t="s">
        <v>15263</v>
      </c>
      <c r="K443" s="95" t="s">
        <v>15264</v>
      </c>
    </row>
    <row r="444" customFormat="false" ht="14.25" hidden="false" customHeight="true" outlineLevel="0" collapsed="false">
      <c r="A444" s="108"/>
      <c r="B444" s="104"/>
      <c r="C444" s="104"/>
      <c r="D444" s="88" t="s">
        <v>15265</v>
      </c>
      <c r="E444" s="89" t="s">
        <v>15266</v>
      </c>
      <c r="F444" s="88" t="s">
        <v>38</v>
      </c>
      <c r="G444" s="94" t="s">
        <v>15267</v>
      </c>
      <c r="H444" s="95" t="s">
        <v>15268</v>
      </c>
      <c r="I444" s="111" t="s">
        <v>50</v>
      </c>
      <c r="J444" s="95" t="s">
        <v>15269</v>
      </c>
      <c r="K444" s="95" t="s">
        <v>15270</v>
      </c>
    </row>
    <row r="445" customFormat="false" ht="14.25" hidden="false" customHeight="true" outlineLevel="0" collapsed="false">
      <c r="A445" s="108"/>
      <c r="B445" s="104"/>
      <c r="C445" s="104"/>
      <c r="D445" s="88"/>
      <c r="E445" s="88"/>
      <c r="F445" s="88"/>
      <c r="G445" s="94" t="s">
        <v>15271</v>
      </c>
      <c r="H445" s="95" t="s">
        <v>15272</v>
      </c>
      <c r="I445" s="111" t="s">
        <v>50</v>
      </c>
      <c r="J445" s="95" t="s">
        <v>15273</v>
      </c>
      <c r="K445" s="95" t="s">
        <v>15274</v>
      </c>
    </row>
    <row r="446" customFormat="false" ht="14.25" hidden="false" customHeight="true" outlineLevel="0" collapsed="false">
      <c r="A446" s="108"/>
      <c r="B446" s="104"/>
      <c r="C446" s="104"/>
      <c r="D446" s="88" t="s">
        <v>15275</v>
      </c>
      <c r="E446" s="89" t="s">
        <v>15276</v>
      </c>
      <c r="F446" s="88" t="s">
        <v>48</v>
      </c>
      <c r="G446" s="94" t="s">
        <v>15277</v>
      </c>
      <c r="H446" s="95" t="s">
        <v>15278</v>
      </c>
      <c r="I446" s="111" t="s">
        <v>50</v>
      </c>
      <c r="J446" s="95" t="s">
        <v>15279</v>
      </c>
      <c r="K446" s="95" t="s">
        <v>15280</v>
      </c>
    </row>
    <row r="447" customFormat="false" ht="14.25" hidden="false" customHeight="true" outlineLevel="0" collapsed="false">
      <c r="A447" s="108"/>
      <c r="B447" s="104"/>
      <c r="C447" s="104"/>
      <c r="D447" s="88"/>
      <c r="E447" s="88"/>
      <c r="F447" s="88"/>
      <c r="G447" s="91" t="s">
        <v>15281</v>
      </c>
      <c r="H447" s="91" t="s">
        <v>15282</v>
      </c>
      <c r="I447" s="111" t="s">
        <v>50</v>
      </c>
      <c r="J447" s="91" t="s">
        <v>15283</v>
      </c>
      <c r="K447" s="91" t="s">
        <v>15284</v>
      </c>
    </row>
    <row r="448" customFormat="false" ht="14.25" hidden="false" customHeight="true" outlineLevel="0" collapsed="false">
      <c r="A448" s="108"/>
      <c r="B448" s="104"/>
      <c r="C448" s="104"/>
      <c r="D448" s="88" t="s">
        <v>15285</v>
      </c>
      <c r="E448" s="89" t="s">
        <v>15286</v>
      </c>
      <c r="F448" s="88" t="s">
        <v>38</v>
      </c>
      <c r="G448" s="95" t="s">
        <v>15287</v>
      </c>
      <c r="H448" s="95" t="s">
        <v>15288</v>
      </c>
      <c r="I448" s="112" t="s">
        <v>40</v>
      </c>
      <c r="J448" s="95" t="s">
        <v>15289</v>
      </c>
      <c r="K448" s="95" t="s">
        <v>15290</v>
      </c>
    </row>
    <row r="449" customFormat="false" ht="14.25" hidden="false" customHeight="true" outlineLevel="0" collapsed="false">
      <c r="A449" s="108"/>
      <c r="B449" s="104"/>
      <c r="C449" s="104"/>
      <c r="D449" s="88"/>
      <c r="E449" s="88"/>
      <c r="F449" s="88"/>
      <c r="G449" s="95" t="s">
        <v>15291</v>
      </c>
      <c r="H449" s="95" t="s">
        <v>15292</v>
      </c>
      <c r="I449" s="112" t="s">
        <v>40</v>
      </c>
      <c r="J449" s="95" t="s">
        <v>15293</v>
      </c>
      <c r="K449" s="95" t="s">
        <v>15294</v>
      </c>
    </row>
    <row r="450" customFormat="false" ht="14.25" hidden="false" customHeight="true" outlineLevel="0" collapsed="false">
      <c r="A450" s="108"/>
      <c r="B450" s="104"/>
      <c r="C450" s="87"/>
      <c r="D450" s="88" t="s">
        <v>15295</v>
      </c>
      <c r="E450" s="89" t="s">
        <v>15296</v>
      </c>
      <c r="F450" s="88" t="s">
        <v>38</v>
      </c>
      <c r="G450" s="95" t="s">
        <v>15297</v>
      </c>
      <c r="H450" s="95" t="s">
        <v>15298</v>
      </c>
      <c r="I450" s="112" t="s">
        <v>40</v>
      </c>
      <c r="J450" s="95" t="s">
        <v>15299</v>
      </c>
      <c r="K450" s="95" t="s">
        <v>15300</v>
      </c>
    </row>
    <row r="451" customFormat="false" ht="14.25" hidden="false" customHeight="true" outlineLevel="0" collapsed="false">
      <c r="A451" s="107"/>
      <c r="B451" s="107"/>
      <c r="C451" s="87"/>
      <c r="D451" s="87"/>
      <c r="E451" s="87"/>
      <c r="F451" s="87"/>
      <c r="G451" s="95" t="s">
        <v>15301</v>
      </c>
      <c r="H451" s="95" t="s">
        <v>15302</v>
      </c>
      <c r="I451" s="112" t="s">
        <v>40</v>
      </c>
      <c r="J451" s="95" t="s">
        <v>15299</v>
      </c>
      <c r="K451" s="95" t="s">
        <v>15303</v>
      </c>
    </row>
    <row r="452" customFormat="false" ht="14.25" hidden="false" customHeight="true" outlineLevel="0" collapsed="false">
      <c r="A452" s="108" t="s">
        <v>15304</v>
      </c>
      <c r="B452" s="104" t="s">
        <v>15305</v>
      </c>
      <c r="C452" s="87" t="s">
        <v>15306</v>
      </c>
      <c r="D452" s="88" t="s">
        <v>15307</v>
      </c>
      <c r="E452" s="89" t="s">
        <v>15308</v>
      </c>
      <c r="F452" s="88" t="s">
        <v>58</v>
      </c>
      <c r="G452" s="95" t="s">
        <v>15309</v>
      </c>
      <c r="H452" s="95" t="s">
        <v>15310</v>
      </c>
      <c r="I452" s="112" t="s">
        <v>40</v>
      </c>
      <c r="J452" s="95" t="s">
        <v>15311</v>
      </c>
      <c r="K452" s="95" t="s">
        <v>15312</v>
      </c>
    </row>
    <row r="453" customFormat="false" ht="14.25" hidden="false" customHeight="true" outlineLevel="0" collapsed="false">
      <c r="A453" s="108"/>
      <c r="B453" s="104"/>
      <c r="C453" s="104"/>
      <c r="D453" s="88"/>
      <c r="E453" s="88"/>
      <c r="F453" s="88"/>
      <c r="G453" s="95" t="s">
        <v>15313</v>
      </c>
      <c r="H453" s="95" t="s">
        <v>15314</v>
      </c>
      <c r="I453" s="112" t="s">
        <v>40</v>
      </c>
      <c r="J453" s="93" t="s">
        <v>15315</v>
      </c>
      <c r="K453" s="95" t="s">
        <v>15316</v>
      </c>
    </row>
    <row r="454" customFormat="false" ht="14.25" hidden="false" customHeight="true" outlineLevel="0" collapsed="false">
      <c r="A454" s="108"/>
      <c r="B454" s="104"/>
      <c r="C454" s="104"/>
      <c r="D454" s="88" t="s">
        <v>15317</v>
      </c>
      <c r="E454" s="89" t="s">
        <v>15318</v>
      </c>
      <c r="F454" s="88" t="s">
        <v>58</v>
      </c>
      <c r="G454" s="95" t="s">
        <v>15319</v>
      </c>
      <c r="H454" s="95" t="s">
        <v>15320</v>
      </c>
      <c r="I454" s="112" t="s">
        <v>40</v>
      </c>
      <c r="J454" s="93" t="s">
        <v>15321</v>
      </c>
      <c r="K454" s="95" t="s">
        <v>15322</v>
      </c>
    </row>
    <row r="455" customFormat="false" ht="14.25" hidden="false" customHeight="true" outlineLevel="0" collapsed="false">
      <c r="A455" s="108"/>
      <c r="B455" s="104"/>
      <c r="C455" s="104"/>
      <c r="D455" s="88"/>
      <c r="E455" s="88"/>
      <c r="F455" s="88"/>
      <c r="G455" s="95" t="s">
        <v>15323</v>
      </c>
      <c r="H455" s="95" t="s">
        <v>15324</v>
      </c>
      <c r="I455" s="112" t="s">
        <v>40</v>
      </c>
      <c r="J455" s="93" t="s">
        <v>15325</v>
      </c>
      <c r="K455" s="95" t="s">
        <v>15326</v>
      </c>
    </row>
    <row r="456" customFormat="false" ht="14.25" hidden="false" customHeight="true" outlineLevel="0" collapsed="false">
      <c r="A456" s="108"/>
      <c r="B456" s="104"/>
      <c r="C456" s="104"/>
      <c r="D456" s="88" t="s">
        <v>15327</v>
      </c>
      <c r="E456" s="89" t="s">
        <v>15328</v>
      </c>
      <c r="F456" s="88" t="s">
        <v>38</v>
      </c>
      <c r="G456" s="95" t="s">
        <v>15329</v>
      </c>
      <c r="H456" s="95" t="s">
        <v>15330</v>
      </c>
      <c r="I456" s="112" t="s">
        <v>40</v>
      </c>
      <c r="J456" s="93" t="s">
        <v>15331</v>
      </c>
      <c r="K456" s="95" t="s">
        <v>15332</v>
      </c>
    </row>
    <row r="457" customFormat="false" ht="14.25" hidden="false" customHeight="true" outlineLevel="0" collapsed="false">
      <c r="A457" s="108"/>
      <c r="B457" s="104"/>
      <c r="C457" s="104"/>
      <c r="D457" s="88"/>
      <c r="E457" s="88"/>
      <c r="F457" s="88"/>
      <c r="G457" s="95" t="s">
        <v>15333</v>
      </c>
      <c r="H457" s="95" t="s">
        <v>15334</v>
      </c>
      <c r="I457" s="112" t="s">
        <v>40</v>
      </c>
      <c r="J457" s="93" t="s">
        <v>15335</v>
      </c>
      <c r="K457" s="95" t="s">
        <v>15336</v>
      </c>
    </row>
    <row r="458" customFormat="false" ht="14.25" hidden="false" customHeight="true" outlineLevel="0" collapsed="false">
      <c r="A458" s="108"/>
      <c r="B458" s="104"/>
      <c r="C458" s="104"/>
      <c r="D458" s="88" t="s">
        <v>15337</v>
      </c>
      <c r="E458" s="89" t="s">
        <v>15338</v>
      </c>
      <c r="F458" s="88" t="s">
        <v>38</v>
      </c>
      <c r="G458" s="95" t="s">
        <v>15339</v>
      </c>
      <c r="H458" s="95" t="s">
        <v>15340</v>
      </c>
      <c r="I458" s="112" t="s">
        <v>40</v>
      </c>
      <c r="J458" s="93" t="s">
        <v>15341</v>
      </c>
      <c r="K458" s="95" t="s">
        <v>15342</v>
      </c>
    </row>
    <row r="459" customFormat="false" ht="14.25" hidden="false" customHeight="true" outlineLevel="0" collapsed="false">
      <c r="A459" s="108"/>
      <c r="B459" s="104"/>
      <c r="C459" s="104"/>
      <c r="D459" s="88"/>
      <c r="E459" s="88"/>
      <c r="F459" s="88"/>
      <c r="G459" s="95" t="s">
        <v>15343</v>
      </c>
      <c r="H459" s="95" t="s">
        <v>15344</v>
      </c>
      <c r="I459" s="112" t="s">
        <v>40</v>
      </c>
      <c r="J459" s="93" t="s">
        <v>15345</v>
      </c>
      <c r="K459" s="95" t="s">
        <v>15346</v>
      </c>
    </row>
    <row r="460" customFormat="false" ht="14.25" hidden="false" customHeight="true" outlineLevel="0" collapsed="false">
      <c r="A460" s="108"/>
      <c r="B460" s="104"/>
      <c r="C460" s="104"/>
      <c r="D460" s="88" t="s">
        <v>15347</v>
      </c>
      <c r="E460" s="89" t="s">
        <v>15348</v>
      </c>
      <c r="F460" s="88" t="s">
        <v>48</v>
      </c>
      <c r="G460" s="95" t="s">
        <v>15349</v>
      </c>
      <c r="H460" s="95" t="s">
        <v>15350</v>
      </c>
      <c r="I460" s="112" t="s">
        <v>40</v>
      </c>
      <c r="J460" s="93" t="s">
        <v>15351</v>
      </c>
      <c r="K460" s="95" t="s">
        <v>15352</v>
      </c>
    </row>
    <row r="461" customFormat="false" ht="14.25" hidden="false" customHeight="true" outlineLevel="0" collapsed="false">
      <c r="A461" s="108"/>
      <c r="B461" s="104"/>
      <c r="C461" s="87"/>
      <c r="D461" s="87"/>
      <c r="E461" s="87"/>
      <c r="F461" s="87"/>
      <c r="G461" s="95" t="s">
        <v>15353</v>
      </c>
      <c r="H461" s="95" t="s">
        <v>15354</v>
      </c>
      <c r="I461" s="112" t="s">
        <v>40</v>
      </c>
      <c r="J461" s="93" t="s">
        <v>15355</v>
      </c>
      <c r="K461" s="95" t="s">
        <v>15356</v>
      </c>
    </row>
    <row r="462" customFormat="false" ht="14.25" hidden="false" customHeight="true" outlineLevel="0" collapsed="false">
      <c r="A462" s="108"/>
      <c r="B462" s="104"/>
      <c r="C462" s="87" t="s">
        <v>15357</v>
      </c>
      <c r="D462" s="88" t="s">
        <v>15358</v>
      </c>
      <c r="E462" s="89" t="s">
        <v>15359</v>
      </c>
      <c r="F462" s="88" t="s">
        <v>48</v>
      </c>
      <c r="G462" s="95" t="s">
        <v>15360</v>
      </c>
      <c r="H462" s="95" t="s">
        <v>15361</v>
      </c>
      <c r="I462" s="112" t="s">
        <v>40</v>
      </c>
      <c r="J462" s="93" t="s">
        <v>15362</v>
      </c>
      <c r="K462" s="95" t="s">
        <v>15363</v>
      </c>
    </row>
    <row r="463" customFormat="false" ht="14.25" hidden="false" customHeight="true" outlineLevel="0" collapsed="false">
      <c r="A463" s="108"/>
      <c r="B463" s="104"/>
      <c r="C463" s="104"/>
      <c r="D463" s="88"/>
      <c r="E463" s="88"/>
      <c r="F463" s="88"/>
      <c r="G463" s="95" t="s">
        <v>15364</v>
      </c>
      <c r="H463" s="95" t="s">
        <v>15365</v>
      </c>
      <c r="I463" s="112" t="s">
        <v>40</v>
      </c>
      <c r="J463" s="93" t="s">
        <v>15366</v>
      </c>
      <c r="K463" s="95" t="s">
        <v>15326</v>
      </c>
    </row>
    <row r="464" customFormat="false" ht="14.25" hidden="false" customHeight="true" outlineLevel="0" collapsed="false">
      <c r="A464" s="108"/>
      <c r="B464" s="104"/>
      <c r="C464" s="104"/>
      <c r="D464" s="88" t="s">
        <v>15367</v>
      </c>
      <c r="E464" s="89" t="s">
        <v>15368</v>
      </c>
      <c r="F464" s="88" t="s">
        <v>38</v>
      </c>
      <c r="G464" s="95" t="s">
        <v>15369</v>
      </c>
      <c r="H464" s="95" t="s">
        <v>15370</v>
      </c>
      <c r="I464" s="112" t="s">
        <v>40</v>
      </c>
      <c r="J464" s="93" t="s">
        <v>15371</v>
      </c>
      <c r="K464" s="95" t="s">
        <v>15332</v>
      </c>
    </row>
    <row r="465" customFormat="false" ht="14.25" hidden="false" customHeight="true" outlineLevel="0" collapsed="false">
      <c r="A465" s="108"/>
      <c r="B465" s="104"/>
      <c r="C465" s="104"/>
      <c r="D465" s="88"/>
      <c r="E465" s="88"/>
      <c r="F465" s="88"/>
      <c r="G465" s="95" t="s">
        <v>15372</v>
      </c>
      <c r="H465" s="95" t="s">
        <v>15373</v>
      </c>
      <c r="I465" s="112" t="s">
        <v>40</v>
      </c>
      <c r="J465" s="93" t="s">
        <v>15374</v>
      </c>
      <c r="K465" s="95" t="s">
        <v>15336</v>
      </c>
    </row>
    <row r="466" customFormat="false" ht="14.25" hidden="false" customHeight="true" outlineLevel="0" collapsed="false">
      <c r="A466" s="108"/>
      <c r="B466" s="104"/>
      <c r="C466" s="104"/>
      <c r="D466" s="88" t="s">
        <v>15375</v>
      </c>
      <c r="E466" s="89" t="s">
        <v>15376</v>
      </c>
      <c r="F466" s="88" t="s">
        <v>58</v>
      </c>
      <c r="G466" s="95" t="s">
        <v>15377</v>
      </c>
      <c r="H466" s="95" t="s">
        <v>15378</v>
      </c>
      <c r="I466" s="112" t="s">
        <v>40</v>
      </c>
      <c r="J466" s="93" t="s">
        <v>15379</v>
      </c>
      <c r="K466" s="95" t="s">
        <v>15342</v>
      </c>
    </row>
    <row r="467" customFormat="false" ht="14.25" hidden="false" customHeight="true" outlineLevel="0" collapsed="false">
      <c r="A467" s="108"/>
      <c r="B467" s="104"/>
      <c r="C467" s="104"/>
      <c r="D467" s="88"/>
      <c r="E467" s="88"/>
      <c r="F467" s="88"/>
      <c r="G467" s="95" t="s">
        <v>15380</v>
      </c>
      <c r="H467" s="95" t="s">
        <v>15381</v>
      </c>
      <c r="I467" s="112" t="s">
        <v>40</v>
      </c>
      <c r="J467" s="93" t="s">
        <v>15382</v>
      </c>
      <c r="K467" s="95" t="s">
        <v>15346</v>
      </c>
    </row>
    <row r="468" customFormat="false" ht="14.25" hidden="false" customHeight="true" outlineLevel="0" collapsed="false">
      <c r="A468" s="108"/>
      <c r="B468" s="104"/>
      <c r="C468" s="104"/>
      <c r="D468" s="88" t="s">
        <v>15383</v>
      </c>
      <c r="E468" s="89" t="s">
        <v>15384</v>
      </c>
      <c r="F468" s="88" t="s">
        <v>38</v>
      </c>
      <c r="G468" s="95" t="s">
        <v>15385</v>
      </c>
      <c r="H468" s="95" t="s">
        <v>15386</v>
      </c>
      <c r="I468" s="112" t="s">
        <v>40</v>
      </c>
      <c r="J468" s="93" t="s">
        <v>15387</v>
      </c>
      <c r="K468" s="95" t="s">
        <v>15352</v>
      </c>
    </row>
    <row r="469" customFormat="false" ht="14.25" hidden="false" customHeight="true" outlineLevel="0" collapsed="false">
      <c r="A469" s="108"/>
      <c r="B469" s="104"/>
      <c r="C469" s="104"/>
      <c r="D469" s="88"/>
      <c r="E469" s="88"/>
      <c r="F469" s="88"/>
      <c r="G469" s="95" t="s">
        <v>15388</v>
      </c>
      <c r="H469" s="95" t="s">
        <v>15389</v>
      </c>
      <c r="I469" s="112" t="s">
        <v>40</v>
      </c>
      <c r="J469" s="93" t="s">
        <v>15390</v>
      </c>
      <c r="K469" s="95" t="s">
        <v>15356</v>
      </c>
    </row>
    <row r="470" customFormat="false" ht="14.25" hidden="false" customHeight="true" outlineLevel="0" collapsed="false">
      <c r="A470" s="108"/>
      <c r="B470" s="104"/>
      <c r="C470" s="87"/>
      <c r="D470" s="88" t="s">
        <v>15391</v>
      </c>
      <c r="E470" s="89" t="s">
        <v>15392</v>
      </c>
      <c r="F470" s="88" t="s">
        <v>38</v>
      </c>
      <c r="G470" s="95" t="s">
        <v>15393</v>
      </c>
      <c r="H470" s="95" t="s">
        <v>15394</v>
      </c>
      <c r="I470" s="112" t="s">
        <v>40</v>
      </c>
      <c r="J470" s="93" t="s">
        <v>15395</v>
      </c>
      <c r="K470" s="95" t="s">
        <v>15363</v>
      </c>
    </row>
    <row r="471" customFormat="false" ht="14.25" hidden="false" customHeight="true" outlineLevel="0" collapsed="false">
      <c r="A471" s="108"/>
      <c r="B471" s="104"/>
      <c r="C471" s="107"/>
      <c r="D471" s="88"/>
      <c r="E471" s="88"/>
      <c r="F471" s="88"/>
      <c r="G471" s="95" t="s">
        <v>15396</v>
      </c>
      <c r="H471" s="95" t="s">
        <v>15397</v>
      </c>
      <c r="I471" s="112" t="s">
        <v>40</v>
      </c>
      <c r="J471" s="93" t="s">
        <v>15398</v>
      </c>
      <c r="K471" s="95" t="s">
        <v>15363</v>
      </c>
    </row>
    <row r="472" customFormat="false" ht="14.25" hidden="false" customHeight="true" outlineLevel="0" collapsed="false">
      <c r="A472" s="115"/>
      <c r="B472" s="115"/>
      <c r="C472" s="116" t="s">
        <v>15399</v>
      </c>
      <c r="D472" s="117" t="s">
        <v>15400</v>
      </c>
      <c r="E472" s="117" t="s">
        <v>15401</v>
      </c>
      <c r="F472" s="117" t="s">
        <v>48</v>
      </c>
      <c r="G472" s="117" t="s">
        <v>15402</v>
      </c>
      <c r="H472" s="117" t="s">
        <v>15403</v>
      </c>
      <c r="I472" s="118" t="s">
        <v>67</v>
      </c>
      <c r="J472" s="117" t="s">
        <v>15404</v>
      </c>
      <c r="K472" s="119" t="s">
        <v>15405</v>
      </c>
    </row>
    <row r="473" customFormat="false" ht="14.25" hidden="false" customHeight="true" outlineLevel="0" collapsed="false">
      <c r="A473" s="115"/>
      <c r="B473" s="115"/>
      <c r="C473" s="115"/>
      <c r="D473" s="115"/>
      <c r="E473" s="115"/>
      <c r="F473" s="115"/>
      <c r="G473" s="117"/>
      <c r="H473" s="117"/>
      <c r="I473" s="117"/>
      <c r="J473" s="117"/>
      <c r="K473" s="120" t="s">
        <v>15406</v>
      </c>
    </row>
    <row r="474" customFormat="false" ht="14.25" hidden="false" customHeight="true" outlineLevel="0" collapsed="false">
      <c r="A474" s="115"/>
      <c r="B474" s="115"/>
      <c r="C474" s="115"/>
      <c r="D474" s="115"/>
      <c r="E474" s="115"/>
      <c r="F474" s="115"/>
      <c r="G474" s="121" t="s">
        <v>15407</v>
      </c>
      <c r="H474" s="121" t="s">
        <v>15408</v>
      </c>
      <c r="I474" s="122" t="s">
        <v>50</v>
      </c>
      <c r="J474" s="121" t="s">
        <v>15409</v>
      </c>
      <c r="K474" s="120" t="s">
        <v>15410</v>
      </c>
    </row>
    <row r="475" customFormat="false" ht="14.25" hidden="false" customHeight="true" outlineLevel="0" collapsed="false">
      <c r="A475" s="115"/>
      <c r="B475" s="115"/>
      <c r="C475" s="115"/>
      <c r="D475" s="117"/>
      <c r="E475" s="117"/>
      <c r="F475" s="117"/>
      <c r="G475" s="117"/>
      <c r="H475" s="117"/>
      <c r="I475" s="117"/>
      <c r="J475" s="117"/>
      <c r="K475" s="120" t="s">
        <v>15411</v>
      </c>
    </row>
    <row r="476" customFormat="false" ht="14.25" hidden="false" customHeight="true" outlineLevel="0" collapsed="false">
      <c r="A476" s="115"/>
      <c r="B476" s="115"/>
      <c r="C476" s="115"/>
      <c r="D476" s="121" t="s">
        <v>15412</v>
      </c>
      <c r="E476" s="121" t="s">
        <v>15413</v>
      </c>
      <c r="F476" s="121" t="s">
        <v>38</v>
      </c>
      <c r="G476" s="121" t="s">
        <v>15414</v>
      </c>
      <c r="H476" s="121" t="s">
        <v>15415</v>
      </c>
      <c r="I476" s="123" t="s">
        <v>40</v>
      </c>
      <c r="J476" s="121" t="s">
        <v>15416</v>
      </c>
      <c r="K476" s="120" t="s">
        <v>15417</v>
      </c>
    </row>
    <row r="477" customFormat="false" ht="14.25" hidden="false" customHeight="true" outlineLevel="0" collapsed="false">
      <c r="A477" s="115"/>
      <c r="B477" s="115"/>
      <c r="C477" s="115"/>
      <c r="D477" s="115"/>
      <c r="E477" s="115"/>
      <c r="F477" s="115"/>
      <c r="G477" s="121"/>
      <c r="H477" s="121"/>
      <c r="I477" s="121"/>
      <c r="J477" s="121"/>
      <c r="K477" s="120" t="s">
        <v>15418</v>
      </c>
    </row>
    <row r="478" customFormat="false" ht="14.25" hidden="false" customHeight="true" outlineLevel="0" collapsed="false">
      <c r="A478" s="115"/>
      <c r="B478" s="115"/>
      <c r="C478" s="115"/>
      <c r="D478" s="115"/>
      <c r="E478" s="115"/>
      <c r="F478" s="115"/>
      <c r="G478" s="121" t="s">
        <v>15419</v>
      </c>
      <c r="H478" s="121" t="s">
        <v>15420</v>
      </c>
      <c r="I478" s="122" t="s">
        <v>50</v>
      </c>
      <c r="J478" s="121" t="s">
        <v>15421</v>
      </c>
      <c r="K478" s="120" t="s">
        <v>15422</v>
      </c>
    </row>
    <row r="479" customFormat="false" ht="14.25" hidden="false" customHeight="true" outlineLevel="0" collapsed="false">
      <c r="A479" s="115"/>
      <c r="B479" s="115"/>
      <c r="C479" s="115"/>
      <c r="D479" s="121"/>
      <c r="E479" s="121"/>
      <c r="F479" s="121"/>
      <c r="G479" s="121"/>
      <c r="H479" s="121"/>
      <c r="I479" s="121"/>
      <c r="J479" s="121"/>
      <c r="K479" s="120" t="s">
        <v>15423</v>
      </c>
    </row>
    <row r="480" customFormat="false" ht="14.25" hidden="false" customHeight="true" outlineLevel="0" collapsed="false">
      <c r="A480" s="115"/>
      <c r="B480" s="115"/>
      <c r="C480" s="115"/>
      <c r="D480" s="121" t="s">
        <v>15424</v>
      </c>
      <c r="E480" s="121" t="s">
        <v>15425</v>
      </c>
      <c r="F480" s="121" t="s">
        <v>48</v>
      </c>
      <c r="G480" s="121" t="s">
        <v>15426</v>
      </c>
      <c r="H480" s="121" t="s">
        <v>15427</v>
      </c>
      <c r="I480" s="122" t="s">
        <v>50</v>
      </c>
      <c r="J480" s="121" t="s">
        <v>15428</v>
      </c>
      <c r="K480" s="120" t="s">
        <v>15429</v>
      </c>
    </row>
    <row r="481" customFormat="false" ht="14.25" hidden="false" customHeight="true" outlineLevel="0" collapsed="false">
      <c r="A481" s="115"/>
      <c r="B481" s="115"/>
      <c r="C481" s="115"/>
      <c r="D481" s="115"/>
      <c r="E481" s="115"/>
      <c r="F481" s="115"/>
      <c r="G481" s="121"/>
      <c r="H481" s="121"/>
      <c r="I481" s="121"/>
      <c r="J481" s="121"/>
      <c r="K481" s="120" t="s">
        <v>15430</v>
      </c>
    </row>
    <row r="482" customFormat="false" ht="14.25" hidden="false" customHeight="true" outlineLevel="0" collapsed="false">
      <c r="A482" s="115"/>
      <c r="B482" s="115"/>
      <c r="C482" s="115"/>
      <c r="D482" s="115"/>
      <c r="E482" s="115"/>
      <c r="F482" s="115"/>
      <c r="G482" s="121" t="s">
        <v>15431</v>
      </c>
      <c r="H482" s="121" t="s">
        <v>15432</v>
      </c>
      <c r="I482" s="124" t="s">
        <v>40</v>
      </c>
      <c r="J482" s="121" t="s">
        <v>15433</v>
      </c>
      <c r="K482" s="120" t="s">
        <v>15434</v>
      </c>
    </row>
    <row r="483" customFormat="false" ht="14.25" hidden="false" customHeight="true" outlineLevel="0" collapsed="false">
      <c r="A483" s="115"/>
      <c r="B483" s="115"/>
      <c r="C483" s="115"/>
      <c r="D483" s="121"/>
      <c r="E483" s="121"/>
      <c r="F483" s="121"/>
      <c r="G483" s="121"/>
      <c r="H483" s="121"/>
      <c r="I483" s="121"/>
      <c r="J483" s="121"/>
      <c r="K483" s="120" t="s">
        <v>15435</v>
      </c>
    </row>
    <row r="484" customFormat="false" ht="14.25" hidden="false" customHeight="true" outlineLevel="0" collapsed="false">
      <c r="A484" s="115"/>
      <c r="B484" s="115"/>
      <c r="C484" s="115"/>
      <c r="D484" s="121" t="s">
        <v>15436</v>
      </c>
      <c r="E484" s="121" t="s">
        <v>15437</v>
      </c>
      <c r="F484" s="121" t="s">
        <v>38</v>
      </c>
      <c r="G484" s="121" t="s">
        <v>15438</v>
      </c>
      <c r="H484" s="121" t="s">
        <v>15439</v>
      </c>
      <c r="I484" s="124" t="s">
        <v>40</v>
      </c>
      <c r="J484" s="121" t="s">
        <v>15440</v>
      </c>
      <c r="K484" s="120" t="s">
        <v>15441</v>
      </c>
    </row>
    <row r="485" customFormat="false" ht="14.25" hidden="false" customHeight="true" outlineLevel="0" collapsed="false">
      <c r="A485" s="115"/>
      <c r="B485" s="115"/>
      <c r="C485" s="115"/>
      <c r="D485" s="115"/>
      <c r="E485" s="115"/>
      <c r="F485" s="115"/>
      <c r="G485" s="121"/>
      <c r="H485" s="121"/>
      <c r="I485" s="121"/>
      <c r="J485" s="121"/>
      <c r="K485" s="120" t="s">
        <v>15442</v>
      </c>
    </row>
    <row r="486" customFormat="false" ht="14.25" hidden="false" customHeight="true" outlineLevel="0" collapsed="false">
      <c r="A486" s="115"/>
      <c r="B486" s="115"/>
      <c r="C486" s="115"/>
      <c r="D486" s="115"/>
      <c r="E486" s="115"/>
      <c r="F486" s="115"/>
      <c r="G486" s="121" t="s">
        <v>15443</v>
      </c>
      <c r="H486" s="121" t="s">
        <v>15444</v>
      </c>
      <c r="I486" s="124" t="s">
        <v>40</v>
      </c>
      <c r="J486" s="121" t="s">
        <v>15445</v>
      </c>
      <c r="K486" s="120" t="s">
        <v>15446</v>
      </c>
    </row>
    <row r="487" customFormat="false" ht="14.25" hidden="false" customHeight="true" outlineLevel="0" collapsed="false">
      <c r="A487" s="115"/>
      <c r="B487" s="115"/>
      <c r="C487" s="115"/>
      <c r="D487" s="121"/>
      <c r="E487" s="121"/>
      <c r="F487" s="121"/>
      <c r="G487" s="121"/>
      <c r="H487" s="121"/>
      <c r="I487" s="121"/>
      <c r="J487" s="121"/>
      <c r="K487" s="120" t="s">
        <v>15447</v>
      </c>
    </row>
    <row r="488" customFormat="false" ht="14.25" hidden="false" customHeight="true" outlineLevel="0" collapsed="false">
      <c r="A488" s="115"/>
      <c r="B488" s="115"/>
      <c r="C488" s="115"/>
      <c r="D488" s="121" t="s">
        <v>15448</v>
      </c>
      <c r="E488" s="121" t="s">
        <v>15449</v>
      </c>
      <c r="F488" s="121" t="s">
        <v>38</v>
      </c>
      <c r="G488" s="121" t="s">
        <v>15450</v>
      </c>
      <c r="H488" s="121" t="s">
        <v>15451</v>
      </c>
      <c r="I488" s="124" t="s">
        <v>40</v>
      </c>
      <c r="J488" s="121" t="s">
        <v>15452</v>
      </c>
      <c r="K488" s="120" t="s">
        <v>15453</v>
      </c>
    </row>
    <row r="489" customFormat="false" ht="14.25" hidden="false" customHeight="true" outlineLevel="0" collapsed="false">
      <c r="A489" s="115"/>
      <c r="B489" s="115"/>
      <c r="C489" s="115"/>
      <c r="D489" s="115"/>
      <c r="E489" s="115"/>
      <c r="F489" s="115"/>
      <c r="G489" s="121"/>
      <c r="H489" s="121"/>
      <c r="I489" s="121"/>
      <c r="J489" s="121"/>
      <c r="K489" s="120" t="s">
        <v>15454</v>
      </c>
    </row>
    <row r="490" customFormat="false" ht="14.25" hidden="false" customHeight="true" outlineLevel="0" collapsed="false">
      <c r="A490" s="115"/>
      <c r="B490" s="115"/>
      <c r="C490" s="115"/>
      <c r="D490" s="115"/>
      <c r="E490" s="115"/>
      <c r="F490" s="115"/>
      <c r="G490" s="121" t="s">
        <v>15455</v>
      </c>
      <c r="H490" s="121" t="s">
        <v>15456</v>
      </c>
      <c r="I490" s="124" t="s">
        <v>40</v>
      </c>
      <c r="J490" s="121" t="s">
        <v>15457</v>
      </c>
      <c r="K490" s="120" t="s">
        <v>15458</v>
      </c>
    </row>
    <row r="491" customFormat="false" ht="14.25" hidden="false" customHeight="true" outlineLevel="0" collapsed="false">
      <c r="A491" s="115"/>
      <c r="B491" s="115"/>
      <c r="C491" s="116"/>
      <c r="D491" s="116"/>
      <c r="E491" s="116"/>
      <c r="F491" s="116"/>
      <c r="G491" s="116"/>
      <c r="H491" s="116"/>
      <c r="I491" s="116"/>
      <c r="J491" s="116"/>
      <c r="K491" s="120" t="s">
        <v>15459</v>
      </c>
    </row>
    <row r="492" customFormat="false" ht="14.25" hidden="false" customHeight="true" outlineLevel="0" collapsed="false">
      <c r="A492" s="115"/>
      <c r="B492" s="115"/>
      <c r="C492" s="125" t="s">
        <v>15460</v>
      </c>
      <c r="D492" s="121" t="s">
        <v>15461</v>
      </c>
      <c r="E492" s="121" t="s">
        <v>15462</v>
      </c>
      <c r="F492" s="121" t="s">
        <v>38</v>
      </c>
      <c r="G492" s="121" t="s">
        <v>15463</v>
      </c>
      <c r="H492" s="121" t="s">
        <v>15464</v>
      </c>
      <c r="I492" s="124" t="s">
        <v>40</v>
      </c>
      <c r="J492" s="121" t="s">
        <v>15465</v>
      </c>
      <c r="K492" s="120" t="s">
        <v>15466</v>
      </c>
    </row>
    <row r="493" customFormat="false" ht="14.25" hidden="false" customHeight="true" outlineLevel="0" collapsed="false">
      <c r="A493" s="115"/>
      <c r="B493" s="115"/>
      <c r="C493" s="115"/>
      <c r="D493" s="115"/>
      <c r="E493" s="115"/>
      <c r="F493" s="115"/>
      <c r="G493" s="121"/>
      <c r="H493" s="121"/>
      <c r="I493" s="121"/>
      <c r="J493" s="121"/>
      <c r="K493" s="120" t="s">
        <v>15467</v>
      </c>
    </row>
    <row r="494" customFormat="false" ht="14.25" hidden="false" customHeight="true" outlineLevel="0" collapsed="false">
      <c r="A494" s="115"/>
      <c r="B494" s="115"/>
      <c r="C494" s="115"/>
      <c r="D494" s="115"/>
      <c r="E494" s="115"/>
      <c r="F494" s="115"/>
      <c r="G494" s="121" t="s">
        <v>15468</v>
      </c>
      <c r="H494" s="121" t="s">
        <v>15469</v>
      </c>
      <c r="I494" s="124" t="s">
        <v>40</v>
      </c>
      <c r="J494" s="121" t="s">
        <v>15470</v>
      </c>
      <c r="K494" s="120" t="s">
        <v>15471</v>
      </c>
    </row>
    <row r="495" customFormat="false" ht="14.25" hidden="false" customHeight="true" outlineLevel="0" collapsed="false">
      <c r="A495" s="115"/>
      <c r="B495" s="115"/>
      <c r="C495" s="115"/>
      <c r="D495" s="121"/>
      <c r="E495" s="121"/>
      <c r="F495" s="121"/>
      <c r="G495" s="121"/>
      <c r="H495" s="121"/>
      <c r="I495" s="121"/>
      <c r="J495" s="121"/>
      <c r="K495" s="120" t="s">
        <v>15472</v>
      </c>
    </row>
    <row r="496" customFormat="false" ht="14.25" hidden="false" customHeight="true" outlineLevel="0" collapsed="false">
      <c r="A496" s="115"/>
      <c r="B496" s="115"/>
      <c r="C496" s="115"/>
      <c r="D496" s="121" t="s">
        <v>15473</v>
      </c>
      <c r="E496" s="121" t="s">
        <v>15474</v>
      </c>
      <c r="F496" s="121" t="s">
        <v>38</v>
      </c>
      <c r="G496" s="121" t="s">
        <v>15475</v>
      </c>
      <c r="H496" s="121" t="s">
        <v>15476</v>
      </c>
      <c r="I496" s="124" t="s">
        <v>40</v>
      </c>
      <c r="J496" s="121" t="s">
        <v>15477</v>
      </c>
      <c r="K496" s="120" t="s">
        <v>15478</v>
      </c>
    </row>
    <row r="497" customFormat="false" ht="14.25" hidden="false" customHeight="true" outlineLevel="0" collapsed="false">
      <c r="A497" s="115"/>
      <c r="B497" s="115"/>
      <c r="C497" s="115"/>
      <c r="D497" s="115"/>
      <c r="E497" s="115"/>
      <c r="F497" s="115"/>
      <c r="G497" s="121"/>
      <c r="H497" s="121"/>
      <c r="I497" s="121"/>
      <c r="J497" s="121"/>
      <c r="K497" s="120" t="s">
        <v>15479</v>
      </c>
    </row>
    <row r="498" customFormat="false" ht="14.25" hidden="false" customHeight="true" outlineLevel="0" collapsed="false">
      <c r="A498" s="115"/>
      <c r="B498" s="115"/>
      <c r="C498" s="115"/>
      <c r="D498" s="115"/>
      <c r="E498" s="115"/>
      <c r="F498" s="115"/>
      <c r="G498" s="121" t="s">
        <v>1290</v>
      </c>
      <c r="H498" s="121" t="s">
        <v>15480</v>
      </c>
      <c r="I498" s="124" t="s">
        <v>40</v>
      </c>
      <c r="J498" s="121" t="s">
        <v>15481</v>
      </c>
      <c r="K498" s="120" t="s">
        <v>15482</v>
      </c>
    </row>
    <row r="499" customFormat="false" ht="14.25" hidden="false" customHeight="true" outlineLevel="0" collapsed="false">
      <c r="A499" s="115"/>
      <c r="B499" s="115"/>
      <c r="C499" s="115"/>
      <c r="D499" s="121"/>
      <c r="E499" s="121"/>
      <c r="F499" s="121"/>
      <c r="G499" s="121"/>
      <c r="H499" s="121"/>
      <c r="I499" s="121"/>
      <c r="J499" s="121"/>
      <c r="K499" s="120" t="s">
        <v>15483</v>
      </c>
    </row>
    <row r="500" customFormat="false" ht="14.25" hidden="false" customHeight="true" outlineLevel="0" collapsed="false">
      <c r="A500" s="115"/>
      <c r="B500" s="115"/>
      <c r="C500" s="115"/>
      <c r="D500" s="121" t="s">
        <v>15484</v>
      </c>
      <c r="E500" s="121" t="s">
        <v>15485</v>
      </c>
      <c r="F500" s="121" t="s">
        <v>38</v>
      </c>
      <c r="G500" s="121" t="s">
        <v>15486</v>
      </c>
      <c r="H500" s="121" t="s">
        <v>15487</v>
      </c>
      <c r="I500" s="126" t="s">
        <v>50</v>
      </c>
      <c r="J500" s="121" t="s">
        <v>15488</v>
      </c>
      <c r="K500" s="120" t="s">
        <v>15489</v>
      </c>
    </row>
    <row r="501" customFormat="false" ht="14.25" hidden="false" customHeight="true" outlineLevel="0" collapsed="false">
      <c r="A501" s="115"/>
      <c r="B501" s="115"/>
      <c r="C501" s="115"/>
      <c r="D501" s="115"/>
      <c r="E501" s="115"/>
      <c r="F501" s="115"/>
      <c r="G501" s="121"/>
      <c r="H501" s="121"/>
      <c r="I501" s="121"/>
      <c r="J501" s="121"/>
      <c r="K501" s="120" t="s">
        <v>15490</v>
      </c>
    </row>
    <row r="502" customFormat="false" ht="14.25" hidden="false" customHeight="true" outlineLevel="0" collapsed="false">
      <c r="A502" s="115"/>
      <c r="B502" s="115"/>
      <c r="C502" s="115"/>
      <c r="D502" s="115"/>
      <c r="E502" s="115"/>
      <c r="F502" s="115"/>
      <c r="G502" s="121" t="s">
        <v>15491</v>
      </c>
      <c r="H502" s="121" t="s">
        <v>15492</v>
      </c>
      <c r="I502" s="123" t="s">
        <v>40</v>
      </c>
      <c r="J502" s="121" t="s">
        <v>15493</v>
      </c>
      <c r="K502" s="120" t="s">
        <v>15494</v>
      </c>
    </row>
    <row r="503" customFormat="false" ht="14.25" hidden="false" customHeight="true" outlineLevel="0" collapsed="false">
      <c r="A503" s="115"/>
      <c r="B503" s="115"/>
      <c r="C503" s="115"/>
      <c r="D503" s="121"/>
      <c r="E503" s="121"/>
      <c r="F503" s="121"/>
      <c r="G503" s="121"/>
      <c r="H503" s="121"/>
      <c r="I503" s="121"/>
      <c r="J503" s="121"/>
      <c r="K503" s="120" t="s">
        <v>15495</v>
      </c>
    </row>
    <row r="504" customFormat="false" ht="14.25" hidden="false" customHeight="true" outlineLevel="0" collapsed="false">
      <c r="A504" s="115"/>
      <c r="B504" s="115"/>
      <c r="C504" s="115"/>
      <c r="D504" s="121" t="s">
        <v>15496</v>
      </c>
      <c r="E504" s="121" t="s">
        <v>15497</v>
      </c>
      <c r="F504" s="121" t="s">
        <v>38</v>
      </c>
      <c r="G504" s="121" t="s">
        <v>15498</v>
      </c>
      <c r="H504" s="121" t="s">
        <v>15499</v>
      </c>
      <c r="I504" s="123" t="s">
        <v>40</v>
      </c>
      <c r="J504" s="121" t="s">
        <v>15500</v>
      </c>
      <c r="K504" s="120" t="s">
        <v>15501</v>
      </c>
    </row>
    <row r="505" customFormat="false" ht="14.25" hidden="false" customHeight="true" outlineLevel="0" collapsed="false">
      <c r="A505" s="115"/>
      <c r="B505" s="115"/>
      <c r="C505" s="115"/>
      <c r="D505" s="115"/>
      <c r="E505" s="115"/>
      <c r="F505" s="115"/>
      <c r="G505" s="121"/>
      <c r="H505" s="121"/>
      <c r="I505" s="121"/>
      <c r="J505" s="121"/>
      <c r="K505" s="120" t="s">
        <v>15502</v>
      </c>
    </row>
    <row r="506" customFormat="false" ht="14.25" hidden="false" customHeight="true" outlineLevel="0" collapsed="false">
      <c r="A506" s="115"/>
      <c r="B506" s="115"/>
      <c r="C506" s="115"/>
      <c r="D506" s="115"/>
      <c r="E506" s="115"/>
      <c r="F506" s="115"/>
      <c r="G506" s="121" t="s">
        <v>15503</v>
      </c>
      <c r="H506" s="121" t="s">
        <v>15504</v>
      </c>
      <c r="I506" s="123" t="s">
        <v>40</v>
      </c>
      <c r="J506" s="121" t="s">
        <v>15505</v>
      </c>
      <c r="K506" s="120" t="s">
        <v>15506</v>
      </c>
    </row>
    <row r="507" customFormat="false" ht="14.25" hidden="false" customHeight="true" outlineLevel="0" collapsed="false">
      <c r="A507" s="115"/>
      <c r="B507" s="115"/>
      <c r="C507" s="115"/>
      <c r="D507" s="121"/>
      <c r="E507" s="121"/>
      <c r="F507" s="121"/>
      <c r="G507" s="121"/>
      <c r="H507" s="121"/>
      <c r="I507" s="121"/>
      <c r="J507" s="121"/>
      <c r="K507" s="120" t="s">
        <v>15507</v>
      </c>
    </row>
    <row r="508" customFormat="false" ht="14.25" hidden="false" customHeight="true" outlineLevel="0" collapsed="false">
      <c r="A508" s="115"/>
      <c r="B508" s="115"/>
      <c r="C508" s="115"/>
      <c r="D508" s="121" t="s">
        <v>15508</v>
      </c>
      <c r="E508" s="121" t="s">
        <v>15509</v>
      </c>
      <c r="F508" s="121" t="s">
        <v>38</v>
      </c>
      <c r="G508" s="121" t="s">
        <v>15510</v>
      </c>
      <c r="H508" s="121" t="s">
        <v>15511</v>
      </c>
      <c r="I508" s="126" t="s">
        <v>50</v>
      </c>
      <c r="J508" s="121" t="s">
        <v>15512</v>
      </c>
      <c r="K508" s="120" t="s">
        <v>15513</v>
      </c>
    </row>
    <row r="509" customFormat="false" ht="14.25" hidden="false" customHeight="true" outlineLevel="0" collapsed="false">
      <c r="A509" s="115"/>
      <c r="B509" s="115"/>
      <c r="C509" s="115"/>
      <c r="D509" s="115"/>
      <c r="E509" s="115"/>
      <c r="F509" s="115"/>
      <c r="G509" s="121"/>
      <c r="H509" s="121"/>
      <c r="I509" s="121"/>
      <c r="J509" s="121"/>
      <c r="K509" s="120" t="s">
        <v>15514</v>
      </c>
    </row>
    <row r="510" customFormat="false" ht="14.25" hidden="false" customHeight="true" outlineLevel="0" collapsed="false">
      <c r="A510" s="115"/>
      <c r="B510" s="115"/>
      <c r="C510" s="115"/>
      <c r="D510" s="115"/>
      <c r="E510" s="115"/>
      <c r="F510" s="115"/>
      <c r="G510" s="121" t="s">
        <v>15515</v>
      </c>
      <c r="H510" s="121" t="s">
        <v>15516</v>
      </c>
      <c r="I510" s="123" t="s">
        <v>40</v>
      </c>
      <c r="J510" s="121" t="s">
        <v>15517</v>
      </c>
      <c r="K510" s="120" t="s">
        <v>15518</v>
      </c>
    </row>
    <row r="511" customFormat="false" ht="14.25" hidden="false" customHeight="true" outlineLevel="0" collapsed="false">
      <c r="A511" s="115"/>
      <c r="B511" s="115"/>
      <c r="C511" s="125"/>
      <c r="D511" s="125"/>
      <c r="E511" s="125"/>
      <c r="F511" s="125"/>
      <c r="G511" s="125"/>
      <c r="H511" s="125"/>
      <c r="I511" s="125"/>
      <c r="J511" s="125"/>
      <c r="K511" s="120" t="s">
        <v>15519</v>
      </c>
    </row>
    <row r="512" customFormat="false" ht="14.25" hidden="false" customHeight="true" outlineLevel="0" collapsed="false">
      <c r="A512" s="115"/>
      <c r="B512" s="115"/>
      <c r="C512" s="125" t="s">
        <v>15520</v>
      </c>
      <c r="D512" s="121" t="s">
        <v>15521</v>
      </c>
      <c r="E512" s="121" t="s">
        <v>15522</v>
      </c>
      <c r="F512" s="121" t="s">
        <v>38</v>
      </c>
      <c r="G512" s="121" t="s">
        <v>15523</v>
      </c>
      <c r="H512" s="121" t="s">
        <v>15524</v>
      </c>
      <c r="I512" s="127" t="s">
        <v>40</v>
      </c>
      <c r="J512" s="121" t="s">
        <v>15525</v>
      </c>
      <c r="K512" s="120" t="s">
        <v>15526</v>
      </c>
    </row>
    <row r="513" customFormat="false" ht="14.25" hidden="false" customHeight="true" outlineLevel="0" collapsed="false">
      <c r="A513" s="115"/>
      <c r="B513" s="115"/>
      <c r="C513" s="115"/>
      <c r="D513" s="115"/>
      <c r="E513" s="115"/>
      <c r="F513" s="115"/>
      <c r="G513" s="121"/>
      <c r="H513" s="121"/>
      <c r="I513" s="121"/>
      <c r="J513" s="121"/>
      <c r="K513" s="120" t="s">
        <v>15527</v>
      </c>
    </row>
    <row r="514" customFormat="false" ht="14.25" hidden="false" customHeight="true" outlineLevel="0" collapsed="false">
      <c r="A514" s="115"/>
      <c r="B514" s="115"/>
      <c r="C514" s="115"/>
      <c r="D514" s="115"/>
      <c r="E514" s="115"/>
      <c r="F514" s="115"/>
      <c r="G514" s="121" t="s">
        <v>15528</v>
      </c>
      <c r="H514" s="121" t="s">
        <v>15529</v>
      </c>
      <c r="I514" s="127" t="s">
        <v>40</v>
      </c>
      <c r="J514" s="121" t="s">
        <v>15530</v>
      </c>
      <c r="K514" s="120" t="s">
        <v>15531</v>
      </c>
    </row>
    <row r="515" customFormat="false" ht="14.25" hidden="false" customHeight="true" outlineLevel="0" collapsed="false">
      <c r="A515" s="115"/>
      <c r="B515" s="115"/>
      <c r="C515" s="115"/>
      <c r="D515" s="121"/>
      <c r="E515" s="121"/>
      <c r="F515" s="121"/>
      <c r="G515" s="121"/>
      <c r="H515" s="121"/>
      <c r="I515" s="121"/>
      <c r="J515" s="121"/>
      <c r="K515" s="120" t="s">
        <v>15532</v>
      </c>
    </row>
    <row r="516" customFormat="false" ht="14.25" hidden="false" customHeight="true" outlineLevel="0" collapsed="false">
      <c r="A516" s="115"/>
      <c r="B516" s="115"/>
      <c r="C516" s="115"/>
      <c r="D516" s="121" t="s">
        <v>15533</v>
      </c>
      <c r="E516" s="121" t="s">
        <v>15534</v>
      </c>
      <c r="F516" s="121" t="s">
        <v>38</v>
      </c>
      <c r="G516" s="121" t="s">
        <v>15535</v>
      </c>
      <c r="H516" s="121" t="s">
        <v>15536</v>
      </c>
      <c r="I516" s="127" t="s">
        <v>40</v>
      </c>
      <c r="J516" s="121" t="s">
        <v>15537</v>
      </c>
      <c r="K516" s="120" t="s">
        <v>15538</v>
      </c>
    </row>
    <row r="517" customFormat="false" ht="14.25" hidden="false" customHeight="true" outlineLevel="0" collapsed="false">
      <c r="A517" s="115"/>
      <c r="B517" s="115"/>
      <c r="C517" s="115"/>
      <c r="D517" s="115"/>
      <c r="E517" s="115"/>
      <c r="F517" s="115"/>
      <c r="G517" s="121"/>
      <c r="H517" s="121"/>
      <c r="I517" s="121"/>
      <c r="J517" s="121"/>
      <c r="K517" s="120" t="s">
        <v>15539</v>
      </c>
    </row>
    <row r="518" customFormat="false" ht="14.25" hidden="false" customHeight="true" outlineLevel="0" collapsed="false">
      <c r="A518" s="115"/>
      <c r="B518" s="115"/>
      <c r="C518" s="115"/>
      <c r="D518" s="115"/>
      <c r="E518" s="115"/>
      <c r="F518" s="115"/>
      <c r="G518" s="121" t="s">
        <v>15540</v>
      </c>
      <c r="H518" s="121" t="s">
        <v>15541</v>
      </c>
      <c r="I518" s="127" t="s">
        <v>40</v>
      </c>
      <c r="J518" s="121" t="s">
        <v>15542</v>
      </c>
      <c r="K518" s="120" t="s">
        <v>15543</v>
      </c>
    </row>
    <row r="519" customFormat="false" ht="14.25" hidden="false" customHeight="true" outlineLevel="0" collapsed="false">
      <c r="A519" s="115"/>
      <c r="B519" s="115"/>
      <c r="C519" s="115"/>
      <c r="D519" s="121"/>
      <c r="E519" s="121"/>
      <c r="F519" s="121"/>
      <c r="G519" s="121"/>
      <c r="H519" s="121"/>
      <c r="I519" s="121"/>
      <c r="J519" s="121"/>
      <c r="K519" s="120" t="s">
        <v>15544</v>
      </c>
    </row>
    <row r="520" customFormat="false" ht="14.25" hidden="false" customHeight="true" outlineLevel="0" collapsed="false">
      <c r="A520" s="115"/>
      <c r="B520" s="115"/>
      <c r="C520" s="115"/>
      <c r="D520" s="121" t="s">
        <v>15545</v>
      </c>
      <c r="E520" s="121" t="s">
        <v>15546</v>
      </c>
      <c r="F520" s="121" t="s">
        <v>38</v>
      </c>
      <c r="G520" s="121" t="s">
        <v>15547</v>
      </c>
      <c r="H520" s="121" t="s">
        <v>15548</v>
      </c>
      <c r="I520" s="127" t="s">
        <v>40</v>
      </c>
      <c r="J520" s="121" t="s">
        <v>15549</v>
      </c>
      <c r="K520" s="120" t="s">
        <v>15550</v>
      </c>
    </row>
    <row r="521" customFormat="false" ht="14.25" hidden="false" customHeight="true" outlineLevel="0" collapsed="false">
      <c r="A521" s="115"/>
      <c r="B521" s="115"/>
      <c r="C521" s="115"/>
      <c r="D521" s="115"/>
      <c r="E521" s="115"/>
      <c r="F521" s="115"/>
      <c r="G521" s="121"/>
      <c r="H521" s="121"/>
      <c r="I521" s="121"/>
      <c r="J521" s="121"/>
      <c r="K521" s="120" t="s">
        <v>15551</v>
      </c>
    </row>
    <row r="522" customFormat="false" ht="14.25" hidden="false" customHeight="true" outlineLevel="0" collapsed="false">
      <c r="A522" s="115"/>
      <c r="B522" s="115"/>
      <c r="C522" s="115"/>
      <c r="D522" s="115"/>
      <c r="E522" s="115"/>
      <c r="F522" s="115"/>
      <c r="G522" s="121" t="s">
        <v>15552</v>
      </c>
      <c r="H522" s="121" t="s">
        <v>15553</v>
      </c>
      <c r="I522" s="127" t="s">
        <v>40</v>
      </c>
      <c r="J522" s="121" t="s">
        <v>15554</v>
      </c>
      <c r="K522" s="120" t="s">
        <v>15555</v>
      </c>
    </row>
    <row r="523" customFormat="false" ht="14.25" hidden="false" customHeight="true" outlineLevel="0" collapsed="false">
      <c r="A523" s="115"/>
      <c r="B523" s="115"/>
      <c r="C523" s="115"/>
      <c r="D523" s="121"/>
      <c r="E523" s="121"/>
      <c r="F523" s="121"/>
      <c r="G523" s="121"/>
      <c r="H523" s="121"/>
      <c r="I523" s="121"/>
      <c r="J523" s="121"/>
      <c r="K523" s="120" t="s">
        <v>15556</v>
      </c>
    </row>
    <row r="524" customFormat="false" ht="14.25" hidden="false" customHeight="true" outlineLevel="0" collapsed="false">
      <c r="A524" s="115"/>
      <c r="B524" s="115"/>
      <c r="C524" s="115"/>
      <c r="D524" s="121" t="s">
        <v>15557</v>
      </c>
      <c r="E524" s="121" t="s">
        <v>15558</v>
      </c>
      <c r="F524" s="121" t="s">
        <v>38</v>
      </c>
      <c r="G524" s="121" t="s">
        <v>15559</v>
      </c>
      <c r="H524" s="121" t="s">
        <v>15560</v>
      </c>
      <c r="I524" s="127" t="s">
        <v>40</v>
      </c>
      <c r="J524" s="121" t="s">
        <v>15561</v>
      </c>
      <c r="K524" s="120" t="s">
        <v>15562</v>
      </c>
    </row>
    <row r="525" customFormat="false" ht="14.25" hidden="false" customHeight="true" outlineLevel="0" collapsed="false">
      <c r="A525" s="115"/>
      <c r="B525" s="115"/>
      <c r="C525" s="115"/>
      <c r="D525" s="115"/>
      <c r="E525" s="115"/>
      <c r="F525" s="115"/>
      <c r="G525" s="121"/>
      <c r="H525" s="121"/>
      <c r="I525" s="121"/>
      <c r="J525" s="121"/>
      <c r="K525" s="120" t="s">
        <v>15563</v>
      </c>
    </row>
    <row r="526" customFormat="false" ht="14.25" hidden="false" customHeight="true" outlineLevel="0" collapsed="false">
      <c r="A526" s="115"/>
      <c r="B526" s="115"/>
      <c r="C526" s="115"/>
      <c r="D526" s="115"/>
      <c r="E526" s="115"/>
      <c r="F526" s="115"/>
      <c r="G526" s="121" t="s">
        <v>15564</v>
      </c>
      <c r="H526" s="121" t="s">
        <v>15565</v>
      </c>
      <c r="I526" s="127" t="s">
        <v>40</v>
      </c>
      <c r="J526" s="121" t="s">
        <v>15566</v>
      </c>
      <c r="K526" s="120" t="s">
        <v>15567</v>
      </c>
    </row>
    <row r="527" customFormat="false" ht="14.25" hidden="false" customHeight="true" outlineLevel="0" collapsed="false">
      <c r="A527" s="115"/>
      <c r="B527" s="115"/>
      <c r="C527" s="115"/>
      <c r="D527" s="121"/>
      <c r="E527" s="121"/>
      <c r="F527" s="121"/>
      <c r="G527" s="121"/>
      <c r="H527" s="121"/>
      <c r="I527" s="121"/>
      <c r="J527" s="121"/>
      <c r="K527" s="120" t="s">
        <v>15568</v>
      </c>
    </row>
    <row r="528" customFormat="false" ht="14.25" hidden="false" customHeight="true" outlineLevel="0" collapsed="false">
      <c r="A528" s="115"/>
      <c r="B528" s="115"/>
      <c r="C528" s="115"/>
      <c r="D528" s="121" t="s">
        <v>15569</v>
      </c>
      <c r="E528" s="121" t="s">
        <v>15570</v>
      </c>
      <c r="F528" s="121" t="s">
        <v>48</v>
      </c>
      <c r="G528" s="121" t="s">
        <v>15571</v>
      </c>
      <c r="H528" s="121" t="s">
        <v>15572</v>
      </c>
      <c r="I528" s="122" t="s">
        <v>50</v>
      </c>
      <c r="J528" s="121" t="s">
        <v>15573</v>
      </c>
      <c r="K528" s="120" t="s">
        <v>15574</v>
      </c>
    </row>
    <row r="529" customFormat="false" ht="14.25" hidden="false" customHeight="true" outlineLevel="0" collapsed="false">
      <c r="A529" s="115"/>
      <c r="B529" s="115"/>
      <c r="C529" s="115"/>
      <c r="D529" s="115"/>
      <c r="E529" s="115"/>
      <c r="F529" s="115"/>
      <c r="G529" s="121"/>
      <c r="H529" s="121"/>
      <c r="I529" s="121"/>
      <c r="J529" s="121"/>
      <c r="K529" s="120" t="s">
        <v>15575</v>
      </c>
    </row>
    <row r="530" customFormat="false" ht="14.25" hidden="false" customHeight="true" outlineLevel="0" collapsed="false">
      <c r="A530" s="115"/>
      <c r="B530" s="115"/>
      <c r="C530" s="115"/>
      <c r="D530" s="115"/>
      <c r="E530" s="115"/>
      <c r="F530" s="115"/>
      <c r="G530" s="121" t="s">
        <v>15576</v>
      </c>
      <c r="H530" s="121" t="s">
        <v>15577</v>
      </c>
      <c r="I530" s="123" t="s">
        <v>40</v>
      </c>
      <c r="J530" s="121" t="s">
        <v>15578</v>
      </c>
      <c r="K530" s="120" t="s">
        <v>15579</v>
      </c>
    </row>
    <row r="531" customFormat="false" ht="14.25" hidden="false" customHeight="true" outlineLevel="0" collapsed="false">
      <c r="A531" s="115"/>
      <c r="B531" s="115"/>
      <c r="C531" s="115"/>
      <c r="D531" s="115"/>
      <c r="E531" s="115"/>
      <c r="F531" s="115"/>
      <c r="G531" s="115"/>
      <c r="H531" s="115"/>
      <c r="I531" s="115"/>
      <c r="J531" s="115"/>
      <c r="K531" s="120" t="s">
        <v>15580</v>
      </c>
    </row>
    <row r="532" customFormat="false" ht="14.25" hidden="false" customHeight="true" outlineLevel="0" collapsed="false">
      <c r="A532" s="115"/>
      <c r="B532" s="115" t="s">
        <v>15581</v>
      </c>
      <c r="C532" s="125" t="s">
        <v>15582</v>
      </c>
      <c r="D532" s="121" t="s">
        <v>15583</v>
      </c>
      <c r="E532" s="121" t="s">
        <v>15584</v>
      </c>
      <c r="F532" s="121" t="s">
        <v>38</v>
      </c>
      <c r="G532" s="121" t="s">
        <v>15585</v>
      </c>
      <c r="H532" s="121" t="s">
        <v>15586</v>
      </c>
      <c r="I532" s="123" t="s">
        <v>40</v>
      </c>
      <c r="J532" s="121" t="s">
        <v>15587</v>
      </c>
      <c r="K532" s="120" t="s">
        <v>15588</v>
      </c>
    </row>
    <row r="533" customFormat="false" ht="14.25" hidden="false" customHeight="true" outlineLevel="0" collapsed="false">
      <c r="A533" s="115"/>
      <c r="B533" s="115"/>
      <c r="C533" s="115"/>
      <c r="D533" s="115"/>
      <c r="E533" s="115"/>
      <c r="F533" s="115"/>
      <c r="G533" s="121"/>
      <c r="H533" s="121"/>
      <c r="I533" s="121"/>
      <c r="J533" s="121"/>
      <c r="K533" s="120" t="s">
        <v>15589</v>
      </c>
    </row>
    <row r="534" customFormat="false" ht="14.25" hidden="false" customHeight="true" outlineLevel="0" collapsed="false">
      <c r="A534" s="115"/>
      <c r="B534" s="115"/>
      <c r="C534" s="115"/>
      <c r="D534" s="115"/>
      <c r="E534" s="115"/>
      <c r="F534" s="115"/>
      <c r="G534" s="121" t="s">
        <v>15590</v>
      </c>
      <c r="H534" s="121" t="s">
        <v>15591</v>
      </c>
      <c r="I534" s="123" t="s">
        <v>40</v>
      </c>
      <c r="J534" s="121" t="s">
        <v>15592</v>
      </c>
      <c r="K534" s="120" t="s">
        <v>15593</v>
      </c>
    </row>
    <row r="535" customFormat="false" ht="14.25" hidden="false" customHeight="true" outlineLevel="0" collapsed="false">
      <c r="A535" s="115"/>
      <c r="B535" s="115"/>
      <c r="C535" s="115"/>
      <c r="D535" s="121"/>
      <c r="E535" s="121"/>
      <c r="F535" s="121"/>
      <c r="G535" s="121"/>
      <c r="H535" s="121"/>
      <c r="I535" s="121"/>
      <c r="J535" s="121"/>
      <c r="K535" s="120" t="s">
        <v>15594</v>
      </c>
    </row>
    <row r="536" customFormat="false" ht="14.25" hidden="false" customHeight="true" outlineLevel="0" collapsed="false">
      <c r="A536" s="115"/>
      <c r="B536" s="115"/>
      <c r="C536" s="115"/>
      <c r="D536" s="121" t="s">
        <v>15595</v>
      </c>
      <c r="E536" s="121" t="s">
        <v>15596</v>
      </c>
      <c r="F536" s="121" t="s">
        <v>38</v>
      </c>
      <c r="G536" s="121" t="s">
        <v>15597</v>
      </c>
      <c r="H536" s="121" t="s">
        <v>15598</v>
      </c>
      <c r="I536" s="123" t="s">
        <v>40</v>
      </c>
      <c r="J536" s="121" t="s">
        <v>15599</v>
      </c>
      <c r="K536" s="120" t="s">
        <v>15600</v>
      </c>
    </row>
    <row r="537" customFormat="false" ht="14.25" hidden="false" customHeight="true" outlineLevel="0" collapsed="false">
      <c r="A537" s="115"/>
      <c r="B537" s="115"/>
      <c r="C537" s="115"/>
      <c r="D537" s="115"/>
      <c r="E537" s="115"/>
      <c r="F537" s="115"/>
      <c r="G537" s="121"/>
      <c r="H537" s="121"/>
      <c r="I537" s="121"/>
      <c r="J537" s="121"/>
      <c r="K537" s="120" t="s">
        <v>15601</v>
      </c>
    </row>
    <row r="538" customFormat="false" ht="14.25" hidden="false" customHeight="true" outlineLevel="0" collapsed="false">
      <c r="A538" s="115"/>
      <c r="B538" s="115"/>
      <c r="C538" s="115"/>
      <c r="D538" s="115"/>
      <c r="E538" s="115"/>
      <c r="F538" s="115"/>
      <c r="G538" s="121" t="s">
        <v>11432</v>
      </c>
      <c r="H538" s="121" t="s">
        <v>15602</v>
      </c>
      <c r="I538" s="123" t="s">
        <v>40</v>
      </c>
      <c r="J538" s="121" t="s">
        <v>15603</v>
      </c>
      <c r="K538" s="120" t="s">
        <v>15604</v>
      </c>
    </row>
    <row r="539" customFormat="false" ht="14.25" hidden="false" customHeight="true" outlineLevel="0" collapsed="false">
      <c r="A539" s="115"/>
      <c r="B539" s="115"/>
      <c r="C539" s="115"/>
      <c r="D539" s="121"/>
      <c r="E539" s="121"/>
      <c r="F539" s="121"/>
      <c r="G539" s="121"/>
      <c r="H539" s="121"/>
      <c r="I539" s="121"/>
      <c r="J539" s="121"/>
      <c r="K539" s="120" t="s">
        <v>15605</v>
      </c>
    </row>
    <row r="540" customFormat="false" ht="14.25" hidden="false" customHeight="true" outlineLevel="0" collapsed="false">
      <c r="A540" s="115"/>
      <c r="B540" s="115"/>
      <c r="C540" s="115"/>
      <c r="D540" s="121" t="s">
        <v>15606</v>
      </c>
      <c r="E540" s="121" t="s">
        <v>15607</v>
      </c>
      <c r="F540" s="121" t="s">
        <v>38</v>
      </c>
      <c r="G540" s="121" t="s">
        <v>15608</v>
      </c>
      <c r="H540" s="121" t="s">
        <v>15609</v>
      </c>
      <c r="I540" s="123" t="s">
        <v>40</v>
      </c>
      <c r="J540" s="121" t="s">
        <v>15610</v>
      </c>
      <c r="K540" s="120" t="s">
        <v>15611</v>
      </c>
    </row>
    <row r="541" customFormat="false" ht="14.25" hidden="false" customHeight="true" outlineLevel="0" collapsed="false">
      <c r="A541" s="115"/>
      <c r="B541" s="115"/>
      <c r="C541" s="115"/>
      <c r="D541" s="115"/>
      <c r="E541" s="115"/>
      <c r="F541" s="115"/>
      <c r="G541" s="121"/>
      <c r="H541" s="121"/>
      <c r="I541" s="121"/>
      <c r="J541" s="121"/>
      <c r="K541" s="120" t="s">
        <v>15612</v>
      </c>
    </row>
    <row r="542" customFormat="false" ht="14.25" hidden="false" customHeight="true" outlineLevel="0" collapsed="false">
      <c r="A542" s="115"/>
      <c r="B542" s="115"/>
      <c r="C542" s="115"/>
      <c r="D542" s="115"/>
      <c r="E542" s="115"/>
      <c r="F542" s="115"/>
      <c r="G542" s="121" t="s">
        <v>1077</v>
      </c>
      <c r="H542" s="121" t="s">
        <v>15613</v>
      </c>
      <c r="I542" s="123" t="s">
        <v>40</v>
      </c>
      <c r="J542" s="121" t="s">
        <v>15614</v>
      </c>
      <c r="K542" s="120" t="s">
        <v>15615</v>
      </c>
    </row>
    <row r="543" customFormat="false" ht="14.25" hidden="false" customHeight="true" outlineLevel="0" collapsed="false">
      <c r="A543" s="115"/>
      <c r="B543" s="115"/>
      <c r="C543" s="115"/>
      <c r="D543" s="121"/>
      <c r="E543" s="121"/>
      <c r="F543" s="121"/>
      <c r="G543" s="121"/>
      <c r="H543" s="121"/>
      <c r="I543" s="121"/>
      <c r="J543" s="121"/>
      <c r="K543" s="120" t="s">
        <v>15616</v>
      </c>
    </row>
    <row r="544" customFormat="false" ht="14.25" hidden="false" customHeight="true" outlineLevel="0" collapsed="false">
      <c r="A544" s="115"/>
      <c r="B544" s="115"/>
      <c r="C544" s="115"/>
      <c r="D544" s="121" t="s">
        <v>15617</v>
      </c>
      <c r="E544" s="121" t="s">
        <v>15618</v>
      </c>
      <c r="F544" s="121" t="s">
        <v>38</v>
      </c>
      <c r="G544" s="121" t="s">
        <v>15619</v>
      </c>
      <c r="H544" s="121" t="s">
        <v>15620</v>
      </c>
      <c r="I544" s="123" t="s">
        <v>40</v>
      </c>
      <c r="J544" s="121" t="s">
        <v>15621</v>
      </c>
      <c r="K544" s="120" t="s">
        <v>15622</v>
      </c>
    </row>
    <row r="545" customFormat="false" ht="14.25" hidden="false" customHeight="true" outlineLevel="0" collapsed="false">
      <c r="A545" s="115"/>
      <c r="B545" s="115"/>
      <c r="C545" s="115"/>
      <c r="D545" s="115"/>
      <c r="E545" s="115"/>
      <c r="F545" s="115"/>
      <c r="G545" s="121"/>
      <c r="H545" s="121"/>
      <c r="I545" s="121"/>
      <c r="J545" s="121"/>
      <c r="K545" s="120" t="s">
        <v>15623</v>
      </c>
    </row>
    <row r="546" customFormat="false" ht="14.25" hidden="false" customHeight="true" outlineLevel="0" collapsed="false">
      <c r="A546" s="115"/>
      <c r="B546" s="115"/>
      <c r="C546" s="115"/>
      <c r="D546" s="115"/>
      <c r="E546" s="115"/>
      <c r="F546" s="115"/>
      <c r="G546" s="121" t="s">
        <v>15624</v>
      </c>
      <c r="H546" s="121" t="s">
        <v>15625</v>
      </c>
      <c r="I546" s="123" t="s">
        <v>40</v>
      </c>
      <c r="J546" s="121" t="s">
        <v>15626</v>
      </c>
      <c r="K546" s="120" t="s">
        <v>15627</v>
      </c>
    </row>
    <row r="547" customFormat="false" ht="14.25" hidden="false" customHeight="true" outlineLevel="0" collapsed="false">
      <c r="A547" s="115"/>
      <c r="B547" s="115"/>
      <c r="C547" s="115"/>
      <c r="D547" s="121"/>
      <c r="E547" s="121"/>
      <c r="F547" s="121"/>
      <c r="G547" s="121"/>
      <c r="H547" s="121"/>
      <c r="I547" s="121"/>
      <c r="J547" s="121"/>
      <c r="K547" s="120" t="s">
        <v>15628</v>
      </c>
    </row>
    <row r="548" customFormat="false" ht="14.25" hidden="false" customHeight="true" outlineLevel="0" collapsed="false">
      <c r="A548" s="115"/>
      <c r="B548" s="115"/>
      <c r="C548" s="115"/>
      <c r="D548" s="121" t="s">
        <v>15629</v>
      </c>
      <c r="E548" s="121" t="s">
        <v>15630</v>
      </c>
      <c r="F548" s="121" t="s">
        <v>38</v>
      </c>
      <c r="G548" s="121" t="s">
        <v>15631</v>
      </c>
      <c r="H548" s="121" t="s">
        <v>15632</v>
      </c>
      <c r="I548" s="123" t="s">
        <v>40</v>
      </c>
      <c r="J548" s="121" t="s">
        <v>15633</v>
      </c>
      <c r="K548" s="120" t="s">
        <v>15634</v>
      </c>
    </row>
    <row r="549" customFormat="false" ht="14.25" hidden="false" customHeight="true" outlineLevel="0" collapsed="false">
      <c r="A549" s="115"/>
      <c r="B549" s="115"/>
      <c r="C549" s="115"/>
      <c r="D549" s="115"/>
      <c r="E549" s="115"/>
      <c r="F549" s="115"/>
      <c r="G549" s="121"/>
      <c r="H549" s="121"/>
      <c r="I549" s="121"/>
      <c r="J549" s="121"/>
      <c r="K549" s="120" t="s">
        <v>15635</v>
      </c>
    </row>
    <row r="550" customFormat="false" ht="14.25" hidden="false" customHeight="true" outlineLevel="0" collapsed="false">
      <c r="A550" s="115"/>
      <c r="B550" s="115"/>
      <c r="C550" s="115"/>
      <c r="D550" s="115"/>
      <c r="E550" s="115"/>
      <c r="F550" s="115"/>
      <c r="G550" s="121" t="s">
        <v>15636</v>
      </c>
      <c r="H550" s="121" t="s">
        <v>15637</v>
      </c>
      <c r="I550" s="123" t="s">
        <v>40</v>
      </c>
      <c r="J550" s="121" t="s">
        <v>15638</v>
      </c>
      <c r="K550" s="120" t="s">
        <v>15639</v>
      </c>
    </row>
    <row r="551" customFormat="false" ht="14.25" hidden="false" customHeight="true" outlineLevel="0" collapsed="false">
      <c r="A551" s="115"/>
      <c r="B551" s="115"/>
      <c r="C551" s="125"/>
      <c r="D551" s="125"/>
      <c r="E551" s="125"/>
      <c r="F551" s="125"/>
      <c r="G551" s="125"/>
      <c r="H551" s="125"/>
      <c r="I551" s="125"/>
      <c r="J551" s="125"/>
      <c r="K551" s="120" t="s">
        <v>15640</v>
      </c>
    </row>
    <row r="552" customFormat="false" ht="14.25" hidden="false" customHeight="true" outlineLevel="0" collapsed="false">
      <c r="A552" s="115"/>
      <c r="B552" s="115"/>
      <c r="C552" s="125" t="s">
        <v>15641</v>
      </c>
      <c r="D552" s="121" t="s">
        <v>15642</v>
      </c>
      <c r="E552" s="121" t="s">
        <v>15643</v>
      </c>
      <c r="F552" s="121" t="s">
        <v>38</v>
      </c>
      <c r="G552" s="121" t="s">
        <v>15644</v>
      </c>
      <c r="H552" s="121" t="s">
        <v>15645</v>
      </c>
      <c r="I552" s="123" t="s">
        <v>40</v>
      </c>
      <c r="J552" s="121" t="s">
        <v>15646</v>
      </c>
      <c r="K552" s="120" t="s">
        <v>15647</v>
      </c>
    </row>
    <row r="553" customFormat="false" ht="14.25" hidden="false" customHeight="true" outlineLevel="0" collapsed="false">
      <c r="A553" s="115"/>
      <c r="B553" s="115"/>
      <c r="C553" s="115"/>
      <c r="D553" s="115"/>
      <c r="E553" s="115"/>
      <c r="F553" s="115"/>
      <c r="G553" s="121"/>
      <c r="H553" s="121"/>
      <c r="I553" s="121"/>
      <c r="J553" s="121"/>
      <c r="K553" s="120" t="s">
        <v>15648</v>
      </c>
    </row>
    <row r="554" customFormat="false" ht="14.25" hidden="false" customHeight="true" outlineLevel="0" collapsed="false">
      <c r="A554" s="115"/>
      <c r="B554" s="115"/>
      <c r="C554" s="115"/>
      <c r="D554" s="115"/>
      <c r="E554" s="115"/>
      <c r="F554" s="115"/>
      <c r="G554" s="121" t="s">
        <v>15649</v>
      </c>
      <c r="H554" s="121" t="s">
        <v>15650</v>
      </c>
      <c r="I554" s="123" t="s">
        <v>40</v>
      </c>
      <c r="J554" s="121" t="s">
        <v>15651</v>
      </c>
      <c r="K554" s="120" t="s">
        <v>15652</v>
      </c>
    </row>
    <row r="555" customFormat="false" ht="14.25" hidden="false" customHeight="true" outlineLevel="0" collapsed="false">
      <c r="A555" s="115"/>
      <c r="B555" s="115"/>
      <c r="C555" s="115"/>
      <c r="D555" s="121"/>
      <c r="E555" s="121"/>
      <c r="F555" s="121"/>
      <c r="G555" s="121"/>
      <c r="H555" s="121"/>
      <c r="I555" s="121"/>
      <c r="J555" s="121"/>
      <c r="K555" s="120" t="s">
        <v>15653</v>
      </c>
    </row>
    <row r="556" customFormat="false" ht="14.25" hidden="false" customHeight="true" outlineLevel="0" collapsed="false">
      <c r="A556" s="115"/>
      <c r="B556" s="115"/>
      <c r="C556" s="115"/>
      <c r="D556" s="121" t="s">
        <v>15654</v>
      </c>
      <c r="E556" s="121" t="s">
        <v>15655</v>
      </c>
      <c r="F556" s="121" t="s">
        <v>38</v>
      </c>
      <c r="G556" s="121" t="s">
        <v>15656</v>
      </c>
      <c r="H556" s="121" t="s">
        <v>15657</v>
      </c>
      <c r="I556" s="123" t="s">
        <v>40</v>
      </c>
      <c r="J556" s="121" t="s">
        <v>15658</v>
      </c>
      <c r="K556" s="120" t="s">
        <v>15659</v>
      </c>
    </row>
    <row r="557" customFormat="false" ht="14.25" hidden="false" customHeight="true" outlineLevel="0" collapsed="false">
      <c r="A557" s="115"/>
      <c r="B557" s="115"/>
      <c r="C557" s="115"/>
      <c r="D557" s="115"/>
      <c r="E557" s="115"/>
      <c r="F557" s="115"/>
      <c r="G557" s="121"/>
      <c r="H557" s="121"/>
      <c r="I557" s="121"/>
      <c r="J557" s="121"/>
      <c r="K557" s="120" t="s">
        <v>15660</v>
      </c>
    </row>
    <row r="558" customFormat="false" ht="14.25" hidden="false" customHeight="true" outlineLevel="0" collapsed="false">
      <c r="A558" s="115"/>
      <c r="B558" s="115"/>
      <c r="C558" s="115"/>
      <c r="D558" s="115"/>
      <c r="E558" s="115"/>
      <c r="F558" s="115"/>
      <c r="G558" s="121" t="s">
        <v>15661</v>
      </c>
      <c r="H558" s="121" t="s">
        <v>15662</v>
      </c>
      <c r="I558" s="123" t="s">
        <v>40</v>
      </c>
      <c r="J558" s="121" t="s">
        <v>15663</v>
      </c>
      <c r="K558" s="120" t="s">
        <v>15664</v>
      </c>
    </row>
    <row r="559" customFormat="false" ht="14.25" hidden="false" customHeight="true" outlineLevel="0" collapsed="false">
      <c r="A559" s="115"/>
      <c r="B559" s="115"/>
      <c r="C559" s="115"/>
      <c r="D559" s="121"/>
      <c r="E559" s="121"/>
      <c r="F559" s="121"/>
      <c r="G559" s="121"/>
      <c r="H559" s="121"/>
      <c r="I559" s="121"/>
      <c r="J559" s="121"/>
      <c r="K559" s="120" t="s">
        <v>15665</v>
      </c>
    </row>
    <row r="560" customFormat="false" ht="14.25" hidden="false" customHeight="true" outlineLevel="0" collapsed="false">
      <c r="A560" s="115"/>
      <c r="B560" s="115"/>
      <c r="C560" s="115"/>
      <c r="D560" s="121" t="s">
        <v>15666</v>
      </c>
      <c r="E560" s="121" t="s">
        <v>15667</v>
      </c>
      <c r="F560" s="121" t="s">
        <v>38</v>
      </c>
      <c r="G560" s="121" t="s">
        <v>15668</v>
      </c>
      <c r="H560" s="121" t="s">
        <v>15669</v>
      </c>
      <c r="I560" s="123" t="s">
        <v>40</v>
      </c>
      <c r="J560" s="121" t="s">
        <v>15670</v>
      </c>
      <c r="K560" s="120" t="s">
        <v>15671</v>
      </c>
    </row>
    <row r="561" customFormat="false" ht="14.25" hidden="false" customHeight="true" outlineLevel="0" collapsed="false">
      <c r="A561" s="115"/>
      <c r="B561" s="115"/>
      <c r="C561" s="115"/>
      <c r="D561" s="115"/>
      <c r="E561" s="115"/>
      <c r="F561" s="115"/>
      <c r="G561" s="115"/>
      <c r="H561" s="121"/>
      <c r="I561" s="121"/>
      <c r="J561" s="121"/>
      <c r="K561" s="120" t="s">
        <v>15672</v>
      </c>
    </row>
    <row r="562" customFormat="false" ht="14.25" hidden="false" customHeight="true" outlineLevel="0" collapsed="false">
      <c r="A562" s="115"/>
      <c r="B562" s="115"/>
      <c r="C562" s="115"/>
      <c r="D562" s="115"/>
      <c r="E562" s="115"/>
      <c r="F562" s="115"/>
      <c r="G562" s="121" t="s">
        <v>15673</v>
      </c>
      <c r="H562" s="121" t="s">
        <v>15674</v>
      </c>
      <c r="I562" s="123" t="s">
        <v>40</v>
      </c>
      <c r="J562" s="121" t="s">
        <v>15675</v>
      </c>
      <c r="K562" s="120" t="s">
        <v>15676</v>
      </c>
    </row>
    <row r="563" customFormat="false" ht="14.25" hidden="false" customHeight="true" outlineLevel="0" collapsed="false">
      <c r="A563" s="115"/>
      <c r="B563" s="115"/>
      <c r="C563" s="115"/>
      <c r="D563" s="121"/>
      <c r="E563" s="121"/>
      <c r="F563" s="121"/>
      <c r="G563" s="121"/>
      <c r="H563" s="121"/>
      <c r="I563" s="121"/>
      <c r="J563" s="121"/>
      <c r="K563" s="120" t="s">
        <v>15677</v>
      </c>
    </row>
    <row r="564" customFormat="false" ht="14.25" hidden="false" customHeight="true" outlineLevel="0" collapsed="false">
      <c r="A564" s="115"/>
      <c r="B564" s="115"/>
      <c r="C564" s="115"/>
      <c r="D564" s="121" t="s">
        <v>15678</v>
      </c>
      <c r="E564" s="121" t="s">
        <v>15679</v>
      </c>
      <c r="F564" s="121" t="s">
        <v>38</v>
      </c>
      <c r="G564" s="121" t="s">
        <v>15680</v>
      </c>
      <c r="H564" s="121" t="s">
        <v>15681</v>
      </c>
      <c r="I564" s="123" t="s">
        <v>40</v>
      </c>
      <c r="J564" s="121" t="s">
        <v>15682</v>
      </c>
      <c r="K564" s="120" t="s">
        <v>15683</v>
      </c>
    </row>
    <row r="565" customFormat="false" ht="14.25" hidden="false" customHeight="true" outlineLevel="0" collapsed="false">
      <c r="A565" s="115"/>
      <c r="B565" s="115"/>
      <c r="C565" s="115"/>
      <c r="D565" s="115"/>
      <c r="E565" s="115"/>
      <c r="F565" s="115"/>
      <c r="G565" s="121"/>
      <c r="H565" s="121"/>
      <c r="I565" s="121"/>
      <c r="J565" s="121"/>
      <c r="K565" s="120" t="s">
        <v>15684</v>
      </c>
    </row>
    <row r="566" customFormat="false" ht="14.25" hidden="false" customHeight="true" outlineLevel="0" collapsed="false">
      <c r="A566" s="115"/>
      <c r="B566" s="115"/>
      <c r="C566" s="115"/>
      <c r="D566" s="115"/>
      <c r="E566" s="115"/>
      <c r="F566" s="115"/>
      <c r="G566" s="121" t="s">
        <v>15685</v>
      </c>
      <c r="H566" s="121" t="s">
        <v>15686</v>
      </c>
      <c r="I566" s="123" t="s">
        <v>40</v>
      </c>
      <c r="J566" s="121" t="s">
        <v>15687</v>
      </c>
      <c r="K566" s="120" t="s">
        <v>15688</v>
      </c>
    </row>
    <row r="567" customFormat="false" ht="14.25" hidden="false" customHeight="true" outlineLevel="0" collapsed="false">
      <c r="A567" s="115"/>
      <c r="B567" s="115"/>
      <c r="C567" s="115"/>
      <c r="D567" s="121"/>
      <c r="E567" s="121"/>
      <c r="F567" s="121"/>
      <c r="G567" s="121"/>
      <c r="H567" s="121"/>
      <c r="I567" s="121"/>
      <c r="J567" s="121"/>
      <c r="K567" s="120" t="s">
        <v>15689</v>
      </c>
    </row>
    <row r="568" customFormat="false" ht="14.25" hidden="false" customHeight="true" outlineLevel="0" collapsed="false">
      <c r="A568" s="115"/>
      <c r="B568" s="115"/>
      <c r="C568" s="115"/>
      <c r="D568" s="121" t="s">
        <v>15690</v>
      </c>
      <c r="E568" s="121" t="s">
        <v>15691</v>
      </c>
      <c r="F568" s="121" t="s">
        <v>38</v>
      </c>
      <c r="G568" s="121" t="s">
        <v>15692</v>
      </c>
      <c r="H568" s="121" t="s">
        <v>15693</v>
      </c>
      <c r="I568" s="122" t="s">
        <v>50</v>
      </c>
      <c r="J568" s="121" t="s">
        <v>15694</v>
      </c>
      <c r="K568" s="120" t="s">
        <v>15695</v>
      </c>
    </row>
    <row r="569" customFormat="false" ht="14.25" hidden="false" customHeight="true" outlineLevel="0" collapsed="false">
      <c r="A569" s="115"/>
      <c r="B569" s="115"/>
      <c r="C569" s="115"/>
      <c r="D569" s="115"/>
      <c r="E569" s="115"/>
      <c r="F569" s="115"/>
      <c r="G569" s="121"/>
      <c r="H569" s="121"/>
      <c r="I569" s="121"/>
      <c r="J569" s="121"/>
      <c r="K569" s="120" t="s">
        <v>15696</v>
      </c>
    </row>
    <row r="570" customFormat="false" ht="14.25" hidden="false" customHeight="true" outlineLevel="0" collapsed="false">
      <c r="A570" s="115"/>
      <c r="B570" s="115"/>
      <c r="C570" s="115"/>
      <c r="D570" s="115"/>
      <c r="E570" s="115"/>
      <c r="F570" s="115"/>
      <c r="G570" s="121" t="s">
        <v>15697</v>
      </c>
      <c r="H570" s="121" t="s">
        <v>15698</v>
      </c>
      <c r="I570" s="122" t="s">
        <v>50</v>
      </c>
      <c r="J570" s="121" t="s">
        <v>15699</v>
      </c>
      <c r="K570" s="120" t="s">
        <v>15700</v>
      </c>
    </row>
    <row r="571" customFormat="false" ht="14.25" hidden="false" customHeight="true" outlineLevel="0" collapsed="false">
      <c r="A571" s="115"/>
      <c r="B571" s="115"/>
      <c r="C571" s="125"/>
      <c r="D571" s="125"/>
      <c r="E571" s="125"/>
      <c r="F571" s="125"/>
      <c r="G571" s="125"/>
      <c r="H571" s="125"/>
      <c r="I571" s="125"/>
      <c r="J571" s="125"/>
      <c r="K571" s="120" t="s">
        <v>15701</v>
      </c>
    </row>
    <row r="572" customFormat="false" ht="14.25" hidden="false" customHeight="true" outlineLevel="0" collapsed="false">
      <c r="A572" s="115"/>
      <c r="B572" s="115"/>
      <c r="C572" s="125" t="s">
        <v>15702</v>
      </c>
      <c r="D572" s="121" t="s">
        <v>15400</v>
      </c>
      <c r="E572" s="121" t="s">
        <v>15401</v>
      </c>
      <c r="F572" s="121" t="s">
        <v>38</v>
      </c>
      <c r="G572" s="121" t="s">
        <v>15703</v>
      </c>
      <c r="H572" s="121" t="s">
        <v>15704</v>
      </c>
      <c r="I572" s="122" t="s">
        <v>50</v>
      </c>
      <c r="J572" s="121" t="s">
        <v>15705</v>
      </c>
      <c r="K572" s="120" t="s">
        <v>15706</v>
      </c>
    </row>
    <row r="573" customFormat="false" ht="14.25" hidden="false" customHeight="true" outlineLevel="0" collapsed="false">
      <c r="A573" s="115"/>
      <c r="B573" s="115"/>
      <c r="C573" s="115"/>
      <c r="D573" s="115"/>
      <c r="E573" s="115"/>
      <c r="F573" s="115"/>
      <c r="G573" s="121"/>
      <c r="H573" s="121"/>
      <c r="I573" s="121"/>
      <c r="J573" s="121"/>
      <c r="K573" s="120" t="s">
        <v>15707</v>
      </c>
    </row>
    <row r="574" customFormat="false" ht="14.25" hidden="false" customHeight="true" outlineLevel="0" collapsed="false">
      <c r="A574" s="115"/>
      <c r="B574" s="115"/>
      <c r="C574" s="115"/>
      <c r="D574" s="115"/>
      <c r="E574" s="115"/>
      <c r="F574" s="115"/>
      <c r="G574" s="121" t="s">
        <v>15708</v>
      </c>
      <c r="H574" s="121" t="s">
        <v>15709</v>
      </c>
      <c r="I574" s="122" t="s">
        <v>50</v>
      </c>
      <c r="J574" s="121" t="s">
        <v>15710</v>
      </c>
      <c r="K574" s="120" t="s">
        <v>15711</v>
      </c>
    </row>
    <row r="575" customFormat="false" ht="14.25" hidden="false" customHeight="true" outlineLevel="0" collapsed="false">
      <c r="A575" s="115"/>
      <c r="B575" s="115"/>
      <c r="C575" s="115"/>
      <c r="D575" s="121"/>
      <c r="E575" s="121"/>
      <c r="F575" s="121"/>
      <c r="G575" s="121"/>
      <c r="H575" s="121"/>
      <c r="I575" s="121"/>
      <c r="J575" s="121"/>
      <c r="K575" s="120" t="s">
        <v>15712</v>
      </c>
    </row>
    <row r="576" customFormat="false" ht="14.25" hidden="false" customHeight="true" outlineLevel="0" collapsed="false">
      <c r="A576" s="115"/>
      <c r="B576" s="115"/>
      <c r="C576" s="115"/>
      <c r="D576" s="121" t="s">
        <v>15412</v>
      </c>
      <c r="E576" s="121" t="s">
        <v>15413</v>
      </c>
      <c r="F576" s="121" t="s">
        <v>38</v>
      </c>
      <c r="G576" s="121" t="s">
        <v>15713</v>
      </c>
      <c r="H576" s="121" t="s">
        <v>15714</v>
      </c>
      <c r="I576" s="122" t="s">
        <v>50</v>
      </c>
      <c r="J576" s="121" t="s">
        <v>15715</v>
      </c>
      <c r="K576" s="120" t="s">
        <v>15716</v>
      </c>
    </row>
    <row r="577" customFormat="false" ht="14.25" hidden="false" customHeight="true" outlineLevel="0" collapsed="false">
      <c r="A577" s="115"/>
      <c r="B577" s="115"/>
      <c r="C577" s="115"/>
      <c r="D577" s="115"/>
      <c r="E577" s="115"/>
      <c r="F577" s="115"/>
      <c r="G577" s="121"/>
      <c r="H577" s="121"/>
      <c r="I577" s="121"/>
      <c r="J577" s="121"/>
      <c r="K577" s="120" t="s">
        <v>15717</v>
      </c>
    </row>
    <row r="578" customFormat="false" ht="14.25" hidden="false" customHeight="true" outlineLevel="0" collapsed="false">
      <c r="A578" s="115"/>
      <c r="B578" s="115"/>
      <c r="C578" s="115"/>
      <c r="D578" s="115"/>
      <c r="E578" s="115"/>
      <c r="F578" s="115"/>
      <c r="G578" s="121" t="s">
        <v>15718</v>
      </c>
      <c r="H578" s="121" t="s">
        <v>15719</v>
      </c>
      <c r="I578" s="122" t="s">
        <v>50</v>
      </c>
      <c r="J578" s="121" t="s">
        <v>15720</v>
      </c>
      <c r="K578" s="120" t="s">
        <v>15721</v>
      </c>
    </row>
    <row r="579" customFormat="false" ht="14.25" hidden="false" customHeight="true" outlineLevel="0" collapsed="false">
      <c r="A579" s="115"/>
      <c r="B579" s="115"/>
      <c r="C579" s="115"/>
      <c r="D579" s="121"/>
      <c r="E579" s="121"/>
      <c r="F579" s="121"/>
      <c r="G579" s="121"/>
      <c r="H579" s="121"/>
      <c r="I579" s="121"/>
      <c r="J579" s="121"/>
      <c r="K579" s="120" t="s">
        <v>15722</v>
      </c>
    </row>
    <row r="580" customFormat="false" ht="14.25" hidden="false" customHeight="true" outlineLevel="0" collapsed="false">
      <c r="A580" s="115"/>
      <c r="B580" s="115"/>
      <c r="C580" s="115"/>
      <c r="D580" s="121" t="s">
        <v>15424</v>
      </c>
      <c r="E580" s="121" t="s">
        <v>15425</v>
      </c>
      <c r="F580" s="121" t="s">
        <v>48</v>
      </c>
      <c r="G580" s="121" t="s">
        <v>15723</v>
      </c>
      <c r="H580" s="121" t="s">
        <v>15724</v>
      </c>
      <c r="I580" s="122" t="s">
        <v>50</v>
      </c>
      <c r="J580" s="121" t="s">
        <v>15725</v>
      </c>
      <c r="K580" s="120" t="s">
        <v>15726</v>
      </c>
    </row>
    <row r="581" customFormat="false" ht="14.25" hidden="false" customHeight="true" outlineLevel="0" collapsed="false">
      <c r="A581" s="115"/>
      <c r="B581" s="115"/>
      <c r="C581" s="115"/>
      <c r="D581" s="115"/>
      <c r="E581" s="115"/>
      <c r="F581" s="115"/>
      <c r="G581" s="121"/>
      <c r="H581" s="121"/>
      <c r="I581" s="121"/>
      <c r="J581" s="121"/>
      <c r="K581" s="120" t="s">
        <v>15727</v>
      </c>
    </row>
    <row r="582" customFormat="false" ht="14.25" hidden="false" customHeight="true" outlineLevel="0" collapsed="false">
      <c r="A582" s="115"/>
      <c r="B582" s="115"/>
      <c r="C582" s="115"/>
      <c r="D582" s="115"/>
      <c r="E582" s="115"/>
      <c r="F582" s="115"/>
      <c r="G582" s="121" t="s">
        <v>15728</v>
      </c>
      <c r="H582" s="121" t="s">
        <v>15729</v>
      </c>
      <c r="I582" s="122" t="s">
        <v>50</v>
      </c>
      <c r="J582" s="121" t="s">
        <v>15730</v>
      </c>
      <c r="K582" s="120" t="s">
        <v>15731</v>
      </c>
    </row>
    <row r="583" customFormat="false" ht="14.25" hidden="false" customHeight="true" outlineLevel="0" collapsed="false">
      <c r="A583" s="115"/>
      <c r="B583" s="115"/>
      <c r="C583" s="115"/>
      <c r="D583" s="121"/>
      <c r="E583" s="121"/>
      <c r="F583" s="121"/>
      <c r="G583" s="121"/>
      <c r="H583" s="121"/>
      <c r="I583" s="121"/>
      <c r="J583" s="121"/>
      <c r="K583" s="120" t="s">
        <v>15732</v>
      </c>
    </row>
    <row r="584" customFormat="false" ht="14.25" hidden="false" customHeight="true" outlineLevel="0" collapsed="false">
      <c r="A584" s="115"/>
      <c r="B584" s="115"/>
      <c r="C584" s="115"/>
      <c r="D584" s="121" t="s">
        <v>15436</v>
      </c>
      <c r="E584" s="121" t="s">
        <v>15437</v>
      </c>
      <c r="F584" s="121" t="s">
        <v>38</v>
      </c>
      <c r="G584" s="121" t="s">
        <v>15733</v>
      </c>
      <c r="H584" s="121" t="s">
        <v>15734</v>
      </c>
      <c r="I584" s="122" t="s">
        <v>50</v>
      </c>
      <c r="J584" s="121" t="s">
        <v>15735</v>
      </c>
      <c r="K584" s="120" t="s">
        <v>15736</v>
      </c>
    </row>
    <row r="585" customFormat="false" ht="14.25" hidden="false" customHeight="true" outlineLevel="0" collapsed="false">
      <c r="A585" s="115"/>
      <c r="B585" s="115"/>
      <c r="C585" s="115"/>
      <c r="D585" s="115"/>
      <c r="E585" s="115"/>
      <c r="F585" s="115"/>
      <c r="G585" s="121"/>
      <c r="H585" s="121"/>
      <c r="I585" s="121"/>
      <c r="J585" s="121"/>
      <c r="K585" s="120" t="s">
        <v>15737</v>
      </c>
    </row>
    <row r="586" customFormat="false" ht="14.25" hidden="false" customHeight="true" outlineLevel="0" collapsed="false">
      <c r="A586" s="115"/>
      <c r="B586" s="115"/>
      <c r="C586" s="115"/>
      <c r="D586" s="115"/>
      <c r="E586" s="115"/>
      <c r="F586" s="115"/>
      <c r="G586" s="121" t="s">
        <v>15738</v>
      </c>
      <c r="H586" s="121" t="s">
        <v>15739</v>
      </c>
      <c r="I586" s="122" t="s">
        <v>50</v>
      </c>
      <c r="J586" s="121" t="s">
        <v>15740</v>
      </c>
      <c r="K586" s="120" t="s">
        <v>15741</v>
      </c>
    </row>
    <row r="587" customFormat="false" ht="14.25" hidden="false" customHeight="true" outlineLevel="0" collapsed="false">
      <c r="A587" s="115"/>
      <c r="B587" s="115"/>
      <c r="C587" s="115"/>
      <c r="D587" s="121"/>
      <c r="E587" s="121"/>
      <c r="F587" s="121"/>
      <c r="G587" s="121"/>
      <c r="H587" s="121"/>
      <c r="I587" s="121"/>
      <c r="J587" s="121"/>
      <c r="K587" s="120" t="s">
        <v>15742</v>
      </c>
    </row>
    <row r="588" customFormat="false" ht="14.25" hidden="false" customHeight="true" outlineLevel="0" collapsed="false">
      <c r="A588" s="115"/>
      <c r="B588" s="115"/>
      <c r="C588" s="115"/>
      <c r="D588" s="121" t="s">
        <v>15448</v>
      </c>
      <c r="E588" s="121" t="s">
        <v>15449</v>
      </c>
      <c r="F588" s="121" t="s">
        <v>38</v>
      </c>
      <c r="G588" s="121" t="s">
        <v>15743</v>
      </c>
      <c r="H588" s="121" t="s">
        <v>15744</v>
      </c>
      <c r="I588" s="122" t="s">
        <v>50</v>
      </c>
      <c r="J588" s="121" t="s">
        <v>15745</v>
      </c>
      <c r="K588" s="120" t="s">
        <v>15746</v>
      </c>
    </row>
    <row r="589" customFormat="false" ht="14.25" hidden="false" customHeight="true" outlineLevel="0" collapsed="false">
      <c r="A589" s="115"/>
      <c r="B589" s="115"/>
      <c r="C589" s="115"/>
      <c r="D589" s="115"/>
      <c r="E589" s="115"/>
      <c r="F589" s="115"/>
      <c r="G589" s="121"/>
      <c r="H589" s="121"/>
      <c r="I589" s="121"/>
      <c r="J589" s="121"/>
      <c r="K589" s="120" t="s">
        <v>15747</v>
      </c>
    </row>
    <row r="590" customFormat="false" ht="14.25" hidden="false" customHeight="true" outlineLevel="0" collapsed="false">
      <c r="A590" s="115"/>
      <c r="B590" s="115"/>
      <c r="C590" s="115"/>
      <c r="D590" s="115"/>
      <c r="E590" s="115"/>
      <c r="F590" s="115"/>
      <c r="G590" s="121" t="s">
        <v>15748</v>
      </c>
      <c r="H590" s="121" t="s">
        <v>15749</v>
      </c>
      <c r="I590" s="122" t="s">
        <v>50</v>
      </c>
      <c r="J590" s="121" t="s">
        <v>15750</v>
      </c>
      <c r="K590" s="120" t="s">
        <v>15751</v>
      </c>
    </row>
    <row r="591" customFormat="false" ht="14.25" hidden="false" customHeight="true" outlineLevel="0" collapsed="false">
      <c r="A591" s="115"/>
      <c r="B591" s="115"/>
      <c r="C591" s="125"/>
      <c r="D591" s="125"/>
      <c r="E591" s="125"/>
      <c r="F591" s="125"/>
      <c r="G591" s="125"/>
      <c r="H591" s="125"/>
      <c r="I591" s="125"/>
      <c r="J591" s="125"/>
      <c r="K591" s="120" t="s">
        <v>15752</v>
      </c>
    </row>
    <row r="592" customFormat="false" ht="14.25" hidden="false" customHeight="true" outlineLevel="0" collapsed="false">
      <c r="A592" s="115"/>
      <c r="B592" s="115"/>
      <c r="C592" s="125" t="s">
        <v>15753</v>
      </c>
      <c r="D592" s="121" t="s">
        <v>15473</v>
      </c>
      <c r="E592" s="121" t="s">
        <v>15474</v>
      </c>
      <c r="F592" s="121" t="s">
        <v>38</v>
      </c>
      <c r="G592" s="121" t="s">
        <v>15754</v>
      </c>
      <c r="H592" s="121" t="s">
        <v>15755</v>
      </c>
      <c r="I592" s="123" t="s">
        <v>40</v>
      </c>
      <c r="J592" s="121" t="s">
        <v>15457</v>
      </c>
      <c r="K592" s="120" t="s">
        <v>15756</v>
      </c>
    </row>
    <row r="593" customFormat="false" ht="14.25" hidden="false" customHeight="true" outlineLevel="0" collapsed="false">
      <c r="A593" s="115"/>
      <c r="B593" s="115"/>
      <c r="C593" s="115"/>
      <c r="D593" s="115"/>
      <c r="E593" s="115"/>
      <c r="F593" s="115"/>
      <c r="G593" s="121"/>
      <c r="H593" s="121"/>
      <c r="I593" s="121"/>
      <c r="J593" s="121"/>
      <c r="K593" s="120" t="s">
        <v>15757</v>
      </c>
    </row>
    <row r="594" customFormat="false" ht="14.25" hidden="false" customHeight="true" outlineLevel="0" collapsed="false">
      <c r="A594" s="115"/>
      <c r="B594" s="115"/>
      <c r="C594" s="115"/>
      <c r="D594" s="115"/>
      <c r="E594" s="115"/>
      <c r="F594" s="115"/>
      <c r="G594" s="121" t="s">
        <v>15758</v>
      </c>
      <c r="H594" s="121" t="s">
        <v>15759</v>
      </c>
      <c r="I594" s="123" t="s">
        <v>40</v>
      </c>
      <c r="J594" s="121" t="s">
        <v>15760</v>
      </c>
      <c r="K594" s="120" t="s">
        <v>15761</v>
      </c>
    </row>
    <row r="595" customFormat="false" ht="14.25" hidden="false" customHeight="true" outlineLevel="0" collapsed="false">
      <c r="A595" s="115"/>
      <c r="B595" s="115"/>
      <c r="C595" s="115"/>
      <c r="D595" s="121"/>
      <c r="E595" s="121"/>
      <c r="F595" s="121"/>
      <c r="G595" s="121"/>
      <c r="H595" s="121"/>
      <c r="I595" s="121"/>
      <c r="J595" s="121"/>
      <c r="K595" s="120" t="s">
        <v>15762</v>
      </c>
    </row>
    <row r="596" customFormat="false" ht="14.25" hidden="false" customHeight="true" outlineLevel="0" collapsed="false">
      <c r="A596" s="115"/>
      <c r="B596" s="115"/>
      <c r="C596" s="115"/>
      <c r="D596" s="121" t="s">
        <v>15484</v>
      </c>
      <c r="E596" s="121" t="s">
        <v>15485</v>
      </c>
      <c r="F596" s="121" t="s">
        <v>38</v>
      </c>
      <c r="G596" s="121" t="s">
        <v>15763</v>
      </c>
      <c r="H596" s="121" t="s">
        <v>15764</v>
      </c>
      <c r="I596" s="123" t="s">
        <v>40</v>
      </c>
      <c r="J596" s="121" t="s">
        <v>15765</v>
      </c>
      <c r="K596" s="120" t="s">
        <v>15766</v>
      </c>
    </row>
    <row r="597" customFormat="false" ht="14.25" hidden="false" customHeight="true" outlineLevel="0" collapsed="false">
      <c r="A597" s="115"/>
      <c r="B597" s="115"/>
      <c r="C597" s="115"/>
      <c r="D597" s="115"/>
      <c r="E597" s="115"/>
      <c r="F597" s="115"/>
      <c r="G597" s="121"/>
      <c r="H597" s="121"/>
      <c r="I597" s="121"/>
      <c r="J597" s="121"/>
      <c r="K597" s="120" t="s">
        <v>15767</v>
      </c>
    </row>
    <row r="598" customFormat="false" ht="14.25" hidden="false" customHeight="true" outlineLevel="0" collapsed="false">
      <c r="A598" s="115"/>
      <c r="B598" s="115"/>
      <c r="C598" s="115"/>
      <c r="D598" s="115"/>
      <c r="E598" s="115"/>
      <c r="F598" s="115"/>
      <c r="G598" s="121" t="s">
        <v>15768</v>
      </c>
      <c r="H598" s="121" t="s">
        <v>15769</v>
      </c>
      <c r="I598" s="123" t="s">
        <v>40</v>
      </c>
      <c r="J598" s="121" t="s">
        <v>15770</v>
      </c>
      <c r="K598" s="120" t="s">
        <v>15771</v>
      </c>
    </row>
    <row r="599" customFormat="false" ht="14.25" hidden="false" customHeight="true" outlineLevel="0" collapsed="false">
      <c r="A599" s="115"/>
      <c r="B599" s="115"/>
      <c r="C599" s="115"/>
      <c r="D599" s="121"/>
      <c r="E599" s="121"/>
      <c r="F599" s="121"/>
      <c r="G599" s="121"/>
      <c r="H599" s="121"/>
      <c r="I599" s="121"/>
      <c r="J599" s="121"/>
      <c r="K599" s="120" t="s">
        <v>15772</v>
      </c>
    </row>
    <row r="600" customFormat="false" ht="14.25" hidden="false" customHeight="true" outlineLevel="0" collapsed="false">
      <c r="A600" s="115"/>
      <c r="B600" s="115"/>
      <c r="C600" s="115"/>
      <c r="D600" s="121" t="s">
        <v>15773</v>
      </c>
      <c r="E600" s="121" t="s">
        <v>15774</v>
      </c>
      <c r="F600" s="121" t="s">
        <v>38</v>
      </c>
      <c r="G600" s="121" t="s">
        <v>15775</v>
      </c>
      <c r="H600" s="121" t="s">
        <v>15776</v>
      </c>
      <c r="I600" s="123" t="s">
        <v>40</v>
      </c>
      <c r="J600" s="121" t="s">
        <v>15777</v>
      </c>
      <c r="K600" s="120" t="s">
        <v>15778</v>
      </c>
    </row>
    <row r="601" customFormat="false" ht="14.25" hidden="false" customHeight="true" outlineLevel="0" collapsed="false">
      <c r="A601" s="115"/>
      <c r="B601" s="115"/>
      <c r="C601" s="115"/>
      <c r="D601" s="115"/>
      <c r="E601" s="115"/>
      <c r="F601" s="115"/>
      <c r="G601" s="121"/>
      <c r="H601" s="121"/>
      <c r="I601" s="121"/>
      <c r="J601" s="121"/>
      <c r="K601" s="120" t="s">
        <v>15779</v>
      </c>
    </row>
    <row r="602" customFormat="false" ht="14.25" hidden="false" customHeight="true" outlineLevel="0" collapsed="false">
      <c r="A602" s="115"/>
      <c r="B602" s="115"/>
      <c r="C602" s="115"/>
      <c r="D602" s="115"/>
      <c r="E602" s="115"/>
      <c r="F602" s="115"/>
      <c r="G602" s="121" t="s">
        <v>15780</v>
      </c>
      <c r="H602" s="121" t="s">
        <v>15781</v>
      </c>
      <c r="I602" s="123" t="s">
        <v>40</v>
      </c>
      <c r="J602" s="121" t="s">
        <v>15782</v>
      </c>
      <c r="K602" s="120" t="s">
        <v>15783</v>
      </c>
    </row>
    <row r="603" customFormat="false" ht="14.25" hidden="false" customHeight="true" outlineLevel="0" collapsed="false">
      <c r="A603" s="115"/>
      <c r="B603" s="115"/>
      <c r="C603" s="115"/>
      <c r="D603" s="121"/>
      <c r="E603" s="121"/>
      <c r="F603" s="121"/>
      <c r="G603" s="121"/>
      <c r="H603" s="121"/>
      <c r="I603" s="121"/>
      <c r="J603" s="121"/>
      <c r="K603" s="120" t="s">
        <v>15784</v>
      </c>
    </row>
    <row r="604" customFormat="false" ht="14.25" hidden="false" customHeight="true" outlineLevel="0" collapsed="false">
      <c r="A604" s="115"/>
      <c r="B604" s="115"/>
      <c r="C604" s="115"/>
      <c r="D604" s="121" t="s">
        <v>15496</v>
      </c>
      <c r="E604" s="121" t="s">
        <v>15497</v>
      </c>
      <c r="F604" s="121" t="s">
        <v>48</v>
      </c>
      <c r="G604" s="121" t="s">
        <v>15785</v>
      </c>
      <c r="H604" s="121" t="s">
        <v>15786</v>
      </c>
      <c r="I604" s="123" t="s">
        <v>40</v>
      </c>
      <c r="J604" s="121" t="s">
        <v>15481</v>
      </c>
      <c r="K604" s="120" t="s">
        <v>15787</v>
      </c>
    </row>
    <row r="605" customFormat="false" ht="14.25" hidden="false" customHeight="true" outlineLevel="0" collapsed="false">
      <c r="A605" s="115"/>
      <c r="B605" s="115"/>
      <c r="C605" s="115"/>
      <c r="D605" s="115"/>
      <c r="E605" s="115"/>
      <c r="F605" s="115"/>
      <c r="G605" s="121"/>
      <c r="H605" s="121"/>
      <c r="I605" s="121"/>
      <c r="J605" s="121"/>
      <c r="K605" s="120" t="s">
        <v>15788</v>
      </c>
    </row>
    <row r="606" customFormat="false" ht="14.25" hidden="false" customHeight="true" outlineLevel="0" collapsed="false">
      <c r="A606" s="115"/>
      <c r="B606" s="115"/>
      <c r="C606" s="115"/>
      <c r="D606" s="115"/>
      <c r="E606" s="115"/>
      <c r="F606" s="115"/>
      <c r="G606" s="121" t="s">
        <v>15789</v>
      </c>
      <c r="H606" s="121" t="s">
        <v>15790</v>
      </c>
      <c r="I606" s="123" t="s">
        <v>40</v>
      </c>
      <c r="J606" s="121" t="s">
        <v>15791</v>
      </c>
      <c r="K606" s="120" t="s">
        <v>15792</v>
      </c>
    </row>
    <row r="607" customFormat="false" ht="14.25" hidden="false" customHeight="true" outlineLevel="0" collapsed="false">
      <c r="A607" s="115"/>
      <c r="B607" s="115"/>
      <c r="C607" s="115"/>
      <c r="D607" s="121"/>
      <c r="E607" s="121"/>
      <c r="F607" s="121"/>
      <c r="G607" s="121"/>
      <c r="H607" s="121"/>
      <c r="I607" s="121"/>
      <c r="J607" s="121"/>
      <c r="K607" s="120" t="s">
        <v>15793</v>
      </c>
    </row>
    <row r="608" customFormat="false" ht="14.25" hidden="false" customHeight="true" outlineLevel="0" collapsed="false">
      <c r="A608" s="115"/>
      <c r="B608" s="115"/>
      <c r="C608" s="115"/>
      <c r="D608" s="121" t="s">
        <v>15508</v>
      </c>
      <c r="E608" s="121" t="s">
        <v>15509</v>
      </c>
      <c r="F608" s="121" t="s">
        <v>48</v>
      </c>
      <c r="G608" s="121" t="s">
        <v>15794</v>
      </c>
      <c r="H608" s="121" t="s">
        <v>15795</v>
      </c>
      <c r="I608" s="123" t="s">
        <v>40</v>
      </c>
      <c r="J608" s="121" t="s">
        <v>15796</v>
      </c>
      <c r="K608" s="120" t="s">
        <v>15797</v>
      </c>
    </row>
    <row r="609" customFormat="false" ht="14.25" hidden="false" customHeight="true" outlineLevel="0" collapsed="false">
      <c r="A609" s="115"/>
      <c r="B609" s="115"/>
      <c r="C609" s="115"/>
      <c r="D609" s="115"/>
      <c r="E609" s="115"/>
      <c r="F609" s="115"/>
      <c r="G609" s="121"/>
      <c r="H609" s="121"/>
      <c r="I609" s="121"/>
      <c r="J609" s="121"/>
      <c r="K609" s="120" t="s">
        <v>15798</v>
      </c>
    </row>
    <row r="610" customFormat="false" ht="14.25" hidden="false" customHeight="true" outlineLevel="0" collapsed="false">
      <c r="A610" s="115"/>
      <c r="B610" s="115"/>
      <c r="C610" s="115"/>
      <c r="D610" s="115"/>
      <c r="E610" s="115"/>
      <c r="F610" s="115"/>
      <c r="G610" s="121" t="s">
        <v>15799</v>
      </c>
      <c r="H610" s="121" t="s">
        <v>15800</v>
      </c>
      <c r="I610" s="123" t="s">
        <v>40</v>
      </c>
      <c r="J610" s="121" t="s">
        <v>15801</v>
      </c>
      <c r="K610" s="120" t="s">
        <v>15802</v>
      </c>
    </row>
    <row r="611" customFormat="false" ht="14.25" hidden="false" customHeight="true" outlineLevel="0" collapsed="false">
      <c r="A611" s="115"/>
      <c r="B611" s="115"/>
      <c r="C611" s="125"/>
      <c r="D611" s="125"/>
      <c r="E611" s="125"/>
      <c r="F611" s="125"/>
      <c r="G611" s="125"/>
      <c r="H611" s="125"/>
      <c r="I611" s="125"/>
      <c r="J611" s="125"/>
      <c r="K611" s="120" t="s">
        <v>15803</v>
      </c>
    </row>
    <row r="612" customFormat="false" ht="14.25" hidden="false" customHeight="true" outlineLevel="0" collapsed="false">
      <c r="A612" s="115"/>
      <c r="B612" s="115"/>
      <c r="C612" s="125" t="s">
        <v>15804</v>
      </c>
      <c r="D612" s="121" t="s">
        <v>15521</v>
      </c>
      <c r="E612" s="121" t="s">
        <v>15522</v>
      </c>
      <c r="F612" s="121" t="s">
        <v>38</v>
      </c>
      <c r="G612" s="121" t="s">
        <v>15805</v>
      </c>
      <c r="H612" s="121" t="s">
        <v>15806</v>
      </c>
      <c r="I612" s="123" t="s">
        <v>40</v>
      </c>
      <c r="J612" s="121" t="s">
        <v>15807</v>
      </c>
      <c r="K612" s="120" t="s">
        <v>15808</v>
      </c>
    </row>
    <row r="613" customFormat="false" ht="14.25" hidden="false" customHeight="true" outlineLevel="0" collapsed="false">
      <c r="A613" s="115"/>
      <c r="B613" s="115"/>
      <c r="C613" s="115"/>
      <c r="D613" s="115"/>
      <c r="E613" s="115"/>
      <c r="F613" s="115"/>
      <c r="G613" s="121"/>
      <c r="H613" s="121"/>
      <c r="I613" s="121"/>
      <c r="J613" s="121"/>
      <c r="K613" s="120" t="s">
        <v>15809</v>
      </c>
    </row>
    <row r="614" customFormat="false" ht="14.25" hidden="false" customHeight="true" outlineLevel="0" collapsed="false">
      <c r="A614" s="115"/>
      <c r="B614" s="115"/>
      <c r="C614" s="115"/>
      <c r="D614" s="115"/>
      <c r="E614" s="115"/>
      <c r="F614" s="115"/>
      <c r="G614" s="121" t="s">
        <v>15810</v>
      </c>
      <c r="H614" s="121" t="s">
        <v>15811</v>
      </c>
      <c r="I614" s="123" t="s">
        <v>40</v>
      </c>
      <c r="J614" s="121" t="s">
        <v>15812</v>
      </c>
      <c r="K614" s="120" t="s">
        <v>15813</v>
      </c>
    </row>
    <row r="615" customFormat="false" ht="14.25" hidden="false" customHeight="true" outlineLevel="0" collapsed="false">
      <c r="A615" s="115"/>
      <c r="B615" s="115"/>
      <c r="C615" s="115"/>
      <c r="D615" s="121"/>
      <c r="E615" s="121"/>
      <c r="F615" s="121"/>
      <c r="G615" s="121"/>
      <c r="H615" s="121"/>
      <c r="I615" s="121"/>
      <c r="J615" s="121"/>
      <c r="K615" s="120" t="s">
        <v>15814</v>
      </c>
    </row>
    <row r="616" customFormat="false" ht="14.25" hidden="false" customHeight="true" outlineLevel="0" collapsed="false">
      <c r="A616" s="115"/>
      <c r="B616" s="115"/>
      <c r="C616" s="115"/>
      <c r="D616" s="121" t="s">
        <v>15533</v>
      </c>
      <c r="E616" s="121" t="s">
        <v>15534</v>
      </c>
      <c r="F616" s="121" t="s">
        <v>38</v>
      </c>
      <c r="G616" s="121" t="s">
        <v>15815</v>
      </c>
      <c r="H616" s="121" t="s">
        <v>15816</v>
      </c>
      <c r="I616" s="123" t="s">
        <v>40</v>
      </c>
      <c r="J616" s="121" t="s">
        <v>15817</v>
      </c>
      <c r="K616" s="120" t="s">
        <v>15818</v>
      </c>
    </row>
    <row r="617" customFormat="false" ht="14.25" hidden="false" customHeight="true" outlineLevel="0" collapsed="false">
      <c r="A617" s="115"/>
      <c r="B617" s="115"/>
      <c r="C617" s="115"/>
      <c r="D617" s="115"/>
      <c r="E617" s="115"/>
      <c r="F617" s="115"/>
      <c r="G617" s="121"/>
      <c r="H617" s="121"/>
      <c r="I617" s="121"/>
      <c r="J617" s="121"/>
      <c r="K617" s="120" t="s">
        <v>15819</v>
      </c>
    </row>
    <row r="618" customFormat="false" ht="14.25" hidden="false" customHeight="true" outlineLevel="0" collapsed="false">
      <c r="A618" s="115"/>
      <c r="B618" s="115"/>
      <c r="C618" s="115"/>
      <c r="D618" s="115"/>
      <c r="E618" s="115"/>
      <c r="F618" s="115"/>
      <c r="G618" s="121" t="s">
        <v>15820</v>
      </c>
      <c r="H618" s="121" t="s">
        <v>15821</v>
      </c>
      <c r="I618" s="123" t="s">
        <v>40</v>
      </c>
      <c r="J618" s="121" t="s">
        <v>15822</v>
      </c>
      <c r="K618" s="120" t="s">
        <v>15823</v>
      </c>
    </row>
    <row r="619" customFormat="false" ht="14.25" hidden="false" customHeight="true" outlineLevel="0" collapsed="false">
      <c r="A619" s="115"/>
      <c r="B619" s="115"/>
      <c r="C619" s="115"/>
      <c r="D619" s="121"/>
      <c r="E619" s="121"/>
      <c r="F619" s="121"/>
      <c r="G619" s="121"/>
      <c r="H619" s="121"/>
      <c r="I619" s="121"/>
      <c r="J619" s="121"/>
      <c r="K619" s="120" t="s">
        <v>15824</v>
      </c>
    </row>
    <row r="620" customFormat="false" ht="14.25" hidden="false" customHeight="true" outlineLevel="0" collapsed="false">
      <c r="A620" s="115"/>
      <c r="B620" s="115"/>
      <c r="C620" s="115"/>
      <c r="D620" s="121" t="s">
        <v>15545</v>
      </c>
      <c r="E620" s="121" t="s">
        <v>15546</v>
      </c>
      <c r="F620" s="121" t="s">
        <v>38</v>
      </c>
      <c r="G620" s="121" t="s">
        <v>15825</v>
      </c>
      <c r="H620" s="121" t="s">
        <v>15826</v>
      </c>
      <c r="I620" s="122" t="s">
        <v>50</v>
      </c>
      <c r="J620" s="121" t="s">
        <v>15827</v>
      </c>
      <c r="K620" s="120" t="s">
        <v>15828</v>
      </c>
    </row>
    <row r="621" customFormat="false" ht="14.25" hidden="false" customHeight="true" outlineLevel="0" collapsed="false">
      <c r="A621" s="115"/>
      <c r="B621" s="115"/>
      <c r="C621" s="115"/>
      <c r="D621" s="115"/>
      <c r="E621" s="115"/>
      <c r="F621" s="115"/>
      <c r="G621" s="121"/>
      <c r="H621" s="121"/>
      <c r="I621" s="121"/>
      <c r="J621" s="121"/>
      <c r="K621" s="120" t="s">
        <v>15829</v>
      </c>
    </row>
    <row r="622" customFormat="false" ht="14.25" hidden="false" customHeight="true" outlineLevel="0" collapsed="false">
      <c r="A622" s="115"/>
      <c r="B622" s="115"/>
      <c r="C622" s="115"/>
      <c r="D622" s="115"/>
      <c r="E622" s="115"/>
      <c r="F622" s="115"/>
      <c r="G622" s="121" t="s">
        <v>15830</v>
      </c>
      <c r="H622" s="121" t="s">
        <v>15831</v>
      </c>
      <c r="I622" s="122" t="s">
        <v>50</v>
      </c>
      <c r="J622" s="121" t="s">
        <v>15832</v>
      </c>
      <c r="K622" s="120" t="s">
        <v>15833</v>
      </c>
    </row>
    <row r="623" customFormat="false" ht="14.25" hidden="false" customHeight="true" outlineLevel="0" collapsed="false">
      <c r="A623" s="115"/>
      <c r="B623" s="115"/>
      <c r="C623" s="115"/>
      <c r="D623" s="121"/>
      <c r="E623" s="121"/>
      <c r="F623" s="121"/>
      <c r="G623" s="121"/>
      <c r="H623" s="121"/>
      <c r="I623" s="121"/>
      <c r="J623" s="121"/>
      <c r="K623" s="120" t="s">
        <v>15834</v>
      </c>
    </row>
    <row r="624" customFormat="false" ht="14.25" hidden="false" customHeight="true" outlineLevel="0" collapsed="false">
      <c r="A624" s="115"/>
      <c r="B624" s="115"/>
      <c r="C624" s="115"/>
      <c r="D624" s="121" t="s">
        <v>15557</v>
      </c>
      <c r="E624" s="121" t="s">
        <v>15558</v>
      </c>
      <c r="F624" s="121" t="s">
        <v>48</v>
      </c>
      <c r="G624" s="121" t="s">
        <v>15835</v>
      </c>
      <c r="H624" s="121" t="s">
        <v>15836</v>
      </c>
      <c r="I624" s="122" t="s">
        <v>50</v>
      </c>
      <c r="J624" s="121" t="s">
        <v>15837</v>
      </c>
      <c r="K624" s="120" t="s">
        <v>15838</v>
      </c>
    </row>
    <row r="625" customFormat="false" ht="14.25" hidden="false" customHeight="true" outlineLevel="0" collapsed="false">
      <c r="A625" s="115"/>
      <c r="B625" s="115"/>
      <c r="C625" s="115"/>
      <c r="D625" s="115"/>
      <c r="E625" s="115"/>
      <c r="F625" s="115"/>
      <c r="G625" s="121"/>
      <c r="H625" s="121"/>
      <c r="I625" s="121"/>
      <c r="J625" s="121"/>
      <c r="K625" s="120" t="s">
        <v>15839</v>
      </c>
    </row>
    <row r="626" customFormat="false" ht="14.25" hidden="false" customHeight="true" outlineLevel="0" collapsed="false">
      <c r="A626" s="115"/>
      <c r="B626" s="115"/>
      <c r="C626" s="115"/>
      <c r="D626" s="115"/>
      <c r="E626" s="115"/>
      <c r="F626" s="115"/>
      <c r="G626" s="121" t="s">
        <v>15840</v>
      </c>
      <c r="H626" s="121" t="s">
        <v>15841</v>
      </c>
      <c r="I626" s="122" t="s">
        <v>50</v>
      </c>
      <c r="J626" s="121" t="s">
        <v>15842</v>
      </c>
      <c r="K626" s="120" t="s">
        <v>15843</v>
      </c>
    </row>
    <row r="627" customFormat="false" ht="14.25" hidden="false" customHeight="true" outlineLevel="0" collapsed="false">
      <c r="A627" s="115"/>
      <c r="B627" s="115"/>
      <c r="C627" s="115"/>
      <c r="D627" s="121"/>
      <c r="E627" s="121"/>
      <c r="F627" s="121"/>
      <c r="G627" s="121"/>
      <c r="H627" s="121"/>
      <c r="I627" s="121"/>
      <c r="J627" s="121"/>
      <c r="K627" s="120" t="s">
        <v>15844</v>
      </c>
    </row>
    <row r="628" customFormat="false" ht="14.25" hidden="false" customHeight="true" outlineLevel="0" collapsed="false">
      <c r="A628" s="115"/>
      <c r="B628" s="115"/>
      <c r="C628" s="115"/>
      <c r="D628" s="121" t="s">
        <v>15569</v>
      </c>
      <c r="E628" s="121" t="s">
        <v>15570</v>
      </c>
      <c r="F628" s="121" t="s">
        <v>38</v>
      </c>
      <c r="G628" s="121" t="s">
        <v>15845</v>
      </c>
      <c r="H628" s="121" t="s">
        <v>15846</v>
      </c>
      <c r="I628" s="122" t="s">
        <v>50</v>
      </c>
      <c r="J628" s="121" t="s">
        <v>15847</v>
      </c>
      <c r="K628" s="120" t="s">
        <v>15848</v>
      </c>
    </row>
    <row r="629" customFormat="false" ht="14.25" hidden="false" customHeight="true" outlineLevel="0" collapsed="false">
      <c r="A629" s="115"/>
      <c r="B629" s="115"/>
      <c r="C629" s="115"/>
      <c r="D629" s="115"/>
      <c r="E629" s="115"/>
      <c r="F629" s="115"/>
      <c r="G629" s="121"/>
      <c r="H629" s="121"/>
      <c r="I629" s="121"/>
      <c r="J629" s="121"/>
      <c r="K629" s="120" t="s">
        <v>15849</v>
      </c>
    </row>
    <row r="630" customFormat="false" ht="14.25" hidden="false" customHeight="true" outlineLevel="0" collapsed="false">
      <c r="A630" s="115"/>
      <c r="B630" s="115"/>
      <c r="C630" s="115"/>
      <c r="D630" s="115"/>
      <c r="E630" s="115"/>
      <c r="F630" s="115"/>
      <c r="G630" s="121" t="s">
        <v>15850</v>
      </c>
      <c r="H630" s="121" t="s">
        <v>15851</v>
      </c>
      <c r="I630" s="122" t="s">
        <v>50</v>
      </c>
      <c r="J630" s="121" t="s">
        <v>15852</v>
      </c>
      <c r="K630" s="120" t="s">
        <v>15853</v>
      </c>
    </row>
    <row r="631" customFormat="false" ht="14.25" hidden="false" customHeight="true" outlineLevel="0" collapsed="false">
      <c r="A631" s="115"/>
      <c r="B631" s="115"/>
      <c r="C631" s="125"/>
      <c r="D631" s="125"/>
      <c r="E631" s="125"/>
      <c r="F631" s="125"/>
      <c r="G631" s="125"/>
      <c r="H631" s="125"/>
      <c r="I631" s="125"/>
      <c r="J631" s="125"/>
      <c r="K631" s="120" t="s">
        <v>15854</v>
      </c>
    </row>
    <row r="632" customFormat="false" ht="14.25" hidden="false" customHeight="true" outlineLevel="0" collapsed="false">
      <c r="A632" s="115"/>
      <c r="B632" s="115"/>
      <c r="C632" s="125" t="s">
        <v>15855</v>
      </c>
      <c r="D632" s="121" t="s">
        <v>15856</v>
      </c>
      <c r="E632" s="121" t="s">
        <v>15857</v>
      </c>
      <c r="F632" s="121" t="s">
        <v>38</v>
      </c>
      <c r="G632" s="121" t="s">
        <v>15858</v>
      </c>
      <c r="H632" s="121" t="s">
        <v>15859</v>
      </c>
      <c r="I632" s="122" t="s">
        <v>50</v>
      </c>
      <c r="J632" s="121" t="s">
        <v>15860</v>
      </c>
      <c r="K632" s="120" t="s">
        <v>15861</v>
      </c>
    </row>
    <row r="633" customFormat="false" ht="14.25" hidden="false" customHeight="true" outlineLevel="0" collapsed="false">
      <c r="A633" s="115"/>
      <c r="B633" s="115"/>
      <c r="C633" s="115"/>
      <c r="D633" s="115"/>
      <c r="E633" s="115"/>
      <c r="F633" s="115"/>
      <c r="G633" s="121"/>
      <c r="H633" s="121"/>
      <c r="I633" s="121"/>
      <c r="J633" s="121"/>
      <c r="K633" s="120" t="s">
        <v>15862</v>
      </c>
    </row>
    <row r="634" customFormat="false" ht="14.25" hidden="false" customHeight="true" outlineLevel="0" collapsed="false">
      <c r="A634" s="115"/>
      <c r="B634" s="115"/>
      <c r="C634" s="115"/>
      <c r="D634" s="115"/>
      <c r="E634" s="115"/>
      <c r="F634" s="115"/>
      <c r="G634" s="121" t="s">
        <v>15863</v>
      </c>
      <c r="H634" s="121" t="s">
        <v>15864</v>
      </c>
      <c r="I634" s="122" t="s">
        <v>50</v>
      </c>
      <c r="J634" s="121" t="s">
        <v>15865</v>
      </c>
      <c r="K634" s="120" t="s">
        <v>15866</v>
      </c>
    </row>
    <row r="635" customFormat="false" ht="14.25" hidden="false" customHeight="true" outlineLevel="0" collapsed="false">
      <c r="A635" s="115"/>
      <c r="B635" s="115"/>
      <c r="C635" s="115"/>
      <c r="D635" s="121"/>
      <c r="E635" s="121"/>
      <c r="F635" s="121"/>
      <c r="G635" s="121"/>
      <c r="H635" s="121"/>
      <c r="I635" s="121"/>
      <c r="J635" s="121"/>
      <c r="K635" s="120" t="s">
        <v>15867</v>
      </c>
    </row>
    <row r="636" customFormat="false" ht="14.25" hidden="false" customHeight="true" outlineLevel="0" collapsed="false">
      <c r="A636" s="115"/>
      <c r="B636" s="115"/>
      <c r="C636" s="115"/>
      <c r="D636" s="121" t="s">
        <v>15868</v>
      </c>
      <c r="E636" s="121" t="s">
        <v>15869</v>
      </c>
      <c r="F636" s="121" t="s">
        <v>38</v>
      </c>
      <c r="G636" s="121" t="s">
        <v>15870</v>
      </c>
      <c r="H636" s="121" t="s">
        <v>15871</v>
      </c>
      <c r="I636" s="122" t="s">
        <v>50</v>
      </c>
      <c r="J636" s="121" t="s">
        <v>15872</v>
      </c>
      <c r="K636" s="120" t="s">
        <v>15873</v>
      </c>
    </row>
    <row r="637" customFormat="false" ht="14.25" hidden="false" customHeight="true" outlineLevel="0" collapsed="false">
      <c r="A637" s="115"/>
      <c r="B637" s="115"/>
      <c r="C637" s="115"/>
      <c r="D637" s="115"/>
      <c r="E637" s="115"/>
      <c r="F637" s="115"/>
      <c r="G637" s="121"/>
      <c r="H637" s="121"/>
      <c r="I637" s="121"/>
      <c r="J637" s="121"/>
      <c r="K637" s="120" t="s">
        <v>15874</v>
      </c>
    </row>
    <row r="638" customFormat="false" ht="14.25" hidden="false" customHeight="true" outlineLevel="0" collapsed="false">
      <c r="A638" s="115"/>
      <c r="B638" s="115"/>
      <c r="C638" s="115"/>
      <c r="D638" s="115"/>
      <c r="E638" s="115"/>
      <c r="F638" s="115"/>
      <c r="G638" s="121" t="s">
        <v>15875</v>
      </c>
      <c r="H638" s="121" t="s">
        <v>15876</v>
      </c>
      <c r="I638" s="122" t="s">
        <v>50</v>
      </c>
      <c r="J638" s="121" t="s">
        <v>15877</v>
      </c>
      <c r="K638" s="120" t="s">
        <v>15878</v>
      </c>
    </row>
    <row r="639" customFormat="false" ht="14.25" hidden="false" customHeight="true" outlineLevel="0" collapsed="false">
      <c r="A639" s="115"/>
      <c r="B639" s="115"/>
      <c r="C639" s="115"/>
      <c r="D639" s="121"/>
      <c r="E639" s="121"/>
      <c r="F639" s="121"/>
      <c r="G639" s="121"/>
      <c r="H639" s="121"/>
      <c r="I639" s="121"/>
      <c r="J639" s="121"/>
      <c r="K639" s="120" t="s">
        <v>15879</v>
      </c>
    </row>
    <row r="640" customFormat="false" ht="14.25" hidden="false" customHeight="true" outlineLevel="0" collapsed="false">
      <c r="A640" s="115"/>
      <c r="B640" s="115"/>
      <c r="C640" s="115"/>
      <c r="D640" s="121" t="s">
        <v>15880</v>
      </c>
      <c r="E640" s="121" t="s">
        <v>15881</v>
      </c>
      <c r="F640" s="121" t="s">
        <v>38</v>
      </c>
      <c r="G640" s="121" t="s">
        <v>15882</v>
      </c>
      <c r="H640" s="121" t="s">
        <v>15883</v>
      </c>
      <c r="I640" s="122" t="s">
        <v>50</v>
      </c>
      <c r="J640" s="121" t="s">
        <v>15884</v>
      </c>
      <c r="K640" s="120" t="s">
        <v>15885</v>
      </c>
    </row>
    <row r="641" customFormat="false" ht="14.25" hidden="false" customHeight="true" outlineLevel="0" collapsed="false">
      <c r="A641" s="115"/>
      <c r="B641" s="115"/>
      <c r="C641" s="115"/>
      <c r="D641" s="115"/>
      <c r="E641" s="115"/>
      <c r="F641" s="115"/>
      <c r="G641" s="121"/>
      <c r="H641" s="121"/>
      <c r="I641" s="121"/>
      <c r="J641" s="121"/>
      <c r="K641" s="120" t="s">
        <v>15886</v>
      </c>
    </row>
    <row r="642" customFormat="false" ht="14.25" hidden="false" customHeight="true" outlineLevel="0" collapsed="false">
      <c r="A642" s="115"/>
      <c r="B642" s="115"/>
      <c r="C642" s="115"/>
      <c r="D642" s="115"/>
      <c r="E642" s="115"/>
      <c r="F642" s="115"/>
      <c r="G642" s="121" t="s">
        <v>15887</v>
      </c>
      <c r="H642" s="121" t="s">
        <v>15888</v>
      </c>
      <c r="I642" s="122" t="s">
        <v>50</v>
      </c>
      <c r="J642" s="121" t="s">
        <v>15889</v>
      </c>
      <c r="K642" s="120" t="s">
        <v>15890</v>
      </c>
    </row>
    <row r="643" customFormat="false" ht="14.25" hidden="false" customHeight="true" outlineLevel="0" collapsed="false">
      <c r="A643" s="115"/>
      <c r="B643" s="115"/>
      <c r="C643" s="115"/>
      <c r="D643" s="121"/>
      <c r="E643" s="121"/>
      <c r="F643" s="121"/>
      <c r="G643" s="121"/>
      <c r="H643" s="121"/>
      <c r="I643" s="121"/>
      <c r="J643" s="121"/>
      <c r="K643" s="120" t="s">
        <v>15891</v>
      </c>
    </row>
    <row r="644" customFormat="false" ht="14.25" hidden="false" customHeight="true" outlineLevel="0" collapsed="false">
      <c r="A644" s="115"/>
      <c r="B644" s="115"/>
      <c r="C644" s="115"/>
      <c r="D644" s="121" t="s">
        <v>15892</v>
      </c>
      <c r="E644" s="121" t="s">
        <v>15893</v>
      </c>
      <c r="F644" s="121" t="s">
        <v>38</v>
      </c>
      <c r="G644" s="121" t="s">
        <v>15894</v>
      </c>
      <c r="H644" s="121" t="s">
        <v>15895</v>
      </c>
      <c r="I644" s="122" t="s">
        <v>50</v>
      </c>
      <c r="J644" s="121" t="s">
        <v>15896</v>
      </c>
      <c r="K644" s="120" t="s">
        <v>15897</v>
      </c>
    </row>
    <row r="645" customFormat="false" ht="14.25" hidden="false" customHeight="true" outlineLevel="0" collapsed="false">
      <c r="A645" s="115"/>
      <c r="B645" s="115"/>
      <c r="C645" s="115"/>
      <c r="D645" s="115"/>
      <c r="E645" s="115"/>
      <c r="F645" s="115"/>
      <c r="G645" s="121"/>
      <c r="H645" s="121"/>
      <c r="I645" s="121"/>
      <c r="J645" s="121"/>
      <c r="K645" s="120" t="s">
        <v>15898</v>
      </c>
    </row>
    <row r="646" customFormat="false" ht="14.25" hidden="false" customHeight="true" outlineLevel="0" collapsed="false">
      <c r="A646" s="115"/>
      <c r="B646" s="115"/>
      <c r="C646" s="115"/>
      <c r="D646" s="115"/>
      <c r="E646" s="115"/>
      <c r="F646" s="115"/>
      <c r="G646" s="121" t="s">
        <v>15899</v>
      </c>
      <c r="H646" s="121" t="s">
        <v>15900</v>
      </c>
      <c r="I646" s="123" t="s">
        <v>40</v>
      </c>
      <c r="J646" s="121" t="s">
        <v>15901</v>
      </c>
      <c r="K646" s="120" t="s">
        <v>15902</v>
      </c>
    </row>
    <row r="647" customFormat="false" ht="14.25" hidden="false" customHeight="true" outlineLevel="0" collapsed="false">
      <c r="A647" s="115"/>
      <c r="B647" s="115"/>
      <c r="C647" s="115"/>
      <c r="D647" s="121"/>
      <c r="E647" s="121"/>
      <c r="F647" s="121"/>
      <c r="G647" s="121"/>
      <c r="H647" s="121"/>
      <c r="I647" s="121"/>
      <c r="J647" s="121"/>
      <c r="K647" s="120" t="s">
        <v>15903</v>
      </c>
    </row>
    <row r="648" customFormat="false" ht="14.25" hidden="false" customHeight="true" outlineLevel="0" collapsed="false">
      <c r="A648" s="115"/>
      <c r="B648" s="115"/>
      <c r="C648" s="115"/>
      <c r="D648" s="121" t="s">
        <v>15904</v>
      </c>
      <c r="E648" s="121" t="s">
        <v>15905</v>
      </c>
      <c r="F648" s="121" t="s">
        <v>48</v>
      </c>
      <c r="G648" s="121" t="s">
        <v>15810</v>
      </c>
      <c r="H648" s="121" t="s">
        <v>15906</v>
      </c>
      <c r="I648" s="123" t="s">
        <v>40</v>
      </c>
      <c r="J648" s="121" t="s">
        <v>15907</v>
      </c>
      <c r="K648" s="120" t="s">
        <v>15908</v>
      </c>
    </row>
    <row r="649" customFormat="false" ht="14.25" hidden="false" customHeight="true" outlineLevel="0" collapsed="false">
      <c r="A649" s="115"/>
      <c r="B649" s="115"/>
      <c r="C649" s="115"/>
      <c r="D649" s="115"/>
      <c r="E649" s="115"/>
      <c r="F649" s="115"/>
      <c r="G649" s="121"/>
      <c r="H649" s="121"/>
      <c r="I649" s="121"/>
      <c r="J649" s="121"/>
      <c r="K649" s="120" t="s">
        <v>15909</v>
      </c>
    </row>
    <row r="650" customFormat="false" ht="14.25" hidden="false" customHeight="true" outlineLevel="0" collapsed="false">
      <c r="A650" s="115"/>
      <c r="B650" s="115"/>
      <c r="C650" s="115"/>
      <c r="D650" s="115"/>
      <c r="E650" s="115"/>
      <c r="F650" s="115"/>
      <c r="G650" s="121" t="s">
        <v>15910</v>
      </c>
      <c r="H650" s="121" t="s">
        <v>15911</v>
      </c>
      <c r="I650" s="123" t="s">
        <v>40</v>
      </c>
      <c r="J650" s="121" t="s">
        <v>15912</v>
      </c>
      <c r="K650" s="120" t="s">
        <v>15913</v>
      </c>
    </row>
    <row r="651" customFormat="false" ht="14.25" hidden="false" customHeight="true" outlineLevel="0" collapsed="false">
      <c r="A651" s="115"/>
      <c r="B651" s="115"/>
      <c r="C651" s="115"/>
      <c r="D651" s="115"/>
      <c r="E651" s="115"/>
      <c r="F651" s="115"/>
      <c r="G651" s="115"/>
      <c r="H651" s="115"/>
      <c r="I651" s="115"/>
      <c r="J651" s="115"/>
      <c r="K651" s="120" t="s">
        <v>15914</v>
      </c>
    </row>
    <row r="652" customFormat="false" ht="14.25" hidden="false" customHeight="true" outlineLevel="0" collapsed="false">
      <c r="A652" s="115"/>
      <c r="B652" s="115" t="s">
        <v>15915</v>
      </c>
      <c r="C652" s="125" t="s">
        <v>15916</v>
      </c>
      <c r="D652" s="121" t="s">
        <v>15917</v>
      </c>
      <c r="E652" s="121" t="s">
        <v>15918</v>
      </c>
      <c r="F652" s="121"/>
      <c r="G652" s="121" t="s">
        <v>15919</v>
      </c>
      <c r="H652" s="121" t="s">
        <v>15920</v>
      </c>
      <c r="I652" s="123" t="s">
        <v>40</v>
      </c>
      <c r="J652" s="121" t="s">
        <v>15921</v>
      </c>
      <c r="K652" s="120" t="s">
        <v>15922</v>
      </c>
    </row>
    <row r="653" customFormat="false" ht="14.25" hidden="false" customHeight="true" outlineLevel="0" collapsed="false">
      <c r="A653" s="115"/>
      <c r="B653" s="115"/>
      <c r="C653" s="115"/>
      <c r="D653" s="115"/>
      <c r="E653" s="115"/>
      <c r="F653" s="115"/>
      <c r="G653" s="121"/>
      <c r="H653" s="121"/>
      <c r="I653" s="121"/>
      <c r="J653" s="121"/>
      <c r="K653" s="120" t="s">
        <v>15923</v>
      </c>
    </row>
    <row r="654" customFormat="false" ht="14.25" hidden="false" customHeight="true" outlineLevel="0" collapsed="false">
      <c r="A654" s="115"/>
      <c r="B654" s="115"/>
      <c r="C654" s="115"/>
      <c r="D654" s="115"/>
      <c r="E654" s="115"/>
      <c r="F654" s="115"/>
      <c r="G654" s="121" t="s">
        <v>15924</v>
      </c>
      <c r="H654" s="121" t="s">
        <v>15925</v>
      </c>
      <c r="I654" s="123" t="s">
        <v>40</v>
      </c>
      <c r="J654" s="121" t="s">
        <v>15926</v>
      </c>
      <c r="K654" s="120" t="s">
        <v>15927</v>
      </c>
    </row>
    <row r="655" customFormat="false" ht="14.25" hidden="false" customHeight="true" outlineLevel="0" collapsed="false">
      <c r="A655" s="115"/>
      <c r="B655" s="115"/>
      <c r="C655" s="115"/>
      <c r="D655" s="121"/>
      <c r="E655" s="121"/>
      <c r="F655" s="121"/>
      <c r="G655" s="121"/>
      <c r="H655" s="121"/>
      <c r="I655" s="121"/>
      <c r="J655" s="121"/>
      <c r="K655" s="120" t="s">
        <v>15928</v>
      </c>
    </row>
    <row r="656" customFormat="false" ht="14.25" hidden="false" customHeight="true" outlineLevel="0" collapsed="false">
      <c r="A656" s="115"/>
      <c r="B656" s="115"/>
      <c r="C656" s="115"/>
      <c r="D656" s="121" t="s">
        <v>15929</v>
      </c>
      <c r="E656" s="121" t="s">
        <v>15930</v>
      </c>
      <c r="F656" s="121" t="s">
        <v>48</v>
      </c>
      <c r="G656" s="121" t="s">
        <v>15931</v>
      </c>
      <c r="H656" s="121" t="s">
        <v>15932</v>
      </c>
      <c r="I656" s="123" t="s">
        <v>40</v>
      </c>
      <c r="J656" s="121" t="s">
        <v>15933</v>
      </c>
      <c r="K656" s="120" t="s">
        <v>15934</v>
      </c>
    </row>
    <row r="657" customFormat="false" ht="14.25" hidden="false" customHeight="true" outlineLevel="0" collapsed="false">
      <c r="A657" s="115"/>
      <c r="B657" s="115"/>
      <c r="C657" s="115"/>
      <c r="D657" s="115"/>
      <c r="E657" s="115"/>
      <c r="F657" s="115"/>
      <c r="G657" s="121"/>
      <c r="H657" s="121"/>
      <c r="I657" s="121"/>
      <c r="J657" s="121"/>
      <c r="K657" s="120" t="s">
        <v>15935</v>
      </c>
    </row>
    <row r="658" customFormat="false" ht="14.25" hidden="false" customHeight="true" outlineLevel="0" collapsed="false">
      <c r="A658" s="115"/>
      <c r="B658" s="115"/>
      <c r="C658" s="115"/>
      <c r="D658" s="115"/>
      <c r="E658" s="115"/>
      <c r="F658" s="115"/>
      <c r="G658" s="121" t="s">
        <v>15936</v>
      </c>
      <c r="H658" s="121" t="s">
        <v>15937</v>
      </c>
      <c r="I658" s="123" t="s">
        <v>40</v>
      </c>
      <c r="J658" s="121" t="s">
        <v>15938</v>
      </c>
      <c r="K658" s="120" t="s">
        <v>15939</v>
      </c>
    </row>
    <row r="659" customFormat="false" ht="14.25" hidden="false" customHeight="true" outlineLevel="0" collapsed="false">
      <c r="A659" s="115"/>
      <c r="B659" s="115"/>
      <c r="C659" s="115"/>
      <c r="D659" s="121"/>
      <c r="E659" s="121"/>
      <c r="F659" s="121"/>
      <c r="G659" s="121"/>
      <c r="H659" s="121"/>
      <c r="I659" s="121"/>
      <c r="J659" s="121"/>
      <c r="K659" s="120" t="s">
        <v>15940</v>
      </c>
    </row>
    <row r="660" customFormat="false" ht="14.25" hidden="false" customHeight="true" outlineLevel="0" collapsed="false">
      <c r="A660" s="115"/>
      <c r="B660" s="115"/>
      <c r="C660" s="115"/>
      <c r="D660" s="121" t="s">
        <v>15941</v>
      </c>
      <c r="E660" s="121" t="s">
        <v>15942</v>
      </c>
      <c r="F660" s="121" t="s">
        <v>48</v>
      </c>
      <c r="G660" s="121" t="s">
        <v>15943</v>
      </c>
      <c r="H660" s="121" t="s">
        <v>15944</v>
      </c>
      <c r="I660" s="123" t="s">
        <v>40</v>
      </c>
      <c r="J660" s="121" t="s">
        <v>15945</v>
      </c>
      <c r="K660" s="120" t="s">
        <v>15946</v>
      </c>
    </row>
    <row r="661" customFormat="false" ht="14.25" hidden="false" customHeight="true" outlineLevel="0" collapsed="false">
      <c r="A661" s="115"/>
      <c r="B661" s="115"/>
      <c r="C661" s="115"/>
      <c r="D661" s="115"/>
      <c r="E661" s="115"/>
      <c r="F661" s="115"/>
      <c r="G661" s="121"/>
      <c r="H661" s="121"/>
      <c r="I661" s="121"/>
      <c r="J661" s="121"/>
      <c r="K661" s="120" t="s">
        <v>15947</v>
      </c>
    </row>
    <row r="662" customFormat="false" ht="14.25" hidden="false" customHeight="true" outlineLevel="0" collapsed="false">
      <c r="A662" s="115"/>
      <c r="B662" s="115"/>
      <c r="C662" s="115"/>
      <c r="D662" s="115"/>
      <c r="E662" s="115"/>
      <c r="F662" s="115"/>
      <c r="G662" s="121" t="s">
        <v>15948</v>
      </c>
      <c r="H662" s="121" t="s">
        <v>15949</v>
      </c>
      <c r="I662" s="123" t="s">
        <v>40</v>
      </c>
      <c r="J662" s="121" t="s">
        <v>15950</v>
      </c>
      <c r="K662" s="120" t="s">
        <v>15951</v>
      </c>
    </row>
    <row r="663" customFormat="false" ht="14.25" hidden="false" customHeight="true" outlineLevel="0" collapsed="false">
      <c r="A663" s="115"/>
      <c r="B663" s="115"/>
      <c r="C663" s="115"/>
      <c r="D663" s="121"/>
      <c r="E663" s="121"/>
      <c r="F663" s="121"/>
      <c r="G663" s="121"/>
      <c r="H663" s="121"/>
      <c r="I663" s="121"/>
      <c r="J663" s="121"/>
      <c r="K663" s="120" t="s">
        <v>15952</v>
      </c>
    </row>
    <row r="664" customFormat="false" ht="14.25" hidden="false" customHeight="true" outlineLevel="0" collapsed="false">
      <c r="A664" s="115"/>
      <c r="B664" s="115"/>
      <c r="C664" s="115"/>
      <c r="D664" s="121" t="s">
        <v>15953</v>
      </c>
      <c r="E664" s="121" t="s">
        <v>15954</v>
      </c>
      <c r="F664" s="121" t="s">
        <v>48</v>
      </c>
      <c r="G664" s="121" t="s">
        <v>15955</v>
      </c>
      <c r="H664" s="121" t="s">
        <v>15956</v>
      </c>
      <c r="I664" s="123" t="s">
        <v>40</v>
      </c>
      <c r="J664" s="121" t="s">
        <v>15957</v>
      </c>
      <c r="K664" s="120" t="s">
        <v>15958</v>
      </c>
    </row>
    <row r="665" customFormat="false" ht="14.25" hidden="false" customHeight="true" outlineLevel="0" collapsed="false">
      <c r="A665" s="115"/>
      <c r="B665" s="115"/>
      <c r="C665" s="115"/>
      <c r="D665" s="115"/>
      <c r="E665" s="115"/>
      <c r="F665" s="115"/>
      <c r="G665" s="121"/>
      <c r="H665" s="121"/>
      <c r="I665" s="121"/>
      <c r="J665" s="121"/>
      <c r="K665" s="120" t="s">
        <v>15959</v>
      </c>
    </row>
    <row r="666" customFormat="false" ht="14.25" hidden="false" customHeight="true" outlineLevel="0" collapsed="false">
      <c r="A666" s="115"/>
      <c r="B666" s="115"/>
      <c r="C666" s="115"/>
      <c r="D666" s="115"/>
      <c r="E666" s="115"/>
      <c r="F666" s="115"/>
      <c r="G666" s="121" t="s">
        <v>15960</v>
      </c>
      <c r="H666" s="121" t="s">
        <v>15961</v>
      </c>
      <c r="I666" s="123" t="s">
        <v>40</v>
      </c>
      <c r="J666" s="121" t="s">
        <v>15962</v>
      </c>
      <c r="K666" s="120" t="s">
        <v>15736</v>
      </c>
    </row>
    <row r="667" customFormat="false" ht="14.25" hidden="false" customHeight="true" outlineLevel="0" collapsed="false">
      <c r="A667" s="115"/>
      <c r="B667" s="115"/>
      <c r="C667" s="115"/>
      <c r="D667" s="121"/>
      <c r="E667" s="121"/>
      <c r="F667" s="121"/>
      <c r="G667" s="121"/>
      <c r="H667" s="121"/>
      <c r="I667" s="121"/>
      <c r="J667" s="121"/>
      <c r="K667" s="120" t="s">
        <v>15963</v>
      </c>
    </row>
    <row r="668" customFormat="false" ht="14.25" hidden="false" customHeight="true" outlineLevel="0" collapsed="false">
      <c r="A668" s="115"/>
      <c r="B668" s="115"/>
      <c r="C668" s="115"/>
      <c r="D668" s="121" t="s">
        <v>15964</v>
      </c>
      <c r="E668" s="121" t="s">
        <v>15965</v>
      </c>
      <c r="F668" s="121" t="s">
        <v>48</v>
      </c>
      <c r="G668" s="121" t="s">
        <v>15966</v>
      </c>
      <c r="H668" s="121" t="s">
        <v>15967</v>
      </c>
      <c r="I668" s="122" t="s">
        <v>50</v>
      </c>
      <c r="J668" s="121" t="s">
        <v>15968</v>
      </c>
      <c r="K668" s="120" t="s">
        <v>15969</v>
      </c>
    </row>
    <row r="669" customFormat="false" ht="14.25" hidden="false" customHeight="true" outlineLevel="0" collapsed="false">
      <c r="A669" s="115"/>
      <c r="B669" s="115"/>
      <c r="C669" s="115"/>
      <c r="D669" s="115"/>
      <c r="E669" s="115"/>
      <c r="F669" s="115"/>
      <c r="G669" s="121"/>
      <c r="H669" s="121"/>
      <c r="I669" s="121"/>
      <c r="J669" s="121"/>
      <c r="K669" s="120" t="s">
        <v>15970</v>
      </c>
    </row>
    <row r="670" customFormat="false" ht="14.25" hidden="false" customHeight="true" outlineLevel="0" collapsed="false">
      <c r="A670" s="115"/>
      <c r="B670" s="115"/>
      <c r="C670" s="115"/>
      <c r="D670" s="115"/>
      <c r="E670" s="115"/>
      <c r="F670" s="115"/>
      <c r="G670" s="121" t="s">
        <v>15971</v>
      </c>
      <c r="H670" s="121" t="s">
        <v>15972</v>
      </c>
      <c r="I670" s="122" t="s">
        <v>50</v>
      </c>
      <c r="J670" s="121" t="s">
        <v>15973</v>
      </c>
      <c r="K670" s="120" t="s">
        <v>15974</v>
      </c>
    </row>
    <row r="671" customFormat="false" ht="14.25" hidden="false" customHeight="true" outlineLevel="0" collapsed="false">
      <c r="A671" s="115"/>
      <c r="B671" s="115"/>
      <c r="C671" s="125"/>
      <c r="D671" s="125"/>
      <c r="E671" s="125"/>
      <c r="F671" s="125"/>
      <c r="G671" s="125"/>
      <c r="H671" s="125"/>
      <c r="I671" s="125"/>
      <c r="J671" s="125"/>
      <c r="K671" s="120" t="s">
        <v>15975</v>
      </c>
    </row>
    <row r="672" customFormat="false" ht="14.25" hidden="false" customHeight="true" outlineLevel="0" collapsed="false">
      <c r="A672" s="115"/>
      <c r="B672" s="115"/>
      <c r="C672" s="125" t="s">
        <v>15976</v>
      </c>
      <c r="D672" s="121" t="s">
        <v>15977</v>
      </c>
      <c r="E672" s="121" t="s">
        <v>15978</v>
      </c>
      <c r="F672" s="121" t="s">
        <v>48</v>
      </c>
      <c r="G672" s="121" t="s">
        <v>15979</v>
      </c>
      <c r="H672" s="121" t="s">
        <v>15980</v>
      </c>
      <c r="I672" s="122" t="s">
        <v>50</v>
      </c>
      <c r="J672" s="121" t="s">
        <v>15981</v>
      </c>
      <c r="K672" s="120" t="s">
        <v>15982</v>
      </c>
    </row>
    <row r="673" customFormat="false" ht="14.25" hidden="false" customHeight="true" outlineLevel="0" collapsed="false">
      <c r="A673" s="115"/>
      <c r="B673" s="115"/>
      <c r="C673" s="115"/>
      <c r="D673" s="115"/>
      <c r="E673" s="115"/>
      <c r="F673" s="115"/>
      <c r="G673" s="121"/>
      <c r="H673" s="121"/>
      <c r="I673" s="121"/>
      <c r="J673" s="121"/>
      <c r="K673" s="120" t="s">
        <v>15983</v>
      </c>
    </row>
    <row r="674" customFormat="false" ht="14.25" hidden="false" customHeight="true" outlineLevel="0" collapsed="false">
      <c r="A674" s="115"/>
      <c r="B674" s="115"/>
      <c r="C674" s="115"/>
      <c r="D674" s="115"/>
      <c r="E674" s="115"/>
      <c r="F674" s="115"/>
      <c r="G674" s="121" t="s">
        <v>15984</v>
      </c>
      <c r="H674" s="121" t="s">
        <v>15985</v>
      </c>
      <c r="I674" s="123" t="s">
        <v>40</v>
      </c>
      <c r="J674" s="121" t="s">
        <v>15986</v>
      </c>
      <c r="K674" s="120" t="s">
        <v>15987</v>
      </c>
    </row>
    <row r="675" customFormat="false" ht="14.25" hidden="false" customHeight="true" outlineLevel="0" collapsed="false">
      <c r="A675" s="115"/>
      <c r="B675" s="115"/>
      <c r="C675" s="115"/>
      <c r="D675" s="121"/>
      <c r="E675" s="121"/>
      <c r="F675" s="121"/>
      <c r="G675" s="121"/>
      <c r="H675" s="121"/>
      <c r="I675" s="121"/>
      <c r="J675" s="121"/>
      <c r="K675" s="120" t="s">
        <v>15988</v>
      </c>
    </row>
    <row r="676" customFormat="false" ht="14.25" hidden="false" customHeight="true" outlineLevel="0" collapsed="false">
      <c r="A676" s="115"/>
      <c r="B676" s="115"/>
      <c r="C676" s="115"/>
      <c r="D676" s="121" t="s">
        <v>15989</v>
      </c>
      <c r="E676" s="121" t="s">
        <v>15990</v>
      </c>
      <c r="F676" s="121" t="s">
        <v>38</v>
      </c>
      <c r="G676" s="121" t="s">
        <v>15991</v>
      </c>
      <c r="H676" s="121" t="s">
        <v>15992</v>
      </c>
      <c r="I676" s="123" t="s">
        <v>40</v>
      </c>
      <c r="J676" s="121" t="s">
        <v>15993</v>
      </c>
      <c r="K676" s="120" t="s">
        <v>15994</v>
      </c>
    </row>
    <row r="677" customFormat="false" ht="14.25" hidden="false" customHeight="true" outlineLevel="0" collapsed="false">
      <c r="A677" s="115"/>
      <c r="B677" s="115"/>
      <c r="C677" s="115"/>
      <c r="D677" s="115"/>
      <c r="E677" s="115"/>
      <c r="F677" s="115"/>
      <c r="G677" s="121"/>
      <c r="H677" s="121"/>
      <c r="I677" s="121"/>
      <c r="J677" s="121"/>
      <c r="K677" s="120" t="s">
        <v>15995</v>
      </c>
    </row>
    <row r="678" customFormat="false" ht="14.25" hidden="false" customHeight="true" outlineLevel="0" collapsed="false">
      <c r="A678" s="115"/>
      <c r="B678" s="115"/>
      <c r="C678" s="115"/>
      <c r="D678" s="115"/>
      <c r="E678" s="115"/>
      <c r="F678" s="115"/>
      <c r="G678" s="121" t="s">
        <v>15996</v>
      </c>
      <c r="H678" s="121" t="s">
        <v>15997</v>
      </c>
      <c r="I678" s="123" t="s">
        <v>40</v>
      </c>
      <c r="J678" s="121" t="s">
        <v>15998</v>
      </c>
      <c r="K678" s="120" t="s">
        <v>15999</v>
      </c>
    </row>
    <row r="679" customFormat="false" ht="14.25" hidden="false" customHeight="true" outlineLevel="0" collapsed="false">
      <c r="A679" s="115"/>
      <c r="B679" s="115"/>
      <c r="C679" s="115"/>
      <c r="D679" s="121"/>
      <c r="E679" s="121"/>
      <c r="F679" s="121"/>
      <c r="G679" s="121"/>
      <c r="H679" s="121"/>
      <c r="I679" s="121"/>
      <c r="J679" s="121"/>
      <c r="K679" s="120" t="s">
        <v>16000</v>
      </c>
    </row>
    <row r="680" customFormat="false" ht="14.25" hidden="false" customHeight="true" outlineLevel="0" collapsed="false">
      <c r="A680" s="115"/>
      <c r="B680" s="115"/>
      <c r="C680" s="115"/>
      <c r="D680" s="121" t="s">
        <v>16001</v>
      </c>
      <c r="E680" s="121" t="s">
        <v>16002</v>
      </c>
      <c r="F680" s="121" t="s">
        <v>48</v>
      </c>
      <c r="G680" s="121" t="s">
        <v>16003</v>
      </c>
      <c r="H680" s="121" t="s">
        <v>16004</v>
      </c>
      <c r="I680" s="122" t="s">
        <v>50</v>
      </c>
      <c r="J680" s="121" t="s">
        <v>16005</v>
      </c>
      <c r="K680" s="120" t="s">
        <v>16006</v>
      </c>
    </row>
    <row r="681" customFormat="false" ht="14.25" hidden="false" customHeight="true" outlineLevel="0" collapsed="false">
      <c r="A681" s="115"/>
      <c r="B681" s="115"/>
      <c r="C681" s="115"/>
      <c r="D681" s="115"/>
      <c r="E681" s="115"/>
      <c r="F681" s="115"/>
      <c r="G681" s="121"/>
      <c r="H681" s="121"/>
      <c r="I681" s="121"/>
      <c r="J681" s="121"/>
      <c r="K681" s="120" t="s">
        <v>16007</v>
      </c>
    </row>
    <row r="682" customFormat="false" ht="14.25" hidden="false" customHeight="true" outlineLevel="0" collapsed="false">
      <c r="A682" s="115"/>
      <c r="B682" s="115"/>
      <c r="C682" s="115"/>
      <c r="D682" s="115"/>
      <c r="E682" s="115"/>
      <c r="F682" s="115"/>
      <c r="G682" s="121" t="s">
        <v>16008</v>
      </c>
      <c r="H682" s="121" t="s">
        <v>16009</v>
      </c>
      <c r="I682" s="122" t="s">
        <v>50</v>
      </c>
      <c r="J682" s="121" t="s">
        <v>16010</v>
      </c>
      <c r="K682" s="120" t="s">
        <v>16011</v>
      </c>
    </row>
    <row r="683" customFormat="false" ht="14.25" hidden="false" customHeight="true" outlineLevel="0" collapsed="false">
      <c r="A683" s="115"/>
      <c r="B683" s="115"/>
      <c r="C683" s="115"/>
      <c r="D683" s="121"/>
      <c r="E683" s="121"/>
      <c r="F683" s="121"/>
      <c r="G683" s="121"/>
      <c r="H683" s="121"/>
      <c r="I683" s="121"/>
      <c r="J683" s="121"/>
      <c r="K683" s="120" t="s">
        <v>16012</v>
      </c>
    </row>
    <row r="684" customFormat="false" ht="14.25" hidden="false" customHeight="true" outlineLevel="0" collapsed="false">
      <c r="A684" s="115"/>
      <c r="B684" s="115"/>
      <c r="C684" s="115"/>
      <c r="D684" s="121" t="s">
        <v>16013</v>
      </c>
      <c r="E684" s="121" t="s">
        <v>16014</v>
      </c>
      <c r="F684" s="121" t="s">
        <v>48</v>
      </c>
      <c r="G684" s="121" t="s">
        <v>16015</v>
      </c>
      <c r="H684" s="121" t="s">
        <v>16016</v>
      </c>
      <c r="I684" s="122" t="s">
        <v>50</v>
      </c>
      <c r="J684" s="121" t="s">
        <v>16017</v>
      </c>
      <c r="K684" s="120" t="s">
        <v>16018</v>
      </c>
    </row>
    <row r="685" customFormat="false" ht="14.25" hidden="false" customHeight="true" outlineLevel="0" collapsed="false">
      <c r="A685" s="115"/>
      <c r="B685" s="115"/>
      <c r="C685" s="115"/>
      <c r="D685" s="115"/>
      <c r="E685" s="115"/>
      <c r="F685" s="115"/>
      <c r="G685" s="121"/>
      <c r="H685" s="121"/>
      <c r="I685" s="121"/>
      <c r="J685" s="121"/>
      <c r="K685" s="120" t="s">
        <v>16019</v>
      </c>
    </row>
    <row r="686" customFormat="false" ht="14.25" hidden="false" customHeight="true" outlineLevel="0" collapsed="false">
      <c r="A686" s="115"/>
      <c r="B686" s="115"/>
      <c r="C686" s="115"/>
      <c r="D686" s="115"/>
      <c r="E686" s="115"/>
      <c r="F686" s="115"/>
      <c r="G686" s="121" t="s">
        <v>16020</v>
      </c>
      <c r="H686" s="121" t="s">
        <v>16021</v>
      </c>
      <c r="I686" s="122" t="s">
        <v>50</v>
      </c>
      <c r="J686" s="121" t="s">
        <v>16022</v>
      </c>
      <c r="K686" s="120" t="s">
        <v>16023</v>
      </c>
    </row>
    <row r="687" customFormat="false" ht="14.25" hidden="false" customHeight="true" outlineLevel="0" collapsed="false">
      <c r="A687" s="115"/>
      <c r="B687" s="115"/>
      <c r="C687" s="115"/>
      <c r="D687" s="121"/>
      <c r="E687" s="121"/>
      <c r="F687" s="121"/>
      <c r="G687" s="121"/>
      <c r="H687" s="121"/>
      <c r="I687" s="121"/>
      <c r="J687" s="121"/>
      <c r="K687" s="120" t="s">
        <v>16024</v>
      </c>
    </row>
    <row r="688" customFormat="false" ht="14.25" hidden="false" customHeight="true" outlineLevel="0" collapsed="false">
      <c r="A688" s="115"/>
      <c r="B688" s="115"/>
      <c r="C688" s="115"/>
      <c r="D688" s="121" t="s">
        <v>16025</v>
      </c>
      <c r="E688" s="121" t="s">
        <v>16026</v>
      </c>
      <c r="F688" s="121" t="s">
        <v>48</v>
      </c>
      <c r="G688" s="121" t="s">
        <v>16027</v>
      </c>
      <c r="H688" s="121" t="s">
        <v>16028</v>
      </c>
      <c r="I688" s="122" t="s">
        <v>50</v>
      </c>
      <c r="J688" s="121" t="s">
        <v>16029</v>
      </c>
      <c r="K688" s="120" t="s">
        <v>16030</v>
      </c>
    </row>
    <row r="689" customFormat="false" ht="14.25" hidden="false" customHeight="true" outlineLevel="0" collapsed="false">
      <c r="A689" s="115"/>
      <c r="B689" s="115"/>
      <c r="C689" s="115"/>
      <c r="D689" s="115"/>
      <c r="E689" s="115"/>
      <c r="F689" s="115"/>
      <c r="G689" s="121"/>
      <c r="H689" s="121"/>
      <c r="I689" s="121"/>
      <c r="J689" s="121"/>
      <c r="K689" s="120" t="s">
        <v>16031</v>
      </c>
    </row>
    <row r="690" customFormat="false" ht="14.25" hidden="false" customHeight="true" outlineLevel="0" collapsed="false">
      <c r="A690" s="115"/>
      <c r="B690" s="115"/>
      <c r="C690" s="115"/>
      <c r="D690" s="115"/>
      <c r="E690" s="115"/>
      <c r="F690" s="115"/>
      <c r="G690" s="121" t="s">
        <v>1543</v>
      </c>
      <c r="H690" s="121" t="s">
        <v>16032</v>
      </c>
      <c r="I690" s="122" t="s">
        <v>50</v>
      </c>
      <c r="J690" s="121" t="s">
        <v>16033</v>
      </c>
      <c r="K690" s="120" t="s">
        <v>16034</v>
      </c>
    </row>
    <row r="691" customFormat="false" ht="14.25" hidden="false" customHeight="true" outlineLevel="0" collapsed="false">
      <c r="A691" s="115"/>
      <c r="B691" s="115"/>
      <c r="C691" s="125"/>
      <c r="D691" s="125"/>
      <c r="E691" s="125"/>
      <c r="F691" s="125"/>
      <c r="G691" s="125"/>
      <c r="H691" s="125"/>
      <c r="I691" s="125"/>
      <c r="J691" s="125"/>
      <c r="K691" s="120" t="s">
        <v>16035</v>
      </c>
    </row>
    <row r="692" customFormat="false" ht="14.25" hidden="false" customHeight="true" outlineLevel="0" collapsed="false">
      <c r="A692" s="115"/>
      <c r="B692" s="115"/>
      <c r="C692" s="125" t="s">
        <v>16036</v>
      </c>
      <c r="D692" s="121" t="s">
        <v>16037</v>
      </c>
      <c r="E692" s="121" t="s">
        <v>16038</v>
      </c>
      <c r="F692" s="121" t="s">
        <v>38</v>
      </c>
      <c r="G692" s="121" t="s">
        <v>16039</v>
      </c>
      <c r="H692" s="121" t="s">
        <v>16040</v>
      </c>
      <c r="I692" s="122" t="s">
        <v>50</v>
      </c>
      <c r="J692" s="121" t="s">
        <v>16041</v>
      </c>
      <c r="K692" s="120" t="s">
        <v>16042</v>
      </c>
    </row>
    <row r="693" customFormat="false" ht="14.25" hidden="false" customHeight="true" outlineLevel="0" collapsed="false">
      <c r="A693" s="115"/>
      <c r="B693" s="115"/>
      <c r="C693" s="115"/>
      <c r="D693" s="115"/>
      <c r="E693" s="115"/>
      <c r="F693" s="115"/>
      <c r="G693" s="121"/>
      <c r="H693" s="121"/>
      <c r="I693" s="121"/>
      <c r="J693" s="121"/>
      <c r="K693" s="120" t="s">
        <v>16043</v>
      </c>
    </row>
    <row r="694" customFormat="false" ht="14.25" hidden="false" customHeight="true" outlineLevel="0" collapsed="false">
      <c r="A694" s="115"/>
      <c r="B694" s="115"/>
      <c r="C694" s="115"/>
      <c r="D694" s="115"/>
      <c r="E694" s="115"/>
      <c r="F694" s="115"/>
      <c r="G694" s="121" t="s">
        <v>16044</v>
      </c>
      <c r="H694" s="121" t="s">
        <v>16045</v>
      </c>
      <c r="I694" s="122" t="s">
        <v>50</v>
      </c>
      <c r="J694" s="121" t="s">
        <v>16046</v>
      </c>
      <c r="K694" s="120" t="s">
        <v>16047</v>
      </c>
    </row>
    <row r="695" customFormat="false" ht="14.25" hidden="false" customHeight="true" outlineLevel="0" collapsed="false">
      <c r="A695" s="115"/>
      <c r="B695" s="115"/>
      <c r="C695" s="115"/>
      <c r="D695" s="121"/>
      <c r="E695" s="121"/>
      <c r="F695" s="121"/>
      <c r="G695" s="121"/>
      <c r="H695" s="121"/>
      <c r="I695" s="121"/>
      <c r="J695" s="121"/>
      <c r="K695" s="120" t="s">
        <v>16048</v>
      </c>
    </row>
    <row r="696" customFormat="false" ht="14.25" hidden="false" customHeight="true" outlineLevel="0" collapsed="false">
      <c r="A696" s="115"/>
      <c r="B696" s="115"/>
      <c r="C696" s="115"/>
      <c r="D696" s="121" t="s">
        <v>16049</v>
      </c>
      <c r="E696" s="121" t="s">
        <v>16050</v>
      </c>
      <c r="F696" s="121" t="s">
        <v>38</v>
      </c>
      <c r="G696" s="121" t="s">
        <v>16051</v>
      </c>
      <c r="H696" s="121" t="s">
        <v>16052</v>
      </c>
      <c r="I696" s="122" t="s">
        <v>50</v>
      </c>
      <c r="J696" s="121" t="s">
        <v>16053</v>
      </c>
      <c r="K696" s="120" t="s">
        <v>16054</v>
      </c>
    </row>
    <row r="697" customFormat="false" ht="14.25" hidden="false" customHeight="true" outlineLevel="0" collapsed="false">
      <c r="A697" s="115"/>
      <c r="B697" s="115"/>
      <c r="C697" s="115"/>
      <c r="D697" s="115"/>
      <c r="E697" s="115"/>
      <c r="F697" s="115"/>
      <c r="G697" s="121"/>
      <c r="H697" s="121"/>
      <c r="I697" s="121"/>
      <c r="J697" s="121"/>
      <c r="K697" s="120" t="s">
        <v>16055</v>
      </c>
    </row>
    <row r="698" customFormat="false" ht="14.25" hidden="false" customHeight="true" outlineLevel="0" collapsed="false">
      <c r="A698" s="115"/>
      <c r="B698" s="115"/>
      <c r="C698" s="115"/>
      <c r="D698" s="115"/>
      <c r="E698" s="115"/>
      <c r="F698" s="115"/>
      <c r="G698" s="121" t="s">
        <v>16056</v>
      </c>
      <c r="H698" s="121" t="s">
        <v>16057</v>
      </c>
      <c r="I698" s="123" t="s">
        <v>40</v>
      </c>
      <c r="J698" s="121" t="s">
        <v>16058</v>
      </c>
      <c r="K698" s="120" t="s">
        <v>16059</v>
      </c>
    </row>
    <row r="699" customFormat="false" ht="14.25" hidden="false" customHeight="true" outlineLevel="0" collapsed="false">
      <c r="A699" s="115"/>
      <c r="B699" s="115"/>
      <c r="C699" s="115"/>
      <c r="D699" s="121"/>
      <c r="E699" s="121"/>
      <c r="F699" s="121"/>
      <c r="G699" s="121"/>
      <c r="H699" s="121"/>
      <c r="I699" s="121"/>
      <c r="J699" s="121"/>
      <c r="K699" s="120" t="s">
        <v>16060</v>
      </c>
    </row>
    <row r="700" customFormat="false" ht="14.25" hidden="false" customHeight="true" outlineLevel="0" collapsed="false">
      <c r="A700" s="115"/>
      <c r="B700" s="115"/>
      <c r="C700" s="115"/>
      <c r="D700" s="121" t="s">
        <v>16061</v>
      </c>
      <c r="E700" s="121" t="s">
        <v>16062</v>
      </c>
      <c r="F700" s="121" t="s">
        <v>38</v>
      </c>
      <c r="G700" s="121" t="s">
        <v>16063</v>
      </c>
      <c r="H700" s="121" t="s">
        <v>16064</v>
      </c>
      <c r="I700" s="123" t="s">
        <v>40</v>
      </c>
      <c r="J700" s="121" t="s">
        <v>16065</v>
      </c>
      <c r="K700" s="120" t="s">
        <v>16066</v>
      </c>
    </row>
    <row r="701" customFormat="false" ht="14.25" hidden="false" customHeight="true" outlineLevel="0" collapsed="false">
      <c r="A701" s="115"/>
      <c r="B701" s="115"/>
      <c r="C701" s="115"/>
      <c r="D701" s="115"/>
      <c r="E701" s="115"/>
      <c r="F701" s="115"/>
      <c r="G701" s="121"/>
      <c r="H701" s="121"/>
      <c r="I701" s="121"/>
      <c r="J701" s="121"/>
      <c r="K701" s="120" t="s">
        <v>16067</v>
      </c>
    </row>
    <row r="702" customFormat="false" ht="14.25" hidden="false" customHeight="true" outlineLevel="0" collapsed="false">
      <c r="A702" s="115"/>
      <c r="B702" s="115"/>
      <c r="C702" s="115"/>
      <c r="D702" s="115"/>
      <c r="E702" s="115"/>
      <c r="F702" s="115"/>
      <c r="G702" s="121" t="s">
        <v>16068</v>
      </c>
      <c r="H702" s="121" t="s">
        <v>16069</v>
      </c>
      <c r="I702" s="123" t="s">
        <v>40</v>
      </c>
      <c r="J702" s="121" t="s">
        <v>16070</v>
      </c>
      <c r="K702" s="120" t="s">
        <v>16071</v>
      </c>
    </row>
    <row r="703" customFormat="false" ht="14.25" hidden="false" customHeight="true" outlineLevel="0" collapsed="false">
      <c r="A703" s="115"/>
      <c r="B703" s="115"/>
      <c r="C703" s="115"/>
      <c r="D703" s="121"/>
      <c r="E703" s="121"/>
      <c r="F703" s="121"/>
      <c r="G703" s="121"/>
      <c r="H703" s="121"/>
      <c r="I703" s="121"/>
      <c r="J703" s="121"/>
      <c r="K703" s="120" t="s">
        <v>16072</v>
      </c>
    </row>
    <row r="704" customFormat="false" ht="14.25" hidden="false" customHeight="true" outlineLevel="0" collapsed="false">
      <c r="A704" s="115"/>
      <c r="B704" s="115"/>
      <c r="C704" s="115"/>
      <c r="D704" s="121" t="s">
        <v>16073</v>
      </c>
      <c r="E704" s="121" t="s">
        <v>16074</v>
      </c>
      <c r="F704" s="121" t="s">
        <v>38</v>
      </c>
      <c r="G704" s="121" t="s">
        <v>16075</v>
      </c>
      <c r="H704" s="121" t="s">
        <v>16076</v>
      </c>
      <c r="I704" s="123" t="s">
        <v>40</v>
      </c>
      <c r="J704" s="121" t="s">
        <v>16077</v>
      </c>
      <c r="K704" s="120" t="s">
        <v>16078</v>
      </c>
    </row>
    <row r="705" customFormat="false" ht="14.25" hidden="false" customHeight="true" outlineLevel="0" collapsed="false">
      <c r="A705" s="115"/>
      <c r="B705" s="115"/>
      <c r="C705" s="115"/>
      <c r="D705" s="115"/>
      <c r="E705" s="115"/>
      <c r="F705" s="115"/>
      <c r="G705" s="121"/>
      <c r="H705" s="121"/>
      <c r="I705" s="121"/>
      <c r="J705" s="121"/>
      <c r="K705" s="120" t="s">
        <v>16079</v>
      </c>
    </row>
    <row r="706" customFormat="false" ht="14.25" hidden="false" customHeight="true" outlineLevel="0" collapsed="false">
      <c r="A706" s="115"/>
      <c r="B706" s="115"/>
      <c r="C706" s="115"/>
      <c r="D706" s="115"/>
      <c r="E706" s="115"/>
      <c r="F706" s="115"/>
      <c r="G706" s="121" t="s">
        <v>16080</v>
      </c>
      <c r="H706" s="121" t="s">
        <v>16081</v>
      </c>
      <c r="I706" s="123" t="s">
        <v>40</v>
      </c>
      <c r="J706" s="121" t="s">
        <v>16082</v>
      </c>
      <c r="K706" s="120" t="s">
        <v>16083</v>
      </c>
    </row>
    <row r="707" customFormat="false" ht="14.25" hidden="false" customHeight="true" outlineLevel="0" collapsed="false">
      <c r="A707" s="115"/>
      <c r="B707" s="115"/>
      <c r="C707" s="115"/>
      <c r="D707" s="121"/>
      <c r="E707" s="121"/>
      <c r="F707" s="121"/>
      <c r="G707" s="121"/>
      <c r="H707" s="121"/>
      <c r="I707" s="121"/>
      <c r="J707" s="121"/>
      <c r="K707" s="120" t="s">
        <v>16084</v>
      </c>
    </row>
    <row r="708" customFormat="false" ht="14.25" hidden="false" customHeight="true" outlineLevel="0" collapsed="false">
      <c r="A708" s="115"/>
      <c r="B708" s="115"/>
      <c r="C708" s="115"/>
      <c r="D708" s="121" t="s">
        <v>16085</v>
      </c>
      <c r="E708" s="121" t="s">
        <v>16086</v>
      </c>
      <c r="F708" s="121" t="s">
        <v>38</v>
      </c>
      <c r="G708" s="121" t="s">
        <v>16087</v>
      </c>
      <c r="H708" s="121" t="s">
        <v>16088</v>
      </c>
      <c r="I708" s="123" t="s">
        <v>40</v>
      </c>
      <c r="J708" s="121" t="s">
        <v>16089</v>
      </c>
      <c r="K708" s="120" t="s">
        <v>16090</v>
      </c>
    </row>
    <row r="709" customFormat="false" ht="14.25" hidden="false" customHeight="true" outlineLevel="0" collapsed="false">
      <c r="A709" s="115"/>
      <c r="B709" s="115"/>
      <c r="C709" s="115"/>
      <c r="D709" s="115"/>
      <c r="E709" s="115"/>
      <c r="F709" s="115"/>
      <c r="G709" s="121"/>
      <c r="H709" s="121"/>
      <c r="I709" s="121"/>
      <c r="J709" s="121"/>
      <c r="K709" s="120" t="s">
        <v>16091</v>
      </c>
    </row>
    <row r="710" customFormat="false" ht="14.25" hidden="false" customHeight="true" outlineLevel="0" collapsed="false">
      <c r="A710" s="115"/>
      <c r="B710" s="115"/>
      <c r="C710" s="115"/>
      <c r="D710" s="115"/>
      <c r="E710" s="115"/>
      <c r="F710" s="115"/>
      <c r="G710" s="121" t="s">
        <v>16092</v>
      </c>
      <c r="H710" s="121" t="s">
        <v>16093</v>
      </c>
      <c r="I710" s="123" t="s">
        <v>40</v>
      </c>
      <c r="J710" s="121" t="s">
        <v>16094</v>
      </c>
      <c r="K710" s="120" t="s">
        <v>16095</v>
      </c>
    </row>
    <row r="711" customFormat="false" ht="14.25" hidden="false" customHeight="true" outlineLevel="0" collapsed="false">
      <c r="A711" s="115"/>
      <c r="B711" s="115"/>
      <c r="C711" s="125"/>
      <c r="D711" s="125"/>
      <c r="E711" s="125"/>
      <c r="F711" s="125"/>
      <c r="G711" s="125"/>
      <c r="H711" s="125"/>
      <c r="I711" s="125"/>
      <c r="J711" s="125"/>
      <c r="K711" s="120" t="s">
        <v>16096</v>
      </c>
    </row>
    <row r="712" customFormat="false" ht="14.25" hidden="false" customHeight="true" outlineLevel="0" collapsed="false">
      <c r="A712" s="115"/>
      <c r="B712" s="115"/>
      <c r="C712" s="125" t="s">
        <v>16097</v>
      </c>
      <c r="D712" s="121" t="s">
        <v>16098</v>
      </c>
      <c r="E712" s="121" t="s">
        <v>16099</v>
      </c>
      <c r="F712" s="121" t="s">
        <v>38</v>
      </c>
      <c r="G712" s="121" t="s">
        <v>16100</v>
      </c>
      <c r="H712" s="121" t="s">
        <v>16101</v>
      </c>
      <c r="I712" s="123" t="s">
        <v>40</v>
      </c>
      <c r="J712" s="121" t="s">
        <v>16102</v>
      </c>
      <c r="K712" s="120" t="s">
        <v>16103</v>
      </c>
    </row>
    <row r="713" customFormat="false" ht="14.25" hidden="false" customHeight="true" outlineLevel="0" collapsed="false">
      <c r="A713" s="115"/>
      <c r="B713" s="115"/>
      <c r="C713" s="115"/>
      <c r="D713" s="115"/>
      <c r="E713" s="115"/>
      <c r="F713" s="115"/>
      <c r="G713" s="121"/>
      <c r="H713" s="121"/>
      <c r="I713" s="121"/>
      <c r="J713" s="121"/>
      <c r="K713" s="120" t="s">
        <v>16104</v>
      </c>
    </row>
    <row r="714" customFormat="false" ht="14.25" hidden="false" customHeight="true" outlineLevel="0" collapsed="false">
      <c r="A714" s="115"/>
      <c r="B714" s="115"/>
      <c r="C714" s="115"/>
      <c r="D714" s="115"/>
      <c r="E714" s="115"/>
      <c r="F714" s="115"/>
      <c r="G714" s="121" t="s">
        <v>16105</v>
      </c>
      <c r="H714" s="121" t="s">
        <v>16106</v>
      </c>
      <c r="I714" s="123" t="s">
        <v>40</v>
      </c>
      <c r="J714" s="121" t="s">
        <v>16107</v>
      </c>
      <c r="K714" s="120" t="s">
        <v>16108</v>
      </c>
    </row>
    <row r="715" customFormat="false" ht="14.25" hidden="false" customHeight="true" outlineLevel="0" collapsed="false">
      <c r="A715" s="115"/>
      <c r="B715" s="115"/>
      <c r="C715" s="115"/>
      <c r="D715" s="121"/>
      <c r="E715" s="121"/>
      <c r="F715" s="121"/>
      <c r="G715" s="121"/>
      <c r="H715" s="121"/>
      <c r="I715" s="121"/>
      <c r="J715" s="121"/>
      <c r="K715" s="120" t="s">
        <v>16109</v>
      </c>
    </row>
    <row r="716" customFormat="false" ht="14.25" hidden="false" customHeight="true" outlineLevel="0" collapsed="false">
      <c r="A716" s="115"/>
      <c r="B716" s="115"/>
      <c r="C716" s="115"/>
      <c r="D716" s="121" t="s">
        <v>16110</v>
      </c>
      <c r="E716" s="121" t="s">
        <v>16111</v>
      </c>
      <c r="F716" s="121" t="s">
        <v>38</v>
      </c>
      <c r="G716" s="121" t="s">
        <v>16112</v>
      </c>
      <c r="H716" s="121" t="s">
        <v>16113</v>
      </c>
      <c r="I716" s="123" t="s">
        <v>40</v>
      </c>
      <c r="J716" s="121" t="s">
        <v>16114</v>
      </c>
      <c r="K716" s="120" t="s">
        <v>16115</v>
      </c>
    </row>
    <row r="717" customFormat="false" ht="14.25" hidden="false" customHeight="true" outlineLevel="0" collapsed="false">
      <c r="A717" s="115"/>
      <c r="B717" s="115"/>
      <c r="C717" s="115"/>
      <c r="D717" s="115"/>
      <c r="E717" s="115"/>
      <c r="F717" s="115"/>
      <c r="G717" s="121"/>
      <c r="H717" s="121"/>
      <c r="I717" s="121"/>
      <c r="J717" s="121"/>
      <c r="K717" s="120" t="s">
        <v>16116</v>
      </c>
    </row>
    <row r="718" customFormat="false" ht="14.25" hidden="false" customHeight="true" outlineLevel="0" collapsed="false">
      <c r="A718" s="115"/>
      <c r="B718" s="115"/>
      <c r="C718" s="115"/>
      <c r="D718" s="115"/>
      <c r="E718" s="115"/>
      <c r="F718" s="115"/>
      <c r="G718" s="121" t="s">
        <v>16117</v>
      </c>
      <c r="H718" s="121" t="s">
        <v>16118</v>
      </c>
      <c r="I718" s="123" t="s">
        <v>40</v>
      </c>
      <c r="J718" s="121" t="s">
        <v>16119</v>
      </c>
      <c r="K718" s="120" t="s">
        <v>15787</v>
      </c>
    </row>
    <row r="719" customFormat="false" ht="14.25" hidden="false" customHeight="true" outlineLevel="0" collapsed="false">
      <c r="A719" s="115"/>
      <c r="B719" s="115"/>
      <c r="C719" s="115"/>
      <c r="D719" s="121"/>
      <c r="E719" s="121"/>
      <c r="F719" s="121"/>
      <c r="G719" s="121"/>
      <c r="H719" s="121"/>
      <c r="I719" s="121"/>
      <c r="J719" s="121"/>
      <c r="K719" s="120" t="s">
        <v>16120</v>
      </c>
    </row>
    <row r="720" customFormat="false" ht="14.25" hidden="false" customHeight="true" outlineLevel="0" collapsed="false">
      <c r="A720" s="115"/>
      <c r="B720" s="115"/>
      <c r="C720" s="115"/>
      <c r="D720" s="121" t="s">
        <v>16121</v>
      </c>
      <c r="E720" s="121" t="s">
        <v>16122</v>
      </c>
      <c r="F720" s="121" t="s">
        <v>38</v>
      </c>
      <c r="G720" s="121" t="s">
        <v>16123</v>
      </c>
      <c r="H720" s="121" t="s">
        <v>16124</v>
      </c>
      <c r="I720" s="123" t="s">
        <v>40</v>
      </c>
      <c r="J720" s="121" t="s">
        <v>16125</v>
      </c>
      <c r="K720" s="120" t="s">
        <v>16126</v>
      </c>
    </row>
    <row r="721" customFormat="false" ht="14.25" hidden="false" customHeight="true" outlineLevel="0" collapsed="false">
      <c r="A721" s="115"/>
      <c r="B721" s="115"/>
      <c r="C721" s="115"/>
      <c r="D721" s="115"/>
      <c r="E721" s="115"/>
      <c r="F721" s="115"/>
      <c r="G721" s="121"/>
      <c r="H721" s="121"/>
      <c r="I721" s="121"/>
      <c r="J721" s="121"/>
      <c r="K721" s="120" t="s">
        <v>16127</v>
      </c>
    </row>
    <row r="722" customFormat="false" ht="14.25" hidden="false" customHeight="true" outlineLevel="0" collapsed="false">
      <c r="A722" s="115"/>
      <c r="B722" s="115"/>
      <c r="C722" s="115"/>
      <c r="D722" s="115"/>
      <c r="E722" s="115"/>
      <c r="F722" s="115"/>
      <c r="G722" s="121" t="s">
        <v>16128</v>
      </c>
      <c r="H722" s="121" t="s">
        <v>16129</v>
      </c>
      <c r="I722" s="123" t="s">
        <v>40</v>
      </c>
      <c r="J722" s="121" t="s">
        <v>16130</v>
      </c>
      <c r="K722" s="120" t="s">
        <v>16131</v>
      </c>
    </row>
    <row r="723" customFormat="false" ht="14.25" hidden="false" customHeight="true" outlineLevel="0" collapsed="false">
      <c r="A723" s="115"/>
      <c r="B723" s="115"/>
      <c r="C723" s="115"/>
      <c r="D723" s="121"/>
      <c r="E723" s="121"/>
      <c r="F723" s="121"/>
      <c r="G723" s="121"/>
      <c r="H723" s="121"/>
      <c r="I723" s="121"/>
      <c r="J723" s="121"/>
      <c r="K723" s="120" t="s">
        <v>16132</v>
      </c>
    </row>
    <row r="724" customFormat="false" ht="14.25" hidden="false" customHeight="true" outlineLevel="0" collapsed="false">
      <c r="A724" s="115"/>
      <c r="B724" s="115"/>
      <c r="C724" s="115"/>
      <c r="D724" s="121" t="s">
        <v>16133</v>
      </c>
      <c r="E724" s="121" t="s">
        <v>16134</v>
      </c>
      <c r="F724" s="121" t="s">
        <v>38</v>
      </c>
      <c r="G724" s="121" t="s">
        <v>16135</v>
      </c>
      <c r="H724" s="121" t="s">
        <v>16136</v>
      </c>
      <c r="I724" s="123" t="s">
        <v>40</v>
      </c>
      <c r="J724" s="121" t="s">
        <v>16137</v>
      </c>
      <c r="K724" s="120" t="s">
        <v>16138</v>
      </c>
    </row>
    <row r="725" customFormat="false" ht="14.25" hidden="false" customHeight="true" outlineLevel="0" collapsed="false">
      <c r="A725" s="115"/>
      <c r="B725" s="115"/>
      <c r="C725" s="115"/>
      <c r="D725" s="115"/>
      <c r="E725" s="115"/>
      <c r="F725" s="115"/>
      <c r="G725" s="121"/>
      <c r="H725" s="121"/>
      <c r="I725" s="121"/>
      <c r="J725" s="121"/>
      <c r="K725" s="120" t="s">
        <v>16139</v>
      </c>
    </row>
    <row r="726" customFormat="false" ht="14.25" hidden="false" customHeight="true" outlineLevel="0" collapsed="false">
      <c r="A726" s="115"/>
      <c r="B726" s="115"/>
      <c r="C726" s="115"/>
      <c r="D726" s="115"/>
      <c r="E726" s="115"/>
      <c r="F726" s="115"/>
      <c r="G726" s="121" t="s">
        <v>16140</v>
      </c>
      <c r="H726" s="121" t="s">
        <v>16141</v>
      </c>
      <c r="I726" s="123" t="s">
        <v>40</v>
      </c>
      <c r="J726" s="121" t="s">
        <v>16142</v>
      </c>
      <c r="K726" s="120" t="s">
        <v>16143</v>
      </c>
    </row>
    <row r="727" customFormat="false" ht="14.25" hidden="false" customHeight="true" outlineLevel="0" collapsed="false">
      <c r="A727" s="115"/>
      <c r="B727" s="115"/>
      <c r="C727" s="115"/>
      <c r="D727" s="121"/>
      <c r="E727" s="121"/>
      <c r="F727" s="121"/>
      <c r="G727" s="121"/>
      <c r="H727" s="121"/>
      <c r="I727" s="121"/>
      <c r="J727" s="121"/>
      <c r="K727" s="120" t="s">
        <v>16144</v>
      </c>
    </row>
    <row r="728" customFormat="false" ht="14.25" hidden="false" customHeight="true" outlineLevel="0" collapsed="false">
      <c r="A728" s="115"/>
      <c r="B728" s="115"/>
      <c r="C728" s="115"/>
      <c r="D728" s="121" t="s">
        <v>16145</v>
      </c>
      <c r="E728" s="121" t="s">
        <v>16146</v>
      </c>
      <c r="F728" s="121" t="s">
        <v>38</v>
      </c>
      <c r="G728" s="121" t="s">
        <v>16147</v>
      </c>
      <c r="H728" s="121" t="s">
        <v>16148</v>
      </c>
      <c r="I728" s="123" t="s">
        <v>40</v>
      </c>
      <c r="J728" s="121" t="s">
        <v>16149</v>
      </c>
      <c r="K728" s="120" t="s">
        <v>16150</v>
      </c>
    </row>
    <row r="729" customFormat="false" ht="14.25" hidden="false" customHeight="true" outlineLevel="0" collapsed="false">
      <c r="A729" s="115"/>
      <c r="B729" s="115"/>
      <c r="C729" s="115"/>
      <c r="D729" s="115"/>
      <c r="E729" s="115"/>
      <c r="F729" s="115"/>
      <c r="G729" s="121"/>
      <c r="H729" s="121"/>
      <c r="I729" s="121"/>
      <c r="J729" s="121"/>
      <c r="K729" s="120" t="s">
        <v>16151</v>
      </c>
    </row>
    <row r="730" customFormat="false" ht="14.25" hidden="false" customHeight="true" outlineLevel="0" collapsed="false">
      <c r="A730" s="115"/>
      <c r="B730" s="115"/>
      <c r="C730" s="115"/>
      <c r="D730" s="115"/>
      <c r="E730" s="115"/>
      <c r="F730" s="115"/>
      <c r="G730" s="121" t="s">
        <v>16152</v>
      </c>
      <c r="H730" s="121" t="s">
        <v>16153</v>
      </c>
      <c r="I730" s="123" t="s">
        <v>40</v>
      </c>
      <c r="J730" s="121" t="s">
        <v>16154</v>
      </c>
      <c r="K730" s="120" t="s">
        <v>16155</v>
      </c>
    </row>
    <row r="731" customFormat="false" ht="14.25" hidden="false" customHeight="true" outlineLevel="0" collapsed="false">
      <c r="A731" s="115"/>
      <c r="B731" s="115"/>
      <c r="C731" s="125"/>
      <c r="D731" s="125"/>
      <c r="E731" s="125"/>
      <c r="F731" s="125"/>
      <c r="G731" s="125"/>
      <c r="H731" s="125"/>
      <c r="I731" s="125"/>
      <c r="J731" s="125"/>
      <c r="K731" s="120" t="s">
        <v>16156</v>
      </c>
    </row>
    <row r="732" customFormat="false" ht="14.25" hidden="false" customHeight="true" outlineLevel="0" collapsed="false">
      <c r="A732" s="115"/>
      <c r="B732" s="115"/>
      <c r="C732" s="125" t="s">
        <v>16157</v>
      </c>
      <c r="D732" s="121" t="s">
        <v>16158</v>
      </c>
      <c r="E732" s="121" t="s">
        <v>16159</v>
      </c>
      <c r="F732" s="121" t="s">
        <v>38</v>
      </c>
      <c r="G732" s="121" t="s">
        <v>16160</v>
      </c>
      <c r="H732" s="121" t="s">
        <v>16161</v>
      </c>
      <c r="I732" s="122" t="s">
        <v>50</v>
      </c>
      <c r="J732" s="121" t="s">
        <v>16162</v>
      </c>
      <c r="K732" s="120" t="s">
        <v>16163</v>
      </c>
    </row>
    <row r="733" customFormat="false" ht="14.25" hidden="false" customHeight="true" outlineLevel="0" collapsed="false">
      <c r="A733" s="115"/>
      <c r="B733" s="115"/>
      <c r="C733" s="115"/>
      <c r="D733" s="115"/>
      <c r="E733" s="115"/>
      <c r="F733" s="115"/>
      <c r="G733" s="121"/>
      <c r="H733" s="121"/>
      <c r="I733" s="121"/>
      <c r="J733" s="121"/>
      <c r="K733" s="120" t="s">
        <v>16164</v>
      </c>
    </row>
    <row r="734" customFormat="false" ht="14.25" hidden="false" customHeight="true" outlineLevel="0" collapsed="false">
      <c r="A734" s="115"/>
      <c r="B734" s="115"/>
      <c r="C734" s="115"/>
      <c r="D734" s="115"/>
      <c r="E734" s="115"/>
      <c r="F734" s="115"/>
      <c r="G734" s="121" t="s">
        <v>16165</v>
      </c>
      <c r="H734" s="121" t="s">
        <v>16166</v>
      </c>
      <c r="I734" s="122" t="s">
        <v>50</v>
      </c>
      <c r="J734" s="121" t="s">
        <v>16167</v>
      </c>
      <c r="K734" s="120" t="s">
        <v>16168</v>
      </c>
    </row>
    <row r="735" customFormat="false" ht="14.25" hidden="false" customHeight="true" outlineLevel="0" collapsed="false">
      <c r="A735" s="115"/>
      <c r="B735" s="115"/>
      <c r="C735" s="115"/>
      <c r="D735" s="121"/>
      <c r="E735" s="121"/>
      <c r="F735" s="121"/>
      <c r="G735" s="121"/>
      <c r="H735" s="121"/>
      <c r="I735" s="121"/>
      <c r="J735" s="121"/>
      <c r="K735" s="120" t="s">
        <v>16169</v>
      </c>
    </row>
    <row r="736" customFormat="false" ht="14.25" hidden="false" customHeight="true" outlineLevel="0" collapsed="false">
      <c r="A736" s="115"/>
      <c r="B736" s="115"/>
      <c r="C736" s="115"/>
      <c r="D736" s="121" t="s">
        <v>16170</v>
      </c>
      <c r="E736" s="121" t="s">
        <v>16171</v>
      </c>
      <c r="F736" s="121" t="s">
        <v>38</v>
      </c>
      <c r="G736" s="121" t="s">
        <v>16172</v>
      </c>
      <c r="H736" s="121" t="s">
        <v>16173</v>
      </c>
      <c r="I736" s="122" t="s">
        <v>50</v>
      </c>
      <c r="J736" s="121" t="s">
        <v>16174</v>
      </c>
      <c r="K736" s="120" t="s">
        <v>16175</v>
      </c>
    </row>
    <row r="737" customFormat="false" ht="14.25" hidden="false" customHeight="true" outlineLevel="0" collapsed="false">
      <c r="A737" s="115"/>
      <c r="B737" s="115"/>
      <c r="C737" s="115"/>
      <c r="D737" s="115"/>
      <c r="E737" s="115"/>
      <c r="F737" s="115"/>
      <c r="G737" s="121"/>
      <c r="H737" s="121"/>
      <c r="I737" s="121"/>
      <c r="J737" s="121"/>
      <c r="K737" s="120" t="s">
        <v>16176</v>
      </c>
    </row>
    <row r="738" customFormat="false" ht="14.25" hidden="false" customHeight="true" outlineLevel="0" collapsed="false">
      <c r="A738" s="115"/>
      <c r="B738" s="115"/>
      <c r="C738" s="115"/>
      <c r="D738" s="115"/>
      <c r="E738" s="115"/>
      <c r="F738" s="115"/>
      <c r="G738" s="121" t="s">
        <v>16177</v>
      </c>
      <c r="H738" s="121" t="s">
        <v>16178</v>
      </c>
      <c r="I738" s="122" t="s">
        <v>50</v>
      </c>
      <c r="J738" s="121" t="s">
        <v>16179</v>
      </c>
      <c r="K738" s="120" t="s">
        <v>16180</v>
      </c>
    </row>
    <row r="739" customFormat="false" ht="14.25" hidden="false" customHeight="true" outlineLevel="0" collapsed="false">
      <c r="A739" s="115"/>
      <c r="B739" s="115"/>
      <c r="C739" s="115"/>
      <c r="D739" s="121"/>
      <c r="E739" s="121"/>
      <c r="F739" s="121"/>
      <c r="G739" s="121"/>
      <c r="H739" s="121"/>
      <c r="I739" s="121"/>
      <c r="J739" s="121"/>
      <c r="K739" s="120" t="s">
        <v>16181</v>
      </c>
    </row>
    <row r="740" customFormat="false" ht="14.25" hidden="false" customHeight="true" outlineLevel="0" collapsed="false">
      <c r="A740" s="115"/>
      <c r="B740" s="115"/>
      <c r="C740" s="115"/>
      <c r="D740" s="121" t="s">
        <v>16182</v>
      </c>
      <c r="E740" s="121" t="s">
        <v>16183</v>
      </c>
      <c r="F740" s="121" t="s">
        <v>38</v>
      </c>
      <c r="G740" s="121" t="s">
        <v>16184</v>
      </c>
      <c r="H740" s="121" t="s">
        <v>16185</v>
      </c>
      <c r="I740" s="123" t="s">
        <v>40</v>
      </c>
      <c r="J740" s="121" t="s">
        <v>16186</v>
      </c>
      <c r="K740" s="120" t="s">
        <v>16187</v>
      </c>
    </row>
    <row r="741" customFormat="false" ht="14.25" hidden="false" customHeight="true" outlineLevel="0" collapsed="false">
      <c r="A741" s="115"/>
      <c r="B741" s="115"/>
      <c r="C741" s="115"/>
      <c r="D741" s="115"/>
      <c r="E741" s="115"/>
      <c r="F741" s="115"/>
      <c r="G741" s="121"/>
      <c r="H741" s="121"/>
      <c r="I741" s="121"/>
      <c r="J741" s="121"/>
      <c r="K741" s="120" t="s">
        <v>16188</v>
      </c>
    </row>
    <row r="742" customFormat="false" ht="14.25" hidden="false" customHeight="true" outlineLevel="0" collapsed="false">
      <c r="A742" s="115"/>
      <c r="B742" s="115"/>
      <c r="C742" s="115"/>
      <c r="D742" s="115"/>
      <c r="E742" s="115"/>
      <c r="F742" s="115"/>
      <c r="G742" s="121" t="s">
        <v>16189</v>
      </c>
      <c r="H742" s="121" t="s">
        <v>16190</v>
      </c>
      <c r="I742" s="123" t="s">
        <v>40</v>
      </c>
      <c r="J742" s="121" t="s">
        <v>16191</v>
      </c>
      <c r="K742" s="120" t="s">
        <v>16192</v>
      </c>
    </row>
    <row r="743" customFormat="false" ht="14.25" hidden="false" customHeight="true" outlineLevel="0" collapsed="false">
      <c r="A743" s="115"/>
      <c r="B743" s="115"/>
      <c r="C743" s="115"/>
      <c r="D743" s="121"/>
      <c r="E743" s="121"/>
      <c r="F743" s="121"/>
      <c r="G743" s="121"/>
      <c r="H743" s="121"/>
      <c r="I743" s="121"/>
      <c r="J743" s="121"/>
      <c r="K743" s="120" t="s">
        <v>16193</v>
      </c>
    </row>
    <row r="744" customFormat="false" ht="14.25" hidden="false" customHeight="true" outlineLevel="0" collapsed="false">
      <c r="A744" s="115"/>
      <c r="B744" s="115"/>
      <c r="C744" s="115"/>
      <c r="D744" s="121" t="s">
        <v>16194</v>
      </c>
      <c r="E744" s="121" t="s">
        <v>16195</v>
      </c>
      <c r="F744" s="121" t="s">
        <v>38</v>
      </c>
      <c r="G744" s="121" t="s">
        <v>16196</v>
      </c>
      <c r="H744" s="121" t="s">
        <v>16197</v>
      </c>
      <c r="I744" s="122" t="s">
        <v>50</v>
      </c>
      <c r="J744" s="121" t="s">
        <v>16198</v>
      </c>
      <c r="K744" s="120" t="s">
        <v>16199</v>
      </c>
    </row>
    <row r="745" customFormat="false" ht="14.25" hidden="false" customHeight="true" outlineLevel="0" collapsed="false">
      <c r="A745" s="115"/>
      <c r="B745" s="115"/>
      <c r="C745" s="115"/>
      <c r="D745" s="115"/>
      <c r="E745" s="115"/>
      <c r="F745" s="115"/>
      <c r="G745" s="121"/>
      <c r="H745" s="121"/>
      <c r="I745" s="121"/>
      <c r="J745" s="121"/>
      <c r="K745" s="120" t="s">
        <v>16200</v>
      </c>
    </row>
    <row r="746" customFormat="false" ht="14.25" hidden="false" customHeight="true" outlineLevel="0" collapsed="false">
      <c r="A746" s="115"/>
      <c r="B746" s="115"/>
      <c r="C746" s="115"/>
      <c r="D746" s="115"/>
      <c r="E746" s="115"/>
      <c r="F746" s="115"/>
      <c r="G746" s="121" t="s">
        <v>16201</v>
      </c>
      <c r="H746" s="121" t="s">
        <v>16202</v>
      </c>
      <c r="I746" s="122" t="s">
        <v>50</v>
      </c>
      <c r="J746" s="121" t="s">
        <v>16203</v>
      </c>
      <c r="K746" s="120" t="s">
        <v>16204</v>
      </c>
    </row>
    <row r="747" customFormat="false" ht="14.25" hidden="false" customHeight="true" outlineLevel="0" collapsed="false">
      <c r="A747" s="115"/>
      <c r="B747" s="115"/>
      <c r="C747" s="115"/>
      <c r="D747" s="121"/>
      <c r="E747" s="121"/>
      <c r="F747" s="121"/>
      <c r="G747" s="121"/>
      <c r="H747" s="121"/>
      <c r="I747" s="121"/>
      <c r="J747" s="121"/>
      <c r="K747" s="120" t="s">
        <v>16205</v>
      </c>
    </row>
    <row r="748" customFormat="false" ht="14.25" hidden="false" customHeight="true" outlineLevel="0" collapsed="false">
      <c r="A748" s="115"/>
      <c r="B748" s="115"/>
      <c r="C748" s="115"/>
      <c r="D748" s="121" t="s">
        <v>16206</v>
      </c>
      <c r="E748" s="121" t="s">
        <v>16207</v>
      </c>
      <c r="F748" s="121" t="s">
        <v>48</v>
      </c>
      <c r="G748" s="121" t="s">
        <v>16208</v>
      </c>
      <c r="H748" s="121" t="s">
        <v>16209</v>
      </c>
      <c r="I748" s="122" t="s">
        <v>50</v>
      </c>
      <c r="J748" s="121" t="s">
        <v>16210</v>
      </c>
      <c r="K748" s="120" t="s">
        <v>16211</v>
      </c>
    </row>
    <row r="749" customFormat="false" ht="14.25" hidden="false" customHeight="true" outlineLevel="0" collapsed="false">
      <c r="A749" s="115"/>
      <c r="B749" s="115"/>
      <c r="C749" s="115"/>
      <c r="D749" s="115"/>
      <c r="E749" s="115"/>
      <c r="F749" s="115"/>
      <c r="G749" s="121"/>
      <c r="H749" s="121"/>
      <c r="I749" s="121"/>
      <c r="J749" s="121"/>
      <c r="K749" s="120" t="s">
        <v>16212</v>
      </c>
    </row>
    <row r="750" customFormat="false" ht="14.25" hidden="false" customHeight="true" outlineLevel="0" collapsed="false">
      <c r="A750" s="115"/>
      <c r="B750" s="115"/>
      <c r="C750" s="115"/>
      <c r="D750" s="115"/>
      <c r="E750" s="115"/>
      <c r="F750" s="115"/>
      <c r="G750" s="121" t="s">
        <v>16213</v>
      </c>
      <c r="H750" s="121" t="s">
        <v>16214</v>
      </c>
      <c r="I750" s="123" t="s">
        <v>40</v>
      </c>
      <c r="J750" s="121" t="s">
        <v>16215</v>
      </c>
      <c r="K750" s="120" t="s">
        <v>16216</v>
      </c>
    </row>
    <row r="751" customFormat="false" ht="14.25" hidden="false" customHeight="true" outlineLevel="0" collapsed="false">
      <c r="A751" s="115"/>
      <c r="B751" s="115"/>
      <c r="C751" s="125"/>
      <c r="D751" s="125"/>
      <c r="E751" s="125"/>
      <c r="F751" s="125"/>
      <c r="G751" s="125"/>
      <c r="H751" s="125"/>
      <c r="I751" s="125"/>
      <c r="J751" s="125"/>
      <c r="K751" s="120" t="s">
        <v>16217</v>
      </c>
    </row>
    <row r="752" customFormat="false" ht="14.25" hidden="false" customHeight="true" outlineLevel="0" collapsed="false">
      <c r="A752" s="115"/>
      <c r="B752" s="115"/>
      <c r="C752" s="125" t="s">
        <v>16218</v>
      </c>
      <c r="D752" s="121" t="s">
        <v>16219</v>
      </c>
      <c r="E752" s="121" t="s">
        <v>16220</v>
      </c>
      <c r="F752" s="121" t="s">
        <v>48</v>
      </c>
      <c r="G752" s="121" t="s">
        <v>16221</v>
      </c>
      <c r="H752" s="121" t="s">
        <v>16222</v>
      </c>
      <c r="I752" s="123" t="s">
        <v>40</v>
      </c>
      <c r="J752" s="121" t="s">
        <v>16223</v>
      </c>
      <c r="K752" s="120" t="s">
        <v>16224</v>
      </c>
    </row>
    <row r="753" customFormat="false" ht="14.25" hidden="false" customHeight="true" outlineLevel="0" collapsed="false">
      <c r="A753" s="115"/>
      <c r="B753" s="115"/>
      <c r="C753" s="115"/>
      <c r="D753" s="115"/>
      <c r="E753" s="115"/>
      <c r="F753" s="115"/>
      <c r="G753" s="121"/>
      <c r="H753" s="121"/>
      <c r="I753" s="121"/>
      <c r="J753" s="121"/>
      <c r="K753" s="120" t="s">
        <v>16225</v>
      </c>
    </row>
    <row r="754" customFormat="false" ht="14.25" hidden="false" customHeight="true" outlineLevel="0" collapsed="false">
      <c r="A754" s="115"/>
      <c r="B754" s="115"/>
      <c r="C754" s="115"/>
      <c r="D754" s="115"/>
      <c r="E754" s="115"/>
      <c r="F754" s="115"/>
      <c r="G754" s="121" t="s">
        <v>16226</v>
      </c>
      <c r="H754" s="121" t="s">
        <v>16227</v>
      </c>
      <c r="I754" s="123" t="s">
        <v>40</v>
      </c>
      <c r="J754" s="121" t="s">
        <v>16228</v>
      </c>
      <c r="K754" s="120" t="s">
        <v>16229</v>
      </c>
    </row>
    <row r="755" customFormat="false" ht="14.25" hidden="false" customHeight="true" outlineLevel="0" collapsed="false">
      <c r="A755" s="115"/>
      <c r="B755" s="115"/>
      <c r="C755" s="115"/>
      <c r="D755" s="121"/>
      <c r="E755" s="121"/>
      <c r="F755" s="121"/>
      <c r="G755" s="121"/>
      <c r="H755" s="121"/>
      <c r="I755" s="121"/>
      <c r="J755" s="121"/>
      <c r="K755" s="120" t="s">
        <v>16230</v>
      </c>
    </row>
    <row r="756" customFormat="false" ht="14.25" hidden="false" customHeight="true" outlineLevel="0" collapsed="false">
      <c r="A756" s="115"/>
      <c r="B756" s="115"/>
      <c r="C756" s="115"/>
      <c r="D756" s="121" t="s">
        <v>16231</v>
      </c>
      <c r="E756" s="121" t="s">
        <v>16232</v>
      </c>
      <c r="F756" s="121" t="s">
        <v>38</v>
      </c>
      <c r="G756" s="121" t="s">
        <v>16233</v>
      </c>
      <c r="H756" s="121" t="s">
        <v>16234</v>
      </c>
      <c r="I756" s="123" t="s">
        <v>40</v>
      </c>
      <c r="J756" s="121" t="s">
        <v>16235</v>
      </c>
      <c r="K756" s="120" t="s">
        <v>16236</v>
      </c>
    </row>
    <row r="757" customFormat="false" ht="14.25" hidden="false" customHeight="true" outlineLevel="0" collapsed="false">
      <c r="A757" s="115"/>
      <c r="B757" s="115"/>
      <c r="C757" s="115"/>
      <c r="D757" s="115"/>
      <c r="E757" s="115"/>
      <c r="F757" s="115"/>
      <c r="G757" s="121"/>
      <c r="H757" s="121"/>
      <c r="I757" s="121"/>
      <c r="J757" s="121"/>
      <c r="K757" s="120" t="s">
        <v>16237</v>
      </c>
    </row>
    <row r="758" customFormat="false" ht="14.25" hidden="false" customHeight="true" outlineLevel="0" collapsed="false">
      <c r="A758" s="115"/>
      <c r="B758" s="115"/>
      <c r="C758" s="115"/>
      <c r="D758" s="115"/>
      <c r="E758" s="115"/>
      <c r="F758" s="115"/>
      <c r="G758" s="121" t="s">
        <v>16238</v>
      </c>
      <c r="H758" s="121" t="s">
        <v>16239</v>
      </c>
      <c r="I758" s="123" t="s">
        <v>40</v>
      </c>
      <c r="J758" s="121" t="s">
        <v>16240</v>
      </c>
      <c r="K758" s="120" t="s">
        <v>16241</v>
      </c>
    </row>
    <row r="759" customFormat="false" ht="14.25" hidden="false" customHeight="true" outlineLevel="0" collapsed="false">
      <c r="A759" s="115"/>
      <c r="B759" s="115"/>
      <c r="C759" s="115"/>
      <c r="D759" s="121"/>
      <c r="E759" s="121"/>
      <c r="F759" s="121"/>
      <c r="G759" s="121"/>
      <c r="H759" s="121"/>
      <c r="I759" s="121"/>
      <c r="J759" s="121"/>
      <c r="K759" s="120" t="s">
        <v>16242</v>
      </c>
    </row>
    <row r="760" customFormat="false" ht="14.25" hidden="false" customHeight="true" outlineLevel="0" collapsed="false">
      <c r="A760" s="115"/>
      <c r="B760" s="115"/>
      <c r="C760" s="115"/>
      <c r="D760" s="121" t="s">
        <v>16243</v>
      </c>
      <c r="E760" s="121" t="s">
        <v>16244</v>
      </c>
      <c r="F760" s="121" t="s">
        <v>38</v>
      </c>
      <c r="G760" s="121" t="s">
        <v>16245</v>
      </c>
      <c r="H760" s="121" t="s">
        <v>16246</v>
      </c>
      <c r="I760" s="123" t="s">
        <v>40</v>
      </c>
      <c r="J760" s="121" t="s">
        <v>16247</v>
      </c>
      <c r="K760" s="120" t="s">
        <v>16248</v>
      </c>
    </row>
    <row r="761" customFormat="false" ht="14.25" hidden="false" customHeight="true" outlineLevel="0" collapsed="false">
      <c r="A761" s="115"/>
      <c r="B761" s="115"/>
      <c r="C761" s="115"/>
      <c r="D761" s="115"/>
      <c r="E761" s="115"/>
      <c r="F761" s="115"/>
      <c r="G761" s="121"/>
      <c r="H761" s="121"/>
      <c r="I761" s="121"/>
      <c r="J761" s="121"/>
      <c r="K761" s="120" t="s">
        <v>16249</v>
      </c>
    </row>
    <row r="762" customFormat="false" ht="14.25" hidden="false" customHeight="true" outlineLevel="0" collapsed="false">
      <c r="A762" s="115"/>
      <c r="B762" s="115"/>
      <c r="C762" s="115"/>
      <c r="D762" s="115"/>
      <c r="E762" s="115"/>
      <c r="F762" s="115"/>
      <c r="G762" s="121" t="s">
        <v>16250</v>
      </c>
      <c r="H762" s="121" t="s">
        <v>16251</v>
      </c>
      <c r="I762" s="123" t="s">
        <v>40</v>
      </c>
      <c r="J762" s="121" t="s">
        <v>16252</v>
      </c>
      <c r="K762" s="120" t="s">
        <v>16253</v>
      </c>
    </row>
    <row r="763" customFormat="false" ht="14.25" hidden="false" customHeight="true" outlineLevel="0" collapsed="false">
      <c r="A763" s="115"/>
      <c r="B763" s="115"/>
      <c r="C763" s="115"/>
      <c r="D763" s="121"/>
      <c r="E763" s="121"/>
      <c r="F763" s="121"/>
      <c r="G763" s="121"/>
      <c r="H763" s="121"/>
      <c r="I763" s="121"/>
      <c r="J763" s="121"/>
      <c r="K763" s="120" t="s">
        <v>16254</v>
      </c>
    </row>
    <row r="764" customFormat="false" ht="14.25" hidden="false" customHeight="true" outlineLevel="0" collapsed="false">
      <c r="A764" s="115"/>
      <c r="B764" s="115"/>
      <c r="C764" s="115"/>
      <c r="D764" s="121" t="s">
        <v>16255</v>
      </c>
      <c r="E764" s="121" t="s">
        <v>16256</v>
      </c>
      <c r="F764" s="121" t="s">
        <v>38</v>
      </c>
      <c r="G764" s="121" t="s">
        <v>16257</v>
      </c>
      <c r="H764" s="121" t="s">
        <v>16258</v>
      </c>
      <c r="I764" s="122" t="s">
        <v>50</v>
      </c>
      <c r="J764" s="121" t="s">
        <v>16259</v>
      </c>
      <c r="K764" s="120" t="s">
        <v>16260</v>
      </c>
    </row>
    <row r="765" customFormat="false" ht="14.25" hidden="false" customHeight="true" outlineLevel="0" collapsed="false">
      <c r="A765" s="115"/>
      <c r="B765" s="115"/>
      <c r="C765" s="115"/>
      <c r="D765" s="115"/>
      <c r="E765" s="115"/>
      <c r="F765" s="115"/>
      <c r="G765" s="121"/>
      <c r="H765" s="121"/>
      <c r="I765" s="121"/>
      <c r="J765" s="121"/>
      <c r="K765" s="120" t="s">
        <v>16261</v>
      </c>
    </row>
    <row r="766" customFormat="false" ht="14.25" hidden="false" customHeight="true" outlineLevel="0" collapsed="false">
      <c r="A766" s="115"/>
      <c r="B766" s="115"/>
      <c r="C766" s="115"/>
      <c r="D766" s="115"/>
      <c r="E766" s="115"/>
      <c r="F766" s="115"/>
      <c r="G766" s="121" t="s">
        <v>16262</v>
      </c>
      <c r="H766" s="121" t="s">
        <v>16263</v>
      </c>
      <c r="I766" s="122" t="s">
        <v>50</v>
      </c>
      <c r="J766" s="121" t="s">
        <v>16264</v>
      </c>
      <c r="K766" s="120" t="s">
        <v>16265</v>
      </c>
    </row>
    <row r="767" customFormat="false" ht="14.25" hidden="false" customHeight="true" outlineLevel="0" collapsed="false">
      <c r="A767" s="115"/>
      <c r="B767" s="115"/>
      <c r="C767" s="115"/>
      <c r="D767" s="121"/>
      <c r="E767" s="121"/>
      <c r="F767" s="121"/>
      <c r="G767" s="121"/>
      <c r="H767" s="121"/>
      <c r="I767" s="121"/>
      <c r="J767" s="121"/>
      <c r="K767" s="120" t="s">
        <v>16266</v>
      </c>
    </row>
    <row r="768" customFormat="false" ht="14.25" hidden="false" customHeight="true" outlineLevel="0" collapsed="false">
      <c r="A768" s="115"/>
      <c r="B768" s="115"/>
      <c r="C768" s="115"/>
      <c r="D768" s="121" t="s">
        <v>16267</v>
      </c>
      <c r="E768" s="121" t="s">
        <v>16268</v>
      </c>
      <c r="F768" s="121" t="s">
        <v>38</v>
      </c>
      <c r="G768" s="121" t="s">
        <v>16269</v>
      </c>
      <c r="H768" s="121" t="s">
        <v>16270</v>
      </c>
      <c r="I768" s="122" t="s">
        <v>50</v>
      </c>
      <c r="J768" s="121" t="s">
        <v>16271</v>
      </c>
      <c r="K768" s="120" t="s">
        <v>16272</v>
      </c>
    </row>
    <row r="769" customFormat="false" ht="14.25" hidden="false" customHeight="true" outlineLevel="0" collapsed="false">
      <c r="A769" s="115"/>
      <c r="B769" s="115"/>
      <c r="C769" s="115"/>
      <c r="D769" s="115"/>
      <c r="E769" s="115"/>
      <c r="F769" s="115"/>
      <c r="G769" s="121"/>
      <c r="H769" s="121"/>
      <c r="I769" s="121"/>
      <c r="J769" s="121"/>
      <c r="K769" s="120" t="s">
        <v>16273</v>
      </c>
    </row>
    <row r="770" customFormat="false" ht="14.25" hidden="false" customHeight="true" outlineLevel="0" collapsed="false">
      <c r="A770" s="115"/>
      <c r="B770" s="115"/>
      <c r="C770" s="115"/>
      <c r="D770" s="115"/>
      <c r="E770" s="115"/>
      <c r="F770" s="115"/>
      <c r="G770" s="121" t="s">
        <v>16274</v>
      </c>
      <c r="H770" s="121" t="s">
        <v>16275</v>
      </c>
      <c r="I770" s="122" t="s">
        <v>50</v>
      </c>
      <c r="J770" s="121" t="s">
        <v>16276</v>
      </c>
      <c r="K770" s="120" t="s">
        <v>16277</v>
      </c>
    </row>
    <row r="771" customFormat="false" ht="14.25" hidden="false" customHeight="true" outlineLevel="0" collapsed="false">
      <c r="A771" s="115"/>
      <c r="B771" s="115"/>
      <c r="C771" s="125"/>
      <c r="D771" s="125"/>
      <c r="E771" s="125"/>
      <c r="F771" s="125"/>
      <c r="G771" s="125"/>
      <c r="H771" s="125"/>
      <c r="I771" s="125"/>
      <c r="J771" s="125"/>
      <c r="K771" s="120" t="s">
        <v>16278</v>
      </c>
    </row>
    <row r="772" customFormat="false" ht="14.25" hidden="false" customHeight="true" outlineLevel="0" collapsed="false">
      <c r="A772" s="115"/>
      <c r="B772" s="115"/>
      <c r="C772" s="125" t="s">
        <v>16279</v>
      </c>
      <c r="D772" s="121" t="s">
        <v>16280</v>
      </c>
      <c r="E772" s="121" t="s">
        <v>16281</v>
      </c>
      <c r="F772" s="121" t="s">
        <v>38</v>
      </c>
      <c r="G772" s="121" t="s">
        <v>16282</v>
      </c>
      <c r="H772" s="121" t="s">
        <v>16283</v>
      </c>
      <c r="I772" s="122" t="s">
        <v>50</v>
      </c>
      <c r="J772" s="121" t="s">
        <v>16284</v>
      </c>
      <c r="K772" s="120" t="s">
        <v>16285</v>
      </c>
    </row>
    <row r="773" customFormat="false" ht="14.25" hidden="false" customHeight="true" outlineLevel="0" collapsed="false">
      <c r="A773" s="115"/>
      <c r="B773" s="115"/>
      <c r="C773" s="115"/>
      <c r="D773" s="115"/>
      <c r="E773" s="115"/>
      <c r="F773" s="115"/>
      <c r="G773" s="121"/>
      <c r="H773" s="121"/>
      <c r="I773" s="121"/>
      <c r="J773" s="121"/>
      <c r="K773" s="120" t="s">
        <v>15707</v>
      </c>
    </row>
    <row r="774" customFormat="false" ht="14.25" hidden="false" customHeight="true" outlineLevel="0" collapsed="false">
      <c r="A774" s="115"/>
      <c r="B774" s="115"/>
      <c r="C774" s="115"/>
      <c r="D774" s="115"/>
      <c r="E774" s="115"/>
      <c r="F774" s="115"/>
      <c r="G774" s="121" t="s">
        <v>6254</v>
      </c>
      <c r="H774" s="121" t="s">
        <v>16286</v>
      </c>
      <c r="I774" s="122" t="s">
        <v>50</v>
      </c>
      <c r="J774" s="128" t="s">
        <v>16287</v>
      </c>
      <c r="K774" s="120" t="s">
        <v>16288</v>
      </c>
    </row>
    <row r="775" customFormat="false" ht="14.25" hidden="false" customHeight="true" outlineLevel="0" collapsed="false">
      <c r="A775" s="115"/>
      <c r="B775" s="115"/>
      <c r="C775" s="115"/>
      <c r="D775" s="121"/>
      <c r="E775" s="121"/>
      <c r="F775" s="121"/>
      <c r="G775" s="121"/>
      <c r="H775" s="121"/>
      <c r="I775" s="121"/>
      <c r="J775" s="128"/>
      <c r="K775" s="120" t="s">
        <v>16289</v>
      </c>
    </row>
    <row r="776" customFormat="false" ht="14.25" hidden="false" customHeight="true" outlineLevel="0" collapsed="false">
      <c r="A776" s="115"/>
      <c r="B776" s="115"/>
      <c r="C776" s="115"/>
      <c r="D776" s="121" t="s">
        <v>16290</v>
      </c>
      <c r="E776" s="121" t="s">
        <v>16291</v>
      </c>
      <c r="F776" s="121" t="s">
        <v>38</v>
      </c>
      <c r="G776" s="121" t="s">
        <v>16292</v>
      </c>
      <c r="H776" s="121" t="s">
        <v>16293</v>
      </c>
      <c r="I776" s="122" t="s">
        <v>50</v>
      </c>
      <c r="J776" s="121" t="s">
        <v>16294</v>
      </c>
      <c r="K776" s="120" t="s">
        <v>16295</v>
      </c>
    </row>
    <row r="777" customFormat="false" ht="14.25" hidden="false" customHeight="true" outlineLevel="0" collapsed="false">
      <c r="A777" s="115"/>
      <c r="B777" s="115"/>
      <c r="C777" s="115"/>
      <c r="D777" s="115"/>
      <c r="E777" s="115"/>
      <c r="F777" s="115"/>
      <c r="G777" s="121"/>
      <c r="H777" s="121"/>
      <c r="I777" s="121"/>
      <c r="J777" s="121"/>
      <c r="K777" s="120" t="s">
        <v>16296</v>
      </c>
    </row>
    <row r="778" customFormat="false" ht="14.25" hidden="false" customHeight="true" outlineLevel="0" collapsed="false">
      <c r="A778" s="115"/>
      <c r="B778" s="115"/>
      <c r="C778" s="115"/>
      <c r="D778" s="115"/>
      <c r="E778" s="115"/>
      <c r="F778" s="115"/>
      <c r="G778" s="121" t="s">
        <v>16297</v>
      </c>
      <c r="H778" s="121" t="s">
        <v>16298</v>
      </c>
      <c r="I778" s="122" t="s">
        <v>50</v>
      </c>
      <c r="J778" s="121" t="s">
        <v>16299</v>
      </c>
      <c r="K778" s="120" t="s">
        <v>16300</v>
      </c>
    </row>
    <row r="779" customFormat="false" ht="14.25" hidden="false" customHeight="true" outlineLevel="0" collapsed="false">
      <c r="A779" s="115"/>
      <c r="B779" s="115"/>
      <c r="C779" s="115"/>
      <c r="D779" s="121"/>
      <c r="E779" s="121"/>
      <c r="F779" s="121"/>
      <c r="G779" s="121"/>
      <c r="H779" s="121"/>
      <c r="I779" s="121"/>
      <c r="J779" s="121"/>
      <c r="K779" s="120" t="s">
        <v>16301</v>
      </c>
    </row>
    <row r="780" customFormat="false" ht="14.25" hidden="false" customHeight="true" outlineLevel="0" collapsed="false">
      <c r="A780" s="115"/>
      <c r="B780" s="115"/>
      <c r="C780" s="115"/>
      <c r="D780" s="121" t="s">
        <v>16302</v>
      </c>
      <c r="E780" s="121" t="s">
        <v>16303</v>
      </c>
      <c r="F780" s="121" t="s">
        <v>38</v>
      </c>
      <c r="G780" s="121" t="s">
        <v>16304</v>
      </c>
      <c r="H780" s="121" t="s">
        <v>16305</v>
      </c>
      <c r="I780" s="122" t="s">
        <v>50</v>
      </c>
      <c r="J780" s="121" t="s">
        <v>12405</v>
      </c>
      <c r="K780" s="120" t="s">
        <v>16306</v>
      </c>
    </row>
    <row r="781" customFormat="false" ht="14.25" hidden="false" customHeight="true" outlineLevel="0" collapsed="false">
      <c r="A781" s="115"/>
      <c r="B781" s="115"/>
      <c r="C781" s="115"/>
      <c r="D781" s="115"/>
      <c r="E781" s="115"/>
      <c r="F781" s="115"/>
      <c r="G781" s="121"/>
      <c r="H781" s="121"/>
      <c r="I781" s="121"/>
      <c r="J781" s="121"/>
      <c r="K781" s="120" t="s">
        <v>15793</v>
      </c>
    </row>
    <row r="782" customFormat="false" ht="14.25" hidden="false" customHeight="true" outlineLevel="0" collapsed="false">
      <c r="A782" s="115"/>
      <c r="B782" s="115"/>
      <c r="C782" s="115"/>
      <c r="D782" s="115"/>
      <c r="E782" s="115"/>
      <c r="F782" s="115"/>
      <c r="G782" s="121" t="s">
        <v>16307</v>
      </c>
      <c r="H782" s="121" t="s">
        <v>16308</v>
      </c>
      <c r="I782" s="122" t="s">
        <v>50</v>
      </c>
      <c r="J782" s="121" t="s">
        <v>16309</v>
      </c>
      <c r="K782" s="120" t="s">
        <v>16310</v>
      </c>
    </row>
    <row r="783" customFormat="false" ht="14.25" hidden="false" customHeight="true" outlineLevel="0" collapsed="false">
      <c r="A783" s="115"/>
      <c r="B783" s="115"/>
      <c r="C783" s="115"/>
      <c r="D783" s="121"/>
      <c r="E783" s="121"/>
      <c r="F783" s="121"/>
      <c r="G783" s="121"/>
      <c r="H783" s="121"/>
      <c r="I783" s="121"/>
      <c r="J783" s="121"/>
      <c r="K783" s="120" t="s">
        <v>16311</v>
      </c>
    </row>
    <row r="784" customFormat="false" ht="14.25" hidden="false" customHeight="true" outlineLevel="0" collapsed="false">
      <c r="A784" s="115"/>
      <c r="B784" s="115"/>
      <c r="C784" s="115"/>
      <c r="D784" s="121" t="s">
        <v>16312</v>
      </c>
      <c r="E784" s="121" t="s">
        <v>16313</v>
      </c>
      <c r="F784" s="121" t="s">
        <v>38</v>
      </c>
      <c r="G784" s="121" t="s">
        <v>16314</v>
      </c>
      <c r="H784" s="121" t="s">
        <v>16315</v>
      </c>
      <c r="I784" s="123" t="s">
        <v>40</v>
      </c>
      <c r="J784" s="121" t="s">
        <v>16316</v>
      </c>
      <c r="K784" s="120" t="s">
        <v>16317</v>
      </c>
    </row>
    <row r="785" customFormat="false" ht="14.25" hidden="false" customHeight="true" outlineLevel="0" collapsed="false">
      <c r="A785" s="115"/>
      <c r="B785" s="115"/>
      <c r="C785" s="115"/>
      <c r="D785" s="115"/>
      <c r="E785" s="115"/>
      <c r="F785" s="115"/>
      <c r="G785" s="121"/>
      <c r="H785" s="121"/>
      <c r="I785" s="121"/>
      <c r="J785" s="121"/>
      <c r="K785" s="120" t="s">
        <v>16318</v>
      </c>
    </row>
    <row r="786" customFormat="false" ht="14.25" hidden="false" customHeight="true" outlineLevel="0" collapsed="false">
      <c r="A786" s="115"/>
      <c r="B786" s="115"/>
      <c r="C786" s="115"/>
      <c r="D786" s="115"/>
      <c r="E786" s="115"/>
      <c r="F786" s="115"/>
      <c r="G786" s="121" t="s">
        <v>16319</v>
      </c>
      <c r="H786" s="121" t="s">
        <v>16320</v>
      </c>
      <c r="I786" s="123" t="s">
        <v>40</v>
      </c>
      <c r="J786" s="121" t="s">
        <v>16321</v>
      </c>
      <c r="K786" s="120" t="s">
        <v>16322</v>
      </c>
    </row>
    <row r="787" customFormat="false" ht="14.25" hidden="false" customHeight="true" outlineLevel="0" collapsed="false">
      <c r="A787" s="115"/>
      <c r="B787" s="115"/>
      <c r="C787" s="115"/>
      <c r="D787" s="121"/>
      <c r="E787" s="121"/>
      <c r="F787" s="121"/>
      <c r="G787" s="121"/>
      <c r="H787" s="121"/>
      <c r="I787" s="121"/>
      <c r="J787" s="121"/>
      <c r="K787" s="120" t="s">
        <v>16323</v>
      </c>
    </row>
    <row r="788" customFormat="false" ht="14.25" hidden="false" customHeight="true" outlineLevel="0" collapsed="false">
      <c r="A788" s="115"/>
      <c r="B788" s="115"/>
      <c r="C788" s="115"/>
      <c r="D788" s="121" t="s">
        <v>16324</v>
      </c>
      <c r="E788" s="121" t="s">
        <v>16325</v>
      </c>
      <c r="F788" s="121" t="s">
        <v>38</v>
      </c>
      <c r="G788" s="121" t="s">
        <v>16326</v>
      </c>
      <c r="H788" s="121" t="s">
        <v>16327</v>
      </c>
      <c r="I788" s="122" t="s">
        <v>50</v>
      </c>
      <c r="J788" s="121" t="s">
        <v>16328</v>
      </c>
      <c r="K788" s="120" t="s">
        <v>16329</v>
      </c>
    </row>
    <row r="789" customFormat="false" ht="14.25" hidden="false" customHeight="true" outlineLevel="0" collapsed="false">
      <c r="A789" s="115"/>
      <c r="B789" s="115"/>
      <c r="C789" s="115"/>
      <c r="D789" s="115"/>
      <c r="E789" s="115"/>
      <c r="F789" s="115"/>
      <c r="G789" s="121"/>
      <c r="H789" s="121"/>
      <c r="I789" s="121"/>
      <c r="J789" s="121"/>
      <c r="K789" s="120" t="s">
        <v>15793</v>
      </c>
    </row>
    <row r="790" customFormat="false" ht="14.25" hidden="false" customHeight="true" outlineLevel="0" collapsed="false">
      <c r="A790" s="115"/>
      <c r="B790" s="115"/>
      <c r="C790" s="115"/>
      <c r="D790" s="115"/>
      <c r="E790" s="115"/>
      <c r="F790" s="115"/>
      <c r="G790" s="121" t="s">
        <v>16330</v>
      </c>
      <c r="H790" s="121" t="s">
        <v>16331</v>
      </c>
      <c r="I790" s="122" t="s">
        <v>50</v>
      </c>
      <c r="J790" s="121" t="s">
        <v>16332</v>
      </c>
      <c r="K790" s="120" t="s">
        <v>16333</v>
      </c>
    </row>
    <row r="791" customFormat="false" ht="14.25" hidden="false" customHeight="true" outlineLevel="0" collapsed="false">
      <c r="A791" s="115"/>
      <c r="B791" s="115"/>
      <c r="C791" s="125"/>
      <c r="D791" s="125"/>
      <c r="E791" s="125"/>
      <c r="F791" s="125"/>
      <c r="G791" s="125"/>
      <c r="H791" s="125"/>
      <c r="I791" s="125"/>
      <c r="J791" s="125"/>
      <c r="K791" s="120" t="s">
        <v>16334</v>
      </c>
    </row>
    <row r="792" customFormat="false" ht="14.25" hidden="false" customHeight="true" outlineLevel="0" collapsed="false">
      <c r="A792" s="115"/>
      <c r="B792" s="115"/>
      <c r="C792" s="125" t="s">
        <v>16335</v>
      </c>
      <c r="D792" s="121" t="s">
        <v>16336</v>
      </c>
      <c r="E792" s="121" t="s">
        <v>16337</v>
      </c>
      <c r="F792" s="121" t="s">
        <v>38</v>
      </c>
      <c r="G792" s="121" t="s">
        <v>16338</v>
      </c>
      <c r="H792" s="121" t="s">
        <v>16339</v>
      </c>
      <c r="I792" s="122" t="s">
        <v>50</v>
      </c>
      <c r="J792" s="121" t="s">
        <v>16340</v>
      </c>
      <c r="K792" s="120" t="s">
        <v>16341</v>
      </c>
    </row>
    <row r="793" customFormat="false" ht="14.25" hidden="false" customHeight="true" outlineLevel="0" collapsed="false">
      <c r="A793" s="115"/>
      <c r="B793" s="115"/>
      <c r="C793" s="115"/>
      <c r="D793" s="115"/>
      <c r="E793" s="115"/>
      <c r="F793" s="115"/>
      <c r="G793" s="121"/>
      <c r="H793" s="121"/>
      <c r="I793" s="121"/>
      <c r="J793" s="121"/>
      <c r="K793" s="120" t="s">
        <v>16342</v>
      </c>
    </row>
    <row r="794" customFormat="false" ht="14.25" hidden="false" customHeight="true" outlineLevel="0" collapsed="false">
      <c r="A794" s="115"/>
      <c r="B794" s="115"/>
      <c r="C794" s="115"/>
      <c r="D794" s="115"/>
      <c r="E794" s="115"/>
      <c r="F794" s="115"/>
      <c r="G794" s="121" t="s">
        <v>16343</v>
      </c>
      <c r="H794" s="121" t="s">
        <v>16344</v>
      </c>
      <c r="I794" s="122" t="s">
        <v>50</v>
      </c>
      <c r="J794" s="121" t="s">
        <v>16345</v>
      </c>
      <c r="K794" s="120" t="s">
        <v>16346</v>
      </c>
    </row>
    <row r="795" customFormat="false" ht="14.25" hidden="false" customHeight="true" outlineLevel="0" collapsed="false">
      <c r="A795" s="115"/>
      <c r="B795" s="115"/>
      <c r="C795" s="115"/>
      <c r="D795" s="121"/>
      <c r="E795" s="121"/>
      <c r="F795" s="121"/>
      <c r="G795" s="121"/>
      <c r="H795" s="121"/>
      <c r="I795" s="121"/>
      <c r="J795" s="121"/>
      <c r="K795" s="120" t="s">
        <v>16347</v>
      </c>
    </row>
    <row r="796" customFormat="false" ht="14.25" hidden="false" customHeight="true" outlineLevel="0" collapsed="false">
      <c r="A796" s="115"/>
      <c r="B796" s="115"/>
      <c r="C796" s="115"/>
      <c r="D796" s="121" t="s">
        <v>16348</v>
      </c>
      <c r="E796" s="121" t="s">
        <v>16349</v>
      </c>
      <c r="F796" s="121" t="s">
        <v>38</v>
      </c>
      <c r="G796" s="121" t="s">
        <v>16350</v>
      </c>
      <c r="H796" s="121" t="s">
        <v>16351</v>
      </c>
      <c r="I796" s="122" t="s">
        <v>50</v>
      </c>
      <c r="J796" s="121" t="s">
        <v>16352</v>
      </c>
      <c r="K796" s="120" t="s">
        <v>16353</v>
      </c>
    </row>
    <row r="797" customFormat="false" ht="14.25" hidden="false" customHeight="true" outlineLevel="0" collapsed="false">
      <c r="A797" s="115"/>
      <c r="B797" s="115"/>
      <c r="C797" s="115"/>
      <c r="D797" s="115"/>
      <c r="E797" s="115"/>
      <c r="F797" s="115"/>
      <c r="G797" s="121"/>
      <c r="H797" s="121"/>
      <c r="I797" s="121"/>
      <c r="J797" s="121"/>
      <c r="K797" s="120" t="s">
        <v>16354</v>
      </c>
    </row>
    <row r="798" customFormat="false" ht="14.25" hidden="false" customHeight="true" outlineLevel="0" collapsed="false">
      <c r="A798" s="115"/>
      <c r="B798" s="115"/>
      <c r="C798" s="115"/>
      <c r="D798" s="115"/>
      <c r="E798" s="115"/>
      <c r="F798" s="115"/>
      <c r="G798" s="121" t="s">
        <v>16355</v>
      </c>
      <c r="H798" s="121" t="s">
        <v>16356</v>
      </c>
      <c r="I798" s="122" t="s">
        <v>50</v>
      </c>
      <c r="J798" s="121" t="s">
        <v>16357</v>
      </c>
      <c r="K798" s="120" t="s">
        <v>16358</v>
      </c>
    </row>
    <row r="799" customFormat="false" ht="14.25" hidden="false" customHeight="true" outlineLevel="0" collapsed="false">
      <c r="A799" s="115"/>
      <c r="B799" s="115"/>
      <c r="C799" s="115"/>
      <c r="D799" s="121"/>
      <c r="E799" s="121"/>
      <c r="F799" s="121"/>
      <c r="G799" s="121"/>
      <c r="H799" s="121"/>
      <c r="I799" s="121"/>
      <c r="J799" s="121"/>
      <c r="K799" s="120" t="s">
        <v>16359</v>
      </c>
    </row>
    <row r="800" customFormat="false" ht="14.25" hidden="false" customHeight="true" outlineLevel="0" collapsed="false">
      <c r="A800" s="115"/>
      <c r="B800" s="115"/>
      <c r="C800" s="115"/>
      <c r="D800" s="121" t="s">
        <v>16360</v>
      </c>
      <c r="E800" s="121" t="s">
        <v>16361</v>
      </c>
      <c r="F800" s="121" t="s">
        <v>38</v>
      </c>
      <c r="G800" s="121" t="s">
        <v>16362</v>
      </c>
      <c r="H800" s="121" t="s">
        <v>16363</v>
      </c>
      <c r="I800" s="122" t="s">
        <v>50</v>
      </c>
      <c r="J800" s="121" t="s">
        <v>16364</v>
      </c>
      <c r="K800" s="120" t="s">
        <v>16365</v>
      </c>
    </row>
    <row r="801" customFormat="false" ht="14.25" hidden="false" customHeight="true" outlineLevel="0" collapsed="false">
      <c r="A801" s="115"/>
      <c r="B801" s="115"/>
      <c r="C801" s="115"/>
      <c r="D801" s="115"/>
      <c r="E801" s="115"/>
      <c r="F801" s="115"/>
      <c r="G801" s="121"/>
      <c r="H801" s="121"/>
      <c r="I801" s="121"/>
      <c r="J801" s="121"/>
      <c r="K801" s="120" t="s">
        <v>16366</v>
      </c>
    </row>
    <row r="802" customFormat="false" ht="14.25" hidden="false" customHeight="true" outlineLevel="0" collapsed="false">
      <c r="A802" s="115"/>
      <c r="B802" s="115"/>
      <c r="C802" s="115"/>
      <c r="D802" s="115"/>
      <c r="E802" s="115"/>
      <c r="F802" s="115"/>
      <c r="G802" s="121" t="s">
        <v>16367</v>
      </c>
      <c r="H802" s="121" t="s">
        <v>16368</v>
      </c>
      <c r="I802" s="122" t="s">
        <v>50</v>
      </c>
      <c r="J802" s="121" t="s">
        <v>16369</v>
      </c>
      <c r="K802" s="120" t="s">
        <v>16370</v>
      </c>
    </row>
    <row r="803" customFormat="false" ht="14.25" hidden="false" customHeight="true" outlineLevel="0" collapsed="false">
      <c r="A803" s="115"/>
      <c r="B803" s="115"/>
      <c r="C803" s="115"/>
      <c r="D803" s="121"/>
      <c r="E803" s="121"/>
      <c r="F803" s="121"/>
      <c r="G803" s="121"/>
      <c r="H803" s="121"/>
      <c r="I803" s="121"/>
      <c r="J803" s="121"/>
      <c r="K803" s="120" t="s">
        <v>16371</v>
      </c>
    </row>
    <row r="804" customFormat="false" ht="14.25" hidden="false" customHeight="true" outlineLevel="0" collapsed="false">
      <c r="A804" s="115"/>
      <c r="B804" s="115"/>
      <c r="C804" s="115"/>
      <c r="D804" s="121" t="s">
        <v>16372</v>
      </c>
      <c r="E804" s="121" t="s">
        <v>16373</v>
      </c>
      <c r="F804" s="121" t="s">
        <v>48</v>
      </c>
      <c r="G804" s="121" t="s">
        <v>16374</v>
      </c>
      <c r="H804" s="121" t="s">
        <v>16375</v>
      </c>
      <c r="I804" s="122" t="s">
        <v>50</v>
      </c>
      <c r="J804" s="121" t="s">
        <v>16376</v>
      </c>
      <c r="K804" s="120" t="s">
        <v>16377</v>
      </c>
    </row>
    <row r="805" customFormat="false" ht="14.25" hidden="false" customHeight="true" outlineLevel="0" collapsed="false">
      <c r="A805" s="115"/>
      <c r="B805" s="115"/>
      <c r="C805" s="115"/>
      <c r="D805" s="115"/>
      <c r="E805" s="115"/>
      <c r="F805" s="115"/>
      <c r="G805" s="121"/>
      <c r="H805" s="121"/>
      <c r="I805" s="121"/>
      <c r="J805" s="121"/>
      <c r="K805" s="120" t="s">
        <v>16378</v>
      </c>
    </row>
    <row r="806" customFormat="false" ht="14.25" hidden="false" customHeight="true" outlineLevel="0" collapsed="false">
      <c r="A806" s="115"/>
      <c r="B806" s="115"/>
      <c r="C806" s="115"/>
      <c r="D806" s="115"/>
      <c r="E806" s="115"/>
      <c r="F806" s="115"/>
      <c r="G806" s="121" t="s">
        <v>16379</v>
      </c>
      <c r="H806" s="121" t="s">
        <v>16380</v>
      </c>
      <c r="I806" s="122" t="s">
        <v>50</v>
      </c>
      <c r="J806" s="121" t="s">
        <v>15481</v>
      </c>
      <c r="K806" s="120" t="s">
        <v>16381</v>
      </c>
    </row>
    <row r="807" customFormat="false" ht="14.25" hidden="false" customHeight="true" outlineLevel="0" collapsed="false">
      <c r="A807" s="115"/>
      <c r="B807" s="115"/>
      <c r="C807" s="115"/>
      <c r="D807" s="121"/>
      <c r="E807" s="121"/>
      <c r="F807" s="121"/>
      <c r="G807" s="121"/>
      <c r="H807" s="121"/>
      <c r="I807" s="121"/>
      <c r="J807" s="121"/>
      <c r="K807" s="120" t="s">
        <v>16382</v>
      </c>
    </row>
    <row r="808" customFormat="false" ht="14.25" hidden="false" customHeight="true" outlineLevel="0" collapsed="false">
      <c r="A808" s="115"/>
      <c r="B808" s="115"/>
      <c r="C808" s="115"/>
      <c r="D808" s="121" t="s">
        <v>16383</v>
      </c>
      <c r="E808" s="121" t="s">
        <v>16384</v>
      </c>
      <c r="F808" s="121" t="s">
        <v>48</v>
      </c>
      <c r="G808" s="121" t="s">
        <v>16385</v>
      </c>
      <c r="H808" s="121" t="s">
        <v>16386</v>
      </c>
      <c r="I808" s="122" t="s">
        <v>50</v>
      </c>
      <c r="J808" s="121" t="s">
        <v>16387</v>
      </c>
      <c r="K808" s="120" t="s">
        <v>16388</v>
      </c>
    </row>
    <row r="809" customFormat="false" ht="14.25" hidden="false" customHeight="true" outlineLevel="0" collapsed="false">
      <c r="A809" s="115"/>
      <c r="B809" s="115"/>
      <c r="C809" s="115"/>
      <c r="D809" s="115"/>
      <c r="E809" s="115"/>
      <c r="F809" s="115"/>
      <c r="G809" s="121"/>
      <c r="H809" s="121"/>
      <c r="I809" s="121"/>
      <c r="J809" s="121"/>
      <c r="K809" s="120" t="s">
        <v>16389</v>
      </c>
    </row>
    <row r="810" customFormat="false" ht="14.25" hidden="false" customHeight="true" outlineLevel="0" collapsed="false">
      <c r="A810" s="115"/>
      <c r="B810" s="115"/>
      <c r="C810" s="115"/>
      <c r="D810" s="115"/>
      <c r="E810" s="115"/>
      <c r="F810" s="115"/>
      <c r="G810" s="121" t="s">
        <v>16390</v>
      </c>
      <c r="H810" s="121" t="s">
        <v>16391</v>
      </c>
      <c r="I810" s="122" t="s">
        <v>50</v>
      </c>
      <c r="J810" s="121" t="s">
        <v>16392</v>
      </c>
      <c r="K810" s="120" t="s">
        <v>16393</v>
      </c>
    </row>
    <row r="811" customFormat="false" ht="14.25" hidden="false" customHeight="true" outlineLevel="0" collapsed="false">
      <c r="A811" s="115"/>
      <c r="B811" s="115"/>
      <c r="C811" s="125"/>
      <c r="D811" s="125"/>
      <c r="E811" s="125"/>
      <c r="F811" s="125"/>
      <c r="G811" s="125"/>
      <c r="H811" s="125"/>
      <c r="I811" s="125"/>
      <c r="J811" s="125"/>
      <c r="K811" s="120" t="s">
        <v>16394</v>
      </c>
    </row>
    <row r="812" customFormat="false" ht="14.25" hidden="false" customHeight="true" outlineLevel="0" collapsed="false">
      <c r="A812" s="115"/>
      <c r="B812" s="115"/>
      <c r="C812" s="125" t="s">
        <v>16395</v>
      </c>
      <c r="D812" s="121" t="s">
        <v>16396</v>
      </c>
      <c r="E812" s="121" t="s">
        <v>16397</v>
      </c>
      <c r="F812" s="121" t="s">
        <v>48</v>
      </c>
      <c r="G812" s="121" t="s">
        <v>16398</v>
      </c>
      <c r="H812" s="121" t="s">
        <v>16399</v>
      </c>
      <c r="I812" s="122" t="s">
        <v>50</v>
      </c>
      <c r="J812" s="121" t="s">
        <v>16400</v>
      </c>
      <c r="K812" s="120" t="s">
        <v>16401</v>
      </c>
    </row>
    <row r="813" customFormat="false" ht="14.25" hidden="false" customHeight="true" outlineLevel="0" collapsed="false">
      <c r="A813" s="115"/>
      <c r="B813" s="115"/>
      <c r="C813" s="115"/>
      <c r="D813" s="115"/>
      <c r="E813" s="115"/>
      <c r="F813" s="115"/>
      <c r="G813" s="121"/>
      <c r="H813" s="121"/>
      <c r="I813" s="121"/>
      <c r="J813" s="121"/>
      <c r="K813" s="120" t="s">
        <v>16402</v>
      </c>
    </row>
    <row r="814" customFormat="false" ht="14.25" hidden="false" customHeight="true" outlineLevel="0" collapsed="false">
      <c r="A814" s="115"/>
      <c r="B814" s="115"/>
      <c r="C814" s="115"/>
      <c r="D814" s="115"/>
      <c r="E814" s="115"/>
      <c r="F814" s="115"/>
      <c r="G814" s="121" t="s">
        <v>16403</v>
      </c>
      <c r="H814" s="121" t="s">
        <v>16404</v>
      </c>
      <c r="I814" s="122" t="s">
        <v>50</v>
      </c>
      <c r="J814" s="121" t="s">
        <v>16405</v>
      </c>
      <c r="K814" s="120" t="s">
        <v>16406</v>
      </c>
    </row>
    <row r="815" customFormat="false" ht="14.25" hidden="false" customHeight="true" outlineLevel="0" collapsed="false">
      <c r="A815" s="115"/>
      <c r="B815" s="115"/>
      <c r="C815" s="115"/>
      <c r="D815" s="121"/>
      <c r="E815" s="121"/>
      <c r="F815" s="121"/>
      <c r="G815" s="121"/>
      <c r="H815" s="121"/>
      <c r="I815" s="121"/>
      <c r="J815" s="121"/>
      <c r="K815" s="120" t="s">
        <v>16407</v>
      </c>
    </row>
    <row r="816" customFormat="false" ht="14.25" hidden="false" customHeight="true" outlineLevel="0" collapsed="false">
      <c r="A816" s="115"/>
      <c r="B816" s="115"/>
      <c r="C816" s="115"/>
      <c r="D816" s="121" t="s">
        <v>16408</v>
      </c>
      <c r="E816" s="121" t="s">
        <v>16409</v>
      </c>
      <c r="F816" s="121" t="s">
        <v>48</v>
      </c>
      <c r="G816" s="121" t="s">
        <v>16410</v>
      </c>
      <c r="H816" s="121" t="s">
        <v>16411</v>
      </c>
      <c r="I816" s="123" t="s">
        <v>40</v>
      </c>
      <c r="J816" s="121" t="s">
        <v>16412</v>
      </c>
      <c r="K816" s="120" t="s">
        <v>16413</v>
      </c>
    </row>
    <row r="817" customFormat="false" ht="14.25" hidden="false" customHeight="true" outlineLevel="0" collapsed="false">
      <c r="A817" s="115"/>
      <c r="B817" s="115"/>
      <c r="C817" s="115"/>
      <c r="D817" s="115"/>
      <c r="E817" s="115"/>
      <c r="F817" s="115"/>
      <c r="G817" s="121"/>
      <c r="H817" s="121"/>
      <c r="I817" s="121"/>
      <c r="J817" s="121"/>
      <c r="K817" s="120" t="s">
        <v>16414</v>
      </c>
    </row>
    <row r="818" customFormat="false" ht="14.25" hidden="false" customHeight="true" outlineLevel="0" collapsed="false">
      <c r="A818" s="115"/>
      <c r="B818" s="115"/>
      <c r="C818" s="115"/>
      <c r="D818" s="115"/>
      <c r="E818" s="115"/>
      <c r="F818" s="115"/>
      <c r="G818" s="121" t="s">
        <v>16415</v>
      </c>
      <c r="H818" s="121" t="s">
        <v>16416</v>
      </c>
      <c r="I818" s="123" t="s">
        <v>40</v>
      </c>
      <c r="J818" s="121" t="s">
        <v>16417</v>
      </c>
      <c r="K818" s="120" t="s">
        <v>16418</v>
      </c>
    </row>
    <row r="819" customFormat="false" ht="14.25" hidden="false" customHeight="true" outlineLevel="0" collapsed="false">
      <c r="A819" s="115"/>
      <c r="B819" s="115"/>
      <c r="C819" s="115"/>
      <c r="D819" s="121"/>
      <c r="E819" s="121"/>
      <c r="F819" s="121"/>
      <c r="G819" s="121"/>
      <c r="H819" s="121"/>
      <c r="I819" s="121"/>
      <c r="J819" s="121"/>
      <c r="K819" s="120" t="s">
        <v>16419</v>
      </c>
    </row>
    <row r="820" customFormat="false" ht="14.25" hidden="false" customHeight="true" outlineLevel="0" collapsed="false">
      <c r="A820" s="115"/>
      <c r="B820" s="115"/>
      <c r="C820" s="115"/>
      <c r="D820" s="121" t="s">
        <v>16420</v>
      </c>
      <c r="E820" s="121" t="s">
        <v>16421</v>
      </c>
      <c r="F820" s="121" t="s">
        <v>48</v>
      </c>
      <c r="G820" s="121" t="s">
        <v>16422</v>
      </c>
      <c r="H820" s="121" t="s">
        <v>16423</v>
      </c>
      <c r="I820" s="123" t="s">
        <v>40</v>
      </c>
      <c r="J820" s="121" t="s">
        <v>16424</v>
      </c>
      <c r="K820" s="120" t="s">
        <v>16425</v>
      </c>
    </row>
    <row r="821" customFormat="false" ht="14.25" hidden="false" customHeight="true" outlineLevel="0" collapsed="false">
      <c r="A821" s="115"/>
      <c r="B821" s="115"/>
      <c r="C821" s="115"/>
      <c r="D821" s="115"/>
      <c r="E821" s="115"/>
      <c r="F821" s="115"/>
      <c r="G821" s="121"/>
      <c r="H821" s="121"/>
      <c r="I821" s="121"/>
      <c r="J821" s="121"/>
      <c r="K821" s="120" t="s">
        <v>16426</v>
      </c>
    </row>
    <row r="822" customFormat="false" ht="14.25" hidden="false" customHeight="true" outlineLevel="0" collapsed="false">
      <c r="A822" s="115"/>
      <c r="B822" s="115"/>
      <c r="C822" s="115"/>
      <c r="D822" s="115"/>
      <c r="E822" s="115"/>
      <c r="F822" s="115"/>
      <c r="G822" s="121" t="s">
        <v>16427</v>
      </c>
      <c r="H822" s="121" t="s">
        <v>16428</v>
      </c>
      <c r="I822" s="122" t="s">
        <v>50</v>
      </c>
      <c r="J822" s="121" t="s">
        <v>16429</v>
      </c>
      <c r="K822" s="120" t="s">
        <v>16430</v>
      </c>
    </row>
    <row r="823" customFormat="false" ht="14.25" hidden="false" customHeight="true" outlineLevel="0" collapsed="false">
      <c r="A823" s="115"/>
      <c r="B823" s="115"/>
      <c r="C823" s="115"/>
      <c r="D823" s="121"/>
      <c r="E823" s="121"/>
      <c r="F823" s="121"/>
      <c r="G823" s="121"/>
      <c r="H823" s="121"/>
      <c r="I823" s="121"/>
      <c r="J823" s="121"/>
      <c r="K823" s="120" t="s">
        <v>16431</v>
      </c>
    </row>
    <row r="824" customFormat="false" ht="14.25" hidden="false" customHeight="true" outlineLevel="0" collapsed="false">
      <c r="A824" s="115"/>
      <c r="B824" s="115"/>
      <c r="C824" s="115"/>
      <c r="D824" s="121" t="s">
        <v>16432</v>
      </c>
      <c r="E824" s="121" t="s">
        <v>16433</v>
      </c>
      <c r="F824" s="121" t="s">
        <v>48</v>
      </c>
      <c r="G824" s="121" t="s">
        <v>16434</v>
      </c>
      <c r="H824" s="121" t="s">
        <v>16435</v>
      </c>
      <c r="I824" s="122" t="s">
        <v>50</v>
      </c>
      <c r="J824" s="121" t="s">
        <v>16436</v>
      </c>
      <c r="K824" s="120" t="s">
        <v>16437</v>
      </c>
    </row>
    <row r="825" customFormat="false" ht="14.25" hidden="false" customHeight="true" outlineLevel="0" collapsed="false">
      <c r="A825" s="115"/>
      <c r="B825" s="115"/>
      <c r="C825" s="115"/>
      <c r="D825" s="115"/>
      <c r="E825" s="115"/>
      <c r="F825" s="115"/>
      <c r="G825" s="121"/>
      <c r="H825" s="121"/>
      <c r="I825" s="121"/>
      <c r="J825" s="121"/>
      <c r="K825" s="120" t="s">
        <v>16438</v>
      </c>
    </row>
    <row r="826" customFormat="false" ht="14.25" hidden="false" customHeight="true" outlineLevel="0" collapsed="false">
      <c r="A826" s="115"/>
      <c r="B826" s="115"/>
      <c r="C826" s="115"/>
      <c r="D826" s="115"/>
      <c r="E826" s="115"/>
      <c r="F826" s="115"/>
      <c r="G826" s="121" t="s">
        <v>16439</v>
      </c>
      <c r="H826" s="121" t="s">
        <v>16440</v>
      </c>
      <c r="I826" s="122" t="s">
        <v>50</v>
      </c>
      <c r="J826" s="121" t="s">
        <v>16441</v>
      </c>
      <c r="K826" s="120" t="s">
        <v>16442</v>
      </c>
    </row>
    <row r="827" customFormat="false" ht="14.25" hidden="false" customHeight="true" outlineLevel="0" collapsed="false">
      <c r="A827" s="115"/>
      <c r="B827" s="115"/>
      <c r="C827" s="115"/>
      <c r="D827" s="121"/>
      <c r="E827" s="121"/>
      <c r="F827" s="121"/>
      <c r="G827" s="121"/>
      <c r="H827" s="121"/>
      <c r="I827" s="121"/>
      <c r="J827" s="121"/>
      <c r="K827" s="120" t="s">
        <v>16443</v>
      </c>
    </row>
    <row r="828" customFormat="false" ht="14.25" hidden="false" customHeight="true" outlineLevel="0" collapsed="false">
      <c r="A828" s="115"/>
      <c r="B828" s="115"/>
      <c r="C828" s="115"/>
      <c r="D828" s="121" t="s">
        <v>16444</v>
      </c>
      <c r="E828" s="121" t="s">
        <v>16445</v>
      </c>
      <c r="F828" s="121" t="s">
        <v>48</v>
      </c>
      <c r="G828" s="121" t="s">
        <v>3513</v>
      </c>
      <c r="H828" s="121" t="s">
        <v>16446</v>
      </c>
      <c r="I828" s="122" t="s">
        <v>50</v>
      </c>
      <c r="J828" s="121" t="s">
        <v>16447</v>
      </c>
      <c r="K828" s="120" t="s">
        <v>16448</v>
      </c>
    </row>
    <row r="829" customFormat="false" ht="14.25" hidden="false" customHeight="true" outlineLevel="0" collapsed="false">
      <c r="A829" s="115"/>
      <c r="B829" s="115"/>
      <c r="C829" s="115"/>
      <c r="D829" s="115"/>
      <c r="E829" s="115"/>
      <c r="F829" s="115"/>
      <c r="G829" s="121"/>
      <c r="H829" s="121"/>
      <c r="I829" s="121"/>
      <c r="J829" s="121"/>
      <c r="K829" s="120" t="s">
        <v>16449</v>
      </c>
    </row>
    <row r="830" customFormat="false" ht="14.25" hidden="false" customHeight="true" outlineLevel="0" collapsed="false">
      <c r="A830" s="115"/>
      <c r="B830" s="115"/>
      <c r="C830" s="115"/>
      <c r="D830" s="115"/>
      <c r="E830" s="115"/>
      <c r="F830" s="115"/>
      <c r="G830" s="121" t="s">
        <v>16450</v>
      </c>
      <c r="H830" s="121" t="s">
        <v>16451</v>
      </c>
      <c r="I830" s="123" t="s">
        <v>40</v>
      </c>
      <c r="J830" s="121" t="s">
        <v>16452</v>
      </c>
      <c r="K830" s="120" t="s">
        <v>16453</v>
      </c>
    </row>
    <row r="831" customFormat="false" ht="14.25" hidden="false" customHeight="true" outlineLevel="0" collapsed="false">
      <c r="A831" s="115"/>
      <c r="B831" s="115"/>
      <c r="C831" s="115"/>
      <c r="D831" s="115"/>
      <c r="E831" s="115"/>
      <c r="F831" s="115"/>
      <c r="G831" s="115"/>
      <c r="H831" s="115"/>
      <c r="I831" s="115"/>
      <c r="J831" s="115"/>
      <c r="K831" s="120" t="s">
        <v>16454</v>
      </c>
    </row>
    <row r="832" customFormat="false" ht="14.25" hidden="false" customHeight="true" outlineLevel="0" collapsed="false">
      <c r="A832" s="115" t="s">
        <v>16455</v>
      </c>
      <c r="B832" s="115" t="s">
        <v>16456</v>
      </c>
      <c r="C832" s="129" t="s">
        <v>16457</v>
      </c>
      <c r="D832" s="121" t="s">
        <v>16458</v>
      </c>
      <c r="E832" s="121" t="s">
        <v>16459</v>
      </c>
      <c r="F832" s="121" t="s">
        <v>48</v>
      </c>
      <c r="G832" s="121" t="s">
        <v>16460</v>
      </c>
      <c r="H832" s="121" t="s">
        <v>16461</v>
      </c>
      <c r="I832" s="123" t="s">
        <v>40</v>
      </c>
      <c r="J832" s="121" t="s">
        <v>16462</v>
      </c>
      <c r="K832" s="120" t="s">
        <v>16463</v>
      </c>
    </row>
    <row r="833" customFormat="false" ht="14.25" hidden="false" customHeight="true" outlineLevel="0" collapsed="false">
      <c r="A833" s="115"/>
      <c r="B833" s="115"/>
      <c r="C833" s="115"/>
      <c r="D833" s="115"/>
      <c r="E833" s="115"/>
      <c r="F833" s="115"/>
      <c r="G833" s="121"/>
      <c r="H833" s="121"/>
      <c r="I833" s="121"/>
      <c r="J833" s="121"/>
      <c r="K833" s="120" t="s">
        <v>16464</v>
      </c>
    </row>
    <row r="834" customFormat="false" ht="14.25" hidden="false" customHeight="true" outlineLevel="0" collapsed="false">
      <c r="A834" s="115"/>
      <c r="B834" s="115"/>
      <c r="C834" s="115"/>
      <c r="D834" s="115"/>
      <c r="E834" s="115"/>
      <c r="F834" s="115"/>
      <c r="G834" s="121" t="s">
        <v>16465</v>
      </c>
      <c r="H834" s="121" t="s">
        <v>16466</v>
      </c>
      <c r="I834" s="122" t="s">
        <v>50</v>
      </c>
      <c r="J834" s="121" t="s">
        <v>16467</v>
      </c>
      <c r="K834" s="120" t="s">
        <v>16468</v>
      </c>
    </row>
    <row r="835" customFormat="false" ht="14.25" hidden="false" customHeight="true" outlineLevel="0" collapsed="false">
      <c r="A835" s="115"/>
      <c r="B835" s="115"/>
      <c r="C835" s="115"/>
      <c r="D835" s="121"/>
      <c r="E835" s="121"/>
      <c r="F835" s="121"/>
      <c r="G835" s="121"/>
      <c r="H835" s="121"/>
      <c r="I835" s="121"/>
      <c r="J835" s="121"/>
      <c r="K835" s="120" t="s">
        <v>16469</v>
      </c>
    </row>
    <row r="836" customFormat="false" ht="14.25" hidden="false" customHeight="true" outlineLevel="0" collapsed="false">
      <c r="A836" s="115"/>
      <c r="B836" s="115"/>
      <c r="C836" s="115"/>
      <c r="D836" s="121" t="s">
        <v>16470</v>
      </c>
      <c r="E836" s="121" t="s">
        <v>16471</v>
      </c>
      <c r="F836" s="121" t="s">
        <v>48</v>
      </c>
      <c r="G836" s="121" t="s">
        <v>16472</v>
      </c>
      <c r="H836" s="121" t="s">
        <v>16473</v>
      </c>
      <c r="I836" s="122" t="s">
        <v>50</v>
      </c>
      <c r="J836" s="121" t="s">
        <v>16474</v>
      </c>
      <c r="K836" s="120" t="s">
        <v>16475</v>
      </c>
    </row>
    <row r="837" customFormat="false" ht="14.25" hidden="false" customHeight="true" outlineLevel="0" collapsed="false">
      <c r="A837" s="115"/>
      <c r="B837" s="115"/>
      <c r="C837" s="115"/>
      <c r="D837" s="115"/>
      <c r="E837" s="115"/>
      <c r="F837" s="115"/>
      <c r="G837" s="121"/>
      <c r="H837" s="121"/>
      <c r="I837" s="121"/>
      <c r="J837" s="121"/>
      <c r="K837" s="120" t="s">
        <v>16476</v>
      </c>
    </row>
    <row r="838" customFormat="false" ht="14.25" hidden="false" customHeight="true" outlineLevel="0" collapsed="false">
      <c r="A838" s="115"/>
      <c r="B838" s="115"/>
      <c r="C838" s="115"/>
      <c r="D838" s="115"/>
      <c r="E838" s="115"/>
      <c r="F838" s="115"/>
      <c r="G838" s="121" t="s">
        <v>16477</v>
      </c>
      <c r="H838" s="121" t="s">
        <v>16478</v>
      </c>
      <c r="I838" s="122" t="s">
        <v>50</v>
      </c>
      <c r="J838" s="121" t="s">
        <v>16479</v>
      </c>
      <c r="K838" s="120" t="s">
        <v>16480</v>
      </c>
    </row>
    <row r="839" customFormat="false" ht="14.25" hidden="false" customHeight="true" outlineLevel="0" collapsed="false">
      <c r="A839" s="115"/>
      <c r="B839" s="115"/>
      <c r="C839" s="115"/>
      <c r="D839" s="121"/>
      <c r="E839" s="121"/>
      <c r="F839" s="121"/>
      <c r="G839" s="121"/>
      <c r="H839" s="121"/>
      <c r="I839" s="121"/>
      <c r="J839" s="121"/>
      <c r="K839" s="120" t="s">
        <v>16481</v>
      </c>
    </row>
    <row r="840" customFormat="false" ht="14.25" hidden="false" customHeight="true" outlineLevel="0" collapsed="false">
      <c r="A840" s="115"/>
      <c r="B840" s="115"/>
      <c r="C840" s="115"/>
      <c r="D840" s="121" t="s">
        <v>16482</v>
      </c>
      <c r="E840" s="121" t="s">
        <v>16483</v>
      </c>
      <c r="F840" s="121" t="s">
        <v>48</v>
      </c>
      <c r="G840" s="121" t="s">
        <v>16484</v>
      </c>
      <c r="H840" s="121" t="s">
        <v>16485</v>
      </c>
      <c r="I840" s="122" t="s">
        <v>50</v>
      </c>
      <c r="J840" s="121" t="s">
        <v>16486</v>
      </c>
      <c r="K840" s="120" t="s">
        <v>16487</v>
      </c>
    </row>
    <row r="841" customFormat="false" ht="14.25" hidden="false" customHeight="true" outlineLevel="0" collapsed="false">
      <c r="A841" s="115"/>
      <c r="B841" s="115"/>
      <c r="C841" s="115"/>
      <c r="D841" s="115"/>
      <c r="E841" s="115"/>
      <c r="F841" s="115"/>
      <c r="G841" s="121"/>
      <c r="H841" s="121"/>
      <c r="I841" s="121"/>
      <c r="J841" s="121"/>
      <c r="K841" s="120" t="s">
        <v>16024</v>
      </c>
    </row>
    <row r="842" customFormat="false" ht="14.25" hidden="false" customHeight="true" outlineLevel="0" collapsed="false">
      <c r="A842" s="115"/>
      <c r="B842" s="115"/>
      <c r="C842" s="115"/>
      <c r="D842" s="115"/>
      <c r="E842" s="115"/>
      <c r="F842" s="115"/>
      <c r="G842" s="121" t="s">
        <v>16488</v>
      </c>
      <c r="H842" s="121" t="s">
        <v>16489</v>
      </c>
      <c r="I842" s="122" t="s">
        <v>50</v>
      </c>
      <c r="J842" s="121" t="s">
        <v>16490</v>
      </c>
      <c r="K842" s="120" t="s">
        <v>16491</v>
      </c>
    </row>
    <row r="843" customFormat="false" ht="14.25" hidden="false" customHeight="true" outlineLevel="0" collapsed="false">
      <c r="A843" s="115"/>
      <c r="B843" s="115"/>
      <c r="C843" s="115"/>
      <c r="D843" s="121"/>
      <c r="E843" s="121"/>
      <c r="F843" s="121"/>
      <c r="G843" s="121"/>
      <c r="H843" s="121"/>
      <c r="I843" s="121"/>
      <c r="J843" s="121"/>
      <c r="K843" s="120" t="s">
        <v>16492</v>
      </c>
    </row>
    <row r="844" customFormat="false" ht="14.25" hidden="false" customHeight="true" outlineLevel="0" collapsed="false">
      <c r="A844" s="115"/>
      <c r="B844" s="115"/>
      <c r="C844" s="115"/>
      <c r="D844" s="121" t="s">
        <v>16493</v>
      </c>
      <c r="E844" s="121" t="s">
        <v>16494</v>
      </c>
      <c r="F844" s="121" t="s">
        <v>48</v>
      </c>
      <c r="G844" s="121" t="s">
        <v>16495</v>
      </c>
      <c r="H844" s="121" t="s">
        <v>16496</v>
      </c>
      <c r="I844" s="122" t="s">
        <v>50</v>
      </c>
      <c r="J844" s="121" t="s">
        <v>16497</v>
      </c>
      <c r="K844" s="120" t="s">
        <v>16498</v>
      </c>
    </row>
    <row r="845" customFormat="false" ht="14.25" hidden="false" customHeight="true" outlineLevel="0" collapsed="false">
      <c r="A845" s="115"/>
      <c r="B845" s="115"/>
      <c r="C845" s="115"/>
      <c r="D845" s="115"/>
      <c r="E845" s="115"/>
      <c r="F845" s="115"/>
      <c r="G845" s="121"/>
      <c r="H845" s="121"/>
      <c r="I845" s="121"/>
      <c r="J845" s="121"/>
      <c r="K845" s="120" t="s">
        <v>16499</v>
      </c>
    </row>
    <row r="846" customFormat="false" ht="14.25" hidden="false" customHeight="true" outlineLevel="0" collapsed="false">
      <c r="A846" s="115"/>
      <c r="B846" s="115"/>
      <c r="C846" s="115"/>
      <c r="D846" s="115"/>
      <c r="E846" s="115"/>
      <c r="F846" s="115"/>
      <c r="G846" s="121" t="s">
        <v>16500</v>
      </c>
      <c r="H846" s="121" t="s">
        <v>16501</v>
      </c>
      <c r="I846" s="122" t="s">
        <v>50</v>
      </c>
      <c r="J846" s="121" t="s">
        <v>16502</v>
      </c>
      <c r="K846" s="120" t="s">
        <v>16503</v>
      </c>
    </row>
    <row r="847" customFormat="false" ht="14.25" hidden="false" customHeight="true" outlineLevel="0" collapsed="false">
      <c r="A847" s="115"/>
      <c r="B847" s="115"/>
      <c r="C847" s="115"/>
      <c r="D847" s="121"/>
      <c r="E847" s="121"/>
      <c r="F847" s="121"/>
      <c r="G847" s="121"/>
      <c r="H847" s="121"/>
      <c r="I847" s="121"/>
      <c r="J847" s="121"/>
      <c r="K847" s="120" t="s">
        <v>16504</v>
      </c>
    </row>
    <row r="848" customFormat="false" ht="14.25" hidden="false" customHeight="true" outlineLevel="0" collapsed="false">
      <c r="A848" s="115"/>
      <c r="B848" s="115"/>
      <c r="C848" s="115"/>
      <c r="D848" s="121" t="s">
        <v>16505</v>
      </c>
      <c r="E848" s="121" t="s">
        <v>16506</v>
      </c>
      <c r="F848" s="121" t="s">
        <v>48</v>
      </c>
      <c r="G848" s="121" t="s">
        <v>16507</v>
      </c>
      <c r="H848" s="121" t="s">
        <v>16508</v>
      </c>
      <c r="I848" s="122" t="s">
        <v>50</v>
      </c>
      <c r="J848" s="121" t="s">
        <v>16509</v>
      </c>
      <c r="K848" s="120" t="s">
        <v>16510</v>
      </c>
    </row>
    <row r="849" customFormat="false" ht="14.25" hidden="false" customHeight="true" outlineLevel="0" collapsed="false">
      <c r="A849" s="115"/>
      <c r="B849" s="115"/>
      <c r="C849" s="115"/>
      <c r="D849" s="115"/>
      <c r="E849" s="115"/>
      <c r="F849" s="115"/>
      <c r="G849" s="121"/>
      <c r="H849" s="121"/>
      <c r="I849" s="121"/>
      <c r="J849" s="121"/>
      <c r="K849" s="120" t="s">
        <v>16511</v>
      </c>
    </row>
    <row r="850" customFormat="false" ht="14.25" hidden="false" customHeight="true" outlineLevel="0" collapsed="false">
      <c r="A850" s="115"/>
      <c r="B850" s="115"/>
      <c r="C850" s="115"/>
      <c r="D850" s="115"/>
      <c r="E850" s="115"/>
      <c r="F850" s="115"/>
      <c r="G850" s="121" t="s">
        <v>16512</v>
      </c>
      <c r="H850" s="121" t="s">
        <v>16513</v>
      </c>
      <c r="I850" s="122" t="s">
        <v>50</v>
      </c>
      <c r="J850" s="121" t="s">
        <v>16514</v>
      </c>
      <c r="K850" s="120" t="s">
        <v>16515</v>
      </c>
    </row>
    <row r="851" customFormat="false" ht="14.25" hidden="false" customHeight="true" outlineLevel="0" collapsed="false">
      <c r="A851" s="115"/>
      <c r="B851" s="115"/>
      <c r="C851" s="129"/>
      <c r="D851" s="129"/>
      <c r="E851" s="129"/>
      <c r="F851" s="129"/>
      <c r="G851" s="129"/>
      <c r="H851" s="129"/>
      <c r="I851" s="129"/>
      <c r="J851" s="129"/>
      <c r="K851" s="120" t="s">
        <v>16516</v>
      </c>
    </row>
    <row r="852" customFormat="false" ht="14.25" hidden="false" customHeight="true" outlineLevel="0" collapsed="false">
      <c r="A852" s="115"/>
      <c r="B852" s="115"/>
      <c r="C852" s="129" t="s">
        <v>16517</v>
      </c>
      <c r="D852" s="121" t="s">
        <v>16518</v>
      </c>
      <c r="E852" s="121" t="s">
        <v>16519</v>
      </c>
      <c r="F852" s="121" t="s">
        <v>48</v>
      </c>
      <c r="G852" s="121" t="s">
        <v>16520</v>
      </c>
      <c r="H852" s="121" t="s">
        <v>16521</v>
      </c>
      <c r="I852" s="122" t="s">
        <v>50</v>
      </c>
      <c r="J852" s="121" t="s">
        <v>16522</v>
      </c>
      <c r="K852" s="120" t="s">
        <v>16523</v>
      </c>
    </row>
    <row r="853" customFormat="false" ht="14.25" hidden="false" customHeight="true" outlineLevel="0" collapsed="false">
      <c r="A853" s="115"/>
      <c r="B853" s="115"/>
      <c r="C853" s="115"/>
      <c r="D853" s="115"/>
      <c r="E853" s="115"/>
      <c r="F853" s="115"/>
      <c r="G853" s="121"/>
      <c r="H853" s="121"/>
      <c r="I853" s="121"/>
      <c r="J853" s="121"/>
      <c r="K853" s="120" t="s">
        <v>16524</v>
      </c>
    </row>
    <row r="854" customFormat="false" ht="14.25" hidden="false" customHeight="true" outlineLevel="0" collapsed="false">
      <c r="A854" s="115"/>
      <c r="B854" s="115"/>
      <c r="C854" s="115"/>
      <c r="D854" s="115"/>
      <c r="E854" s="115"/>
      <c r="F854" s="115"/>
      <c r="G854" s="121" t="s">
        <v>16525</v>
      </c>
      <c r="H854" s="121" t="s">
        <v>16526</v>
      </c>
      <c r="I854" s="122" t="s">
        <v>50</v>
      </c>
      <c r="J854" s="121" t="s">
        <v>16527</v>
      </c>
      <c r="K854" s="120" t="s">
        <v>16528</v>
      </c>
    </row>
    <row r="855" customFormat="false" ht="14.25" hidden="false" customHeight="true" outlineLevel="0" collapsed="false">
      <c r="A855" s="115"/>
      <c r="B855" s="115"/>
      <c r="C855" s="115"/>
      <c r="D855" s="121"/>
      <c r="E855" s="121"/>
      <c r="F855" s="121"/>
      <c r="G855" s="121"/>
      <c r="H855" s="121"/>
      <c r="I855" s="121"/>
      <c r="J855" s="121"/>
      <c r="K855" s="120" t="s">
        <v>16529</v>
      </c>
    </row>
    <row r="856" customFormat="false" ht="14.25" hidden="false" customHeight="true" outlineLevel="0" collapsed="false">
      <c r="A856" s="115"/>
      <c r="B856" s="115"/>
      <c r="C856" s="115"/>
      <c r="D856" s="121" t="s">
        <v>16530</v>
      </c>
      <c r="E856" s="121" t="s">
        <v>16531</v>
      </c>
      <c r="F856" s="121" t="s">
        <v>48</v>
      </c>
      <c r="G856" s="121" t="s">
        <v>16532</v>
      </c>
      <c r="H856" s="121" t="s">
        <v>16533</v>
      </c>
      <c r="I856" s="122" t="s">
        <v>50</v>
      </c>
      <c r="J856" s="121" t="s">
        <v>16534</v>
      </c>
      <c r="K856" s="120" t="s">
        <v>16535</v>
      </c>
    </row>
    <row r="857" customFormat="false" ht="14.25" hidden="false" customHeight="true" outlineLevel="0" collapsed="false">
      <c r="A857" s="115"/>
      <c r="B857" s="115"/>
      <c r="C857" s="115"/>
      <c r="D857" s="115"/>
      <c r="E857" s="115"/>
      <c r="F857" s="115"/>
      <c r="G857" s="115"/>
      <c r="H857" s="121"/>
      <c r="I857" s="121"/>
      <c r="J857" s="121"/>
      <c r="K857" s="120" t="s">
        <v>16536</v>
      </c>
    </row>
    <row r="858" customFormat="false" ht="14.25" hidden="false" customHeight="true" outlineLevel="0" collapsed="false">
      <c r="A858" s="115"/>
      <c r="B858" s="115"/>
      <c r="C858" s="115"/>
      <c r="D858" s="115"/>
      <c r="E858" s="115"/>
      <c r="F858" s="115"/>
      <c r="G858" s="121" t="s">
        <v>16537</v>
      </c>
      <c r="H858" s="121" t="s">
        <v>16538</v>
      </c>
      <c r="I858" s="122" t="s">
        <v>50</v>
      </c>
      <c r="J858" s="121" t="s">
        <v>16539</v>
      </c>
      <c r="K858" s="120" t="s">
        <v>16540</v>
      </c>
    </row>
    <row r="859" customFormat="false" ht="14.25" hidden="false" customHeight="true" outlineLevel="0" collapsed="false">
      <c r="A859" s="115"/>
      <c r="B859" s="115"/>
      <c r="C859" s="115"/>
      <c r="D859" s="121"/>
      <c r="E859" s="121"/>
      <c r="F859" s="121"/>
      <c r="G859" s="121"/>
      <c r="H859" s="121"/>
      <c r="I859" s="121"/>
      <c r="J859" s="121"/>
      <c r="K859" s="120" t="s">
        <v>16541</v>
      </c>
    </row>
    <row r="860" customFormat="false" ht="14.25" hidden="false" customHeight="true" outlineLevel="0" collapsed="false">
      <c r="A860" s="115"/>
      <c r="B860" s="115"/>
      <c r="C860" s="115"/>
      <c r="D860" s="121" t="s">
        <v>16542</v>
      </c>
      <c r="E860" s="121" t="s">
        <v>16543</v>
      </c>
      <c r="F860" s="121" t="s">
        <v>48</v>
      </c>
      <c r="G860" s="121" t="s">
        <v>16544</v>
      </c>
      <c r="H860" s="121" t="s">
        <v>16545</v>
      </c>
      <c r="I860" s="122" t="s">
        <v>50</v>
      </c>
      <c r="J860" s="121" t="s">
        <v>16546</v>
      </c>
      <c r="K860" s="120" t="s">
        <v>16547</v>
      </c>
    </row>
    <row r="861" customFormat="false" ht="14.25" hidden="false" customHeight="true" outlineLevel="0" collapsed="false">
      <c r="A861" s="115"/>
      <c r="B861" s="115"/>
      <c r="C861" s="115"/>
      <c r="D861" s="115"/>
      <c r="E861" s="115"/>
      <c r="F861" s="115"/>
      <c r="G861" s="121"/>
      <c r="H861" s="121"/>
      <c r="I861" s="121"/>
      <c r="J861" s="121"/>
      <c r="K861" s="120" t="s">
        <v>16548</v>
      </c>
    </row>
    <row r="862" customFormat="false" ht="14.25" hidden="false" customHeight="true" outlineLevel="0" collapsed="false">
      <c r="A862" s="115"/>
      <c r="B862" s="115"/>
      <c r="C862" s="115"/>
      <c r="D862" s="115"/>
      <c r="E862" s="115"/>
      <c r="F862" s="115"/>
      <c r="G862" s="121" t="s">
        <v>16549</v>
      </c>
      <c r="H862" s="121" t="s">
        <v>16550</v>
      </c>
      <c r="I862" s="122" t="s">
        <v>50</v>
      </c>
      <c r="J862" s="121" t="s">
        <v>16551</v>
      </c>
      <c r="K862" s="120" t="s">
        <v>16552</v>
      </c>
    </row>
    <row r="863" customFormat="false" ht="14.25" hidden="false" customHeight="true" outlineLevel="0" collapsed="false">
      <c r="A863" s="115"/>
      <c r="B863" s="115"/>
      <c r="C863" s="115"/>
      <c r="D863" s="121"/>
      <c r="E863" s="121"/>
      <c r="F863" s="121"/>
      <c r="G863" s="121"/>
      <c r="H863" s="121"/>
      <c r="I863" s="121"/>
      <c r="J863" s="121"/>
      <c r="K863" s="120" t="s">
        <v>16553</v>
      </c>
    </row>
    <row r="864" customFormat="false" ht="14.25" hidden="false" customHeight="true" outlineLevel="0" collapsed="false">
      <c r="A864" s="115"/>
      <c r="B864" s="115"/>
      <c r="C864" s="115"/>
      <c r="D864" s="121" t="s">
        <v>16554</v>
      </c>
      <c r="E864" s="121" t="s">
        <v>16555</v>
      </c>
      <c r="F864" s="121" t="s">
        <v>48</v>
      </c>
      <c r="G864" s="121" t="s">
        <v>16556</v>
      </c>
      <c r="H864" s="121" t="s">
        <v>16557</v>
      </c>
      <c r="I864" s="122" t="s">
        <v>50</v>
      </c>
      <c r="J864" s="121" t="s">
        <v>16558</v>
      </c>
      <c r="K864" s="120" t="s">
        <v>16559</v>
      </c>
    </row>
    <row r="865" customFormat="false" ht="14.25" hidden="false" customHeight="true" outlineLevel="0" collapsed="false">
      <c r="A865" s="115"/>
      <c r="B865" s="115"/>
      <c r="C865" s="115"/>
      <c r="D865" s="115"/>
      <c r="E865" s="115"/>
      <c r="F865" s="115"/>
      <c r="G865" s="121"/>
      <c r="H865" s="121"/>
      <c r="I865" s="121"/>
      <c r="J865" s="121"/>
      <c r="K865" s="120" t="s">
        <v>16560</v>
      </c>
    </row>
    <row r="866" customFormat="false" ht="14.25" hidden="false" customHeight="true" outlineLevel="0" collapsed="false">
      <c r="A866" s="115"/>
      <c r="B866" s="115"/>
      <c r="C866" s="115"/>
      <c r="D866" s="115"/>
      <c r="E866" s="115"/>
      <c r="F866" s="115"/>
      <c r="G866" s="121" t="s">
        <v>16561</v>
      </c>
      <c r="H866" s="121" t="s">
        <v>16562</v>
      </c>
      <c r="I866" s="122" t="s">
        <v>50</v>
      </c>
      <c r="J866" s="121" t="s">
        <v>16563</v>
      </c>
      <c r="K866" s="120" t="s">
        <v>16564</v>
      </c>
    </row>
    <row r="867" customFormat="false" ht="14.25" hidden="false" customHeight="true" outlineLevel="0" collapsed="false">
      <c r="A867" s="115"/>
      <c r="B867" s="115"/>
      <c r="C867" s="115"/>
      <c r="D867" s="121"/>
      <c r="E867" s="121"/>
      <c r="F867" s="121"/>
      <c r="G867" s="121"/>
      <c r="H867" s="121"/>
      <c r="I867" s="121"/>
      <c r="J867" s="121"/>
      <c r="K867" s="120" t="s">
        <v>16565</v>
      </c>
    </row>
    <row r="868" customFormat="false" ht="14.25" hidden="false" customHeight="true" outlineLevel="0" collapsed="false">
      <c r="A868" s="115"/>
      <c r="B868" s="115"/>
      <c r="C868" s="115"/>
      <c r="D868" s="121" t="s">
        <v>16566</v>
      </c>
      <c r="E868" s="121" t="s">
        <v>16567</v>
      </c>
      <c r="F868" s="121" t="s">
        <v>48</v>
      </c>
      <c r="G868" s="121" t="s">
        <v>16568</v>
      </c>
      <c r="H868" s="121" t="s">
        <v>16569</v>
      </c>
      <c r="I868" s="130" t="s">
        <v>67</v>
      </c>
      <c r="J868" s="121" t="s">
        <v>16570</v>
      </c>
      <c r="K868" s="120" t="s">
        <v>16571</v>
      </c>
    </row>
    <row r="869" customFormat="false" ht="14.25" hidden="false" customHeight="true" outlineLevel="0" collapsed="false">
      <c r="A869" s="115"/>
      <c r="B869" s="115"/>
      <c r="C869" s="115"/>
      <c r="D869" s="115"/>
      <c r="E869" s="115"/>
      <c r="F869" s="115"/>
      <c r="G869" s="121"/>
      <c r="H869" s="121"/>
      <c r="I869" s="121"/>
      <c r="J869" s="121"/>
      <c r="K869" s="120" t="s">
        <v>16572</v>
      </c>
    </row>
    <row r="870" customFormat="false" ht="14.25" hidden="false" customHeight="true" outlineLevel="0" collapsed="false">
      <c r="A870" s="115"/>
      <c r="B870" s="115"/>
      <c r="C870" s="115"/>
      <c r="D870" s="115"/>
      <c r="E870" s="115"/>
      <c r="F870" s="115"/>
      <c r="G870" s="121" t="s">
        <v>3348</v>
      </c>
      <c r="H870" s="121" t="s">
        <v>16573</v>
      </c>
      <c r="I870" s="122" t="s">
        <v>50</v>
      </c>
      <c r="J870" s="121" t="s">
        <v>16574</v>
      </c>
      <c r="K870" s="120" t="s">
        <v>16575</v>
      </c>
    </row>
    <row r="871" customFormat="false" ht="14.25" hidden="false" customHeight="true" outlineLevel="0" collapsed="false">
      <c r="A871" s="115"/>
      <c r="B871" s="115"/>
      <c r="C871" s="129"/>
      <c r="D871" s="129"/>
      <c r="E871" s="129"/>
      <c r="F871" s="129"/>
      <c r="G871" s="129"/>
      <c r="H871" s="129"/>
      <c r="I871" s="129"/>
      <c r="J871" s="129"/>
      <c r="K871" s="120" t="s">
        <v>16576</v>
      </c>
    </row>
    <row r="872" customFormat="false" ht="14.25" hidden="false" customHeight="true" outlineLevel="0" collapsed="false">
      <c r="A872" s="115"/>
      <c r="B872" s="115"/>
      <c r="C872" s="129" t="s">
        <v>16577</v>
      </c>
      <c r="D872" s="121" t="s">
        <v>16578</v>
      </c>
      <c r="E872" s="121" t="s">
        <v>16579</v>
      </c>
      <c r="F872" s="121" t="s">
        <v>48</v>
      </c>
      <c r="G872" s="121" t="s">
        <v>16580</v>
      </c>
      <c r="H872" s="121" t="s">
        <v>16581</v>
      </c>
      <c r="I872" s="122" t="s">
        <v>50</v>
      </c>
      <c r="J872" s="121" t="s">
        <v>16582</v>
      </c>
      <c r="K872" s="120" t="s">
        <v>16583</v>
      </c>
    </row>
    <row r="873" customFormat="false" ht="14.25" hidden="false" customHeight="true" outlineLevel="0" collapsed="false">
      <c r="A873" s="115"/>
      <c r="B873" s="115"/>
      <c r="C873" s="115"/>
      <c r="D873" s="115"/>
      <c r="E873" s="115"/>
      <c r="F873" s="115"/>
      <c r="G873" s="115"/>
      <c r="H873" s="121"/>
      <c r="I873" s="121"/>
      <c r="J873" s="121"/>
      <c r="K873" s="120" t="s">
        <v>16584</v>
      </c>
    </row>
    <row r="874" customFormat="false" ht="14.25" hidden="false" customHeight="true" outlineLevel="0" collapsed="false">
      <c r="A874" s="115"/>
      <c r="B874" s="115"/>
      <c r="C874" s="115"/>
      <c r="D874" s="115"/>
      <c r="E874" s="115"/>
      <c r="F874" s="115"/>
      <c r="G874" s="121" t="s">
        <v>16585</v>
      </c>
      <c r="H874" s="121" t="s">
        <v>16586</v>
      </c>
      <c r="I874" s="122" t="s">
        <v>50</v>
      </c>
      <c r="J874" s="121" t="s">
        <v>16587</v>
      </c>
      <c r="K874" s="120" t="s">
        <v>16588</v>
      </c>
    </row>
    <row r="875" customFormat="false" ht="14.25" hidden="false" customHeight="true" outlineLevel="0" collapsed="false">
      <c r="A875" s="115"/>
      <c r="B875" s="115"/>
      <c r="C875" s="115"/>
      <c r="D875" s="121"/>
      <c r="E875" s="121"/>
      <c r="F875" s="121"/>
      <c r="G875" s="121"/>
      <c r="H875" s="121"/>
      <c r="I875" s="121"/>
      <c r="J875" s="121"/>
      <c r="K875" s="120" t="s">
        <v>16589</v>
      </c>
    </row>
    <row r="876" customFormat="false" ht="14.25" hidden="false" customHeight="true" outlineLevel="0" collapsed="false">
      <c r="A876" s="115"/>
      <c r="B876" s="115"/>
      <c r="C876" s="115"/>
      <c r="D876" s="121" t="s">
        <v>16590</v>
      </c>
      <c r="E876" s="121" t="s">
        <v>16591</v>
      </c>
      <c r="F876" s="121" t="s">
        <v>48</v>
      </c>
      <c r="G876" s="121" t="s">
        <v>16592</v>
      </c>
      <c r="H876" s="121" t="s">
        <v>16593</v>
      </c>
      <c r="I876" s="122" t="s">
        <v>50</v>
      </c>
      <c r="J876" s="121" t="s">
        <v>16594</v>
      </c>
      <c r="K876" s="120" t="s">
        <v>16595</v>
      </c>
    </row>
    <row r="877" customFormat="false" ht="14.25" hidden="false" customHeight="true" outlineLevel="0" collapsed="false">
      <c r="A877" s="115"/>
      <c r="B877" s="115"/>
      <c r="C877" s="115"/>
      <c r="D877" s="115"/>
      <c r="E877" s="115"/>
      <c r="F877" s="115"/>
      <c r="G877" s="121"/>
      <c r="H877" s="121"/>
      <c r="I877" s="121"/>
      <c r="J877" s="121"/>
      <c r="K877" s="120" t="s">
        <v>16596</v>
      </c>
    </row>
    <row r="878" customFormat="false" ht="14.25" hidden="false" customHeight="true" outlineLevel="0" collapsed="false">
      <c r="A878" s="115"/>
      <c r="B878" s="115"/>
      <c r="C878" s="115"/>
      <c r="D878" s="115"/>
      <c r="E878" s="115"/>
      <c r="F878" s="115"/>
      <c r="G878" s="121" t="s">
        <v>16597</v>
      </c>
      <c r="H878" s="121" t="s">
        <v>16598</v>
      </c>
      <c r="I878" s="122" t="s">
        <v>50</v>
      </c>
      <c r="J878" s="121" t="s">
        <v>16599</v>
      </c>
      <c r="K878" s="120" t="s">
        <v>16600</v>
      </c>
    </row>
    <row r="879" customFormat="false" ht="14.25" hidden="false" customHeight="true" outlineLevel="0" collapsed="false">
      <c r="A879" s="115"/>
      <c r="B879" s="115"/>
      <c r="C879" s="115"/>
      <c r="D879" s="121"/>
      <c r="E879" s="121"/>
      <c r="F879" s="121"/>
      <c r="G879" s="121"/>
      <c r="H879" s="121"/>
      <c r="I879" s="121"/>
      <c r="J879" s="121"/>
      <c r="K879" s="120" t="s">
        <v>16601</v>
      </c>
    </row>
    <row r="880" customFormat="false" ht="14.25" hidden="false" customHeight="true" outlineLevel="0" collapsed="false">
      <c r="A880" s="115"/>
      <c r="B880" s="115"/>
      <c r="C880" s="115"/>
      <c r="D880" s="121" t="s">
        <v>16602</v>
      </c>
      <c r="E880" s="121" t="s">
        <v>16603</v>
      </c>
      <c r="F880" s="121" t="s">
        <v>48</v>
      </c>
      <c r="G880" s="121" t="s">
        <v>16604</v>
      </c>
      <c r="H880" s="121" t="s">
        <v>16605</v>
      </c>
      <c r="I880" s="123" t="s">
        <v>40</v>
      </c>
      <c r="J880" s="121" t="s">
        <v>16606</v>
      </c>
      <c r="K880" s="120" t="s">
        <v>16607</v>
      </c>
    </row>
    <row r="881" customFormat="false" ht="14.25" hidden="false" customHeight="true" outlineLevel="0" collapsed="false">
      <c r="A881" s="115"/>
      <c r="B881" s="115"/>
      <c r="C881" s="115"/>
      <c r="D881" s="115"/>
      <c r="E881" s="115"/>
      <c r="F881" s="115"/>
      <c r="G881" s="121"/>
      <c r="H881" s="121"/>
      <c r="I881" s="121"/>
      <c r="J881" s="121"/>
      <c r="K881" s="120" t="s">
        <v>16608</v>
      </c>
    </row>
    <row r="882" customFormat="false" ht="14.25" hidden="false" customHeight="true" outlineLevel="0" collapsed="false">
      <c r="A882" s="115"/>
      <c r="B882" s="115"/>
      <c r="C882" s="115"/>
      <c r="D882" s="115"/>
      <c r="E882" s="115"/>
      <c r="F882" s="115"/>
      <c r="G882" s="121" t="s">
        <v>16609</v>
      </c>
      <c r="H882" s="121" t="s">
        <v>16610</v>
      </c>
      <c r="I882" s="123" t="s">
        <v>40</v>
      </c>
      <c r="J882" s="121" t="s">
        <v>16611</v>
      </c>
      <c r="K882" s="120" t="s">
        <v>16612</v>
      </c>
    </row>
    <row r="883" customFormat="false" ht="14.25" hidden="false" customHeight="true" outlineLevel="0" collapsed="false">
      <c r="A883" s="115"/>
      <c r="B883" s="115"/>
      <c r="C883" s="115"/>
      <c r="D883" s="121"/>
      <c r="E883" s="121"/>
      <c r="F883" s="121"/>
      <c r="G883" s="121"/>
      <c r="H883" s="121"/>
      <c r="I883" s="121"/>
      <c r="J883" s="121"/>
      <c r="K883" s="120" t="s">
        <v>16613</v>
      </c>
    </row>
    <row r="884" customFormat="false" ht="14.25" hidden="false" customHeight="true" outlineLevel="0" collapsed="false">
      <c r="A884" s="115"/>
      <c r="B884" s="115"/>
      <c r="C884" s="115"/>
      <c r="D884" s="121" t="s">
        <v>16614</v>
      </c>
      <c r="E884" s="121" t="s">
        <v>16615</v>
      </c>
      <c r="F884" s="121" t="s">
        <v>48</v>
      </c>
      <c r="G884" s="121" t="s">
        <v>16616</v>
      </c>
      <c r="H884" s="121" t="s">
        <v>16617</v>
      </c>
      <c r="I884" s="123" t="s">
        <v>40</v>
      </c>
      <c r="J884" s="121" t="s">
        <v>16618</v>
      </c>
      <c r="K884" s="120" t="s">
        <v>16619</v>
      </c>
    </row>
    <row r="885" customFormat="false" ht="14.25" hidden="false" customHeight="true" outlineLevel="0" collapsed="false">
      <c r="A885" s="115"/>
      <c r="B885" s="115"/>
      <c r="C885" s="115"/>
      <c r="D885" s="115"/>
      <c r="E885" s="115"/>
      <c r="F885" s="115"/>
      <c r="G885" s="121"/>
      <c r="H885" s="121"/>
      <c r="I885" s="121"/>
      <c r="J885" s="121"/>
      <c r="K885" s="120" t="s">
        <v>16620</v>
      </c>
    </row>
    <row r="886" customFormat="false" ht="14.25" hidden="false" customHeight="true" outlineLevel="0" collapsed="false">
      <c r="A886" s="115"/>
      <c r="B886" s="115"/>
      <c r="C886" s="115"/>
      <c r="D886" s="115"/>
      <c r="E886" s="115"/>
      <c r="F886" s="115"/>
      <c r="G886" s="121" t="s">
        <v>16621</v>
      </c>
      <c r="H886" s="121" t="s">
        <v>16622</v>
      </c>
      <c r="I886" s="123" t="s">
        <v>40</v>
      </c>
      <c r="J886" s="121" t="s">
        <v>16623</v>
      </c>
      <c r="K886" s="120" t="s">
        <v>16624</v>
      </c>
    </row>
    <row r="887" customFormat="false" ht="14.25" hidden="false" customHeight="true" outlineLevel="0" collapsed="false">
      <c r="A887" s="115"/>
      <c r="B887" s="115"/>
      <c r="C887" s="115"/>
      <c r="D887" s="121"/>
      <c r="E887" s="121"/>
      <c r="F887" s="121"/>
      <c r="G887" s="121"/>
      <c r="H887" s="121"/>
      <c r="I887" s="121"/>
      <c r="J887" s="121"/>
      <c r="K887" s="120" t="s">
        <v>16625</v>
      </c>
    </row>
    <row r="888" customFormat="false" ht="14.25" hidden="false" customHeight="true" outlineLevel="0" collapsed="false">
      <c r="A888" s="115"/>
      <c r="B888" s="115"/>
      <c r="C888" s="115"/>
      <c r="D888" s="121" t="s">
        <v>16626</v>
      </c>
      <c r="E888" s="121" t="s">
        <v>16627</v>
      </c>
      <c r="F888" s="121" t="s">
        <v>48</v>
      </c>
      <c r="G888" s="121" t="s">
        <v>16628</v>
      </c>
      <c r="H888" s="121" t="s">
        <v>16629</v>
      </c>
      <c r="I888" s="123" t="s">
        <v>40</v>
      </c>
      <c r="J888" s="121" t="s">
        <v>16630</v>
      </c>
      <c r="K888" s="120" t="s">
        <v>16631</v>
      </c>
    </row>
    <row r="889" customFormat="false" ht="14.25" hidden="false" customHeight="true" outlineLevel="0" collapsed="false">
      <c r="A889" s="115"/>
      <c r="B889" s="115"/>
      <c r="C889" s="115"/>
      <c r="D889" s="115"/>
      <c r="E889" s="115"/>
      <c r="F889" s="115"/>
      <c r="G889" s="121"/>
      <c r="H889" s="121"/>
      <c r="I889" s="121"/>
      <c r="J889" s="121"/>
      <c r="K889" s="120" t="s">
        <v>16632</v>
      </c>
    </row>
    <row r="890" customFormat="false" ht="14.25" hidden="false" customHeight="true" outlineLevel="0" collapsed="false">
      <c r="A890" s="115"/>
      <c r="B890" s="115"/>
      <c r="C890" s="115"/>
      <c r="D890" s="115"/>
      <c r="E890" s="115"/>
      <c r="F890" s="115"/>
      <c r="G890" s="121" t="s">
        <v>16633</v>
      </c>
      <c r="H890" s="121" t="s">
        <v>16634</v>
      </c>
      <c r="I890" s="123" t="s">
        <v>40</v>
      </c>
      <c r="J890" s="121" t="s">
        <v>16635</v>
      </c>
      <c r="K890" s="120" t="s">
        <v>16636</v>
      </c>
    </row>
    <row r="891" customFormat="false" ht="14.25" hidden="false" customHeight="true" outlineLevel="0" collapsed="false">
      <c r="A891" s="115"/>
      <c r="B891" s="115"/>
      <c r="C891" s="129"/>
      <c r="D891" s="129"/>
      <c r="E891" s="129"/>
      <c r="F891" s="129"/>
      <c r="G891" s="129"/>
      <c r="H891" s="129"/>
      <c r="I891" s="129"/>
      <c r="J891" s="129"/>
      <c r="K891" s="120" t="s">
        <v>16637</v>
      </c>
    </row>
    <row r="892" customFormat="false" ht="14.25" hidden="false" customHeight="true" outlineLevel="0" collapsed="false">
      <c r="A892" s="115"/>
      <c r="B892" s="115"/>
      <c r="C892" s="129" t="s">
        <v>16638</v>
      </c>
      <c r="D892" s="121" t="s">
        <v>16639</v>
      </c>
      <c r="E892" s="121" t="s">
        <v>16640</v>
      </c>
      <c r="F892" s="121" t="s">
        <v>38</v>
      </c>
      <c r="G892" s="121" t="s">
        <v>16641</v>
      </c>
      <c r="H892" s="121" t="s">
        <v>16642</v>
      </c>
      <c r="I892" s="123" t="s">
        <v>40</v>
      </c>
      <c r="J892" s="121" t="s">
        <v>16643</v>
      </c>
      <c r="K892" s="120" t="s">
        <v>16644</v>
      </c>
    </row>
    <row r="893" customFormat="false" ht="14.25" hidden="false" customHeight="true" outlineLevel="0" collapsed="false">
      <c r="A893" s="115"/>
      <c r="B893" s="115"/>
      <c r="C893" s="115"/>
      <c r="D893" s="115"/>
      <c r="E893" s="115"/>
      <c r="F893" s="115"/>
      <c r="G893" s="121"/>
      <c r="H893" s="121"/>
      <c r="I893" s="121"/>
      <c r="J893" s="121"/>
      <c r="K893" s="120" t="s">
        <v>16645</v>
      </c>
    </row>
    <row r="894" customFormat="false" ht="14.25" hidden="false" customHeight="true" outlineLevel="0" collapsed="false">
      <c r="A894" s="115"/>
      <c r="B894" s="115"/>
      <c r="C894" s="115"/>
      <c r="D894" s="115"/>
      <c r="E894" s="115"/>
      <c r="F894" s="115"/>
      <c r="G894" s="121" t="s">
        <v>16646</v>
      </c>
      <c r="H894" s="121" t="s">
        <v>16647</v>
      </c>
      <c r="I894" s="123" t="s">
        <v>40</v>
      </c>
      <c r="J894" s="121" t="s">
        <v>16648</v>
      </c>
      <c r="K894" s="120" t="s">
        <v>16649</v>
      </c>
    </row>
    <row r="895" customFormat="false" ht="14.25" hidden="false" customHeight="true" outlineLevel="0" collapsed="false">
      <c r="A895" s="115"/>
      <c r="B895" s="115"/>
      <c r="C895" s="115"/>
      <c r="D895" s="121"/>
      <c r="E895" s="121"/>
      <c r="F895" s="121"/>
      <c r="G895" s="121"/>
      <c r="H895" s="121"/>
      <c r="I895" s="121"/>
      <c r="J895" s="121"/>
      <c r="K895" s="120" t="s">
        <v>16650</v>
      </c>
    </row>
    <row r="896" customFormat="false" ht="14.25" hidden="false" customHeight="true" outlineLevel="0" collapsed="false">
      <c r="A896" s="115"/>
      <c r="B896" s="115"/>
      <c r="C896" s="115"/>
      <c r="D896" s="121" t="s">
        <v>16651</v>
      </c>
      <c r="E896" s="121" t="s">
        <v>16652</v>
      </c>
      <c r="F896" s="121" t="s">
        <v>48</v>
      </c>
      <c r="G896" s="121" t="s">
        <v>16653</v>
      </c>
      <c r="H896" s="121" t="s">
        <v>16654</v>
      </c>
      <c r="I896" s="123" t="s">
        <v>40</v>
      </c>
      <c r="J896" s="121" t="s">
        <v>16655</v>
      </c>
      <c r="K896" s="120" t="s">
        <v>16388</v>
      </c>
    </row>
    <row r="897" customFormat="false" ht="14.25" hidden="false" customHeight="true" outlineLevel="0" collapsed="false">
      <c r="A897" s="115"/>
      <c r="B897" s="115"/>
      <c r="C897" s="115"/>
      <c r="D897" s="115"/>
      <c r="E897" s="115"/>
      <c r="F897" s="115"/>
      <c r="G897" s="121"/>
      <c r="H897" s="121"/>
      <c r="I897" s="121"/>
      <c r="J897" s="121"/>
      <c r="K897" s="120" t="s">
        <v>16656</v>
      </c>
    </row>
    <row r="898" customFormat="false" ht="14.25" hidden="false" customHeight="true" outlineLevel="0" collapsed="false">
      <c r="A898" s="115"/>
      <c r="B898" s="115"/>
      <c r="C898" s="115"/>
      <c r="D898" s="115"/>
      <c r="E898" s="115"/>
      <c r="F898" s="115"/>
      <c r="G898" s="121" t="s">
        <v>16657</v>
      </c>
      <c r="H898" s="121" t="s">
        <v>16658</v>
      </c>
      <c r="I898" s="123" t="s">
        <v>40</v>
      </c>
      <c r="J898" s="121" t="s">
        <v>16659</v>
      </c>
      <c r="K898" s="120" t="s">
        <v>16660</v>
      </c>
    </row>
    <row r="899" customFormat="false" ht="14.25" hidden="false" customHeight="true" outlineLevel="0" collapsed="false">
      <c r="A899" s="115"/>
      <c r="B899" s="115"/>
      <c r="C899" s="115"/>
      <c r="D899" s="121"/>
      <c r="E899" s="121"/>
      <c r="F899" s="121"/>
      <c r="G899" s="121"/>
      <c r="H899" s="121"/>
      <c r="I899" s="121"/>
      <c r="J899" s="121"/>
      <c r="K899" s="120" t="s">
        <v>16661</v>
      </c>
    </row>
    <row r="900" customFormat="false" ht="14.25" hidden="false" customHeight="true" outlineLevel="0" collapsed="false">
      <c r="A900" s="115"/>
      <c r="B900" s="115"/>
      <c r="C900" s="115"/>
      <c r="D900" s="121" t="s">
        <v>16662</v>
      </c>
      <c r="E900" s="121" t="s">
        <v>16663</v>
      </c>
      <c r="F900" s="121" t="s">
        <v>48</v>
      </c>
      <c r="G900" s="121" t="s">
        <v>16664</v>
      </c>
      <c r="H900" s="121" t="s">
        <v>16665</v>
      </c>
      <c r="I900" s="123" t="s">
        <v>40</v>
      </c>
      <c r="J900" s="121" t="s">
        <v>16666</v>
      </c>
      <c r="K900" s="120" t="s">
        <v>16667</v>
      </c>
    </row>
    <row r="901" customFormat="false" ht="14.25" hidden="false" customHeight="true" outlineLevel="0" collapsed="false">
      <c r="A901" s="115"/>
      <c r="B901" s="115"/>
      <c r="C901" s="115"/>
      <c r="D901" s="115"/>
      <c r="E901" s="115"/>
      <c r="F901" s="115"/>
      <c r="G901" s="121"/>
      <c r="H901" s="121"/>
      <c r="I901" s="121"/>
      <c r="J901" s="121"/>
      <c r="K901" s="120" t="s">
        <v>16668</v>
      </c>
    </row>
    <row r="902" customFormat="false" ht="14.25" hidden="false" customHeight="true" outlineLevel="0" collapsed="false">
      <c r="A902" s="115"/>
      <c r="B902" s="115"/>
      <c r="C902" s="115"/>
      <c r="D902" s="115"/>
      <c r="E902" s="115"/>
      <c r="F902" s="115"/>
      <c r="G902" s="121" t="s">
        <v>16669</v>
      </c>
      <c r="H902" s="121" t="s">
        <v>16670</v>
      </c>
      <c r="I902" s="123" t="s">
        <v>40</v>
      </c>
      <c r="J902" s="121" t="s">
        <v>16671</v>
      </c>
      <c r="K902" s="120" t="s">
        <v>16672</v>
      </c>
    </row>
    <row r="903" customFormat="false" ht="14.25" hidden="false" customHeight="true" outlineLevel="0" collapsed="false">
      <c r="A903" s="115"/>
      <c r="B903" s="115"/>
      <c r="C903" s="115"/>
      <c r="D903" s="121"/>
      <c r="E903" s="121"/>
      <c r="F903" s="121"/>
      <c r="G903" s="121"/>
      <c r="H903" s="121"/>
      <c r="I903" s="121"/>
      <c r="J903" s="121"/>
      <c r="K903" s="120" t="s">
        <v>16673</v>
      </c>
    </row>
    <row r="904" customFormat="false" ht="14.25" hidden="false" customHeight="true" outlineLevel="0" collapsed="false">
      <c r="A904" s="115"/>
      <c r="B904" s="115"/>
      <c r="C904" s="115"/>
      <c r="D904" s="121" t="s">
        <v>16674</v>
      </c>
      <c r="E904" s="121" t="s">
        <v>16675</v>
      </c>
      <c r="F904" s="121" t="s">
        <v>48</v>
      </c>
      <c r="G904" s="121" t="s">
        <v>16676</v>
      </c>
      <c r="H904" s="121" t="s">
        <v>16677</v>
      </c>
      <c r="I904" s="123" t="s">
        <v>40</v>
      </c>
      <c r="J904" s="121" t="s">
        <v>16678</v>
      </c>
      <c r="K904" s="120" t="s">
        <v>16679</v>
      </c>
    </row>
    <row r="905" customFormat="false" ht="14.25" hidden="false" customHeight="true" outlineLevel="0" collapsed="false">
      <c r="A905" s="115"/>
      <c r="B905" s="115"/>
      <c r="C905" s="115"/>
      <c r="D905" s="115"/>
      <c r="E905" s="115"/>
      <c r="F905" s="115"/>
      <c r="G905" s="121"/>
      <c r="H905" s="121"/>
      <c r="I905" s="121"/>
      <c r="J905" s="121"/>
      <c r="K905" s="120" t="s">
        <v>16680</v>
      </c>
    </row>
    <row r="906" customFormat="false" ht="14.25" hidden="false" customHeight="true" outlineLevel="0" collapsed="false">
      <c r="A906" s="115"/>
      <c r="B906" s="115"/>
      <c r="C906" s="115"/>
      <c r="D906" s="115"/>
      <c r="E906" s="115"/>
      <c r="F906" s="115"/>
      <c r="G906" s="121" t="s">
        <v>16681</v>
      </c>
      <c r="H906" s="121" t="s">
        <v>16682</v>
      </c>
      <c r="I906" s="123" t="s">
        <v>40</v>
      </c>
      <c r="J906" s="121" t="s">
        <v>16683</v>
      </c>
      <c r="K906" s="120" t="s">
        <v>16684</v>
      </c>
    </row>
    <row r="907" customFormat="false" ht="14.25" hidden="false" customHeight="true" outlineLevel="0" collapsed="false">
      <c r="A907" s="115"/>
      <c r="B907" s="115"/>
      <c r="C907" s="115"/>
      <c r="D907" s="121"/>
      <c r="E907" s="121"/>
      <c r="F907" s="121"/>
      <c r="G907" s="121"/>
      <c r="H907" s="121"/>
      <c r="I907" s="121"/>
      <c r="J907" s="121"/>
      <c r="K907" s="120" t="s">
        <v>16685</v>
      </c>
    </row>
    <row r="908" customFormat="false" ht="14.25" hidden="false" customHeight="true" outlineLevel="0" collapsed="false">
      <c r="A908" s="115"/>
      <c r="B908" s="115"/>
      <c r="C908" s="115"/>
      <c r="D908" s="121" t="s">
        <v>16686</v>
      </c>
      <c r="E908" s="121" t="s">
        <v>16687</v>
      </c>
      <c r="F908" s="121" t="s">
        <v>48</v>
      </c>
      <c r="G908" s="121" t="s">
        <v>16688</v>
      </c>
      <c r="H908" s="121" t="s">
        <v>16689</v>
      </c>
      <c r="I908" s="122" t="s">
        <v>50</v>
      </c>
      <c r="J908" s="121" t="s">
        <v>16690</v>
      </c>
      <c r="K908" s="120" t="s">
        <v>16691</v>
      </c>
    </row>
    <row r="909" customFormat="false" ht="14.25" hidden="false" customHeight="true" outlineLevel="0" collapsed="false">
      <c r="A909" s="115"/>
      <c r="B909" s="115"/>
      <c r="C909" s="115"/>
      <c r="D909" s="115"/>
      <c r="E909" s="115"/>
      <c r="F909" s="115"/>
      <c r="G909" s="121"/>
      <c r="H909" s="121"/>
      <c r="I909" s="121"/>
      <c r="J909" s="121"/>
      <c r="K909" s="120" t="s">
        <v>16692</v>
      </c>
    </row>
    <row r="910" customFormat="false" ht="14.25" hidden="false" customHeight="true" outlineLevel="0" collapsed="false">
      <c r="A910" s="115"/>
      <c r="B910" s="115"/>
      <c r="C910" s="115"/>
      <c r="D910" s="115"/>
      <c r="E910" s="115"/>
      <c r="F910" s="115"/>
      <c r="G910" s="121" t="s">
        <v>16693</v>
      </c>
      <c r="H910" s="121" t="s">
        <v>16694</v>
      </c>
      <c r="I910" s="123" t="s">
        <v>40</v>
      </c>
      <c r="J910" s="121" t="s">
        <v>16695</v>
      </c>
      <c r="K910" s="120" t="s">
        <v>16696</v>
      </c>
    </row>
    <row r="911" customFormat="false" ht="14.25" hidden="false" customHeight="true" outlineLevel="0" collapsed="false">
      <c r="A911" s="115"/>
      <c r="B911" s="115"/>
      <c r="C911" s="129"/>
      <c r="D911" s="129"/>
      <c r="E911" s="129"/>
      <c r="F911" s="129"/>
      <c r="G911" s="129"/>
      <c r="H911" s="129"/>
      <c r="I911" s="129"/>
      <c r="J911" s="129"/>
      <c r="K911" s="120" t="s">
        <v>16697</v>
      </c>
    </row>
    <row r="912" customFormat="false" ht="14.25" hidden="false" customHeight="true" outlineLevel="0" collapsed="false">
      <c r="A912" s="115"/>
      <c r="B912" s="115"/>
      <c r="C912" s="125" t="s">
        <v>16698</v>
      </c>
      <c r="D912" s="121" t="s">
        <v>16699</v>
      </c>
      <c r="E912" s="121" t="s">
        <v>16700</v>
      </c>
      <c r="F912" s="121" t="s">
        <v>48</v>
      </c>
      <c r="G912" s="121" t="s">
        <v>16701</v>
      </c>
      <c r="H912" s="121" t="s">
        <v>16702</v>
      </c>
      <c r="I912" s="123" t="s">
        <v>40</v>
      </c>
      <c r="J912" s="121" t="s">
        <v>16703</v>
      </c>
      <c r="K912" s="120" t="s">
        <v>16704</v>
      </c>
    </row>
    <row r="913" customFormat="false" ht="14.25" hidden="false" customHeight="true" outlineLevel="0" collapsed="false">
      <c r="A913" s="115"/>
      <c r="B913" s="115"/>
      <c r="C913" s="115"/>
      <c r="D913" s="115"/>
      <c r="E913" s="115"/>
      <c r="F913" s="115"/>
      <c r="G913" s="121"/>
      <c r="H913" s="121"/>
      <c r="I913" s="121"/>
      <c r="J913" s="121"/>
      <c r="K913" s="120" t="s">
        <v>16705</v>
      </c>
    </row>
    <row r="914" customFormat="false" ht="14.25" hidden="false" customHeight="true" outlineLevel="0" collapsed="false">
      <c r="A914" s="115"/>
      <c r="B914" s="115"/>
      <c r="C914" s="115"/>
      <c r="D914" s="115"/>
      <c r="E914" s="115"/>
      <c r="F914" s="115"/>
      <c r="G914" s="121" t="s">
        <v>16706</v>
      </c>
      <c r="H914" s="121" t="s">
        <v>16707</v>
      </c>
      <c r="I914" s="123" t="s">
        <v>40</v>
      </c>
      <c r="J914" s="121" t="s">
        <v>16708</v>
      </c>
      <c r="K914" s="120" t="s">
        <v>16709</v>
      </c>
    </row>
    <row r="915" customFormat="false" ht="14.25" hidden="false" customHeight="true" outlineLevel="0" collapsed="false">
      <c r="A915" s="115"/>
      <c r="B915" s="115"/>
      <c r="C915" s="115"/>
      <c r="D915" s="121"/>
      <c r="E915" s="121"/>
      <c r="F915" s="121"/>
      <c r="G915" s="121"/>
      <c r="H915" s="121"/>
      <c r="I915" s="121"/>
      <c r="J915" s="121"/>
      <c r="K915" s="120" t="s">
        <v>16710</v>
      </c>
    </row>
    <row r="916" customFormat="false" ht="14.25" hidden="false" customHeight="true" outlineLevel="0" collapsed="false">
      <c r="A916" s="115"/>
      <c r="B916" s="115"/>
      <c r="C916" s="115"/>
      <c r="D916" s="121" t="s">
        <v>16711</v>
      </c>
      <c r="E916" s="121" t="s">
        <v>16712</v>
      </c>
      <c r="F916" s="121" t="s">
        <v>48</v>
      </c>
      <c r="G916" s="121" t="s">
        <v>16713</v>
      </c>
      <c r="H916" s="121" t="s">
        <v>16714</v>
      </c>
      <c r="I916" s="122" t="s">
        <v>50</v>
      </c>
      <c r="J916" s="121" t="s">
        <v>16715</v>
      </c>
      <c r="K916" s="120" t="s">
        <v>16716</v>
      </c>
    </row>
    <row r="917" customFormat="false" ht="14.25" hidden="false" customHeight="true" outlineLevel="0" collapsed="false">
      <c r="A917" s="115"/>
      <c r="B917" s="115"/>
      <c r="C917" s="115"/>
      <c r="D917" s="115"/>
      <c r="E917" s="115"/>
      <c r="F917" s="115"/>
      <c r="G917" s="121"/>
      <c r="H917" s="121"/>
      <c r="I917" s="121"/>
      <c r="J917" s="121"/>
      <c r="K917" s="120" t="s">
        <v>16717</v>
      </c>
    </row>
    <row r="918" customFormat="false" ht="14.25" hidden="false" customHeight="true" outlineLevel="0" collapsed="false">
      <c r="A918" s="115"/>
      <c r="B918" s="115"/>
      <c r="C918" s="115"/>
      <c r="D918" s="115"/>
      <c r="E918" s="115"/>
      <c r="F918" s="115"/>
      <c r="G918" s="121" t="s">
        <v>16718</v>
      </c>
      <c r="H918" s="121" t="s">
        <v>16719</v>
      </c>
      <c r="I918" s="122" t="s">
        <v>50</v>
      </c>
      <c r="J918" s="121" t="s">
        <v>16720</v>
      </c>
      <c r="K918" s="120" t="s">
        <v>16721</v>
      </c>
    </row>
    <row r="919" customFormat="false" ht="14.25" hidden="false" customHeight="true" outlineLevel="0" collapsed="false">
      <c r="A919" s="115"/>
      <c r="B919" s="115"/>
      <c r="C919" s="115"/>
      <c r="D919" s="121"/>
      <c r="E919" s="121"/>
      <c r="F919" s="121"/>
      <c r="G919" s="121"/>
      <c r="H919" s="121"/>
      <c r="I919" s="121"/>
      <c r="J919" s="121"/>
      <c r="K919" s="120" t="s">
        <v>16722</v>
      </c>
    </row>
    <row r="920" customFormat="false" ht="14.25" hidden="false" customHeight="true" outlineLevel="0" collapsed="false">
      <c r="A920" s="115"/>
      <c r="B920" s="115"/>
      <c r="C920" s="115"/>
      <c r="D920" s="121" t="s">
        <v>16723</v>
      </c>
      <c r="E920" s="121" t="s">
        <v>16724</v>
      </c>
      <c r="F920" s="121" t="s">
        <v>48</v>
      </c>
      <c r="G920" s="121" t="s">
        <v>16725</v>
      </c>
      <c r="H920" s="121" t="s">
        <v>16726</v>
      </c>
      <c r="I920" s="122" t="s">
        <v>50</v>
      </c>
      <c r="J920" s="121" t="s">
        <v>15481</v>
      </c>
      <c r="K920" s="120" t="s">
        <v>16727</v>
      </c>
    </row>
    <row r="921" customFormat="false" ht="14.25" hidden="false" customHeight="true" outlineLevel="0" collapsed="false">
      <c r="A921" s="115"/>
      <c r="B921" s="115"/>
      <c r="C921" s="115"/>
      <c r="D921" s="115"/>
      <c r="E921" s="115"/>
      <c r="F921" s="115"/>
      <c r="G921" s="121"/>
      <c r="H921" s="121"/>
      <c r="I921" s="121"/>
      <c r="J921" s="121"/>
      <c r="K921" s="120" t="s">
        <v>16728</v>
      </c>
    </row>
    <row r="922" customFormat="false" ht="14.25" hidden="false" customHeight="true" outlineLevel="0" collapsed="false">
      <c r="A922" s="115"/>
      <c r="B922" s="115"/>
      <c r="C922" s="115"/>
      <c r="D922" s="115"/>
      <c r="E922" s="115"/>
      <c r="F922" s="115"/>
      <c r="G922" s="121" t="s">
        <v>16729</v>
      </c>
      <c r="H922" s="121" t="s">
        <v>16730</v>
      </c>
      <c r="I922" s="122" t="s">
        <v>50</v>
      </c>
      <c r="J922" s="121" t="s">
        <v>16731</v>
      </c>
      <c r="K922" s="120" t="s">
        <v>16732</v>
      </c>
    </row>
    <row r="923" customFormat="false" ht="14.25" hidden="false" customHeight="true" outlineLevel="0" collapsed="false">
      <c r="A923" s="115"/>
      <c r="B923" s="115"/>
      <c r="C923" s="115"/>
      <c r="D923" s="121"/>
      <c r="E923" s="121"/>
      <c r="F923" s="121"/>
      <c r="G923" s="121"/>
      <c r="H923" s="121"/>
      <c r="I923" s="121"/>
      <c r="J923" s="121"/>
      <c r="K923" s="120" t="s">
        <v>16733</v>
      </c>
    </row>
    <row r="924" customFormat="false" ht="14.25" hidden="false" customHeight="true" outlineLevel="0" collapsed="false">
      <c r="A924" s="115"/>
      <c r="B924" s="115"/>
      <c r="C924" s="115"/>
      <c r="D924" s="121" t="s">
        <v>16734</v>
      </c>
      <c r="E924" s="121" t="s">
        <v>16735</v>
      </c>
      <c r="F924" s="121" t="s">
        <v>48</v>
      </c>
      <c r="G924" s="121" t="s">
        <v>16736</v>
      </c>
      <c r="H924" s="121" t="s">
        <v>16509</v>
      </c>
      <c r="I924" s="122" t="s">
        <v>50</v>
      </c>
      <c r="J924" s="121" t="s">
        <v>16737</v>
      </c>
      <c r="K924" s="120" t="s">
        <v>16738</v>
      </c>
    </row>
    <row r="925" customFormat="false" ht="14.25" hidden="false" customHeight="true" outlineLevel="0" collapsed="false">
      <c r="A925" s="115"/>
      <c r="B925" s="115"/>
      <c r="C925" s="115"/>
      <c r="D925" s="115"/>
      <c r="E925" s="115"/>
      <c r="F925" s="115"/>
      <c r="G925" s="121"/>
      <c r="H925" s="121"/>
      <c r="I925" s="121"/>
      <c r="J925" s="121"/>
      <c r="K925" s="120" t="s">
        <v>16739</v>
      </c>
    </row>
    <row r="926" customFormat="false" ht="14.25" hidden="false" customHeight="true" outlineLevel="0" collapsed="false">
      <c r="A926" s="115"/>
      <c r="B926" s="115"/>
      <c r="C926" s="115"/>
      <c r="D926" s="115"/>
      <c r="E926" s="115"/>
      <c r="F926" s="115"/>
      <c r="G926" s="121" t="s">
        <v>16740</v>
      </c>
      <c r="H926" s="121" t="s">
        <v>16741</v>
      </c>
      <c r="I926" s="122" t="s">
        <v>50</v>
      </c>
      <c r="J926" s="121" t="s">
        <v>16742</v>
      </c>
      <c r="K926" s="120" t="s">
        <v>16743</v>
      </c>
    </row>
    <row r="927" customFormat="false" ht="14.25" hidden="false" customHeight="true" outlineLevel="0" collapsed="false">
      <c r="A927" s="115"/>
      <c r="B927" s="115"/>
      <c r="C927" s="115"/>
      <c r="D927" s="121"/>
      <c r="E927" s="121"/>
      <c r="F927" s="121"/>
      <c r="G927" s="121"/>
      <c r="H927" s="121"/>
      <c r="I927" s="121"/>
      <c r="J927" s="121"/>
      <c r="K927" s="120" t="s">
        <v>15866</v>
      </c>
    </row>
    <row r="928" customFormat="false" ht="14.25" hidden="false" customHeight="true" outlineLevel="0" collapsed="false">
      <c r="A928" s="115"/>
      <c r="B928" s="115"/>
      <c r="C928" s="115"/>
      <c r="D928" s="121" t="s">
        <v>16744</v>
      </c>
      <c r="E928" s="121" t="s">
        <v>16745</v>
      </c>
      <c r="F928" s="121" t="s">
        <v>48</v>
      </c>
      <c r="G928" s="121" t="s">
        <v>16746</v>
      </c>
      <c r="H928" s="121" t="s">
        <v>16747</v>
      </c>
      <c r="I928" s="122" t="s">
        <v>50</v>
      </c>
      <c r="J928" s="121" t="s">
        <v>16748</v>
      </c>
      <c r="K928" s="120" t="s">
        <v>16749</v>
      </c>
    </row>
    <row r="929" customFormat="false" ht="14.25" hidden="false" customHeight="true" outlineLevel="0" collapsed="false">
      <c r="A929" s="115"/>
      <c r="B929" s="115"/>
      <c r="C929" s="115"/>
      <c r="D929" s="115"/>
      <c r="E929" s="115"/>
      <c r="F929" s="115"/>
      <c r="G929" s="121"/>
      <c r="H929" s="121"/>
      <c r="I929" s="121"/>
      <c r="J929" s="121"/>
      <c r="K929" s="120" t="s">
        <v>16750</v>
      </c>
    </row>
    <row r="930" customFormat="false" ht="14.25" hidden="false" customHeight="true" outlineLevel="0" collapsed="false">
      <c r="A930" s="115"/>
      <c r="B930" s="115"/>
      <c r="C930" s="115"/>
      <c r="D930" s="115"/>
      <c r="E930" s="115"/>
      <c r="F930" s="115"/>
      <c r="G930" s="121" t="s">
        <v>16751</v>
      </c>
      <c r="H930" s="121" t="s">
        <v>16752</v>
      </c>
      <c r="I930" s="122" t="s">
        <v>50</v>
      </c>
      <c r="J930" s="121" t="s">
        <v>16753</v>
      </c>
      <c r="K930" s="120" t="s">
        <v>16754</v>
      </c>
    </row>
    <row r="931" customFormat="false" ht="14.25" hidden="false" customHeight="true" outlineLevel="0" collapsed="false">
      <c r="A931" s="115"/>
      <c r="B931" s="115"/>
      <c r="C931" s="125"/>
      <c r="D931" s="125"/>
      <c r="E931" s="125"/>
      <c r="F931" s="125"/>
      <c r="G931" s="125"/>
      <c r="H931" s="125"/>
      <c r="I931" s="125"/>
      <c r="J931" s="125"/>
      <c r="K931" s="120" t="s">
        <v>16755</v>
      </c>
    </row>
    <row r="932" customFormat="false" ht="14.25" hidden="false" customHeight="true" outlineLevel="0" collapsed="false">
      <c r="A932" s="115"/>
      <c r="B932" s="115"/>
      <c r="C932" s="125" t="s">
        <v>16756</v>
      </c>
      <c r="D932" s="121" t="s">
        <v>16757</v>
      </c>
      <c r="E932" s="121" t="s">
        <v>16758</v>
      </c>
      <c r="F932" s="121" t="s">
        <v>48</v>
      </c>
      <c r="G932" s="121" t="s">
        <v>16759</v>
      </c>
      <c r="H932" s="121" t="s">
        <v>16760</v>
      </c>
      <c r="I932" s="122" t="s">
        <v>50</v>
      </c>
      <c r="J932" s="121" t="s">
        <v>16761</v>
      </c>
      <c r="K932" s="120" t="s">
        <v>16762</v>
      </c>
    </row>
    <row r="933" customFormat="false" ht="14.25" hidden="false" customHeight="true" outlineLevel="0" collapsed="false">
      <c r="A933" s="115"/>
      <c r="B933" s="115"/>
      <c r="C933" s="115"/>
      <c r="D933" s="115"/>
      <c r="E933" s="115"/>
      <c r="F933" s="115"/>
      <c r="G933" s="121"/>
      <c r="H933" s="121"/>
      <c r="I933" s="121"/>
      <c r="J933" s="121"/>
      <c r="K933" s="120" t="s">
        <v>16763</v>
      </c>
    </row>
    <row r="934" customFormat="false" ht="14.25" hidden="false" customHeight="true" outlineLevel="0" collapsed="false">
      <c r="A934" s="115"/>
      <c r="B934" s="115"/>
      <c r="C934" s="115"/>
      <c r="D934" s="115"/>
      <c r="E934" s="115"/>
      <c r="F934" s="115"/>
      <c r="G934" s="121" t="s">
        <v>16764</v>
      </c>
      <c r="H934" s="121" t="s">
        <v>16765</v>
      </c>
      <c r="I934" s="122" t="s">
        <v>50</v>
      </c>
      <c r="J934" s="121" t="s">
        <v>16766</v>
      </c>
      <c r="K934" s="120" t="s">
        <v>16767</v>
      </c>
    </row>
    <row r="935" customFormat="false" ht="14.25" hidden="false" customHeight="true" outlineLevel="0" collapsed="false">
      <c r="A935" s="115"/>
      <c r="B935" s="115"/>
      <c r="C935" s="115"/>
      <c r="D935" s="121"/>
      <c r="E935" s="121"/>
      <c r="F935" s="121"/>
      <c r="G935" s="121"/>
      <c r="H935" s="121"/>
      <c r="I935" s="121"/>
      <c r="J935" s="121"/>
      <c r="K935" s="120" t="s">
        <v>16768</v>
      </c>
    </row>
    <row r="936" customFormat="false" ht="14.25" hidden="false" customHeight="true" outlineLevel="0" collapsed="false">
      <c r="A936" s="115"/>
      <c r="B936" s="115"/>
      <c r="C936" s="115"/>
      <c r="D936" s="121" t="s">
        <v>16769</v>
      </c>
      <c r="E936" s="121" t="s">
        <v>16770</v>
      </c>
      <c r="F936" s="121" t="s">
        <v>38</v>
      </c>
      <c r="G936" s="121" t="s">
        <v>16771</v>
      </c>
      <c r="H936" s="121" t="s">
        <v>16772</v>
      </c>
      <c r="I936" s="122" t="s">
        <v>50</v>
      </c>
      <c r="J936" s="121" t="s">
        <v>16773</v>
      </c>
      <c r="K936" s="120" t="s">
        <v>16774</v>
      </c>
    </row>
    <row r="937" customFormat="false" ht="14.25" hidden="false" customHeight="true" outlineLevel="0" collapsed="false">
      <c r="A937" s="115"/>
      <c r="B937" s="115"/>
      <c r="C937" s="115"/>
      <c r="D937" s="115"/>
      <c r="E937" s="115"/>
      <c r="F937" s="115"/>
      <c r="G937" s="121"/>
      <c r="H937" s="121"/>
      <c r="I937" s="121"/>
      <c r="J937" s="121"/>
      <c r="K937" s="120" t="s">
        <v>16775</v>
      </c>
    </row>
    <row r="938" customFormat="false" ht="14.25" hidden="false" customHeight="true" outlineLevel="0" collapsed="false">
      <c r="A938" s="115"/>
      <c r="B938" s="115"/>
      <c r="C938" s="115"/>
      <c r="D938" s="115"/>
      <c r="E938" s="115"/>
      <c r="F938" s="115"/>
      <c r="G938" s="121" t="s">
        <v>16776</v>
      </c>
      <c r="H938" s="121" t="s">
        <v>16777</v>
      </c>
      <c r="I938" s="122" t="s">
        <v>50</v>
      </c>
      <c r="J938" s="121" t="s">
        <v>16778</v>
      </c>
      <c r="K938" s="120" t="s">
        <v>16779</v>
      </c>
    </row>
    <row r="939" customFormat="false" ht="14.25" hidden="false" customHeight="true" outlineLevel="0" collapsed="false">
      <c r="A939" s="115"/>
      <c r="B939" s="115"/>
      <c r="C939" s="115"/>
      <c r="D939" s="121"/>
      <c r="E939" s="121"/>
      <c r="F939" s="121"/>
      <c r="G939" s="121"/>
      <c r="H939" s="121"/>
      <c r="I939" s="121"/>
      <c r="J939" s="121"/>
      <c r="K939" s="120" t="s">
        <v>16780</v>
      </c>
    </row>
    <row r="940" customFormat="false" ht="14.25" hidden="false" customHeight="true" outlineLevel="0" collapsed="false">
      <c r="A940" s="115"/>
      <c r="B940" s="115"/>
      <c r="C940" s="115"/>
      <c r="D940" s="121" t="s">
        <v>16781</v>
      </c>
      <c r="E940" s="121" t="s">
        <v>16782</v>
      </c>
      <c r="F940" s="121" t="s">
        <v>48</v>
      </c>
      <c r="G940" s="121" t="s">
        <v>16783</v>
      </c>
      <c r="H940" s="121" t="s">
        <v>16784</v>
      </c>
      <c r="I940" s="122" t="s">
        <v>50</v>
      </c>
      <c r="J940" s="121" t="s">
        <v>16785</v>
      </c>
      <c r="K940" s="120" t="s">
        <v>16786</v>
      </c>
    </row>
    <row r="941" customFormat="false" ht="14.25" hidden="false" customHeight="true" outlineLevel="0" collapsed="false">
      <c r="A941" s="115"/>
      <c r="B941" s="115"/>
      <c r="C941" s="115"/>
      <c r="D941" s="115"/>
      <c r="E941" s="115"/>
      <c r="F941" s="115"/>
      <c r="G941" s="121"/>
      <c r="H941" s="121"/>
      <c r="I941" s="121"/>
      <c r="J941" s="121"/>
      <c r="K941" s="120" t="s">
        <v>16787</v>
      </c>
    </row>
    <row r="942" customFormat="false" ht="14.25" hidden="false" customHeight="true" outlineLevel="0" collapsed="false">
      <c r="A942" s="115"/>
      <c r="B942" s="115"/>
      <c r="C942" s="115"/>
      <c r="D942" s="115"/>
      <c r="E942" s="115"/>
      <c r="F942" s="115"/>
      <c r="G942" s="121" t="s">
        <v>16788</v>
      </c>
      <c r="H942" s="121" t="s">
        <v>16789</v>
      </c>
      <c r="I942" s="122" t="s">
        <v>50</v>
      </c>
      <c r="J942" s="121" t="s">
        <v>16790</v>
      </c>
      <c r="K942" s="120" t="s">
        <v>16791</v>
      </c>
    </row>
    <row r="943" customFormat="false" ht="14.25" hidden="false" customHeight="true" outlineLevel="0" collapsed="false">
      <c r="A943" s="115"/>
      <c r="B943" s="115"/>
      <c r="C943" s="115"/>
      <c r="D943" s="121"/>
      <c r="E943" s="121"/>
      <c r="F943" s="121"/>
      <c r="G943" s="121"/>
      <c r="H943" s="121"/>
      <c r="I943" s="121"/>
      <c r="J943" s="121"/>
      <c r="K943" s="120" t="s">
        <v>16792</v>
      </c>
    </row>
    <row r="944" customFormat="false" ht="14.25" hidden="false" customHeight="true" outlineLevel="0" collapsed="false">
      <c r="A944" s="115"/>
      <c r="B944" s="115"/>
      <c r="C944" s="115"/>
      <c r="D944" s="121" t="s">
        <v>16793</v>
      </c>
      <c r="E944" s="121" t="s">
        <v>16794</v>
      </c>
      <c r="F944" s="121" t="s">
        <v>48</v>
      </c>
      <c r="G944" s="121" t="s">
        <v>16795</v>
      </c>
      <c r="H944" s="121" t="s">
        <v>16796</v>
      </c>
      <c r="I944" s="122" t="s">
        <v>50</v>
      </c>
      <c r="J944" s="121" t="s">
        <v>16797</v>
      </c>
      <c r="K944" s="120" t="s">
        <v>16798</v>
      </c>
    </row>
    <row r="945" customFormat="false" ht="14.25" hidden="false" customHeight="true" outlineLevel="0" collapsed="false">
      <c r="A945" s="115"/>
      <c r="B945" s="115"/>
      <c r="C945" s="115"/>
      <c r="D945" s="115"/>
      <c r="E945" s="115"/>
      <c r="F945" s="115"/>
      <c r="G945" s="121"/>
      <c r="H945" s="121"/>
      <c r="I945" s="121"/>
      <c r="J945" s="121"/>
      <c r="K945" s="120" t="s">
        <v>16799</v>
      </c>
    </row>
    <row r="946" customFormat="false" ht="14.25" hidden="false" customHeight="true" outlineLevel="0" collapsed="false">
      <c r="A946" s="115"/>
      <c r="B946" s="115"/>
      <c r="C946" s="115"/>
      <c r="D946" s="115"/>
      <c r="E946" s="115"/>
      <c r="F946" s="115"/>
      <c r="G946" s="121" t="s">
        <v>16800</v>
      </c>
      <c r="H946" s="121" t="s">
        <v>16801</v>
      </c>
      <c r="I946" s="122" t="s">
        <v>50</v>
      </c>
      <c r="J946" s="121" t="s">
        <v>11244</v>
      </c>
      <c r="K946" s="120" t="s">
        <v>16802</v>
      </c>
    </row>
    <row r="947" customFormat="false" ht="14.25" hidden="false" customHeight="true" outlineLevel="0" collapsed="false">
      <c r="A947" s="115"/>
      <c r="B947" s="115"/>
      <c r="C947" s="115"/>
      <c r="D947" s="121"/>
      <c r="E947" s="121"/>
      <c r="F947" s="121"/>
      <c r="G947" s="121"/>
      <c r="H947" s="121"/>
      <c r="I947" s="121"/>
      <c r="J947" s="121"/>
      <c r="K947" s="120" t="s">
        <v>16803</v>
      </c>
    </row>
    <row r="948" customFormat="false" ht="14.25" hidden="false" customHeight="true" outlineLevel="0" collapsed="false">
      <c r="A948" s="115"/>
      <c r="B948" s="115"/>
      <c r="C948" s="115"/>
      <c r="D948" s="121" t="s">
        <v>16804</v>
      </c>
      <c r="E948" s="121" t="s">
        <v>16805</v>
      </c>
      <c r="F948" s="121" t="s">
        <v>48</v>
      </c>
      <c r="G948" s="121" t="s">
        <v>16806</v>
      </c>
      <c r="H948" s="121" t="s">
        <v>16807</v>
      </c>
      <c r="I948" s="122" t="s">
        <v>50</v>
      </c>
      <c r="J948" s="121" t="s">
        <v>16808</v>
      </c>
      <c r="K948" s="120" t="s">
        <v>16809</v>
      </c>
    </row>
    <row r="949" customFormat="false" ht="14.25" hidden="false" customHeight="true" outlineLevel="0" collapsed="false">
      <c r="A949" s="115"/>
      <c r="B949" s="115"/>
      <c r="C949" s="115"/>
      <c r="D949" s="115"/>
      <c r="E949" s="115"/>
      <c r="F949" s="115"/>
      <c r="G949" s="121"/>
      <c r="H949" s="121"/>
      <c r="I949" s="121"/>
      <c r="J949" s="121"/>
      <c r="K949" s="120" t="s">
        <v>16810</v>
      </c>
    </row>
    <row r="950" customFormat="false" ht="14.25" hidden="false" customHeight="true" outlineLevel="0" collapsed="false">
      <c r="A950" s="115"/>
      <c r="B950" s="115"/>
      <c r="C950" s="115"/>
      <c r="D950" s="115"/>
      <c r="E950" s="115"/>
      <c r="F950" s="115"/>
      <c r="G950" s="121" t="s">
        <v>16811</v>
      </c>
      <c r="H950" s="121" t="s">
        <v>16812</v>
      </c>
      <c r="I950" s="122" t="s">
        <v>50</v>
      </c>
      <c r="J950" s="121" t="s">
        <v>16813</v>
      </c>
      <c r="K950" s="120" t="s">
        <v>16814</v>
      </c>
    </row>
    <row r="951" customFormat="false" ht="14.25" hidden="false" customHeight="true" outlineLevel="0" collapsed="false">
      <c r="A951" s="115"/>
      <c r="B951" s="115"/>
      <c r="C951" s="115"/>
      <c r="D951" s="115"/>
      <c r="E951" s="115"/>
      <c r="F951" s="115"/>
      <c r="G951" s="115"/>
      <c r="H951" s="115"/>
      <c r="I951" s="115"/>
      <c r="J951" s="115"/>
      <c r="K951" s="120" t="s">
        <v>16815</v>
      </c>
    </row>
    <row r="952" customFormat="false" ht="14.25" hidden="false" customHeight="true" outlineLevel="0" collapsed="false">
      <c r="A952" s="115"/>
      <c r="B952" s="131" t="s">
        <v>16816</v>
      </c>
      <c r="C952" s="125" t="s">
        <v>16817</v>
      </c>
      <c r="D952" s="121" t="s">
        <v>16818</v>
      </c>
      <c r="E952" s="121" t="s">
        <v>16819</v>
      </c>
      <c r="F952" s="121" t="s">
        <v>48</v>
      </c>
      <c r="G952" s="121" t="s">
        <v>16820</v>
      </c>
      <c r="H952" s="121" t="s">
        <v>16821</v>
      </c>
      <c r="I952" s="122" t="s">
        <v>50</v>
      </c>
      <c r="J952" s="121" t="s">
        <v>16822</v>
      </c>
      <c r="K952" s="120" t="s">
        <v>16823</v>
      </c>
    </row>
    <row r="953" customFormat="false" ht="14.25" hidden="false" customHeight="true" outlineLevel="0" collapsed="false">
      <c r="A953" s="115"/>
      <c r="B953" s="115"/>
      <c r="C953" s="115"/>
      <c r="D953" s="115"/>
      <c r="E953" s="115"/>
      <c r="F953" s="115"/>
      <c r="G953" s="121"/>
      <c r="H953" s="121"/>
      <c r="I953" s="121"/>
      <c r="J953" s="121"/>
      <c r="K953" s="120" t="s">
        <v>16824</v>
      </c>
    </row>
    <row r="954" customFormat="false" ht="14.25" hidden="false" customHeight="true" outlineLevel="0" collapsed="false">
      <c r="A954" s="115"/>
      <c r="B954" s="115"/>
      <c r="C954" s="115"/>
      <c r="D954" s="115"/>
      <c r="E954" s="115"/>
      <c r="F954" s="115"/>
      <c r="G954" s="121" t="s">
        <v>16825</v>
      </c>
      <c r="H954" s="121" t="s">
        <v>16826</v>
      </c>
      <c r="I954" s="122" t="s">
        <v>50</v>
      </c>
      <c r="J954" s="121" t="s">
        <v>16827</v>
      </c>
      <c r="K954" s="120" t="s">
        <v>16828</v>
      </c>
    </row>
    <row r="955" customFormat="false" ht="14.25" hidden="false" customHeight="true" outlineLevel="0" collapsed="false">
      <c r="A955" s="115"/>
      <c r="B955" s="115"/>
      <c r="C955" s="115"/>
      <c r="D955" s="121"/>
      <c r="E955" s="121"/>
      <c r="F955" s="121"/>
      <c r="G955" s="121"/>
      <c r="H955" s="121"/>
      <c r="I955" s="121"/>
      <c r="J955" s="121"/>
      <c r="K955" s="120" t="s">
        <v>16829</v>
      </c>
    </row>
    <row r="956" customFormat="false" ht="14.25" hidden="false" customHeight="true" outlineLevel="0" collapsed="false">
      <c r="A956" s="115"/>
      <c r="B956" s="115"/>
      <c r="C956" s="115"/>
      <c r="D956" s="121" t="s">
        <v>16830</v>
      </c>
      <c r="E956" s="121" t="s">
        <v>16831</v>
      </c>
      <c r="F956" s="121" t="s">
        <v>48</v>
      </c>
      <c r="G956" s="121" t="s">
        <v>16832</v>
      </c>
      <c r="H956" s="121" t="s">
        <v>16833</v>
      </c>
      <c r="I956" s="122" t="s">
        <v>50</v>
      </c>
      <c r="J956" s="121" t="s">
        <v>16834</v>
      </c>
      <c r="K956" s="120" t="s">
        <v>16835</v>
      </c>
    </row>
    <row r="957" customFormat="false" ht="14.25" hidden="false" customHeight="true" outlineLevel="0" collapsed="false">
      <c r="A957" s="115"/>
      <c r="B957" s="115"/>
      <c r="C957" s="115"/>
      <c r="D957" s="115"/>
      <c r="E957" s="115"/>
      <c r="F957" s="115"/>
      <c r="G957" s="121"/>
      <c r="H957" s="121"/>
      <c r="I957" s="121"/>
      <c r="J957" s="121"/>
      <c r="K957" s="120" t="s">
        <v>16836</v>
      </c>
    </row>
    <row r="958" customFormat="false" ht="14.25" hidden="false" customHeight="true" outlineLevel="0" collapsed="false">
      <c r="A958" s="115"/>
      <c r="B958" s="115"/>
      <c r="C958" s="115"/>
      <c r="D958" s="115"/>
      <c r="E958" s="115"/>
      <c r="F958" s="115"/>
      <c r="G958" s="121" t="s">
        <v>16837</v>
      </c>
      <c r="H958" s="121" t="s">
        <v>16838</v>
      </c>
      <c r="I958" s="132" t="s">
        <v>40</v>
      </c>
      <c r="J958" s="121" t="s">
        <v>16839</v>
      </c>
      <c r="K958" s="120" t="s">
        <v>16840</v>
      </c>
    </row>
    <row r="959" customFormat="false" ht="14.25" hidden="false" customHeight="true" outlineLevel="0" collapsed="false">
      <c r="A959" s="115"/>
      <c r="B959" s="115"/>
      <c r="C959" s="115"/>
      <c r="D959" s="121"/>
      <c r="E959" s="121"/>
      <c r="F959" s="121"/>
      <c r="G959" s="121"/>
      <c r="H959" s="121"/>
      <c r="I959" s="132"/>
      <c r="J959" s="121"/>
      <c r="K959" s="120" t="s">
        <v>16841</v>
      </c>
    </row>
    <row r="960" customFormat="false" ht="14.25" hidden="false" customHeight="true" outlineLevel="0" collapsed="false">
      <c r="A960" s="115"/>
      <c r="B960" s="115"/>
      <c r="C960" s="115"/>
      <c r="D960" s="121" t="s">
        <v>16842</v>
      </c>
      <c r="E960" s="121" t="s">
        <v>16843</v>
      </c>
      <c r="F960" s="121" t="s">
        <v>48</v>
      </c>
      <c r="G960" s="121" t="s">
        <v>16844</v>
      </c>
      <c r="H960" s="121" t="s">
        <v>16845</v>
      </c>
      <c r="I960" s="132" t="s">
        <v>40</v>
      </c>
      <c r="J960" s="121" t="s">
        <v>16846</v>
      </c>
      <c r="K960" s="120" t="s">
        <v>16847</v>
      </c>
    </row>
    <row r="961" customFormat="false" ht="14.25" hidden="false" customHeight="true" outlineLevel="0" collapsed="false">
      <c r="A961" s="115"/>
      <c r="B961" s="115"/>
      <c r="C961" s="115"/>
      <c r="D961" s="115"/>
      <c r="E961" s="115"/>
      <c r="F961" s="115"/>
      <c r="G961" s="121"/>
      <c r="H961" s="121"/>
      <c r="I961" s="132"/>
      <c r="J961" s="121"/>
      <c r="K961" s="120" t="s">
        <v>16848</v>
      </c>
    </row>
    <row r="962" customFormat="false" ht="14.25" hidden="false" customHeight="true" outlineLevel="0" collapsed="false">
      <c r="A962" s="115"/>
      <c r="B962" s="115"/>
      <c r="C962" s="115"/>
      <c r="D962" s="115"/>
      <c r="E962" s="115"/>
      <c r="F962" s="115"/>
      <c r="G962" s="121" t="s">
        <v>16849</v>
      </c>
      <c r="H962" s="121" t="s">
        <v>16850</v>
      </c>
      <c r="I962" s="133" t="s">
        <v>50</v>
      </c>
      <c r="J962" s="121" t="s">
        <v>16851</v>
      </c>
      <c r="K962" s="120" t="s">
        <v>16852</v>
      </c>
    </row>
    <row r="963" customFormat="false" ht="14.25" hidden="false" customHeight="true" outlineLevel="0" collapsed="false">
      <c r="A963" s="115"/>
      <c r="B963" s="115"/>
      <c r="C963" s="115"/>
      <c r="D963" s="121"/>
      <c r="E963" s="121"/>
      <c r="F963" s="121"/>
      <c r="G963" s="121"/>
      <c r="H963" s="121"/>
      <c r="I963" s="133"/>
      <c r="J963" s="121"/>
      <c r="K963" s="120" t="s">
        <v>16853</v>
      </c>
    </row>
    <row r="964" customFormat="false" ht="14.25" hidden="false" customHeight="true" outlineLevel="0" collapsed="false">
      <c r="A964" s="115"/>
      <c r="B964" s="115"/>
      <c r="C964" s="115"/>
      <c r="D964" s="121" t="s">
        <v>16854</v>
      </c>
      <c r="E964" s="121" t="s">
        <v>16855</v>
      </c>
      <c r="F964" s="121" t="s">
        <v>48</v>
      </c>
      <c r="G964" s="121" t="s">
        <v>16856</v>
      </c>
      <c r="H964" s="121" t="s">
        <v>16857</v>
      </c>
      <c r="I964" s="133" t="s">
        <v>50</v>
      </c>
      <c r="J964" s="121" t="s">
        <v>16858</v>
      </c>
      <c r="K964" s="120" t="s">
        <v>16859</v>
      </c>
    </row>
    <row r="965" customFormat="false" ht="14.25" hidden="false" customHeight="true" outlineLevel="0" collapsed="false">
      <c r="A965" s="115"/>
      <c r="B965" s="115"/>
      <c r="C965" s="115"/>
      <c r="D965" s="115"/>
      <c r="E965" s="115"/>
      <c r="F965" s="115"/>
      <c r="G965" s="121"/>
      <c r="H965" s="121"/>
      <c r="I965" s="133"/>
      <c r="J965" s="121"/>
      <c r="K965" s="120" t="s">
        <v>16860</v>
      </c>
    </row>
    <row r="966" customFormat="false" ht="14.25" hidden="false" customHeight="true" outlineLevel="0" collapsed="false">
      <c r="A966" s="115"/>
      <c r="B966" s="115"/>
      <c r="C966" s="115"/>
      <c r="D966" s="115"/>
      <c r="E966" s="115"/>
      <c r="F966" s="115"/>
      <c r="G966" s="121" t="s">
        <v>16861</v>
      </c>
      <c r="H966" s="121" t="s">
        <v>16862</v>
      </c>
      <c r="I966" s="133" t="s">
        <v>50</v>
      </c>
      <c r="J966" s="121" t="s">
        <v>16863</v>
      </c>
      <c r="K966" s="120" t="s">
        <v>16864</v>
      </c>
    </row>
    <row r="967" customFormat="false" ht="14.25" hidden="false" customHeight="true" outlineLevel="0" collapsed="false">
      <c r="A967" s="115"/>
      <c r="B967" s="115"/>
      <c r="C967" s="115"/>
      <c r="D967" s="121"/>
      <c r="E967" s="121"/>
      <c r="F967" s="121"/>
      <c r="G967" s="121"/>
      <c r="H967" s="121"/>
      <c r="I967" s="133"/>
      <c r="J967" s="121"/>
      <c r="K967" s="120" t="s">
        <v>16865</v>
      </c>
    </row>
    <row r="968" customFormat="false" ht="14.25" hidden="false" customHeight="true" outlineLevel="0" collapsed="false">
      <c r="A968" s="115"/>
      <c r="B968" s="115"/>
      <c r="C968" s="115"/>
      <c r="D968" s="121" t="s">
        <v>16866</v>
      </c>
      <c r="E968" s="121" t="s">
        <v>16867</v>
      </c>
      <c r="F968" s="121" t="s">
        <v>48</v>
      </c>
      <c r="G968" s="121" t="s">
        <v>16868</v>
      </c>
      <c r="H968" s="121" t="s">
        <v>16869</v>
      </c>
      <c r="I968" s="133" t="s">
        <v>50</v>
      </c>
      <c r="J968" s="121" t="s">
        <v>16870</v>
      </c>
      <c r="K968" s="120" t="s">
        <v>16871</v>
      </c>
    </row>
    <row r="969" customFormat="false" ht="14.25" hidden="false" customHeight="true" outlineLevel="0" collapsed="false">
      <c r="A969" s="115"/>
      <c r="B969" s="115"/>
      <c r="C969" s="115"/>
      <c r="D969" s="115"/>
      <c r="E969" s="115"/>
      <c r="F969" s="115"/>
      <c r="G969" s="121"/>
      <c r="H969" s="121"/>
      <c r="I969" s="133"/>
      <c r="J969" s="121"/>
      <c r="K969" s="120" t="s">
        <v>16872</v>
      </c>
    </row>
    <row r="970" customFormat="false" ht="14.25" hidden="false" customHeight="true" outlineLevel="0" collapsed="false">
      <c r="A970" s="115"/>
      <c r="B970" s="115"/>
      <c r="C970" s="115"/>
      <c r="D970" s="115"/>
      <c r="E970" s="115"/>
      <c r="F970" s="115"/>
      <c r="G970" s="121" t="s">
        <v>16873</v>
      </c>
      <c r="H970" s="121" t="s">
        <v>16874</v>
      </c>
      <c r="I970" s="130" t="s">
        <v>67</v>
      </c>
      <c r="J970" s="121" t="s">
        <v>16875</v>
      </c>
      <c r="K970" s="120" t="s">
        <v>16876</v>
      </c>
    </row>
    <row r="971" customFormat="false" ht="14.25" hidden="false" customHeight="true" outlineLevel="0" collapsed="false">
      <c r="A971" s="115"/>
      <c r="B971" s="115"/>
      <c r="C971" s="125"/>
      <c r="D971" s="125"/>
      <c r="E971" s="125"/>
      <c r="F971" s="125"/>
      <c r="G971" s="125"/>
      <c r="H971" s="125"/>
      <c r="I971" s="125"/>
      <c r="J971" s="125"/>
      <c r="K971" s="120" t="s">
        <v>16877</v>
      </c>
    </row>
    <row r="972" customFormat="false" ht="14.25" hidden="false" customHeight="true" outlineLevel="0" collapsed="false">
      <c r="A972" s="115"/>
      <c r="B972" s="115"/>
      <c r="C972" s="125" t="s">
        <v>16878</v>
      </c>
      <c r="D972" s="121" t="s">
        <v>16879</v>
      </c>
      <c r="E972" s="121" t="s">
        <v>16880</v>
      </c>
      <c r="F972" s="121" t="s">
        <v>48</v>
      </c>
      <c r="G972" s="121" t="s">
        <v>16881</v>
      </c>
      <c r="H972" s="121" t="s">
        <v>16882</v>
      </c>
      <c r="I972" s="122" t="s">
        <v>50</v>
      </c>
      <c r="J972" s="121" t="s">
        <v>16883</v>
      </c>
      <c r="K972" s="120" t="s">
        <v>16884</v>
      </c>
    </row>
    <row r="973" customFormat="false" ht="14.25" hidden="false" customHeight="true" outlineLevel="0" collapsed="false">
      <c r="A973" s="115"/>
      <c r="B973" s="115"/>
      <c r="C973" s="115"/>
      <c r="D973" s="115"/>
      <c r="E973" s="115"/>
      <c r="F973" s="115"/>
      <c r="G973" s="121"/>
      <c r="H973" s="121"/>
      <c r="I973" s="121"/>
      <c r="J973" s="121"/>
      <c r="K973" s="120" t="s">
        <v>16885</v>
      </c>
    </row>
    <row r="974" customFormat="false" ht="14.25" hidden="false" customHeight="true" outlineLevel="0" collapsed="false">
      <c r="A974" s="115"/>
      <c r="B974" s="115"/>
      <c r="C974" s="115"/>
      <c r="D974" s="115"/>
      <c r="E974" s="115"/>
      <c r="F974" s="115"/>
      <c r="G974" s="121" t="s">
        <v>16886</v>
      </c>
      <c r="H974" s="121" t="s">
        <v>16887</v>
      </c>
      <c r="I974" s="123" t="s">
        <v>40</v>
      </c>
      <c r="J974" s="121" t="s">
        <v>16888</v>
      </c>
      <c r="K974" s="120" t="s">
        <v>16889</v>
      </c>
    </row>
    <row r="975" customFormat="false" ht="14.25" hidden="false" customHeight="true" outlineLevel="0" collapsed="false">
      <c r="A975" s="115"/>
      <c r="B975" s="115"/>
      <c r="C975" s="115"/>
      <c r="D975" s="121"/>
      <c r="E975" s="121"/>
      <c r="F975" s="121"/>
      <c r="G975" s="121"/>
      <c r="H975" s="121"/>
      <c r="I975" s="121"/>
      <c r="J975" s="121"/>
      <c r="K975" s="120" t="s">
        <v>16890</v>
      </c>
    </row>
    <row r="976" customFormat="false" ht="14.25" hidden="false" customHeight="true" outlineLevel="0" collapsed="false">
      <c r="A976" s="115"/>
      <c r="B976" s="115"/>
      <c r="C976" s="115"/>
      <c r="D976" s="121" t="s">
        <v>16891</v>
      </c>
      <c r="E976" s="121" t="s">
        <v>16892</v>
      </c>
      <c r="F976" s="121" t="s">
        <v>48</v>
      </c>
      <c r="G976" s="121" t="s">
        <v>16893</v>
      </c>
      <c r="H976" s="121" t="s">
        <v>16894</v>
      </c>
      <c r="I976" s="123" t="s">
        <v>40</v>
      </c>
      <c r="J976" s="121" t="s">
        <v>16895</v>
      </c>
      <c r="K976" s="120" t="s">
        <v>16896</v>
      </c>
    </row>
    <row r="977" customFormat="false" ht="14.25" hidden="false" customHeight="true" outlineLevel="0" collapsed="false">
      <c r="A977" s="115"/>
      <c r="B977" s="115"/>
      <c r="C977" s="115"/>
      <c r="D977" s="115"/>
      <c r="E977" s="115"/>
      <c r="F977" s="115"/>
      <c r="G977" s="121"/>
      <c r="H977" s="121"/>
      <c r="I977" s="121"/>
      <c r="J977" s="121"/>
      <c r="K977" s="120" t="s">
        <v>16897</v>
      </c>
    </row>
    <row r="978" customFormat="false" ht="14.25" hidden="false" customHeight="true" outlineLevel="0" collapsed="false">
      <c r="A978" s="115"/>
      <c r="B978" s="115"/>
      <c r="C978" s="115"/>
      <c r="D978" s="115"/>
      <c r="E978" s="115"/>
      <c r="F978" s="115"/>
      <c r="G978" s="121" t="s">
        <v>16898</v>
      </c>
      <c r="H978" s="121" t="s">
        <v>16899</v>
      </c>
      <c r="I978" s="123" t="s">
        <v>40</v>
      </c>
      <c r="J978" s="121" t="s">
        <v>16900</v>
      </c>
      <c r="K978" s="120" t="s">
        <v>16901</v>
      </c>
    </row>
    <row r="979" customFormat="false" ht="14.25" hidden="false" customHeight="true" outlineLevel="0" collapsed="false">
      <c r="A979" s="115"/>
      <c r="B979" s="115"/>
      <c r="C979" s="115"/>
      <c r="D979" s="121"/>
      <c r="E979" s="121"/>
      <c r="F979" s="121"/>
      <c r="G979" s="121"/>
      <c r="H979" s="121"/>
      <c r="I979" s="121"/>
      <c r="J979" s="121"/>
      <c r="K979" s="120" t="s">
        <v>16902</v>
      </c>
    </row>
    <row r="980" customFormat="false" ht="14.25" hidden="false" customHeight="true" outlineLevel="0" collapsed="false">
      <c r="A980" s="115"/>
      <c r="B980" s="115"/>
      <c r="C980" s="115"/>
      <c r="D980" s="121" t="s">
        <v>16903</v>
      </c>
      <c r="E980" s="121" t="s">
        <v>16904</v>
      </c>
      <c r="F980" s="121" t="s">
        <v>48</v>
      </c>
      <c r="G980" s="121" t="s">
        <v>16905</v>
      </c>
      <c r="H980" s="121" t="s">
        <v>16906</v>
      </c>
      <c r="I980" s="123" t="s">
        <v>40</v>
      </c>
      <c r="J980" s="121" t="s">
        <v>16907</v>
      </c>
      <c r="K980" s="120" t="s">
        <v>16908</v>
      </c>
    </row>
    <row r="981" customFormat="false" ht="14.25" hidden="false" customHeight="true" outlineLevel="0" collapsed="false">
      <c r="A981" s="115"/>
      <c r="B981" s="115"/>
      <c r="C981" s="115"/>
      <c r="D981" s="115"/>
      <c r="E981" s="115"/>
      <c r="F981" s="115"/>
      <c r="G981" s="121"/>
      <c r="H981" s="121"/>
      <c r="I981" s="121"/>
      <c r="J981" s="121"/>
      <c r="K981" s="120" t="s">
        <v>16909</v>
      </c>
    </row>
    <row r="982" customFormat="false" ht="14.25" hidden="false" customHeight="true" outlineLevel="0" collapsed="false">
      <c r="A982" s="115"/>
      <c r="B982" s="115"/>
      <c r="C982" s="115"/>
      <c r="D982" s="115"/>
      <c r="E982" s="115"/>
      <c r="F982" s="115"/>
      <c r="G982" s="121" t="s">
        <v>16910</v>
      </c>
      <c r="H982" s="121" t="s">
        <v>16911</v>
      </c>
      <c r="I982" s="123" t="s">
        <v>40</v>
      </c>
      <c r="J982" s="121" t="s">
        <v>16912</v>
      </c>
      <c r="K982" s="120" t="s">
        <v>16913</v>
      </c>
    </row>
    <row r="983" customFormat="false" ht="14.25" hidden="false" customHeight="true" outlineLevel="0" collapsed="false">
      <c r="A983" s="115"/>
      <c r="B983" s="115"/>
      <c r="C983" s="115"/>
      <c r="D983" s="121"/>
      <c r="E983" s="121"/>
      <c r="F983" s="121"/>
      <c r="G983" s="121"/>
      <c r="H983" s="121"/>
      <c r="I983" s="121"/>
      <c r="J983" s="121"/>
      <c r="K983" s="120" t="s">
        <v>16914</v>
      </c>
    </row>
    <row r="984" customFormat="false" ht="14.25" hidden="false" customHeight="true" outlineLevel="0" collapsed="false">
      <c r="A984" s="115"/>
      <c r="B984" s="115"/>
      <c r="C984" s="115"/>
      <c r="D984" s="121" t="s">
        <v>16915</v>
      </c>
      <c r="E984" s="121" t="s">
        <v>16916</v>
      </c>
      <c r="F984" s="121" t="s">
        <v>48</v>
      </c>
      <c r="G984" s="121" t="s">
        <v>16917</v>
      </c>
      <c r="H984" s="121" t="s">
        <v>16918</v>
      </c>
      <c r="I984" s="123" t="s">
        <v>40</v>
      </c>
      <c r="J984" s="121" t="s">
        <v>16919</v>
      </c>
      <c r="K984" s="120" t="s">
        <v>16920</v>
      </c>
    </row>
    <row r="985" customFormat="false" ht="14.25" hidden="false" customHeight="true" outlineLevel="0" collapsed="false">
      <c r="A985" s="115"/>
      <c r="B985" s="115"/>
      <c r="C985" s="115"/>
      <c r="D985" s="115"/>
      <c r="E985" s="115"/>
      <c r="F985" s="115"/>
      <c r="G985" s="121"/>
      <c r="H985" s="121"/>
      <c r="I985" s="121"/>
      <c r="J985" s="121"/>
      <c r="K985" s="120" t="s">
        <v>16921</v>
      </c>
    </row>
    <row r="986" customFormat="false" ht="14.25" hidden="false" customHeight="true" outlineLevel="0" collapsed="false">
      <c r="A986" s="115"/>
      <c r="B986" s="115"/>
      <c r="C986" s="115"/>
      <c r="D986" s="115"/>
      <c r="E986" s="115"/>
      <c r="F986" s="115"/>
      <c r="G986" s="121" t="s">
        <v>16922</v>
      </c>
      <c r="H986" s="121" t="s">
        <v>16923</v>
      </c>
      <c r="I986" s="123" t="s">
        <v>40</v>
      </c>
      <c r="J986" s="121" t="s">
        <v>16924</v>
      </c>
      <c r="K986" s="120" t="s">
        <v>16925</v>
      </c>
    </row>
    <row r="987" customFormat="false" ht="14.25" hidden="false" customHeight="true" outlineLevel="0" collapsed="false">
      <c r="A987" s="115"/>
      <c r="B987" s="115"/>
      <c r="C987" s="115"/>
      <c r="D987" s="121"/>
      <c r="E987" s="121"/>
      <c r="F987" s="121"/>
      <c r="G987" s="121"/>
      <c r="H987" s="121"/>
      <c r="I987" s="121"/>
      <c r="J987" s="121"/>
      <c r="K987" s="120" t="s">
        <v>16926</v>
      </c>
    </row>
    <row r="988" customFormat="false" ht="14.25" hidden="false" customHeight="true" outlineLevel="0" collapsed="false">
      <c r="A988" s="115"/>
      <c r="B988" s="115"/>
      <c r="C988" s="115"/>
      <c r="D988" s="121" t="s">
        <v>16927</v>
      </c>
      <c r="E988" s="121" t="s">
        <v>16928</v>
      </c>
      <c r="F988" s="121" t="s">
        <v>48</v>
      </c>
      <c r="G988" s="121" t="s">
        <v>16929</v>
      </c>
      <c r="H988" s="121" t="s">
        <v>16930</v>
      </c>
      <c r="I988" s="123" t="s">
        <v>40</v>
      </c>
      <c r="J988" s="121" t="s">
        <v>16931</v>
      </c>
      <c r="K988" s="120" t="s">
        <v>16932</v>
      </c>
    </row>
    <row r="989" customFormat="false" ht="14.25" hidden="false" customHeight="true" outlineLevel="0" collapsed="false">
      <c r="A989" s="115"/>
      <c r="B989" s="115"/>
      <c r="C989" s="115"/>
      <c r="D989" s="115"/>
      <c r="E989" s="115"/>
      <c r="F989" s="115"/>
      <c r="G989" s="121"/>
      <c r="H989" s="121"/>
      <c r="I989" s="121"/>
      <c r="J989" s="121"/>
      <c r="K989" s="120" t="s">
        <v>16933</v>
      </c>
    </row>
    <row r="990" customFormat="false" ht="14.25" hidden="false" customHeight="true" outlineLevel="0" collapsed="false">
      <c r="A990" s="115"/>
      <c r="B990" s="115"/>
      <c r="C990" s="115"/>
      <c r="D990" s="115"/>
      <c r="E990" s="115"/>
      <c r="F990" s="115"/>
      <c r="G990" s="121" t="s">
        <v>16934</v>
      </c>
      <c r="H990" s="121" t="s">
        <v>16935</v>
      </c>
      <c r="I990" s="123" t="s">
        <v>40</v>
      </c>
      <c r="J990" s="121" t="s">
        <v>16936</v>
      </c>
      <c r="K990" s="120" t="s">
        <v>16937</v>
      </c>
    </row>
    <row r="991" customFormat="false" ht="14.25" hidden="false" customHeight="true" outlineLevel="0" collapsed="false">
      <c r="A991" s="115"/>
      <c r="B991" s="115"/>
      <c r="C991" s="125"/>
      <c r="D991" s="125"/>
      <c r="E991" s="125"/>
      <c r="F991" s="125"/>
      <c r="G991" s="125"/>
      <c r="H991" s="125"/>
      <c r="I991" s="125"/>
      <c r="J991" s="125"/>
      <c r="K991" s="120" t="s">
        <v>16938</v>
      </c>
    </row>
    <row r="992" customFormat="false" ht="14.25" hidden="false" customHeight="true" outlineLevel="0" collapsed="false">
      <c r="A992" s="115"/>
      <c r="B992" s="115"/>
      <c r="C992" s="125" t="s">
        <v>16939</v>
      </c>
      <c r="D992" s="121" t="s">
        <v>16590</v>
      </c>
      <c r="E992" s="121" t="s">
        <v>16940</v>
      </c>
      <c r="F992" s="121" t="s">
        <v>48</v>
      </c>
      <c r="G992" s="121" t="s">
        <v>16941</v>
      </c>
      <c r="H992" s="121" t="s">
        <v>16942</v>
      </c>
      <c r="I992" s="123" t="s">
        <v>40</v>
      </c>
      <c r="J992" s="121" t="s">
        <v>16943</v>
      </c>
      <c r="K992" s="120" t="s">
        <v>16944</v>
      </c>
    </row>
    <row r="993" customFormat="false" ht="14.25" hidden="false" customHeight="true" outlineLevel="0" collapsed="false">
      <c r="A993" s="115"/>
      <c r="B993" s="115"/>
      <c r="C993" s="115"/>
      <c r="D993" s="115"/>
      <c r="E993" s="115"/>
      <c r="F993" s="115"/>
      <c r="G993" s="121"/>
      <c r="H993" s="121"/>
      <c r="I993" s="121"/>
      <c r="J993" s="121"/>
      <c r="K993" s="120" t="s">
        <v>16945</v>
      </c>
    </row>
    <row r="994" customFormat="false" ht="14.25" hidden="false" customHeight="true" outlineLevel="0" collapsed="false">
      <c r="A994" s="115"/>
      <c r="B994" s="115"/>
      <c r="C994" s="115"/>
      <c r="D994" s="115"/>
      <c r="E994" s="115"/>
      <c r="F994" s="115"/>
      <c r="G994" s="121" t="s">
        <v>16946</v>
      </c>
      <c r="H994" s="121" t="s">
        <v>16947</v>
      </c>
      <c r="I994" s="123" t="s">
        <v>40</v>
      </c>
      <c r="J994" s="121" t="s">
        <v>16948</v>
      </c>
      <c r="K994" s="120" t="s">
        <v>16949</v>
      </c>
    </row>
    <row r="995" customFormat="false" ht="14.25" hidden="false" customHeight="true" outlineLevel="0" collapsed="false">
      <c r="A995" s="115"/>
      <c r="B995" s="115"/>
      <c r="C995" s="115"/>
      <c r="D995" s="121"/>
      <c r="E995" s="121"/>
      <c r="F995" s="121"/>
      <c r="G995" s="121"/>
      <c r="H995" s="121"/>
      <c r="I995" s="121"/>
      <c r="J995" s="121"/>
      <c r="K995" s="120" t="s">
        <v>16950</v>
      </c>
    </row>
    <row r="996" customFormat="false" ht="14.25" hidden="false" customHeight="true" outlineLevel="0" collapsed="false">
      <c r="A996" s="115"/>
      <c r="B996" s="115"/>
      <c r="C996" s="115"/>
      <c r="D996" s="121" t="s">
        <v>16602</v>
      </c>
      <c r="E996" s="121" t="s">
        <v>16951</v>
      </c>
      <c r="F996" s="121" t="s">
        <v>48</v>
      </c>
      <c r="G996" s="121" t="s">
        <v>16952</v>
      </c>
      <c r="H996" s="121" t="s">
        <v>16953</v>
      </c>
      <c r="I996" s="123" t="s">
        <v>40</v>
      </c>
      <c r="J996" s="121" t="s">
        <v>16954</v>
      </c>
      <c r="K996" s="120" t="s">
        <v>16955</v>
      </c>
    </row>
    <row r="997" customFormat="false" ht="14.25" hidden="false" customHeight="true" outlineLevel="0" collapsed="false">
      <c r="A997" s="115"/>
      <c r="B997" s="115"/>
      <c r="C997" s="115"/>
      <c r="D997" s="115"/>
      <c r="E997" s="115"/>
      <c r="F997" s="115"/>
      <c r="G997" s="121"/>
      <c r="H997" s="121"/>
      <c r="I997" s="121"/>
      <c r="J997" s="121"/>
      <c r="K997" s="120" t="s">
        <v>16956</v>
      </c>
    </row>
    <row r="998" customFormat="false" ht="14.25" hidden="false" customHeight="true" outlineLevel="0" collapsed="false">
      <c r="A998" s="115"/>
      <c r="B998" s="115"/>
      <c r="C998" s="115"/>
      <c r="D998" s="115"/>
      <c r="E998" s="115"/>
      <c r="F998" s="115"/>
      <c r="G998" s="121" t="s">
        <v>16957</v>
      </c>
      <c r="H998" s="121" t="s">
        <v>16958</v>
      </c>
      <c r="I998" s="123" t="s">
        <v>40</v>
      </c>
      <c r="J998" s="121" t="s">
        <v>16959</v>
      </c>
      <c r="K998" s="120" t="s">
        <v>16960</v>
      </c>
    </row>
    <row r="999" customFormat="false" ht="14.25" hidden="false" customHeight="true" outlineLevel="0" collapsed="false">
      <c r="A999" s="115"/>
      <c r="B999" s="115"/>
      <c r="C999" s="115"/>
      <c r="D999" s="121"/>
      <c r="E999" s="121"/>
      <c r="F999" s="121"/>
      <c r="G999" s="121"/>
      <c r="H999" s="121"/>
      <c r="I999" s="121"/>
      <c r="J999" s="121"/>
      <c r="K999" s="120" t="s">
        <v>16961</v>
      </c>
    </row>
    <row r="1000" customFormat="false" ht="14.25" hidden="false" customHeight="true" outlineLevel="0" collapsed="false">
      <c r="A1000" s="115"/>
      <c r="B1000" s="115"/>
      <c r="C1000" s="115"/>
      <c r="D1000" s="121" t="s">
        <v>16614</v>
      </c>
      <c r="E1000" s="121" t="s">
        <v>16962</v>
      </c>
      <c r="F1000" s="121" t="s">
        <v>48</v>
      </c>
      <c r="G1000" s="121" t="s">
        <v>16963</v>
      </c>
      <c r="H1000" s="121" t="s">
        <v>16964</v>
      </c>
      <c r="I1000" s="123" t="s">
        <v>40</v>
      </c>
      <c r="J1000" s="121" t="s">
        <v>16965</v>
      </c>
      <c r="K1000" s="120" t="s">
        <v>16966</v>
      </c>
    </row>
    <row r="1001" customFormat="false" ht="14.25" hidden="false" customHeight="true" outlineLevel="0" collapsed="false">
      <c r="A1001" s="115"/>
      <c r="B1001" s="115"/>
      <c r="C1001" s="115"/>
      <c r="D1001" s="115"/>
      <c r="E1001" s="115"/>
      <c r="F1001" s="115"/>
      <c r="G1001" s="121"/>
      <c r="H1001" s="121"/>
      <c r="I1001" s="121"/>
      <c r="J1001" s="121"/>
      <c r="K1001" s="120" t="s">
        <v>16967</v>
      </c>
    </row>
    <row r="1002" customFormat="false" ht="14.25" hidden="false" customHeight="true" outlineLevel="0" collapsed="false">
      <c r="A1002" s="115"/>
      <c r="B1002" s="115"/>
      <c r="C1002" s="115"/>
      <c r="D1002" s="115"/>
      <c r="E1002" s="115"/>
      <c r="F1002" s="115"/>
      <c r="G1002" s="121" t="s">
        <v>16968</v>
      </c>
      <c r="H1002" s="121" t="s">
        <v>16969</v>
      </c>
      <c r="I1002" s="123" t="s">
        <v>40</v>
      </c>
      <c r="J1002" s="121" t="s">
        <v>16970</v>
      </c>
      <c r="K1002" s="120" t="s">
        <v>16971</v>
      </c>
    </row>
    <row r="1003" customFormat="false" ht="14.25" hidden="false" customHeight="true" outlineLevel="0" collapsed="false">
      <c r="A1003" s="115"/>
      <c r="B1003" s="115"/>
      <c r="C1003" s="115"/>
      <c r="D1003" s="121"/>
      <c r="E1003" s="121"/>
      <c r="F1003" s="121"/>
      <c r="G1003" s="121"/>
      <c r="H1003" s="121"/>
      <c r="I1003" s="121"/>
      <c r="J1003" s="121"/>
      <c r="K1003" s="120" t="s">
        <v>16972</v>
      </c>
    </row>
    <row r="1004" customFormat="false" ht="14.25" hidden="false" customHeight="true" outlineLevel="0" collapsed="false">
      <c r="A1004" s="115"/>
      <c r="B1004" s="115"/>
      <c r="C1004" s="115"/>
      <c r="D1004" s="121" t="s">
        <v>16626</v>
      </c>
      <c r="E1004" s="121" t="s">
        <v>16973</v>
      </c>
      <c r="F1004" s="121" t="s">
        <v>48</v>
      </c>
      <c r="G1004" s="121" t="s">
        <v>16974</v>
      </c>
      <c r="H1004" s="121" t="s">
        <v>16975</v>
      </c>
      <c r="I1004" s="123" t="s">
        <v>40</v>
      </c>
      <c r="J1004" s="121" t="s">
        <v>16976</v>
      </c>
      <c r="K1004" s="120" t="s">
        <v>16977</v>
      </c>
    </row>
    <row r="1005" customFormat="false" ht="14.25" hidden="false" customHeight="true" outlineLevel="0" collapsed="false">
      <c r="A1005" s="115"/>
      <c r="B1005" s="115"/>
      <c r="C1005" s="115"/>
      <c r="D1005" s="115"/>
      <c r="E1005" s="115"/>
      <c r="F1005" s="115"/>
      <c r="G1005" s="121"/>
      <c r="H1005" s="121"/>
      <c r="I1005" s="121"/>
      <c r="J1005" s="121"/>
      <c r="K1005" s="120" t="s">
        <v>16978</v>
      </c>
    </row>
    <row r="1006" customFormat="false" ht="14.25" hidden="false" customHeight="true" outlineLevel="0" collapsed="false">
      <c r="A1006" s="115"/>
      <c r="B1006" s="115"/>
      <c r="C1006" s="115"/>
      <c r="D1006" s="115"/>
      <c r="E1006" s="115"/>
      <c r="F1006" s="115"/>
      <c r="G1006" s="121" t="s">
        <v>16979</v>
      </c>
      <c r="H1006" s="121" t="s">
        <v>16980</v>
      </c>
      <c r="I1006" s="123" t="s">
        <v>40</v>
      </c>
      <c r="J1006" s="121" t="s">
        <v>16981</v>
      </c>
      <c r="K1006" s="120" t="s">
        <v>16982</v>
      </c>
    </row>
    <row r="1007" customFormat="false" ht="14.25" hidden="false" customHeight="true" outlineLevel="0" collapsed="false">
      <c r="A1007" s="115"/>
      <c r="B1007" s="115"/>
      <c r="C1007" s="115"/>
      <c r="D1007" s="121"/>
      <c r="E1007" s="121"/>
      <c r="F1007" s="121"/>
      <c r="G1007" s="121"/>
      <c r="H1007" s="121"/>
      <c r="I1007" s="121"/>
      <c r="J1007" s="121"/>
      <c r="K1007" s="120" t="s">
        <v>16983</v>
      </c>
    </row>
    <row r="1008" customFormat="false" ht="14.25" hidden="false" customHeight="true" outlineLevel="0" collapsed="false">
      <c r="A1008" s="115"/>
      <c r="B1008" s="115"/>
      <c r="C1008" s="115"/>
      <c r="D1008" s="121" t="s">
        <v>16984</v>
      </c>
      <c r="E1008" s="121" t="s">
        <v>16985</v>
      </c>
      <c r="F1008" s="121" t="s">
        <v>48</v>
      </c>
      <c r="G1008" s="121" t="s">
        <v>16986</v>
      </c>
      <c r="H1008" s="121" t="s">
        <v>16987</v>
      </c>
      <c r="I1008" s="123" t="s">
        <v>40</v>
      </c>
      <c r="J1008" s="121" t="s">
        <v>16988</v>
      </c>
      <c r="K1008" s="120" t="s">
        <v>16989</v>
      </c>
    </row>
    <row r="1009" customFormat="false" ht="14.25" hidden="false" customHeight="true" outlineLevel="0" collapsed="false">
      <c r="A1009" s="115"/>
      <c r="B1009" s="115"/>
      <c r="C1009" s="115"/>
      <c r="D1009" s="115"/>
      <c r="E1009" s="115"/>
      <c r="F1009" s="115"/>
      <c r="G1009" s="121"/>
      <c r="H1009" s="121"/>
      <c r="I1009" s="121"/>
      <c r="J1009" s="121"/>
      <c r="K1009" s="120" t="s">
        <v>16990</v>
      </c>
    </row>
    <row r="1010" customFormat="false" ht="14.25" hidden="false" customHeight="true" outlineLevel="0" collapsed="false">
      <c r="A1010" s="115"/>
      <c r="B1010" s="115"/>
      <c r="C1010" s="115"/>
      <c r="D1010" s="115"/>
      <c r="E1010" s="115"/>
      <c r="F1010" s="115"/>
      <c r="G1010" s="121" t="s">
        <v>16991</v>
      </c>
      <c r="H1010" s="121" t="s">
        <v>16992</v>
      </c>
      <c r="I1010" s="123" t="s">
        <v>40</v>
      </c>
      <c r="J1010" s="121" t="s">
        <v>16993</v>
      </c>
      <c r="K1010" s="120" t="s">
        <v>16994</v>
      </c>
    </row>
    <row r="1011" customFormat="false" ht="14.25" hidden="false" customHeight="true" outlineLevel="0" collapsed="false">
      <c r="A1011" s="115"/>
      <c r="B1011" s="115"/>
      <c r="C1011" s="125"/>
      <c r="D1011" s="125"/>
      <c r="E1011" s="125"/>
      <c r="F1011" s="125"/>
      <c r="G1011" s="125"/>
      <c r="H1011" s="125"/>
      <c r="I1011" s="125"/>
      <c r="J1011" s="125"/>
      <c r="K1011" s="120" t="s">
        <v>16995</v>
      </c>
    </row>
    <row r="1012" customFormat="false" ht="14.25" hidden="false" customHeight="true" outlineLevel="0" collapsed="false">
      <c r="A1012" s="115"/>
      <c r="B1012" s="115"/>
      <c r="C1012" s="125" t="s">
        <v>16996</v>
      </c>
      <c r="D1012" s="121" t="s">
        <v>16639</v>
      </c>
      <c r="E1012" s="121" t="s">
        <v>16997</v>
      </c>
      <c r="F1012" s="121" t="s">
        <v>48</v>
      </c>
      <c r="G1012" s="121" t="s">
        <v>16998</v>
      </c>
      <c r="H1012" s="121" t="s">
        <v>16999</v>
      </c>
      <c r="I1012" s="123" t="s">
        <v>40</v>
      </c>
      <c r="J1012" s="121" t="s">
        <v>17000</v>
      </c>
      <c r="K1012" s="120" t="s">
        <v>17001</v>
      </c>
    </row>
    <row r="1013" customFormat="false" ht="14.25" hidden="false" customHeight="true" outlineLevel="0" collapsed="false">
      <c r="A1013" s="115"/>
      <c r="B1013" s="115"/>
      <c r="C1013" s="115"/>
      <c r="D1013" s="115"/>
      <c r="E1013" s="115"/>
      <c r="F1013" s="115"/>
      <c r="G1013" s="115"/>
      <c r="H1013" s="121"/>
      <c r="I1013" s="121"/>
      <c r="J1013" s="121"/>
      <c r="K1013" s="120" t="s">
        <v>17002</v>
      </c>
    </row>
    <row r="1014" customFormat="false" ht="14.25" hidden="false" customHeight="true" outlineLevel="0" collapsed="false">
      <c r="A1014" s="115"/>
      <c r="B1014" s="115"/>
      <c r="C1014" s="115"/>
      <c r="D1014" s="115"/>
      <c r="E1014" s="115"/>
      <c r="F1014" s="115"/>
      <c r="G1014" s="121" t="s">
        <v>17003</v>
      </c>
      <c r="H1014" s="121" t="s">
        <v>17004</v>
      </c>
      <c r="I1014" s="123" t="s">
        <v>40</v>
      </c>
      <c r="J1014" s="121" t="s">
        <v>17005</v>
      </c>
      <c r="K1014" s="120" t="s">
        <v>17006</v>
      </c>
    </row>
    <row r="1015" customFormat="false" ht="14.25" hidden="false" customHeight="true" outlineLevel="0" collapsed="false">
      <c r="A1015" s="115"/>
      <c r="B1015" s="115"/>
      <c r="C1015" s="115"/>
      <c r="D1015" s="121"/>
      <c r="E1015" s="121"/>
      <c r="F1015" s="121"/>
      <c r="G1015" s="121"/>
      <c r="H1015" s="121"/>
      <c r="I1015" s="121"/>
      <c r="J1015" s="121"/>
      <c r="K1015" s="120" t="s">
        <v>17007</v>
      </c>
    </row>
    <row r="1016" customFormat="false" ht="14.25" hidden="false" customHeight="true" outlineLevel="0" collapsed="false">
      <c r="A1016" s="115"/>
      <c r="B1016" s="115"/>
      <c r="C1016" s="115"/>
      <c r="D1016" s="121" t="s">
        <v>16651</v>
      </c>
      <c r="E1016" s="121" t="s">
        <v>17008</v>
      </c>
      <c r="F1016" s="121" t="s">
        <v>38</v>
      </c>
      <c r="G1016" s="121" t="s">
        <v>17009</v>
      </c>
      <c r="H1016" s="121" t="s">
        <v>17010</v>
      </c>
      <c r="I1016" s="123" t="s">
        <v>40</v>
      </c>
      <c r="J1016" s="121" t="s">
        <v>17011</v>
      </c>
      <c r="K1016" s="120" t="s">
        <v>17012</v>
      </c>
    </row>
    <row r="1017" customFormat="false" ht="14.25" hidden="false" customHeight="true" outlineLevel="0" collapsed="false">
      <c r="A1017" s="115"/>
      <c r="B1017" s="115"/>
      <c r="C1017" s="115"/>
      <c r="D1017" s="115"/>
      <c r="E1017" s="115"/>
      <c r="F1017" s="115"/>
      <c r="G1017" s="121"/>
      <c r="H1017" s="121"/>
      <c r="I1017" s="121"/>
      <c r="J1017" s="121"/>
      <c r="K1017" s="120" t="s">
        <v>17013</v>
      </c>
    </row>
    <row r="1018" customFormat="false" ht="14.25" hidden="false" customHeight="true" outlineLevel="0" collapsed="false">
      <c r="A1018" s="115"/>
      <c r="B1018" s="115"/>
      <c r="C1018" s="115"/>
      <c r="D1018" s="115"/>
      <c r="E1018" s="115"/>
      <c r="F1018" s="115"/>
      <c r="G1018" s="121" t="s">
        <v>17014</v>
      </c>
      <c r="H1018" s="121" t="s">
        <v>17015</v>
      </c>
      <c r="I1018" s="122" t="s">
        <v>50</v>
      </c>
      <c r="J1018" s="121" t="s">
        <v>17016</v>
      </c>
      <c r="K1018" s="120" t="s">
        <v>17017</v>
      </c>
    </row>
    <row r="1019" customFormat="false" ht="14.25" hidden="false" customHeight="true" outlineLevel="0" collapsed="false">
      <c r="A1019" s="115"/>
      <c r="B1019" s="115"/>
      <c r="C1019" s="115"/>
      <c r="D1019" s="121"/>
      <c r="E1019" s="121"/>
      <c r="F1019" s="121"/>
      <c r="G1019" s="121"/>
      <c r="H1019" s="121"/>
      <c r="I1019" s="121"/>
      <c r="J1019" s="121"/>
      <c r="K1019" s="120" t="s">
        <v>17018</v>
      </c>
    </row>
    <row r="1020" customFormat="false" ht="14.25" hidden="false" customHeight="true" outlineLevel="0" collapsed="false">
      <c r="A1020" s="115"/>
      <c r="B1020" s="115"/>
      <c r="C1020" s="115"/>
      <c r="D1020" s="121" t="s">
        <v>16662</v>
      </c>
      <c r="E1020" s="121" t="s">
        <v>17019</v>
      </c>
      <c r="F1020" s="121" t="s">
        <v>48</v>
      </c>
      <c r="G1020" s="121" t="s">
        <v>17020</v>
      </c>
      <c r="H1020" s="121" t="s">
        <v>17021</v>
      </c>
      <c r="I1020" s="122" t="s">
        <v>50</v>
      </c>
      <c r="J1020" s="121" t="s">
        <v>17022</v>
      </c>
      <c r="K1020" s="120" t="s">
        <v>17023</v>
      </c>
    </row>
    <row r="1021" customFormat="false" ht="14.25" hidden="false" customHeight="true" outlineLevel="0" collapsed="false">
      <c r="A1021" s="115"/>
      <c r="B1021" s="115"/>
      <c r="C1021" s="115"/>
      <c r="D1021" s="115"/>
      <c r="E1021" s="115"/>
      <c r="F1021" s="115"/>
      <c r="G1021" s="121"/>
      <c r="H1021" s="121"/>
      <c r="I1021" s="121"/>
      <c r="J1021" s="121"/>
      <c r="K1021" s="120" t="s">
        <v>17024</v>
      </c>
    </row>
    <row r="1022" customFormat="false" ht="14.25" hidden="false" customHeight="true" outlineLevel="0" collapsed="false">
      <c r="A1022" s="115"/>
      <c r="B1022" s="115"/>
      <c r="C1022" s="115"/>
      <c r="D1022" s="115"/>
      <c r="E1022" s="115"/>
      <c r="F1022" s="115"/>
      <c r="G1022" s="121" t="s">
        <v>17025</v>
      </c>
      <c r="H1022" s="121" t="s">
        <v>17026</v>
      </c>
      <c r="I1022" s="122" t="s">
        <v>50</v>
      </c>
      <c r="J1022" s="121" t="s">
        <v>17027</v>
      </c>
      <c r="K1022" s="120" t="s">
        <v>17028</v>
      </c>
    </row>
    <row r="1023" customFormat="false" ht="14.25" hidden="false" customHeight="true" outlineLevel="0" collapsed="false">
      <c r="A1023" s="115"/>
      <c r="B1023" s="115"/>
      <c r="C1023" s="115"/>
      <c r="D1023" s="121"/>
      <c r="E1023" s="121"/>
      <c r="F1023" s="121"/>
      <c r="G1023" s="121"/>
      <c r="H1023" s="121"/>
      <c r="I1023" s="121"/>
      <c r="J1023" s="121"/>
      <c r="K1023" s="120" t="s">
        <v>16697</v>
      </c>
    </row>
    <row r="1024" customFormat="false" ht="14.25" hidden="false" customHeight="true" outlineLevel="0" collapsed="false">
      <c r="A1024" s="115"/>
      <c r="B1024" s="115"/>
      <c r="C1024" s="115"/>
      <c r="D1024" s="121" t="s">
        <v>16674</v>
      </c>
      <c r="E1024" s="121" t="s">
        <v>17029</v>
      </c>
      <c r="F1024" s="121" t="s">
        <v>48</v>
      </c>
      <c r="G1024" s="121" t="s">
        <v>17030</v>
      </c>
      <c r="H1024" s="121" t="s">
        <v>17031</v>
      </c>
      <c r="I1024" s="122" t="s">
        <v>50</v>
      </c>
      <c r="J1024" s="121" t="s">
        <v>17032</v>
      </c>
      <c r="K1024" s="120" t="s">
        <v>17033</v>
      </c>
    </row>
    <row r="1025" customFormat="false" ht="14.25" hidden="false" customHeight="true" outlineLevel="0" collapsed="false">
      <c r="A1025" s="115"/>
      <c r="B1025" s="115"/>
      <c r="C1025" s="115"/>
      <c r="D1025" s="115"/>
      <c r="E1025" s="115"/>
      <c r="F1025" s="115"/>
      <c r="G1025" s="121"/>
      <c r="H1025" s="121"/>
      <c r="I1025" s="121"/>
      <c r="J1025" s="121"/>
      <c r="K1025" s="120" t="s">
        <v>17034</v>
      </c>
    </row>
    <row r="1026" customFormat="false" ht="14.25" hidden="false" customHeight="true" outlineLevel="0" collapsed="false">
      <c r="A1026" s="115"/>
      <c r="B1026" s="115"/>
      <c r="C1026" s="115"/>
      <c r="D1026" s="115"/>
      <c r="E1026" s="115"/>
      <c r="F1026" s="115"/>
      <c r="G1026" s="121" t="s">
        <v>17035</v>
      </c>
      <c r="H1026" s="121" t="s">
        <v>17036</v>
      </c>
      <c r="I1026" s="122" t="s">
        <v>50</v>
      </c>
      <c r="J1026" s="121" t="s">
        <v>17037</v>
      </c>
      <c r="K1026" s="120" t="s">
        <v>17038</v>
      </c>
    </row>
    <row r="1027" customFormat="false" ht="14.25" hidden="false" customHeight="true" outlineLevel="0" collapsed="false">
      <c r="A1027" s="115"/>
      <c r="B1027" s="115"/>
      <c r="C1027" s="115"/>
      <c r="D1027" s="121"/>
      <c r="E1027" s="121"/>
      <c r="F1027" s="121"/>
      <c r="G1027" s="121"/>
      <c r="H1027" s="121"/>
      <c r="I1027" s="121"/>
      <c r="J1027" s="121"/>
      <c r="K1027" s="120" t="s">
        <v>17039</v>
      </c>
    </row>
    <row r="1028" customFormat="false" ht="14.25" hidden="false" customHeight="true" outlineLevel="0" collapsed="false">
      <c r="A1028" s="115"/>
      <c r="B1028" s="115"/>
      <c r="C1028" s="115"/>
      <c r="D1028" s="121" t="s">
        <v>16686</v>
      </c>
      <c r="E1028" s="121" t="s">
        <v>17040</v>
      </c>
      <c r="F1028" s="121" t="s">
        <v>48</v>
      </c>
      <c r="G1028" s="121" t="s">
        <v>17041</v>
      </c>
      <c r="H1028" s="121" t="s">
        <v>17042</v>
      </c>
      <c r="I1028" s="133" t="s">
        <v>50</v>
      </c>
      <c r="J1028" s="121" t="s">
        <v>17043</v>
      </c>
      <c r="K1028" s="120" t="s">
        <v>927</v>
      </c>
    </row>
    <row r="1029" customFormat="false" ht="14.25" hidden="false" customHeight="true" outlineLevel="0" collapsed="false">
      <c r="A1029" s="115"/>
      <c r="B1029" s="115"/>
      <c r="C1029" s="115"/>
      <c r="D1029" s="115"/>
      <c r="E1029" s="115"/>
      <c r="F1029" s="115"/>
      <c r="G1029" s="121"/>
      <c r="H1029" s="121"/>
      <c r="I1029" s="133"/>
      <c r="J1029" s="121"/>
      <c r="K1029" s="120" t="s">
        <v>15767</v>
      </c>
    </row>
    <row r="1030" customFormat="false" ht="14.25" hidden="false" customHeight="true" outlineLevel="0" collapsed="false">
      <c r="A1030" s="115"/>
      <c r="B1030" s="115"/>
      <c r="C1030" s="115"/>
      <c r="D1030" s="115"/>
      <c r="E1030" s="115"/>
      <c r="F1030" s="115"/>
      <c r="G1030" s="121" t="s">
        <v>17044</v>
      </c>
      <c r="H1030" s="121" t="s">
        <v>17045</v>
      </c>
      <c r="I1030" s="122" t="s">
        <v>17046</v>
      </c>
      <c r="J1030" s="121" t="s">
        <v>17047</v>
      </c>
      <c r="K1030" s="120" t="s">
        <v>17048</v>
      </c>
    </row>
    <row r="1031" customFormat="false" ht="14.25" hidden="false" customHeight="true" outlineLevel="0" collapsed="false">
      <c r="A1031" s="115"/>
      <c r="B1031" s="115"/>
      <c r="C1031" s="125"/>
      <c r="D1031" s="125"/>
      <c r="E1031" s="125"/>
      <c r="F1031" s="125"/>
      <c r="G1031" s="125"/>
      <c r="H1031" s="125"/>
      <c r="I1031" s="125"/>
      <c r="J1031" s="125"/>
      <c r="K1031" s="120" t="s">
        <v>17049</v>
      </c>
    </row>
    <row r="1032" customFormat="false" ht="14.25" hidden="false" customHeight="true" outlineLevel="0" collapsed="false">
      <c r="A1032" s="115"/>
      <c r="B1032" s="115"/>
      <c r="C1032" s="129" t="s">
        <v>17050</v>
      </c>
      <c r="D1032" s="121" t="s">
        <v>16711</v>
      </c>
      <c r="E1032" s="121" t="s">
        <v>17051</v>
      </c>
      <c r="F1032" s="121" t="s">
        <v>48</v>
      </c>
      <c r="G1032" s="121" t="s">
        <v>17052</v>
      </c>
      <c r="H1032" s="121" t="s">
        <v>17053</v>
      </c>
      <c r="I1032" s="122" t="s">
        <v>50</v>
      </c>
      <c r="J1032" s="121" t="s">
        <v>17054</v>
      </c>
      <c r="K1032" s="120" t="s">
        <v>17055</v>
      </c>
    </row>
    <row r="1033" customFormat="false" ht="14.25" hidden="false" customHeight="true" outlineLevel="0" collapsed="false">
      <c r="A1033" s="115"/>
      <c r="B1033" s="115"/>
      <c r="C1033" s="115"/>
      <c r="D1033" s="115"/>
      <c r="E1033" s="115"/>
      <c r="F1033" s="115"/>
      <c r="G1033" s="121"/>
      <c r="H1033" s="121"/>
      <c r="I1033" s="121"/>
      <c r="J1033" s="121"/>
      <c r="K1033" s="120" t="s">
        <v>17056</v>
      </c>
    </row>
    <row r="1034" customFormat="false" ht="14.25" hidden="false" customHeight="true" outlineLevel="0" collapsed="false">
      <c r="A1034" s="115"/>
      <c r="B1034" s="115"/>
      <c r="C1034" s="115"/>
      <c r="D1034" s="115"/>
      <c r="E1034" s="115"/>
      <c r="F1034" s="115"/>
      <c r="G1034" s="121" t="s">
        <v>17057</v>
      </c>
      <c r="H1034" s="121" t="s">
        <v>17058</v>
      </c>
      <c r="I1034" s="122" t="s">
        <v>50</v>
      </c>
      <c r="J1034" s="121" t="s">
        <v>17059</v>
      </c>
      <c r="K1034" s="120" t="s">
        <v>17060</v>
      </c>
    </row>
    <row r="1035" customFormat="false" ht="14.25" hidden="false" customHeight="true" outlineLevel="0" collapsed="false">
      <c r="A1035" s="115"/>
      <c r="B1035" s="115"/>
      <c r="C1035" s="115"/>
      <c r="D1035" s="121"/>
      <c r="E1035" s="121"/>
      <c r="F1035" s="121"/>
      <c r="G1035" s="121"/>
      <c r="H1035" s="121"/>
      <c r="I1035" s="121"/>
      <c r="J1035" s="121"/>
      <c r="K1035" s="120" t="s">
        <v>17061</v>
      </c>
    </row>
    <row r="1036" customFormat="false" ht="14.25" hidden="false" customHeight="true" outlineLevel="0" collapsed="false">
      <c r="A1036" s="115"/>
      <c r="B1036" s="115"/>
      <c r="C1036" s="115"/>
      <c r="D1036" s="121" t="s">
        <v>16723</v>
      </c>
      <c r="E1036" s="121" t="s">
        <v>17062</v>
      </c>
      <c r="F1036" s="121" t="s">
        <v>38</v>
      </c>
      <c r="G1036" s="121" t="s">
        <v>17063</v>
      </c>
      <c r="H1036" s="121" t="s">
        <v>17037</v>
      </c>
      <c r="I1036" s="122" t="s">
        <v>50</v>
      </c>
      <c r="J1036" s="121" t="s">
        <v>17064</v>
      </c>
      <c r="K1036" s="120" t="s">
        <v>17065</v>
      </c>
    </row>
    <row r="1037" customFormat="false" ht="14.25" hidden="false" customHeight="true" outlineLevel="0" collapsed="false">
      <c r="A1037" s="115"/>
      <c r="B1037" s="115"/>
      <c r="C1037" s="115"/>
      <c r="D1037" s="115"/>
      <c r="E1037" s="115"/>
      <c r="F1037" s="115"/>
      <c r="G1037" s="121"/>
      <c r="H1037" s="121"/>
      <c r="I1037" s="121"/>
      <c r="J1037" s="121"/>
      <c r="K1037" s="120" t="s">
        <v>17066</v>
      </c>
    </row>
    <row r="1038" customFormat="false" ht="14.25" hidden="false" customHeight="true" outlineLevel="0" collapsed="false">
      <c r="A1038" s="115"/>
      <c r="B1038" s="115"/>
      <c r="C1038" s="115"/>
      <c r="D1038" s="115"/>
      <c r="E1038" s="115"/>
      <c r="F1038" s="115"/>
      <c r="G1038" s="121" t="s">
        <v>17067</v>
      </c>
      <c r="H1038" s="121" t="s">
        <v>17068</v>
      </c>
      <c r="I1038" s="122" t="s">
        <v>50</v>
      </c>
      <c r="J1038" s="121" t="s">
        <v>17069</v>
      </c>
      <c r="K1038" s="120" t="s">
        <v>17070</v>
      </c>
    </row>
    <row r="1039" customFormat="false" ht="14.25" hidden="false" customHeight="true" outlineLevel="0" collapsed="false">
      <c r="A1039" s="115"/>
      <c r="B1039" s="115"/>
      <c r="C1039" s="115"/>
      <c r="D1039" s="121"/>
      <c r="E1039" s="121"/>
      <c r="F1039" s="121"/>
      <c r="G1039" s="121"/>
      <c r="H1039" s="121"/>
      <c r="I1039" s="121"/>
      <c r="J1039" s="121"/>
      <c r="K1039" s="120" t="s">
        <v>17071</v>
      </c>
    </row>
    <row r="1040" customFormat="false" ht="14.25" hidden="false" customHeight="true" outlineLevel="0" collapsed="false">
      <c r="A1040" s="115"/>
      <c r="B1040" s="115"/>
      <c r="C1040" s="115"/>
      <c r="D1040" s="121" t="s">
        <v>16734</v>
      </c>
      <c r="E1040" s="121" t="s">
        <v>17072</v>
      </c>
      <c r="F1040" s="121" t="s">
        <v>38</v>
      </c>
      <c r="G1040" s="121" t="s">
        <v>17073</v>
      </c>
      <c r="H1040" s="121" t="s">
        <v>17074</v>
      </c>
      <c r="I1040" s="122" t="s">
        <v>50</v>
      </c>
      <c r="J1040" s="121" t="s">
        <v>17075</v>
      </c>
      <c r="K1040" s="120" t="s">
        <v>17076</v>
      </c>
    </row>
    <row r="1041" customFormat="false" ht="14.25" hidden="false" customHeight="true" outlineLevel="0" collapsed="false">
      <c r="A1041" s="115"/>
      <c r="B1041" s="115"/>
      <c r="C1041" s="115"/>
      <c r="D1041" s="115"/>
      <c r="E1041" s="115"/>
      <c r="F1041" s="115"/>
      <c r="G1041" s="121"/>
      <c r="H1041" s="121"/>
      <c r="I1041" s="121"/>
      <c r="J1041" s="121"/>
      <c r="K1041" s="120" t="s">
        <v>16978</v>
      </c>
    </row>
    <row r="1042" customFormat="false" ht="14.25" hidden="false" customHeight="true" outlineLevel="0" collapsed="false">
      <c r="A1042" s="115"/>
      <c r="B1042" s="115"/>
      <c r="C1042" s="115"/>
      <c r="D1042" s="115"/>
      <c r="E1042" s="115"/>
      <c r="F1042" s="115"/>
      <c r="G1042" s="121" t="s">
        <v>17077</v>
      </c>
      <c r="H1042" s="121" t="s">
        <v>17078</v>
      </c>
      <c r="I1042" s="122" t="s">
        <v>50</v>
      </c>
      <c r="J1042" s="121" t="s">
        <v>17079</v>
      </c>
      <c r="K1042" s="120" t="s">
        <v>17080</v>
      </c>
    </row>
    <row r="1043" customFormat="false" ht="14.25" hidden="false" customHeight="true" outlineLevel="0" collapsed="false">
      <c r="A1043" s="115"/>
      <c r="B1043" s="115"/>
      <c r="C1043" s="115"/>
      <c r="D1043" s="121"/>
      <c r="E1043" s="121"/>
      <c r="F1043" s="121"/>
      <c r="G1043" s="121"/>
      <c r="H1043" s="121"/>
      <c r="I1043" s="121"/>
      <c r="J1043" s="121"/>
      <c r="K1043" s="120" t="s">
        <v>17081</v>
      </c>
    </row>
    <row r="1044" customFormat="false" ht="14.25" hidden="false" customHeight="true" outlineLevel="0" collapsed="false">
      <c r="A1044" s="115"/>
      <c r="B1044" s="115"/>
      <c r="C1044" s="115"/>
      <c r="D1044" s="121" t="s">
        <v>17082</v>
      </c>
      <c r="E1044" s="121" t="s">
        <v>17083</v>
      </c>
      <c r="F1044" s="121" t="s">
        <v>38</v>
      </c>
      <c r="G1044" s="121" t="s">
        <v>17084</v>
      </c>
      <c r="H1044" s="121" t="s">
        <v>17059</v>
      </c>
      <c r="I1044" s="122" t="s">
        <v>50</v>
      </c>
      <c r="J1044" s="121" t="s">
        <v>17085</v>
      </c>
      <c r="K1044" s="120" t="s">
        <v>17086</v>
      </c>
    </row>
    <row r="1045" customFormat="false" ht="14.25" hidden="false" customHeight="true" outlineLevel="0" collapsed="false">
      <c r="A1045" s="115"/>
      <c r="B1045" s="115"/>
      <c r="C1045" s="115"/>
      <c r="D1045" s="115"/>
      <c r="E1045" s="115"/>
      <c r="F1045" s="115"/>
      <c r="G1045" s="121"/>
      <c r="H1045" s="121"/>
      <c r="I1045" s="121"/>
      <c r="J1045" s="121"/>
      <c r="K1045" s="120" t="s">
        <v>17087</v>
      </c>
    </row>
    <row r="1046" customFormat="false" ht="14.25" hidden="false" customHeight="true" outlineLevel="0" collapsed="false">
      <c r="A1046" s="115"/>
      <c r="B1046" s="115"/>
      <c r="C1046" s="115"/>
      <c r="D1046" s="115"/>
      <c r="E1046" s="115"/>
      <c r="F1046" s="115"/>
      <c r="G1046" s="121" t="s">
        <v>17088</v>
      </c>
      <c r="H1046" s="121" t="s">
        <v>17089</v>
      </c>
      <c r="I1046" s="122" t="s">
        <v>50</v>
      </c>
      <c r="J1046" s="121" t="s">
        <v>17090</v>
      </c>
      <c r="K1046" s="120" t="s">
        <v>17091</v>
      </c>
    </row>
    <row r="1047" customFormat="false" ht="14.25" hidden="false" customHeight="true" outlineLevel="0" collapsed="false">
      <c r="A1047" s="115"/>
      <c r="B1047" s="115"/>
      <c r="C1047" s="115"/>
      <c r="D1047" s="121"/>
      <c r="E1047" s="121"/>
      <c r="F1047" s="121"/>
      <c r="G1047" s="121"/>
      <c r="H1047" s="121"/>
      <c r="I1047" s="121"/>
      <c r="J1047" s="121"/>
      <c r="K1047" s="120" t="s">
        <v>17092</v>
      </c>
    </row>
    <row r="1048" customFormat="false" ht="14.25" hidden="false" customHeight="true" outlineLevel="0" collapsed="false">
      <c r="A1048" s="115"/>
      <c r="B1048" s="115"/>
      <c r="C1048" s="115"/>
      <c r="D1048" s="121" t="s">
        <v>17093</v>
      </c>
      <c r="E1048" s="121" t="s">
        <v>17094</v>
      </c>
      <c r="F1048" s="121" t="s">
        <v>48</v>
      </c>
      <c r="G1048" s="121" t="s">
        <v>17095</v>
      </c>
      <c r="H1048" s="121" t="s">
        <v>17096</v>
      </c>
      <c r="I1048" s="122" t="s">
        <v>50</v>
      </c>
      <c r="J1048" s="121" t="s">
        <v>17097</v>
      </c>
      <c r="K1048" s="120" t="s">
        <v>17098</v>
      </c>
    </row>
    <row r="1049" customFormat="false" ht="14.25" hidden="false" customHeight="true" outlineLevel="0" collapsed="false">
      <c r="A1049" s="115"/>
      <c r="B1049" s="115"/>
      <c r="C1049" s="115"/>
      <c r="D1049" s="115"/>
      <c r="E1049" s="115"/>
      <c r="F1049" s="115"/>
      <c r="G1049" s="121"/>
      <c r="H1049" s="121"/>
      <c r="I1049" s="121"/>
      <c r="J1049" s="121"/>
      <c r="K1049" s="120" t="s">
        <v>17099</v>
      </c>
    </row>
    <row r="1050" customFormat="false" ht="14.25" hidden="false" customHeight="true" outlineLevel="0" collapsed="false">
      <c r="A1050" s="115"/>
      <c r="B1050" s="115"/>
      <c r="C1050" s="115"/>
      <c r="D1050" s="115"/>
      <c r="E1050" s="115"/>
      <c r="F1050" s="115"/>
      <c r="G1050" s="121" t="s">
        <v>17100</v>
      </c>
      <c r="H1050" s="121" t="s">
        <v>17101</v>
      </c>
      <c r="I1050" s="122" t="s">
        <v>50</v>
      </c>
      <c r="J1050" s="121" t="s">
        <v>17102</v>
      </c>
      <c r="K1050" s="120" t="s">
        <v>17103</v>
      </c>
    </row>
    <row r="1051" customFormat="false" ht="14.25" hidden="false" customHeight="true" outlineLevel="0" collapsed="false">
      <c r="A1051" s="115"/>
      <c r="B1051" s="115"/>
      <c r="C1051" s="129"/>
      <c r="D1051" s="129"/>
      <c r="E1051" s="129"/>
      <c r="F1051" s="129"/>
      <c r="G1051" s="129"/>
      <c r="H1051" s="129"/>
      <c r="I1051" s="129"/>
      <c r="J1051" s="129"/>
      <c r="K1051" s="120" t="s">
        <v>17104</v>
      </c>
    </row>
    <row r="1052" customFormat="false" ht="14.25" hidden="false" customHeight="true" outlineLevel="0" collapsed="false">
      <c r="A1052" s="115"/>
      <c r="B1052" s="115"/>
      <c r="C1052" s="129" t="s">
        <v>17105</v>
      </c>
      <c r="D1052" s="121" t="s">
        <v>16757</v>
      </c>
      <c r="E1052" s="121" t="s">
        <v>17106</v>
      </c>
      <c r="F1052" s="121" t="s">
        <v>48</v>
      </c>
      <c r="G1052" s="121" t="s">
        <v>17107</v>
      </c>
      <c r="H1052" s="121" t="s">
        <v>17108</v>
      </c>
      <c r="I1052" s="122" t="s">
        <v>50</v>
      </c>
      <c r="J1052" s="121" t="s">
        <v>17109</v>
      </c>
      <c r="K1052" s="120" t="s">
        <v>17110</v>
      </c>
    </row>
    <row r="1053" customFormat="false" ht="14.25" hidden="false" customHeight="true" outlineLevel="0" collapsed="false">
      <c r="A1053" s="115"/>
      <c r="B1053" s="115"/>
      <c r="C1053" s="115"/>
      <c r="D1053" s="115"/>
      <c r="E1053" s="115"/>
      <c r="F1053" s="115"/>
      <c r="G1053" s="121"/>
      <c r="H1053" s="121"/>
      <c r="I1053" s="121"/>
      <c r="J1053" s="121"/>
      <c r="K1053" s="120" t="s">
        <v>17111</v>
      </c>
    </row>
    <row r="1054" customFormat="false" ht="14.25" hidden="false" customHeight="true" outlineLevel="0" collapsed="false">
      <c r="A1054" s="115"/>
      <c r="B1054" s="115"/>
      <c r="C1054" s="115"/>
      <c r="D1054" s="115"/>
      <c r="E1054" s="115"/>
      <c r="F1054" s="115"/>
      <c r="G1054" s="121" t="s">
        <v>17112</v>
      </c>
      <c r="H1054" s="121" t="s">
        <v>17113</v>
      </c>
      <c r="I1054" s="122" t="s">
        <v>50</v>
      </c>
      <c r="J1054" s="121" t="s">
        <v>17114</v>
      </c>
      <c r="K1054" s="120" t="s">
        <v>16920</v>
      </c>
    </row>
    <row r="1055" customFormat="false" ht="14.25" hidden="false" customHeight="true" outlineLevel="0" collapsed="false">
      <c r="A1055" s="115"/>
      <c r="B1055" s="115"/>
      <c r="C1055" s="115"/>
      <c r="D1055" s="121"/>
      <c r="E1055" s="121"/>
      <c r="F1055" s="121"/>
      <c r="G1055" s="121"/>
      <c r="H1055" s="121"/>
      <c r="I1055" s="121"/>
      <c r="J1055" s="121"/>
      <c r="K1055" s="120" t="s">
        <v>17115</v>
      </c>
    </row>
    <row r="1056" customFormat="false" ht="14.25" hidden="false" customHeight="true" outlineLevel="0" collapsed="false">
      <c r="A1056" s="115"/>
      <c r="B1056" s="115"/>
      <c r="C1056" s="115"/>
      <c r="D1056" s="121" t="s">
        <v>16769</v>
      </c>
      <c r="E1056" s="121" t="s">
        <v>17116</v>
      </c>
      <c r="F1056" s="121" t="s">
        <v>48</v>
      </c>
      <c r="G1056" s="121" t="s">
        <v>17117</v>
      </c>
      <c r="H1056" s="121" t="s">
        <v>17090</v>
      </c>
      <c r="I1056" s="122" t="s">
        <v>50</v>
      </c>
      <c r="J1056" s="121" t="s">
        <v>17118</v>
      </c>
      <c r="K1056" s="120" t="s">
        <v>17119</v>
      </c>
    </row>
    <row r="1057" customFormat="false" ht="14.25" hidden="false" customHeight="true" outlineLevel="0" collapsed="false">
      <c r="A1057" s="115"/>
      <c r="B1057" s="115"/>
      <c r="C1057" s="115"/>
      <c r="D1057" s="115"/>
      <c r="E1057" s="115"/>
      <c r="F1057" s="115"/>
      <c r="G1057" s="121"/>
      <c r="H1057" s="121"/>
      <c r="I1057" s="121"/>
      <c r="J1057" s="121"/>
      <c r="K1057" s="120" t="s">
        <v>17120</v>
      </c>
    </row>
    <row r="1058" customFormat="false" ht="14.25" hidden="false" customHeight="true" outlineLevel="0" collapsed="false">
      <c r="A1058" s="115"/>
      <c r="B1058" s="115"/>
      <c r="C1058" s="115"/>
      <c r="D1058" s="115"/>
      <c r="E1058" s="115"/>
      <c r="F1058" s="115"/>
      <c r="G1058" s="121" t="s">
        <v>17121</v>
      </c>
      <c r="H1058" s="121" t="s">
        <v>17122</v>
      </c>
      <c r="I1058" s="122" t="s">
        <v>50</v>
      </c>
      <c r="J1058" s="121" t="s">
        <v>17123</v>
      </c>
      <c r="K1058" s="120" t="s">
        <v>17124</v>
      </c>
    </row>
    <row r="1059" customFormat="false" ht="14.25" hidden="false" customHeight="true" outlineLevel="0" collapsed="false">
      <c r="A1059" s="115"/>
      <c r="B1059" s="115"/>
      <c r="C1059" s="115"/>
      <c r="D1059" s="121"/>
      <c r="E1059" s="121"/>
      <c r="F1059" s="121"/>
      <c r="G1059" s="121"/>
      <c r="H1059" s="121"/>
      <c r="I1059" s="121"/>
      <c r="J1059" s="121"/>
      <c r="K1059" s="120" t="s">
        <v>17125</v>
      </c>
    </row>
    <row r="1060" customFormat="false" ht="14.25" hidden="false" customHeight="true" outlineLevel="0" collapsed="false">
      <c r="A1060" s="115"/>
      <c r="B1060" s="115"/>
      <c r="C1060" s="115"/>
      <c r="D1060" s="121" t="s">
        <v>16781</v>
      </c>
      <c r="E1060" s="121" t="s">
        <v>17126</v>
      </c>
      <c r="F1060" s="121" t="s">
        <v>38</v>
      </c>
      <c r="G1060" s="121" t="s">
        <v>17127</v>
      </c>
      <c r="H1060" s="121" t="s">
        <v>17128</v>
      </c>
      <c r="I1060" s="122" t="s">
        <v>50</v>
      </c>
      <c r="J1060" s="121" t="s">
        <v>17129</v>
      </c>
      <c r="K1060" s="120" t="s">
        <v>17130</v>
      </c>
    </row>
    <row r="1061" customFormat="false" ht="14.25" hidden="false" customHeight="true" outlineLevel="0" collapsed="false">
      <c r="A1061" s="115"/>
      <c r="B1061" s="115"/>
      <c r="C1061" s="115"/>
      <c r="D1061" s="115"/>
      <c r="E1061" s="115"/>
      <c r="F1061" s="115"/>
      <c r="G1061" s="121"/>
      <c r="H1061" s="121"/>
      <c r="I1061" s="121"/>
      <c r="J1061" s="121"/>
      <c r="K1061" s="120" t="s">
        <v>17131</v>
      </c>
    </row>
    <row r="1062" customFormat="false" ht="14.25" hidden="false" customHeight="true" outlineLevel="0" collapsed="false">
      <c r="A1062" s="115"/>
      <c r="B1062" s="115"/>
      <c r="C1062" s="115"/>
      <c r="D1062" s="115"/>
      <c r="E1062" s="115"/>
      <c r="F1062" s="115"/>
      <c r="G1062" s="121" t="s">
        <v>17132</v>
      </c>
      <c r="H1062" s="121" t="s">
        <v>17133</v>
      </c>
      <c r="I1062" s="123" t="s">
        <v>40</v>
      </c>
      <c r="J1062" s="121" t="s">
        <v>17134</v>
      </c>
      <c r="K1062" s="120" t="s">
        <v>17135</v>
      </c>
    </row>
    <row r="1063" customFormat="false" ht="14.25" hidden="false" customHeight="true" outlineLevel="0" collapsed="false">
      <c r="A1063" s="115"/>
      <c r="B1063" s="115"/>
      <c r="C1063" s="115"/>
      <c r="D1063" s="121"/>
      <c r="E1063" s="121"/>
      <c r="F1063" s="121"/>
      <c r="G1063" s="121"/>
      <c r="H1063" s="121"/>
      <c r="I1063" s="121"/>
      <c r="J1063" s="121"/>
      <c r="K1063" s="120" t="s">
        <v>17136</v>
      </c>
    </row>
    <row r="1064" customFormat="false" ht="14.25" hidden="false" customHeight="true" outlineLevel="0" collapsed="false">
      <c r="A1064" s="115"/>
      <c r="B1064" s="115"/>
      <c r="C1064" s="115"/>
      <c r="D1064" s="121" t="s">
        <v>16793</v>
      </c>
      <c r="E1064" s="121" t="s">
        <v>17137</v>
      </c>
      <c r="F1064" s="128" t="s">
        <v>38</v>
      </c>
      <c r="G1064" s="121" t="s">
        <v>17138</v>
      </c>
      <c r="H1064" s="121" t="s">
        <v>17114</v>
      </c>
      <c r="I1064" s="123" t="s">
        <v>40</v>
      </c>
      <c r="J1064" s="121" t="s">
        <v>17139</v>
      </c>
      <c r="K1064" s="120" t="s">
        <v>17140</v>
      </c>
    </row>
    <row r="1065" customFormat="false" ht="14.25" hidden="false" customHeight="true" outlineLevel="0" collapsed="false">
      <c r="A1065" s="115"/>
      <c r="B1065" s="115"/>
      <c r="C1065" s="115"/>
      <c r="D1065" s="115"/>
      <c r="E1065" s="115"/>
      <c r="F1065" s="115"/>
      <c r="G1065" s="121"/>
      <c r="H1065" s="121"/>
      <c r="I1065" s="121"/>
      <c r="J1065" s="121"/>
      <c r="K1065" s="120" t="s">
        <v>17141</v>
      </c>
    </row>
    <row r="1066" customFormat="false" ht="14.25" hidden="false" customHeight="true" outlineLevel="0" collapsed="false">
      <c r="A1066" s="115"/>
      <c r="B1066" s="115"/>
      <c r="C1066" s="115"/>
      <c r="D1066" s="115"/>
      <c r="E1066" s="115"/>
      <c r="F1066" s="115"/>
      <c r="G1066" s="121" t="s">
        <v>17142</v>
      </c>
      <c r="H1066" s="121" t="s">
        <v>17143</v>
      </c>
      <c r="I1066" s="123" t="s">
        <v>40</v>
      </c>
      <c r="J1066" s="121" t="s">
        <v>17144</v>
      </c>
      <c r="K1066" s="120" t="s">
        <v>17145</v>
      </c>
    </row>
    <row r="1067" customFormat="false" ht="14.25" hidden="false" customHeight="true" outlineLevel="0" collapsed="false">
      <c r="A1067" s="115"/>
      <c r="B1067" s="115"/>
      <c r="C1067" s="115"/>
      <c r="D1067" s="121"/>
      <c r="E1067" s="121"/>
      <c r="F1067" s="128"/>
      <c r="G1067" s="121"/>
      <c r="H1067" s="121"/>
      <c r="I1067" s="121"/>
      <c r="J1067" s="121"/>
      <c r="K1067" s="120" t="s">
        <v>17146</v>
      </c>
    </row>
    <row r="1068" customFormat="false" ht="14.25" hidden="false" customHeight="true" outlineLevel="0" collapsed="false">
      <c r="A1068" s="115"/>
      <c r="B1068" s="115"/>
      <c r="C1068" s="115"/>
      <c r="D1068" s="121" t="s">
        <v>16804</v>
      </c>
      <c r="E1068" s="121" t="s">
        <v>17147</v>
      </c>
      <c r="F1068" s="121" t="s">
        <v>48</v>
      </c>
      <c r="G1068" s="121" t="s">
        <v>17148</v>
      </c>
      <c r="H1068" s="121" t="s">
        <v>17149</v>
      </c>
      <c r="I1068" s="123" t="s">
        <v>40</v>
      </c>
      <c r="J1068" s="121" t="s">
        <v>17150</v>
      </c>
      <c r="K1068" s="120" t="s">
        <v>17151</v>
      </c>
    </row>
    <row r="1069" customFormat="false" ht="14.25" hidden="false" customHeight="true" outlineLevel="0" collapsed="false">
      <c r="A1069" s="115"/>
      <c r="B1069" s="115"/>
      <c r="C1069" s="115"/>
      <c r="D1069" s="115"/>
      <c r="E1069" s="115"/>
      <c r="F1069" s="115"/>
      <c r="G1069" s="121"/>
      <c r="H1069" s="121"/>
      <c r="I1069" s="121"/>
      <c r="J1069" s="121"/>
      <c r="K1069" s="120" t="s">
        <v>17152</v>
      </c>
    </row>
    <row r="1070" customFormat="false" ht="14.25" hidden="false" customHeight="true" outlineLevel="0" collapsed="false">
      <c r="A1070" s="115"/>
      <c r="B1070" s="115"/>
      <c r="C1070" s="115"/>
      <c r="D1070" s="115"/>
      <c r="E1070" s="115"/>
      <c r="F1070" s="115"/>
      <c r="G1070" s="121" t="s">
        <v>17153</v>
      </c>
      <c r="H1070" s="121" t="s">
        <v>17129</v>
      </c>
      <c r="I1070" s="123" t="s">
        <v>40</v>
      </c>
      <c r="J1070" s="121" t="s">
        <v>17154</v>
      </c>
      <c r="K1070" s="120" t="s">
        <v>17155</v>
      </c>
    </row>
    <row r="1071" customFormat="false" ht="14.25" hidden="false" customHeight="true" outlineLevel="0" collapsed="false">
      <c r="A1071" s="115"/>
      <c r="B1071" s="131"/>
      <c r="C1071" s="131"/>
      <c r="D1071" s="131"/>
      <c r="E1071" s="131"/>
      <c r="F1071" s="131"/>
      <c r="G1071" s="131"/>
      <c r="H1071" s="131"/>
      <c r="I1071" s="131"/>
      <c r="J1071" s="131"/>
      <c r="K1071" s="120" t="s">
        <v>17156</v>
      </c>
    </row>
    <row r="1072" customFormat="false" ht="14.25" hidden="false" customHeight="true" outlineLevel="0" collapsed="false">
      <c r="A1072" s="115"/>
      <c r="B1072" s="115" t="s">
        <v>17157</v>
      </c>
      <c r="C1072" s="129" t="s">
        <v>17158</v>
      </c>
      <c r="D1072" s="121" t="s">
        <v>17159</v>
      </c>
      <c r="E1072" s="121" t="s">
        <v>17160</v>
      </c>
      <c r="F1072" s="121" t="s">
        <v>48</v>
      </c>
      <c r="G1072" s="121" t="s">
        <v>17161</v>
      </c>
      <c r="H1072" s="121" t="s">
        <v>17134</v>
      </c>
      <c r="I1072" s="123" t="s">
        <v>40</v>
      </c>
      <c r="J1072" s="121" t="s">
        <v>17162</v>
      </c>
      <c r="K1072" s="120" t="s">
        <v>17163</v>
      </c>
    </row>
    <row r="1073" customFormat="false" ht="14.25" hidden="false" customHeight="true" outlineLevel="0" collapsed="false">
      <c r="A1073" s="115"/>
      <c r="B1073" s="115"/>
      <c r="C1073" s="115"/>
      <c r="D1073" s="115"/>
      <c r="E1073" s="115"/>
      <c r="F1073" s="115"/>
      <c r="G1073" s="121"/>
      <c r="H1073" s="121"/>
      <c r="I1073" s="121"/>
      <c r="J1073" s="121"/>
      <c r="K1073" s="120" t="s">
        <v>17164</v>
      </c>
    </row>
    <row r="1074" customFormat="false" ht="14.25" hidden="false" customHeight="true" outlineLevel="0" collapsed="false">
      <c r="A1074" s="115"/>
      <c r="B1074" s="115"/>
      <c r="C1074" s="115"/>
      <c r="D1074" s="115"/>
      <c r="E1074" s="115"/>
      <c r="F1074" s="115"/>
      <c r="G1074" s="121" t="s">
        <v>17165</v>
      </c>
      <c r="H1074" s="121" t="s">
        <v>17139</v>
      </c>
      <c r="I1074" s="123" t="s">
        <v>40</v>
      </c>
      <c r="J1074" s="121" t="s">
        <v>17166</v>
      </c>
      <c r="K1074" s="120" t="s">
        <v>17167</v>
      </c>
    </row>
    <row r="1075" customFormat="false" ht="14.25" hidden="false" customHeight="true" outlineLevel="0" collapsed="false">
      <c r="A1075" s="115"/>
      <c r="B1075" s="115"/>
      <c r="C1075" s="115"/>
      <c r="D1075" s="121"/>
      <c r="E1075" s="121"/>
      <c r="F1075" s="121"/>
      <c r="G1075" s="121"/>
      <c r="H1075" s="121"/>
      <c r="I1075" s="121"/>
      <c r="J1075" s="121"/>
      <c r="K1075" s="120" t="s">
        <v>17168</v>
      </c>
    </row>
    <row r="1076" customFormat="false" ht="14.25" hidden="false" customHeight="true" outlineLevel="0" collapsed="false">
      <c r="A1076" s="115"/>
      <c r="B1076" s="115"/>
      <c r="C1076" s="115"/>
      <c r="D1076" s="121" t="s">
        <v>17169</v>
      </c>
      <c r="E1076" s="121" t="s">
        <v>17170</v>
      </c>
      <c r="F1076" s="121" t="s">
        <v>48</v>
      </c>
      <c r="G1076" s="121" t="s">
        <v>17171</v>
      </c>
      <c r="H1076" s="121" t="s">
        <v>17144</v>
      </c>
      <c r="I1076" s="123" t="s">
        <v>40</v>
      </c>
      <c r="J1076" s="121" t="s">
        <v>17172</v>
      </c>
      <c r="K1076" s="120" t="s">
        <v>17173</v>
      </c>
    </row>
    <row r="1077" customFormat="false" ht="14.25" hidden="false" customHeight="true" outlineLevel="0" collapsed="false">
      <c r="A1077" s="115"/>
      <c r="B1077" s="115"/>
      <c r="C1077" s="115"/>
      <c r="D1077" s="115"/>
      <c r="E1077" s="115"/>
      <c r="F1077" s="115"/>
      <c r="G1077" s="121"/>
      <c r="H1077" s="121"/>
      <c r="I1077" s="121"/>
      <c r="J1077" s="121"/>
      <c r="K1077" s="120" t="s">
        <v>17174</v>
      </c>
    </row>
    <row r="1078" customFormat="false" ht="14.25" hidden="false" customHeight="true" outlineLevel="0" collapsed="false">
      <c r="A1078" s="115"/>
      <c r="B1078" s="115"/>
      <c r="C1078" s="115"/>
      <c r="D1078" s="115"/>
      <c r="E1078" s="115"/>
      <c r="F1078" s="115"/>
      <c r="G1078" s="121" t="s">
        <v>17175</v>
      </c>
      <c r="H1078" s="121" t="s">
        <v>17150</v>
      </c>
      <c r="I1078" s="123" t="s">
        <v>40</v>
      </c>
      <c r="J1078" s="121" t="s">
        <v>17176</v>
      </c>
      <c r="K1078" s="120" t="s">
        <v>17177</v>
      </c>
    </row>
    <row r="1079" customFormat="false" ht="14.25" hidden="false" customHeight="true" outlineLevel="0" collapsed="false">
      <c r="A1079" s="115"/>
      <c r="B1079" s="115"/>
      <c r="C1079" s="115"/>
      <c r="D1079" s="121"/>
      <c r="E1079" s="121"/>
      <c r="F1079" s="121"/>
      <c r="G1079" s="121"/>
      <c r="H1079" s="121"/>
      <c r="I1079" s="121"/>
      <c r="J1079" s="121"/>
      <c r="K1079" s="120" t="s">
        <v>17178</v>
      </c>
    </row>
    <row r="1080" customFormat="false" ht="14.25" hidden="false" customHeight="true" outlineLevel="0" collapsed="false">
      <c r="A1080" s="115"/>
      <c r="B1080" s="115"/>
      <c r="C1080" s="115"/>
      <c r="D1080" s="121" t="s">
        <v>17179</v>
      </c>
      <c r="E1080" s="121" t="s">
        <v>17180</v>
      </c>
      <c r="F1080" s="121" t="s">
        <v>38</v>
      </c>
      <c r="G1080" s="121" t="s">
        <v>17181</v>
      </c>
      <c r="H1080" s="121" t="s">
        <v>17182</v>
      </c>
      <c r="I1080" s="123" t="s">
        <v>40</v>
      </c>
      <c r="J1080" s="121" t="s">
        <v>17183</v>
      </c>
      <c r="K1080" s="120" t="s">
        <v>17184</v>
      </c>
    </row>
    <row r="1081" customFormat="false" ht="14.25" hidden="false" customHeight="true" outlineLevel="0" collapsed="false">
      <c r="A1081" s="115"/>
      <c r="B1081" s="115"/>
      <c r="C1081" s="115"/>
      <c r="D1081" s="115"/>
      <c r="E1081" s="115"/>
      <c r="F1081" s="115"/>
      <c r="G1081" s="121"/>
      <c r="H1081" s="121"/>
      <c r="I1081" s="121"/>
      <c r="J1081" s="121"/>
      <c r="K1081" s="120" t="s">
        <v>17185</v>
      </c>
    </row>
    <row r="1082" customFormat="false" ht="14.25" hidden="false" customHeight="true" outlineLevel="0" collapsed="false">
      <c r="A1082" s="115"/>
      <c r="B1082" s="115"/>
      <c r="C1082" s="115"/>
      <c r="D1082" s="115"/>
      <c r="E1082" s="115"/>
      <c r="F1082" s="115"/>
      <c r="G1082" s="121" t="s">
        <v>17186</v>
      </c>
      <c r="H1082" s="121" t="s">
        <v>17162</v>
      </c>
      <c r="I1082" s="123" t="s">
        <v>40</v>
      </c>
      <c r="J1082" s="121" t="s">
        <v>17187</v>
      </c>
      <c r="K1082" s="120" t="s">
        <v>17188</v>
      </c>
    </row>
    <row r="1083" customFormat="false" ht="14.25" hidden="false" customHeight="true" outlineLevel="0" collapsed="false">
      <c r="A1083" s="115"/>
      <c r="B1083" s="115"/>
      <c r="C1083" s="115"/>
      <c r="D1083" s="121"/>
      <c r="E1083" s="121"/>
      <c r="F1083" s="121"/>
      <c r="G1083" s="121"/>
      <c r="H1083" s="121"/>
      <c r="I1083" s="121"/>
      <c r="J1083" s="121"/>
      <c r="K1083" s="120" t="s">
        <v>17189</v>
      </c>
    </row>
    <row r="1084" customFormat="false" ht="14.25" hidden="false" customHeight="true" outlineLevel="0" collapsed="false">
      <c r="A1084" s="115"/>
      <c r="B1084" s="115"/>
      <c r="C1084" s="115"/>
      <c r="D1084" s="121" t="s">
        <v>17190</v>
      </c>
      <c r="E1084" s="121" t="s">
        <v>17191</v>
      </c>
      <c r="F1084" s="121" t="s">
        <v>48</v>
      </c>
      <c r="G1084" s="121" t="s">
        <v>17192</v>
      </c>
      <c r="H1084" s="121" t="s">
        <v>17166</v>
      </c>
      <c r="I1084" s="123" t="s">
        <v>40</v>
      </c>
      <c r="J1084" s="121" t="s">
        <v>17193</v>
      </c>
      <c r="K1084" s="120" t="s">
        <v>17194</v>
      </c>
    </row>
    <row r="1085" customFormat="false" ht="14.25" hidden="false" customHeight="true" outlineLevel="0" collapsed="false">
      <c r="A1085" s="115"/>
      <c r="B1085" s="115"/>
      <c r="C1085" s="115"/>
      <c r="D1085" s="115"/>
      <c r="E1085" s="115"/>
      <c r="F1085" s="115"/>
      <c r="G1085" s="121"/>
      <c r="H1085" s="121"/>
      <c r="I1085" s="121"/>
      <c r="J1085" s="121"/>
      <c r="K1085" s="120" t="s">
        <v>17195</v>
      </c>
    </row>
    <row r="1086" customFormat="false" ht="14.25" hidden="false" customHeight="true" outlineLevel="0" collapsed="false">
      <c r="A1086" s="115"/>
      <c r="B1086" s="115"/>
      <c r="C1086" s="115"/>
      <c r="D1086" s="115"/>
      <c r="E1086" s="115"/>
      <c r="F1086" s="115"/>
      <c r="G1086" s="121" t="s">
        <v>17196</v>
      </c>
      <c r="H1086" s="121" t="s">
        <v>17172</v>
      </c>
      <c r="I1086" s="123" t="s">
        <v>40</v>
      </c>
      <c r="J1086" s="121" t="s">
        <v>17197</v>
      </c>
      <c r="K1086" s="120" t="s">
        <v>17198</v>
      </c>
    </row>
    <row r="1087" customFormat="false" ht="14.25" hidden="false" customHeight="true" outlineLevel="0" collapsed="false">
      <c r="A1087" s="115"/>
      <c r="B1087" s="115"/>
      <c r="C1087" s="115"/>
      <c r="D1087" s="121"/>
      <c r="E1087" s="121"/>
      <c r="F1087" s="121"/>
      <c r="G1087" s="121"/>
      <c r="H1087" s="121"/>
      <c r="I1087" s="121"/>
      <c r="J1087" s="121"/>
      <c r="K1087" s="120" t="s">
        <v>17199</v>
      </c>
    </row>
    <row r="1088" customFormat="false" ht="14.25" hidden="false" customHeight="true" outlineLevel="0" collapsed="false">
      <c r="A1088" s="115"/>
      <c r="B1088" s="115"/>
      <c r="C1088" s="115"/>
      <c r="D1088" s="121" t="s">
        <v>17200</v>
      </c>
      <c r="E1088" s="121" t="s">
        <v>17201</v>
      </c>
      <c r="F1088" s="121" t="s">
        <v>38</v>
      </c>
      <c r="G1088" s="121" t="s">
        <v>17202</v>
      </c>
      <c r="H1088" s="121" t="s">
        <v>17176</v>
      </c>
      <c r="I1088" s="123" t="s">
        <v>40</v>
      </c>
      <c r="J1088" s="121" t="s">
        <v>17203</v>
      </c>
      <c r="K1088" s="120" t="s">
        <v>17204</v>
      </c>
    </row>
    <row r="1089" customFormat="false" ht="14.25" hidden="false" customHeight="true" outlineLevel="0" collapsed="false">
      <c r="A1089" s="115"/>
      <c r="B1089" s="115"/>
      <c r="C1089" s="115"/>
      <c r="D1089" s="115"/>
      <c r="E1089" s="115"/>
      <c r="F1089" s="115"/>
      <c r="G1089" s="121"/>
      <c r="H1089" s="121"/>
      <c r="I1089" s="121"/>
      <c r="J1089" s="121"/>
      <c r="K1089" s="120" t="s">
        <v>17205</v>
      </c>
    </row>
    <row r="1090" customFormat="false" ht="14.25" hidden="false" customHeight="true" outlineLevel="0" collapsed="false">
      <c r="A1090" s="115"/>
      <c r="B1090" s="115"/>
      <c r="C1090" s="115"/>
      <c r="D1090" s="115"/>
      <c r="E1090" s="115"/>
      <c r="F1090" s="115"/>
      <c r="G1090" s="121" t="s">
        <v>17206</v>
      </c>
      <c r="H1090" s="121" t="s">
        <v>17183</v>
      </c>
      <c r="I1090" s="123" t="s">
        <v>40</v>
      </c>
      <c r="J1090" s="121" t="s">
        <v>17207</v>
      </c>
      <c r="K1090" s="120" t="s">
        <v>17208</v>
      </c>
    </row>
    <row r="1091" customFormat="false" ht="14.25" hidden="false" customHeight="true" outlineLevel="0" collapsed="false">
      <c r="A1091" s="115"/>
      <c r="B1091" s="115"/>
      <c r="C1091" s="129"/>
      <c r="D1091" s="129"/>
      <c r="E1091" s="129"/>
      <c r="F1091" s="129"/>
      <c r="G1091" s="129"/>
      <c r="H1091" s="129"/>
      <c r="I1091" s="129"/>
      <c r="J1091" s="129"/>
      <c r="K1091" s="120" t="s">
        <v>17209</v>
      </c>
    </row>
    <row r="1092" customFormat="false" ht="14.25" hidden="false" customHeight="true" outlineLevel="0" collapsed="false">
      <c r="A1092" s="115"/>
      <c r="B1092" s="115"/>
      <c r="C1092" s="129" t="s">
        <v>17210</v>
      </c>
      <c r="D1092" s="121" t="s">
        <v>17211</v>
      </c>
      <c r="E1092" s="121" t="s">
        <v>17212</v>
      </c>
      <c r="F1092" s="121" t="s">
        <v>48</v>
      </c>
      <c r="G1092" s="121" t="s">
        <v>17213</v>
      </c>
      <c r="H1092" s="121" t="s">
        <v>17187</v>
      </c>
      <c r="I1092" s="123" t="s">
        <v>40</v>
      </c>
      <c r="J1092" s="121" t="s">
        <v>17214</v>
      </c>
      <c r="K1092" s="120" t="s">
        <v>17215</v>
      </c>
    </row>
    <row r="1093" customFormat="false" ht="14.25" hidden="false" customHeight="true" outlineLevel="0" collapsed="false">
      <c r="A1093" s="115"/>
      <c r="B1093" s="115"/>
      <c r="C1093" s="115"/>
      <c r="D1093" s="115"/>
      <c r="E1093" s="115"/>
      <c r="F1093" s="115"/>
      <c r="G1093" s="121"/>
      <c r="H1093" s="121"/>
      <c r="I1093" s="121"/>
      <c r="J1093" s="121"/>
      <c r="K1093" s="120" t="s">
        <v>17216</v>
      </c>
    </row>
    <row r="1094" customFormat="false" ht="14.25" hidden="false" customHeight="true" outlineLevel="0" collapsed="false">
      <c r="A1094" s="115"/>
      <c r="B1094" s="115"/>
      <c r="C1094" s="115"/>
      <c r="D1094" s="115"/>
      <c r="E1094" s="115"/>
      <c r="F1094" s="115"/>
      <c r="G1094" s="121" t="s">
        <v>17217</v>
      </c>
      <c r="H1094" s="121" t="s">
        <v>17193</v>
      </c>
      <c r="I1094" s="123" t="s">
        <v>40</v>
      </c>
      <c r="J1094" s="121" t="s">
        <v>17218</v>
      </c>
      <c r="K1094" s="120" t="s">
        <v>17219</v>
      </c>
    </row>
    <row r="1095" customFormat="false" ht="14.25" hidden="false" customHeight="true" outlineLevel="0" collapsed="false">
      <c r="A1095" s="115"/>
      <c r="B1095" s="115"/>
      <c r="C1095" s="115"/>
      <c r="D1095" s="121"/>
      <c r="E1095" s="121"/>
      <c r="F1095" s="121"/>
      <c r="G1095" s="121"/>
      <c r="H1095" s="121"/>
      <c r="I1095" s="121"/>
      <c r="J1095" s="121"/>
      <c r="K1095" s="120" t="s">
        <v>17220</v>
      </c>
    </row>
    <row r="1096" customFormat="false" ht="14.25" hidden="false" customHeight="true" outlineLevel="0" collapsed="false">
      <c r="A1096" s="115"/>
      <c r="B1096" s="115"/>
      <c r="C1096" s="115"/>
      <c r="D1096" s="121" t="s">
        <v>17221</v>
      </c>
      <c r="E1096" s="121" t="s">
        <v>17222</v>
      </c>
      <c r="F1096" s="121" t="s">
        <v>38</v>
      </c>
      <c r="G1096" s="121" t="s">
        <v>17223</v>
      </c>
      <c r="H1096" s="121" t="s">
        <v>17197</v>
      </c>
      <c r="I1096" s="123" t="s">
        <v>40</v>
      </c>
      <c r="J1096" s="121" t="s">
        <v>17224</v>
      </c>
      <c r="K1096" s="120" t="s">
        <v>16798</v>
      </c>
    </row>
    <row r="1097" customFormat="false" ht="14.25" hidden="false" customHeight="true" outlineLevel="0" collapsed="false">
      <c r="A1097" s="115"/>
      <c r="B1097" s="115"/>
      <c r="C1097" s="115"/>
      <c r="D1097" s="115"/>
      <c r="E1097" s="115"/>
      <c r="F1097" s="115"/>
      <c r="G1097" s="121"/>
      <c r="H1097" s="121"/>
      <c r="I1097" s="121"/>
      <c r="J1097" s="121"/>
      <c r="K1097" s="120" t="s">
        <v>17225</v>
      </c>
    </row>
    <row r="1098" customFormat="false" ht="14.25" hidden="false" customHeight="true" outlineLevel="0" collapsed="false">
      <c r="A1098" s="115"/>
      <c r="B1098" s="115"/>
      <c r="C1098" s="115"/>
      <c r="D1098" s="115"/>
      <c r="E1098" s="115"/>
      <c r="F1098" s="115"/>
      <c r="G1098" s="121" t="s">
        <v>17226</v>
      </c>
      <c r="H1098" s="121" t="s">
        <v>17203</v>
      </c>
      <c r="I1098" s="123" t="s">
        <v>40</v>
      </c>
      <c r="J1098" s="121" t="s">
        <v>17227</v>
      </c>
      <c r="K1098" s="120" t="s">
        <v>17228</v>
      </c>
    </row>
    <row r="1099" customFormat="false" ht="14.25" hidden="false" customHeight="true" outlineLevel="0" collapsed="false">
      <c r="A1099" s="115"/>
      <c r="B1099" s="115"/>
      <c r="C1099" s="115"/>
      <c r="D1099" s="121"/>
      <c r="E1099" s="121"/>
      <c r="F1099" s="121"/>
      <c r="G1099" s="121"/>
      <c r="H1099" s="121"/>
      <c r="I1099" s="121"/>
      <c r="J1099" s="121"/>
      <c r="K1099" s="120" t="s">
        <v>17229</v>
      </c>
    </row>
    <row r="1100" customFormat="false" ht="14.25" hidden="false" customHeight="true" outlineLevel="0" collapsed="false">
      <c r="A1100" s="115"/>
      <c r="B1100" s="115"/>
      <c r="C1100" s="115"/>
      <c r="D1100" s="121" t="s">
        <v>17230</v>
      </c>
      <c r="E1100" s="121" t="s">
        <v>17231</v>
      </c>
      <c r="F1100" s="121" t="s">
        <v>48</v>
      </c>
      <c r="G1100" s="121" t="s">
        <v>17232</v>
      </c>
      <c r="H1100" s="121" t="s">
        <v>17207</v>
      </c>
      <c r="I1100" s="123" t="s">
        <v>40</v>
      </c>
      <c r="J1100" s="121" t="s">
        <v>17233</v>
      </c>
      <c r="K1100" s="120" t="s">
        <v>17234</v>
      </c>
    </row>
    <row r="1101" customFormat="false" ht="14.25" hidden="false" customHeight="true" outlineLevel="0" collapsed="false">
      <c r="A1101" s="115"/>
      <c r="B1101" s="115"/>
      <c r="C1101" s="115"/>
      <c r="D1101" s="115"/>
      <c r="E1101" s="115"/>
      <c r="F1101" s="115"/>
      <c r="G1101" s="121"/>
      <c r="H1101" s="121"/>
      <c r="I1101" s="121"/>
      <c r="J1101" s="121"/>
      <c r="K1101" s="120" t="s">
        <v>17235</v>
      </c>
    </row>
    <row r="1102" customFormat="false" ht="14.25" hidden="false" customHeight="true" outlineLevel="0" collapsed="false">
      <c r="A1102" s="115"/>
      <c r="B1102" s="115"/>
      <c r="C1102" s="115"/>
      <c r="D1102" s="115"/>
      <c r="E1102" s="115"/>
      <c r="F1102" s="115"/>
      <c r="G1102" s="121" t="s">
        <v>17236</v>
      </c>
      <c r="H1102" s="121" t="s">
        <v>17214</v>
      </c>
      <c r="I1102" s="123" t="s">
        <v>40</v>
      </c>
      <c r="J1102" s="121" t="s">
        <v>17237</v>
      </c>
      <c r="K1102" s="120" t="s">
        <v>17238</v>
      </c>
    </row>
    <row r="1103" customFormat="false" ht="14.25" hidden="false" customHeight="true" outlineLevel="0" collapsed="false">
      <c r="A1103" s="115"/>
      <c r="B1103" s="115"/>
      <c r="C1103" s="115"/>
      <c r="D1103" s="121"/>
      <c r="E1103" s="121"/>
      <c r="F1103" s="121"/>
      <c r="G1103" s="121"/>
      <c r="H1103" s="121"/>
      <c r="I1103" s="121"/>
      <c r="J1103" s="121"/>
      <c r="K1103" s="120" t="s">
        <v>17239</v>
      </c>
    </row>
    <row r="1104" customFormat="false" ht="14.25" hidden="false" customHeight="true" outlineLevel="0" collapsed="false">
      <c r="A1104" s="115"/>
      <c r="B1104" s="115"/>
      <c r="C1104" s="115"/>
      <c r="D1104" s="121" t="s">
        <v>17240</v>
      </c>
      <c r="E1104" s="121" t="s">
        <v>17241</v>
      </c>
      <c r="F1104" s="121" t="s">
        <v>38</v>
      </c>
      <c r="G1104" s="121" t="s">
        <v>17242</v>
      </c>
      <c r="H1104" s="121" t="s">
        <v>17218</v>
      </c>
      <c r="I1104" s="123" t="s">
        <v>40</v>
      </c>
      <c r="J1104" s="121" t="s">
        <v>17243</v>
      </c>
      <c r="K1104" s="120" t="s">
        <v>17244</v>
      </c>
    </row>
    <row r="1105" customFormat="false" ht="14.25" hidden="false" customHeight="true" outlineLevel="0" collapsed="false">
      <c r="A1105" s="115"/>
      <c r="B1105" s="115"/>
      <c r="C1105" s="115"/>
      <c r="D1105" s="115"/>
      <c r="E1105" s="115"/>
      <c r="F1105" s="115"/>
      <c r="G1105" s="121"/>
      <c r="H1105" s="121"/>
      <c r="I1105" s="121"/>
      <c r="J1105" s="121"/>
      <c r="K1105" s="120" t="s">
        <v>17245</v>
      </c>
    </row>
    <row r="1106" customFormat="false" ht="14.25" hidden="false" customHeight="true" outlineLevel="0" collapsed="false">
      <c r="A1106" s="115"/>
      <c r="B1106" s="115"/>
      <c r="C1106" s="115"/>
      <c r="D1106" s="115"/>
      <c r="E1106" s="115"/>
      <c r="F1106" s="115"/>
      <c r="G1106" s="121" t="s">
        <v>17246</v>
      </c>
      <c r="H1106" s="121" t="s">
        <v>17224</v>
      </c>
      <c r="I1106" s="123" t="s">
        <v>40</v>
      </c>
      <c r="J1106" s="121" t="s">
        <v>17247</v>
      </c>
      <c r="K1106" s="120" t="s">
        <v>17248</v>
      </c>
    </row>
    <row r="1107" customFormat="false" ht="14.25" hidden="false" customHeight="true" outlineLevel="0" collapsed="false">
      <c r="A1107" s="115"/>
      <c r="B1107" s="115"/>
      <c r="C1107" s="115"/>
      <c r="D1107" s="121"/>
      <c r="E1107" s="121"/>
      <c r="F1107" s="121"/>
      <c r="G1107" s="121"/>
      <c r="H1107" s="121"/>
      <c r="I1107" s="121"/>
      <c r="J1107" s="121"/>
      <c r="K1107" s="120" t="s">
        <v>17249</v>
      </c>
    </row>
    <row r="1108" customFormat="false" ht="14.25" hidden="false" customHeight="true" outlineLevel="0" collapsed="false">
      <c r="A1108" s="115"/>
      <c r="B1108" s="115"/>
      <c r="C1108" s="115"/>
      <c r="D1108" s="121" t="s">
        <v>17250</v>
      </c>
      <c r="E1108" s="121" t="s">
        <v>17251</v>
      </c>
      <c r="F1108" s="121" t="s">
        <v>38</v>
      </c>
      <c r="G1108" s="121" t="s">
        <v>17252</v>
      </c>
      <c r="H1108" s="121" t="s">
        <v>17227</v>
      </c>
      <c r="I1108" s="123" t="s">
        <v>40</v>
      </c>
      <c r="J1108" s="121" t="s">
        <v>17253</v>
      </c>
      <c r="K1108" s="120" t="s">
        <v>17254</v>
      </c>
    </row>
    <row r="1109" customFormat="false" ht="14.25" hidden="false" customHeight="true" outlineLevel="0" collapsed="false">
      <c r="A1109" s="115"/>
      <c r="B1109" s="115"/>
      <c r="C1109" s="115"/>
      <c r="D1109" s="115"/>
      <c r="E1109" s="115"/>
      <c r="F1109" s="115"/>
      <c r="G1109" s="121"/>
      <c r="H1109" s="121"/>
      <c r="I1109" s="121"/>
      <c r="J1109" s="121"/>
      <c r="K1109" s="120" t="s">
        <v>15767</v>
      </c>
    </row>
    <row r="1110" customFormat="false" ht="14.25" hidden="false" customHeight="true" outlineLevel="0" collapsed="false">
      <c r="A1110" s="115"/>
      <c r="B1110" s="115"/>
      <c r="C1110" s="115"/>
      <c r="D1110" s="115"/>
      <c r="E1110" s="115"/>
      <c r="F1110" s="115"/>
      <c r="G1110" s="121" t="s">
        <v>17255</v>
      </c>
      <c r="H1110" s="121" t="s">
        <v>17256</v>
      </c>
      <c r="I1110" s="123" t="s">
        <v>40</v>
      </c>
      <c r="J1110" s="121" t="s">
        <v>17257</v>
      </c>
      <c r="K1110" s="120" t="s">
        <v>17258</v>
      </c>
    </row>
    <row r="1111" customFormat="false" ht="14.25" hidden="false" customHeight="true" outlineLevel="0" collapsed="false">
      <c r="A1111" s="115"/>
      <c r="B1111" s="115"/>
      <c r="C1111" s="129"/>
      <c r="D1111" s="129"/>
      <c r="E1111" s="129"/>
      <c r="F1111" s="129"/>
      <c r="G1111" s="129"/>
      <c r="H1111" s="129"/>
      <c r="I1111" s="129"/>
      <c r="J1111" s="129"/>
      <c r="K1111" s="120" t="s">
        <v>17259</v>
      </c>
    </row>
    <row r="1112" customFormat="false" ht="14.25" hidden="false" customHeight="true" outlineLevel="0" collapsed="false">
      <c r="A1112" s="115"/>
      <c r="B1112" s="115"/>
      <c r="C1112" s="129" t="s">
        <v>17260</v>
      </c>
      <c r="D1112" s="121" t="s">
        <v>17261</v>
      </c>
      <c r="E1112" s="121" t="s">
        <v>17262</v>
      </c>
      <c r="F1112" s="121" t="s">
        <v>48</v>
      </c>
      <c r="G1112" s="121" t="s">
        <v>17263</v>
      </c>
      <c r="H1112" s="121" t="s">
        <v>17237</v>
      </c>
      <c r="I1112" s="123" t="s">
        <v>40</v>
      </c>
      <c r="J1112" s="121" t="s">
        <v>17264</v>
      </c>
      <c r="K1112" s="120" t="s">
        <v>17265</v>
      </c>
    </row>
    <row r="1113" customFormat="false" ht="14.25" hidden="false" customHeight="true" outlineLevel="0" collapsed="false">
      <c r="A1113" s="115"/>
      <c r="B1113" s="115"/>
      <c r="C1113" s="115"/>
      <c r="D1113" s="115"/>
      <c r="E1113" s="115"/>
      <c r="F1113" s="115"/>
      <c r="G1113" s="121"/>
      <c r="H1113" s="121"/>
      <c r="I1113" s="121"/>
      <c r="J1113" s="121"/>
      <c r="K1113" s="120" t="s">
        <v>17266</v>
      </c>
    </row>
    <row r="1114" customFormat="false" ht="14.25" hidden="false" customHeight="true" outlineLevel="0" collapsed="false">
      <c r="A1114" s="115"/>
      <c r="B1114" s="115"/>
      <c r="C1114" s="115"/>
      <c r="D1114" s="115"/>
      <c r="E1114" s="115"/>
      <c r="F1114" s="115"/>
      <c r="G1114" s="121" t="s">
        <v>17267</v>
      </c>
      <c r="H1114" s="121" t="s">
        <v>17268</v>
      </c>
      <c r="I1114" s="123" t="s">
        <v>40</v>
      </c>
      <c r="J1114" s="121" t="s">
        <v>17269</v>
      </c>
      <c r="K1114" s="120" t="s">
        <v>17270</v>
      </c>
    </row>
    <row r="1115" customFormat="false" ht="14.25" hidden="false" customHeight="true" outlineLevel="0" collapsed="false">
      <c r="A1115" s="115"/>
      <c r="B1115" s="115"/>
      <c r="C1115" s="115"/>
      <c r="D1115" s="121"/>
      <c r="E1115" s="121"/>
      <c r="F1115" s="121"/>
      <c r="G1115" s="121"/>
      <c r="H1115" s="121"/>
      <c r="I1115" s="121"/>
      <c r="J1115" s="121"/>
      <c r="K1115" s="120" t="s">
        <v>17271</v>
      </c>
    </row>
    <row r="1116" customFormat="false" ht="14.25" hidden="false" customHeight="true" outlineLevel="0" collapsed="false">
      <c r="A1116" s="115"/>
      <c r="B1116" s="115"/>
      <c r="C1116" s="115"/>
      <c r="D1116" s="121" t="s">
        <v>17272</v>
      </c>
      <c r="E1116" s="121" t="s">
        <v>17273</v>
      </c>
      <c r="F1116" s="121" t="s">
        <v>38</v>
      </c>
      <c r="G1116" s="121" t="s">
        <v>17274</v>
      </c>
      <c r="H1116" s="121" t="s">
        <v>17275</v>
      </c>
      <c r="I1116" s="123" t="s">
        <v>40</v>
      </c>
      <c r="J1116" s="121" t="s">
        <v>17276</v>
      </c>
      <c r="K1116" s="120" t="s">
        <v>17277</v>
      </c>
    </row>
    <row r="1117" customFormat="false" ht="14.25" hidden="false" customHeight="true" outlineLevel="0" collapsed="false">
      <c r="A1117" s="115"/>
      <c r="B1117" s="115"/>
      <c r="C1117" s="115"/>
      <c r="D1117" s="115"/>
      <c r="E1117" s="115"/>
      <c r="F1117" s="115"/>
      <c r="G1117" s="121"/>
      <c r="H1117" s="121"/>
      <c r="I1117" s="121"/>
      <c r="J1117" s="121"/>
      <c r="K1117" s="120" t="s">
        <v>17278</v>
      </c>
    </row>
    <row r="1118" customFormat="false" ht="14.25" hidden="false" customHeight="true" outlineLevel="0" collapsed="false">
      <c r="A1118" s="115"/>
      <c r="B1118" s="115"/>
      <c r="C1118" s="115"/>
      <c r="D1118" s="115"/>
      <c r="E1118" s="115"/>
      <c r="F1118" s="115"/>
      <c r="G1118" s="121" t="s">
        <v>17279</v>
      </c>
      <c r="H1118" s="121" t="s">
        <v>17280</v>
      </c>
      <c r="I1118" s="123" t="s">
        <v>40</v>
      </c>
      <c r="J1118" s="121" t="s">
        <v>17281</v>
      </c>
      <c r="K1118" s="120" t="s">
        <v>17282</v>
      </c>
    </row>
    <row r="1119" customFormat="false" ht="14.25" hidden="false" customHeight="true" outlineLevel="0" collapsed="false">
      <c r="A1119" s="115"/>
      <c r="B1119" s="115"/>
      <c r="C1119" s="115"/>
      <c r="D1119" s="121"/>
      <c r="E1119" s="121"/>
      <c r="F1119" s="121"/>
      <c r="G1119" s="121"/>
      <c r="H1119" s="121"/>
      <c r="I1119" s="121"/>
      <c r="J1119" s="121"/>
      <c r="K1119" s="120" t="s">
        <v>17283</v>
      </c>
    </row>
    <row r="1120" customFormat="false" ht="14.25" hidden="false" customHeight="true" outlineLevel="0" collapsed="false">
      <c r="A1120" s="115"/>
      <c r="B1120" s="115"/>
      <c r="C1120" s="115"/>
      <c r="D1120" s="121" t="s">
        <v>17284</v>
      </c>
      <c r="E1120" s="121" t="s">
        <v>17285</v>
      </c>
      <c r="F1120" s="121" t="s">
        <v>38</v>
      </c>
      <c r="G1120" s="121" t="s">
        <v>17286</v>
      </c>
      <c r="H1120" s="121" t="s">
        <v>17287</v>
      </c>
      <c r="I1120" s="122" t="s">
        <v>50</v>
      </c>
      <c r="J1120" s="121" t="s">
        <v>17288</v>
      </c>
      <c r="K1120" s="120" t="s">
        <v>17289</v>
      </c>
    </row>
    <row r="1121" customFormat="false" ht="14.25" hidden="false" customHeight="true" outlineLevel="0" collapsed="false">
      <c r="A1121" s="115"/>
      <c r="B1121" s="115"/>
      <c r="C1121" s="115"/>
      <c r="D1121" s="115"/>
      <c r="E1121" s="115"/>
      <c r="F1121" s="115"/>
      <c r="G1121" s="121"/>
      <c r="H1121" s="121"/>
      <c r="I1121" s="121"/>
      <c r="J1121" s="121"/>
      <c r="K1121" s="120" t="s">
        <v>17290</v>
      </c>
    </row>
    <row r="1122" customFormat="false" ht="14.25" hidden="false" customHeight="true" outlineLevel="0" collapsed="false">
      <c r="A1122" s="115"/>
      <c r="B1122" s="115"/>
      <c r="C1122" s="115"/>
      <c r="D1122" s="115"/>
      <c r="E1122" s="115"/>
      <c r="F1122" s="115"/>
      <c r="G1122" s="121" t="s">
        <v>17291</v>
      </c>
      <c r="H1122" s="121" t="s">
        <v>17292</v>
      </c>
      <c r="I1122" s="122" t="s">
        <v>50</v>
      </c>
      <c r="J1122" s="121" t="s">
        <v>17293</v>
      </c>
      <c r="K1122" s="120" t="s">
        <v>17294</v>
      </c>
    </row>
    <row r="1123" customFormat="false" ht="14.25" hidden="false" customHeight="true" outlineLevel="0" collapsed="false">
      <c r="A1123" s="115"/>
      <c r="B1123" s="115"/>
      <c r="C1123" s="115"/>
      <c r="D1123" s="121"/>
      <c r="E1123" s="121"/>
      <c r="F1123" s="121"/>
      <c r="G1123" s="121"/>
      <c r="H1123" s="121"/>
      <c r="I1123" s="121"/>
      <c r="J1123" s="121"/>
      <c r="K1123" s="120" t="s">
        <v>17295</v>
      </c>
    </row>
    <row r="1124" customFormat="false" ht="14.25" hidden="false" customHeight="true" outlineLevel="0" collapsed="false">
      <c r="A1124" s="115"/>
      <c r="B1124" s="115"/>
      <c r="C1124" s="115"/>
      <c r="D1124" s="121" t="s">
        <v>17296</v>
      </c>
      <c r="E1124" s="121" t="s">
        <v>17297</v>
      </c>
      <c r="F1124" s="121" t="s">
        <v>38</v>
      </c>
      <c r="G1124" s="121" t="s">
        <v>17298</v>
      </c>
      <c r="H1124" s="121" t="s">
        <v>17299</v>
      </c>
      <c r="I1124" s="123" t="s">
        <v>40</v>
      </c>
      <c r="J1124" s="121" t="s">
        <v>17300</v>
      </c>
      <c r="K1124" s="120" t="s">
        <v>17301</v>
      </c>
    </row>
    <row r="1125" customFormat="false" ht="14.25" hidden="false" customHeight="true" outlineLevel="0" collapsed="false">
      <c r="A1125" s="115"/>
      <c r="B1125" s="115"/>
      <c r="C1125" s="115"/>
      <c r="D1125" s="115"/>
      <c r="E1125" s="115"/>
      <c r="F1125" s="115"/>
      <c r="G1125" s="121"/>
      <c r="H1125" s="121"/>
      <c r="I1125" s="121"/>
      <c r="J1125" s="121"/>
      <c r="K1125" s="120" t="s">
        <v>17302</v>
      </c>
    </row>
    <row r="1126" customFormat="false" ht="14.25" hidden="false" customHeight="true" outlineLevel="0" collapsed="false">
      <c r="A1126" s="115"/>
      <c r="B1126" s="115"/>
      <c r="C1126" s="115"/>
      <c r="D1126" s="115"/>
      <c r="E1126" s="115"/>
      <c r="F1126" s="115"/>
      <c r="G1126" s="121" t="s">
        <v>17303</v>
      </c>
      <c r="H1126" s="121" t="s">
        <v>17304</v>
      </c>
      <c r="I1126" s="123" t="s">
        <v>40</v>
      </c>
      <c r="J1126" s="121" t="s">
        <v>17305</v>
      </c>
      <c r="K1126" s="120" t="s">
        <v>17306</v>
      </c>
    </row>
    <row r="1127" customFormat="false" ht="14.25" hidden="false" customHeight="true" outlineLevel="0" collapsed="false">
      <c r="A1127" s="115"/>
      <c r="B1127" s="115"/>
      <c r="C1127" s="115"/>
      <c r="D1127" s="121"/>
      <c r="E1127" s="121"/>
      <c r="F1127" s="121"/>
      <c r="G1127" s="121"/>
      <c r="H1127" s="121"/>
      <c r="I1127" s="121"/>
      <c r="J1127" s="121"/>
      <c r="K1127" s="120" t="s">
        <v>17307</v>
      </c>
    </row>
    <row r="1128" customFormat="false" ht="14.25" hidden="false" customHeight="true" outlineLevel="0" collapsed="false">
      <c r="A1128" s="115"/>
      <c r="B1128" s="115"/>
      <c r="C1128" s="115"/>
      <c r="D1128" s="121" t="s">
        <v>17308</v>
      </c>
      <c r="E1128" s="121" t="s">
        <v>17309</v>
      </c>
      <c r="F1128" s="121" t="s">
        <v>38</v>
      </c>
      <c r="G1128" s="121" t="s">
        <v>17310</v>
      </c>
      <c r="H1128" s="121" t="s">
        <v>17311</v>
      </c>
      <c r="I1128" s="123" t="s">
        <v>40</v>
      </c>
      <c r="J1128" s="121" t="s">
        <v>17312</v>
      </c>
      <c r="K1128" s="120" t="s">
        <v>17313</v>
      </c>
    </row>
    <row r="1129" customFormat="false" ht="14.25" hidden="false" customHeight="true" outlineLevel="0" collapsed="false">
      <c r="A1129" s="115"/>
      <c r="B1129" s="115"/>
      <c r="C1129" s="115"/>
      <c r="D1129" s="115"/>
      <c r="E1129" s="115"/>
      <c r="F1129" s="115"/>
      <c r="G1129" s="121"/>
      <c r="H1129" s="121"/>
      <c r="I1129" s="121"/>
      <c r="J1129" s="121"/>
      <c r="K1129" s="120" t="s">
        <v>17314</v>
      </c>
    </row>
    <row r="1130" customFormat="false" ht="14.25" hidden="false" customHeight="true" outlineLevel="0" collapsed="false">
      <c r="A1130" s="115"/>
      <c r="B1130" s="115"/>
      <c r="C1130" s="115"/>
      <c r="D1130" s="115"/>
      <c r="E1130" s="115"/>
      <c r="F1130" s="115"/>
      <c r="G1130" s="121" t="s">
        <v>17315</v>
      </c>
      <c r="H1130" s="121" t="s">
        <v>17316</v>
      </c>
      <c r="I1130" s="123" t="s">
        <v>40</v>
      </c>
      <c r="J1130" s="121" t="s">
        <v>17317</v>
      </c>
      <c r="K1130" s="120" t="s">
        <v>17318</v>
      </c>
    </row>
    <row r="1131" customFormat="false" ht="14.25" hidden="false" customHeight="true" outlineLevel="0" collapsed="false">
      <c r="A1131" s="115"/>
      <c r="B1131" s="115"/>
      <c r="C1131" s="129"/>
      <c r="D1131" s="129"/>
      <c r="E1131" s="129"/>
      <c r="F1131" s="129"/>
      <c r="G1131" s="129"/>
      <c r="H1131" s="129"/>
      <c r="I1131" s="129"/>
      <c r="J1131" s="129"/>
      <c r="K1131" s="120" t="s">
        <v>17319</v>
      </c>
    </row>
    <row r="1132" customFormat="false" ht="14.25" hidden="false" customHeight="true" outlineLevel="0" collapsed="false">
      <c r="A1132" s="115"/>
      <c r="B1132" s="115"/>
      <c r="C1132" s="134" t="s">
        <v>17320</v>
      </c>
      <c r="D1132" s="121" t="s">
        <v>17321</v>
      </c>
      <c r="E1132" s="121" t="s">
        <v>17322</v>
      </c>
      <c r="F1132" s="121" t="s">
        <v>38</v>
      </c>
      <c r="G1132" s="121" t="s">
        <v>17323</v>
      </c>
      <c r="H1132" s="121" t="s">
        <v>17324</v>
      </c>
      <c r="I1132" s="123" t="s">
        <v>40</v>
      </c>
      <c r="J1132" s="121" t="s">
        <v>17325</v>
      </c>
      <c r="K1132" s="120" t="s">
        <v>738</v>
      </c>
    </row>
    <row r="1133" customFormat="false" ht="14.25" hidden="false" customHeight="true" outlineLevel="0" collapsed="false">
      <c r="A1133" s="115"/>
      <c r="B1133" s="115"/>
      <c r="C1133" s="115"/>
      <c r="D1133" s="115"/>
      <c r="E1133" s="115"/>
      <c r="F1133" s="115"/>
      <c r="G1133" s="121"/>
      <c r="H1133" s="121"/>
      <c r="I1133" s="121"/>
      <c r="J1133" s="121"/>
      <c r="K1133" s="120" t="s">
        <v>17326</v>
      </c>
    </row>
    <row r="1134" customFormat="false" ht="14.25" hidden="false" customHeight="true" outlineLevel="0" collapsed="false">
      <c r="A1134" s="115"/>
      <c r="B1134" s="115"/>
      <c r="C1134" s="115"/>
      <c r="D1134" s="115"/>
      <c r="E1134" s="115"/>
      <c r="F1134" s="115"/>
      <c r="G1134" s="121" t="s">
        <v>17327</v>
      </c>
      <c r="H1134" s="121" t="s">
        <v>17328</v>
      </c>
      <c r="I1134" s="123" t="s">
        <v>40</v>
      </c>
      <c r="J1134" s="121" t="s">
        <v>17329</v>
      </c>
      <c r="K1134" s="120" t="s">
        <v>17330</v>
      </c>
    </row>
    <row r="1135" customFormat="false" ht="14.25" hidden="false" customHeight="true" outlineLevel="0" collapsed="false">
      <c r="A1135" s="115"/>
      <c r="B1135" s="115"/>
      <c r="C1135" s="115"/>
      <c r="D1135" s="121"/>
      <c r="E1135" s="121"/>
      <c r="F1135" s="121"/>
      <c r="G1135" s="121"/>
      <c r="H1135" s="121"/>
      <c r="I1135" s="121"/>
      <c r="J1135" s="121"/>
      <c r="K1135" s="120" t="s">
        <v>17331</v>
      </c>
    </row>
    <row r="1136" customFormat="false" ht="14.25" hidden="false" customHeight="true" outlineLevel="0" collapsed="false">
      <c r="A1136" s="115"/>
      <c r="B1136" s="115"/>
      <c r="C1136" s="115"/>
      <c r="D1136" s="121" t="s">
        <v>17332</v>
      </c>
      <c r="E1136" s="121" t="s">
        <v>17333</v>
      </c>
      <c r="F1136" s="121" t="s">
        <v>38</v>
      </c>
      <c r="G1136" s="121" t="s">
        <v>17334</v>
      </c>
      <c r="H1136" s="121" t="s">
        <v>17335</v>
      </c>
      <c r="I1136" s="123" t="s">
        <v>40</v>
      </c>
      <c r="J1136" s="121" t="s">
        <v>17336</v>
      </c>
      <c r="K1136" s="120" t="s">
        <v>17337</v>
      </c>
    </row>
    <row r="1137" customFormat="false" ht="14.25" hidden="false" customHeight="true" outlineLevel="0" collapsed="false">
      <c r="A1137" s="115"/>
      <c r="B1137" s="115"/>
      <c r="C1137" s="115"/>
      <c r="D1137" s="115"/>
      <c r="E1137" s="115"/>
      <c r="F1137" s="115"/>
      <c r="G1137" s="121"/>
      <c r="H1137" s="121"/>
      <c r="I1137" s="121"/>
      <c r="J1137" s="121"/>
      <c r="K1137" s="120" t="s">
        <v>17338</v>
      </c>
    </row>
    <row r="1138" customFormat="false" ht="14.25" hidden="false" customHeight="true" outlineLevel="0" collapsed="false">
      <c r="A1138" s="115"/>
      <c r="B1138" s="115"/>
      <c r="C1138" s="115"/>
      <c r="D1138" s="115"/>
      <c r="E1138" s="115"/>
      <c r="F1138" s="115"/>
      <c r="G1138" s="121" t="s">
        <v>17339</v>
      </c>
      <c r="H1138" s="121" t="s">
        <v>17340</v>
      </c>
      <c r="I1138" s="123" t="s">
        <v>40</v>
      </c>
      <c r="J1138" s="121" t="s">
        <v>17341</v>
      </c>
      <c r="K1138" s="120" t="s">
        <v>17342</v>
      </c>
    </row>
    <row r="1139" customFormat="false" ht="14.25" hidden="false" customHeight="true" outlineLevel="0" collapsed="false">
      <c r="A1139" s="115"/>
      <c r="B1139" s="115"/>
      <c r="C1139" s="115"/>
      <c r="D1139" s="121"/>
      <c r="E1139" s="121"/>
      <c r="F1139" s="121"/>
      <c r="G1139" s="121"/>
      <c r="H1139" s="121"/>
      <c r="I1139" s="121"/>
      <c r="J1139" s="121"/>
      <c r="K1139" s="120" t="s">
        <v>17343</v>
      </c>
    </row>
    <row r="1140" customFormat="false" ht="14.25" hidden="false" customHeight="true" outlineLevel="0" collapsed="false">
      <c r="A1140" s="115"/>
      <c r="B1140" s="115"/>
      <c r="C1140" s="115"/>
      <c r="D1140" s="121" t="s">
        <v>17344</v>
      </c>
      <c r="E1140" s="121" t="s">
        <v>17345</v>
      </c>
      <c r="F1140" s="121" t="s">
        <v>38</v>
      </c>
      <c r="G1140" s="121" t="s">
        <v>17346</v>
      </c>
      <c r="H1140" s="121" t="s">
        <v>17347</v>
      </c>
      <c r="I1140" s="123" t="s">
        <v>40</v>
      </c>
      <c r="J1140" s="121" t="s">
        <v>17348</v>
      </c>
      <c r="K1140" s="120" t="s">
        <v>17349</v>
      </c>
    </row>
    <row r="1141" customFormat="false" ht="14.25" hidden="false" customHeight="true" outlineLevel="0" collapsed="false">
      <c r="A1141" s="115"/>
      <c r="B1141" s="115"/>
      <c r="C1141" s="115"/>
      <c r="D1141" s="115"/>
      <c r="E1141" s="115"/>
      <c r="F1141" s="115"/>
      <c r="G1141" s="121"/>
      <c r="H1141" s="121"/>
      <c r="I1141" s="121"/>
      <c r="J1141" s="121"/>
      <c r="K1141" s="120" t="s">
        <v>17350</v>
      </c>
    </row>
    <row r="1142" customFormat="false" ht="14.25" hidden="false" customHeight="true" outlineLevel="0" collapsed="false">
      <c r="A1142" s="115"/>
      <c r="B1142" s="115"/>
      <c r="C1142" s="115"/>
      <c r="D1142" s="115"/>
      <c r="E1142" s="115"/>
      <c r="F1142" s="115"/>
      <c r="G1142" s="121" t="s">
        <v>17351</v>
      </c>
      <c r="H1142" s="121" t="s">
        <v>17352</v>
      </c>
      <c r="I1142" s="123" t="s">
        <v>40</v>
      </c>
      <c r="J1142" s="121" t="s">
        <v>17353</v>
      </c>
      <c r="K1142" s="120" t="s">
        <v>17354</v>
      </c>
    </row>
    <row r="1143" customFormat="false" ht="14.25" hidden="false" customHeight="true" outlineLevel="0" collapsed="false">
      <c r="A1143" s="115"/>
      <c r="B1143" s="115"/>
      <c r="C1143" s="115"/>
      <c r="D1143" s="121"/>
      <c r="E1143" s="121"/>
      <c r="F1143" s="121"/>
      <c r="G1143" s="121"/>
      <c r="H1143" s="121"/>
      <c r="I1143" s="121"/>
      <c r="J1143" s="121"/>
      <c r="K1143" s="120" t="s">
        <v>17355</v>
      </c>
    </row>
    <row r="1144" customFormat="false" ht="14.25" hidden="false" customHeight="true" outlineLevel="0" collapsed="false">
      <c r="A1144" s="115"/>
      <c r="B1144" s="115"/>
      <c r="C1144" s="115"/>
      <c r="D1144" s="121" t="s">
        <v>17356</v>
      </c>
      <c r="E1144" s="121" t="s">
        <v>17357</v>
      </c>
      <c r="F1144" s="121" t="s">
        <v>38</v>
      </c>
      <c r="G1144" s="121" t="s">
        <v>17358</v>
      </c>
      <c r="H1144" s="121" t="s">
        <v>17359</v>
      </c>
      <c r="I1144" s="122" t="s">
        <v>50</v>
      </c>
      <c r="J1144" s="121" t="s">
        <v>17360</v>
      </c>
      <c r="K1144" s="120" t="s">
        <v>17361</v>
      </c>
    </row>
    <row r="1145" customFormat="false" ht="14.25" hidden="false" customHeight="true" outlineLevel="0" collapsed="false">
      <c r="A1145" s="115"/>
      <c r="B1145" s="115"/>
      <c r="C1145" s="115"/>
      <c r="D1145" s="115"/>
      <c r="E1145" s="115"/>
      <c r="F1145" s="115"/>
      <c r="G1145" s="121"/>
      <c r="H1145" s="121"/>
      <c r="I1145" s="121"/>
      <c r="J1145" s="121"/>
      <c r="K1145" s="120" t="s">
        <v>17362</v>
      </c>
    </row>
    <row r="1146" customFormat="false" ht="14.25" hidden="false" customHeight="true" outlineLevel="0" collapsed="false">
      <c r="A1146" s="115"/>
      <c r="B1146" s="115"/>
      <c r="C1146" s="115"/>
      <c r="D1146" s="115"/>
      <c r="E1146" s="115"/>
      <c r="F1146" s="115"/>
      <c r="G1146" s="121" t="s">
        <v>17363</v>
      </c>
      <c r="H1146" s="121" t="s">
        <v>17364</v>
      </c>
      <c r="I1146" s="122" t="s">
        <v>50</v>
      </c>
      <c r="J1146" s="121" t="s">
        <v>17365</v>
      </c>
      <c r="K1146" s="120" t="s">
        <v>17366</v>
      </c>
    </row>
    <row r="1147" customFormat="false" ht="14.25" hidden="false" customHeight="true" outlineLevel="0" collapsed="false">
      <c r="A1147" s="115"/>
      <c r="B1147" s="115"/>
      <c r="C1147" s="115"/>
      <c r="D1147" s="121"/>
      <c r="E1147" s="121"/>
      <c r="F1147" s="121"/>
      <c r="G1147" s="121"/>
      <c r="H1147" s="121"/>
      <c r="I1147" s="121"/>
      <c r="J1147" s="121"/>
      <c r="K1147" s="120" t="s">
        <v>17367</v>
      </c>
    </row>
    <row r="1148" customFormat="false" ht="14.25" hidden="false" customHeight="true" outlineLevel="0" collapsed="false">
      <c r="A1148" s="115"/>
      <c r="B1148" s="115"/>
      <c r="C1148" s="115"/>
      <c r="D1148" s="121" t="s">
        <v>17368</v>
      </c>
      <c r="E1148" s="121" t="s">
        <v>17369</v>
      </c>
      <c r="F1148" s="121" t="s">
        <v>38</v>
      </c>
      <c r="G1148" s="121" t="s">
        <v>17370</v>
      </c>
      <c r="H1148" s="121" t="s">
        <v>17371</v>
      </c>
      <c r="I1148" s="122" t="s">
        <v>50</v>
      </c>
      <c r="J1148" s="121" t="s">
        <v>17372</v>
      </c>
      <c r="K1148" s="120" t="s">
        <v>17373</v>
      </c>
    </row>
    <row r="1149" customFormat="false" ht="14.25" hidden="false" customHeight="true" outlineLevel="0" collapsed="false">
      <c r="A1149" s="115"/>
      <c r="B1149" s="115"/>
      <c r="C1149" s="115"/>
      <c r="D1149" s="115"/>
      <c r="E1149" s="115"/>
      <c r="F1149" s="115"/>
      <c r="G1149" s="121"/>
      <c r="H1149" s="121"/>
      <c r="I1149" s="121"/>
      <c r="J1149" s="121"/>
      <c r="K1149" s="120" t="s">
        <v>17374</v>
      </c>
    </row>
    <row r="1150" customFormat="false" ht="14.25" hidden="false" customHeight="true" outlineLevel="0" collapsed="false">
      <c r="A1150" s="115"/>
      <c r="B1150" s="115"/>
      <c r="C1150" s="115"/>
      <c r="D1150" s="115"/>
      <c r="E1150" s="115"/>
      <c r="F1150" s="115"/>
      <c r="G1150" s="121" t="s">
        <v>17375</v>
      </c>
      <c r="H1150" s="121" t="s">
        <v>17376</v>
      </c>
      <c r="I1150" s="122" t="s">
        <v>50</v>
      </c>
      <c r="J1150" s="121" t="s">
        <v>17377</v>
      </c>
      <c r="K1150" s="120" t="s">
        <v>17378</v>
      </c>
    </row>
    <row r="1151" customFormat="false" ht="14.25" hidden="false" customHeight="true" outlineLevel="0" collapsed="false">
      <c r="A1151" s="115"/>
      <c r="B1151" s="115"/>
      <c r="C1151" s="134"/>
      <c r="D1151" s="134"/>
      <c r="E1151" s="134"/>
      <c r="F1151" s="134"/>
      <c r="G1151" s="134"/>
      <c r="H1151" s="134"/>
      <c r="I1151" s="134"/>
      <c r="J1151" s="134"/>
      <c r="K1151" s="120" t="s">
        <v>17379</v>
      </c>
    </row>
    <row r="1152" customFormat="false" ht="14.25" hidden="false" customHeight="true" outlineLevel="0" collapsed="false">
      <c r="A1152" s="115"/>
      <c r="B1152" s="115"/>
      <c r="C1152" s="134" t="s">
        <v>17380</v>
      </c>
      <c r="D1152" s="121" t="s">
        <v>17381</v>
      </c>
      <c r="E1152" s="121" t="s">
        <v>17382</v>
      </c>
      <c r="F1152" s="121" t="s">
        <v>38</v>
      </c>
      <c r="G1152" s="121" t="s">
        <v>17383</v>
      </c>
      <c r="H1152" s="121" t="s">
        <v>17384</v>
      </c>
      <c r="I1152" s="122" t="s">
        <v>50</v>
      </c>
      <c r="J1152" s="121" t="s">
        <v>17385</v>
      </c>
      <c r="K1152" s="120" t="s">
        <v>17386</v>
      </c>
    </row>
    <row r="1153" customFormat="false" ht="14.25" hidden="false" customHeight="true" outlineLevel="0" collapsed="false">
      <c r="A1153" s="115"/>
      <c r="B1153" s="115"/>
      <c r="C1153" s="115"/>
      <c r="D1153" s="115"/>
      <c r="E1153" s="115"/>
      <c r="F1153" s="115"/>
      <c r="G1153" s="121"/>
      <c r="H1153" s="121"/>
      <c r="I1153" s="121"/>
      <c r="J1153" s="121"/>
      <c r="K1153" s="120" t="s">
        <v>17387</v>
      </c>
    </row>
    <row r="1154" customFormat="false" ht="14.25" hidden="false" customHeight="true" outlineLevel="0" collapsed="false">
      <c r="A1154" s="115"/>
      <c r="B1154" s="115"/>
      <c r="C1154" s="115"/>
      <c r="D1154" s="115"/>
      <c r="E1154" s="115"/>
      <c r="F1154" s="115"/>
      <c r="G1154" s="121" t="s">
        <v>17388</v>
      </c>
      <c r="H1154" s="121" t="s">
        <v>17389</v>
      </c>
      <c r="I1154" s="122" t="s">
        <v>50</v>
      </c>
      <c r="J1154" s="121" t="s">
        <v>17390</v>
      </c>
      <c r="K1154" s="120" t="s">
        <v>17391</v>
      </c>
    </row>
    <row r="1155" customFormat="false" ht="14.25" hidden="false" customHeight="true" outlineLevel="0" collapsed="false">
      <c r="A1155" s="115"/>
      <c r="B1155" s="115"/>
      <c r="C1155" s="115"/>
      <c r="D1155" s="121"/>
      <c r="E1155" s="121"/>
      <c r="F1155" s="121"/>
      <c r="G1155" s="121"/>
      <c r="H1155" s="121"/>
      <c r="I1155" s="121"/>
      <c r="J1155" s="121"/>
      <c r="K1155" s="120" t="s">
        <v>17392</v>
      </c>
    </row>
    <row r="1156" customFormat="false" ht="14.25" hidden="false" customHeight="true" outlineLevel="0" collapsed="false">
      <c r="A1156" s="115"/>
      <c r="B1156" s="115"/>
      <c r="C1156" s="115"/>
      <c r="D1156" s="121" t="s">
        <v>17393</v>
      </c>
      <c r="E1156" s="121" t="s">
        <v>17394</v>
      </c>
      <c r="F1156" s="121" t="s">
        <v>38</v>
      </c>
      <c r="G1156" s="121" t="s">
        <v>17395</v>
      </c>
      <c r="H1156" s="121" t="s">
        <v>16509</v>
      </c>
      <c r="I1156" s="122" t="s">
        <v>50</v>
      </c>
      <c r="J1156" s="121" t="s">
        <v>17396</v>
      </c>
      <c r="K1156" s="120" t="s">
        <v>17397</v>
      </c>
    </row>
    <row r="1157" customFormat="false" ht="14.25" hidden="false" customHeight="true" outlineLevel="0" collapsed="false">
      <c r="A1157" s="115"/>
      <c r="B1157" s="115"/>
      <c r="C1157" s="115"/>
      <c r="D1157" s="115"/>
      <c r="E1157" s="115"/>
      <c r="F1157" s="115"/>
      <c r="G1157" s="121"/>
      <c r="H1157" s="121"/>
      <c r="I1157" s="121"/>
      <c r="J1157" s="121"/>
      <c r="K1157" s="120" t="s">
        <v>17398</v>
      </c>
    </row>
    <row r="1158" customFormat="false" ht="14.25" hidden="false" customHeight="true" outlineLevel="0" collapsed="false">
      <c r="A1158" s="115"/>
      <c r="B1158" s="115"/>
      <c r="C1158" s="115"/>
      <c r="D1158" s="115"/>
      <c r="E1158" s="115"/>
      <c r="F1158" s="115"/>
      <c r="G1158" s="121" t="s">
        <v>17399</v>
      </c>
      <c r="H1158" s="121" t="s">
        <v>17400</v>
      </c>
      <c r="I1158" s="122" t="s">
        <v>50</v>
      </c>
      <c r="J1158" s="121" t="s">
        <v>17401</v>
      </c>
      <c r="K1158" s="120" t="s">
        <v>17402</v>
      </c>
    </row>
    <row r="1159" customFormat="false" ht="14.25" hidden="false" customHeight="true" outlineLevel="0" collapsed="false">
      <c r="A1159" s="115"/>
      <c r="B1159" s="115"/>
      <c r="C1159" s="115"/>
      <c r="D1159" s="121"/>
      <c r="E1159" s="121"/>
      <c r="F1159" s="121"/>
      <c r="G1159" s="121"/>
      <c r="H1159" s="121"/>
      <c r="I1159" s="121"/>
      <c r="J1159" s="121"/>
      <c r="K1159" s="120" t="s">
        <v>17403</v>
      </c>
    </row>
    <row r="1160" customFormat="false" ht="14.25" hidden="false" customHeight="true" outlineLevel="0" collapsed="false">
      <c r="A1160" s="115"/>
      <c r="B1160" s="115"/>
      <c r="C1160" s="115"/>
      <c r="D1160" s="121" t="s">
        <v>17404</v>
      </c>
      <c r="E1160" s="121" t="s">
        <v>17405</v>
      </c>
      <c r="F1160" s="121" t="s">
        <v>38</v>
      </c>
      <c r="G1160" s="121" t="s">
        <v>17406</v>
      </c>
      <c r="H1160" s="121" t="s">
        <v>17407</v>
      </c>
      <c r="I1160" s="122" t="s">
        <v>50</v>
      </c>
      <c r="J1160" s="121" t="s">
        <v>17408</v>
      </c>
      <c r="K1160" s="120" t="s">
        <v>16920</v>
      </c>
    </row>
    <row r="1161" customFormat="false" ht="14.25" hidden="false" customHeight="true" outlineLevel="0" collapsed="false">
      <c r="A1161" s="115"/>
      <c r="B1161" s="115"/>
      <c r="C1161" s="115"/>
      <c r="D1161" s="115"/>
      <c r="E1161" s="115"/>
      <c r="F1161" s="115"/>
      <c r="G1161" s="121"/>
      <c r="H1161" s="121"/>
      <c r="I1161" s="121"/>
      <c r="J1161" s="121"/>
      <c r="K1161" s="120" t="s">
        <v>17409</v>
      </c>
    </row>
    <row r="1162" customFormat="false" ht="14.25" hidden="false" customHeight="true" outlineLevel="0" collapsed="false">
      <c r="A1162" s="115"/>
      <c r="B1162" s="115"/>
      <c r="C1162" s="115"/>
      <c r="D1162" s="115"/>
      <c r="E1162" s="115"/>
      <c r="F1162" s="115"/>
      <c r="G1162" s="128" t="s">
        <v>17410</v>
      </c>
      <c r="H1162" s="121" t="s">
        <v>17411</v>
      </c>
      <c r="I1162" s="123" t="s">
        <v>40</v>
      </c>
      <c r="J1162" s="121" t="s">
        <v>17412</v>
      </c>
      <c r="K1162" s="120" t="s">
        <v>17413</v>
      </c>
    </row>
    <row r="1163" customFormat="false" ht="14.25" hidden="false" customHeight="true" outlineLevel="0" collapsed="false">
      <c r="A1163" s="115"/>
      <c r="B1163" s="115"/>
      <c r="C1163" s="115"/>
      <c r="D1163" s="121"/>
      <c r="E1163" s="121"/>
      <c r="F1163" s="121"/>
      <c r="G1163" s="128"/>
      <c r="H1163" s="121"/>
      <c r="I1163" s="121"/>
      <c r="J1163" s="121"/>
      <c r="K1163" s="120" t="s">
        <v>17414</v>
      </c>
    </row>
    <row r="1164" customFormat="false" ht="14.25" hidden="false" customHeight="true" outlineLevel="0" collapsed="false">
      <c r="A1164" s="115"/>
      <c r="B1164" s="115"/>
      <c r="C1164" s="115"/>
      <c r="D1164" s="121" t="s">
        <v>17415</v>
      </c>
      <c r="E1164" s="121" t="s">
        <v>17416</v>
      </c>
      <c r="F1164" s="121" t="s">
        <v>38</v>
      </c>
      <c r="G1164" s="121" t="s">
        <v>17417</v>
      </c>
      <c r="H1164" s="121" t="s">
        <v>17418</v>
      </c>
      <c r="I1164" s="123" t="s">
        <v>40</v>
      </c>
      <c r="J1164" s="121" t="s">
        <v>17419</v>
      </c>
      <c r="K1164" s="120" t="s">
        <v>17420</v>
      </c>
    </row>
    <row r="1165" customFormat="false" ht="14.25" hidden="false" customHeight="true" outlineLevel="0" collapsed="false">
      <c r="A1165" s="115"/>
      <c r="B1165" s="115"/>
      <c r="C1165" s="115"/>
      <c r="D1165" s="115"/>
      <c r="E1165" s="115"/>
      <c r="F1165" s="115"/>
      <c r="G1165" s="121"/>
      <c r="H1165" s="121"/>
      <c r="I1165" s="121"/>
      <c r="J1165" s="121"/>
      <c r="K1165" s="120" t="s">
        <v>17421</v>
      </c>
    </row>
    <row r="1166" customFormat="false" ht="14.25" hidden="false" customHeight="true" outlineLevel="0" collapsed="false">
      <c r="A1166" s="115"/>
      <c r="B1166" s="115"/>
      <c r="C1166" s="115"/>
      <c r="D1166" s="115"/>
      <c r="E1166" s="115"/>
      <c r="F1166" s="115"/>
      <c r="G1166" s="121" t="s">
        <v>17422</v>
      </c>
      <c r="H1166" s="121" t="s">
        <v>17423</v>
      </c>
      <c r="I1166" s="123" t="s">
        <v>40</v>
      </c>
      <c r="J1166" s="121" t="s">
        <v>17424</v>
      </c>
      <c r="K1166" s="120" t="s">
        <v>17425</v>
      </c>
    </row>
    <row r="1167" customFormat="false" ht="14.25" hidden="false" customHeight="true" outlineLevel="0" collapsed="false">
      <c r="A1167" s="115"/>
      <c r="B1167" s="115"/>
      <c r="C1167" s="115"/>
      <c r="D1167" s="121"/>
      <c r="E1167" s="121"/>
      <c r="F1167" s="121"/>
      <c r="G1167" s="121"/>
      <c r="H1167" s="121"/>
      <c r="I1167" s="121"/>
      <c r="J1167" s="121"/>
      <c r="K1167" s="120" t="s">
        <v>17426</v>
      </c>
    </row>
    <row r="1168" customFormat="false" ht="14.25" hidden="false" customHeight="true" outlineLevel="0" collapsed="false">
      <c r="A1168" s="115"/>
      <c r="B1168" s="115"/>
      <c r="C1168" s="115"/>
      <c r="D1168" s="121" t="s">
        <v>17427</v>
      </c>
      <c r="E1168" s="121" t="s">
        <v>17428</v>
      </c>
      <c r="F1168" s="121" t="s">
        <v>38</v>
      </c>
      <c r="G1168" s="121" t="s">
        <v>17429</v>
      </c>
      <c r="H1168" s="121" t="s">
        <v>17430</v>
      </c>
      <c r="I1168" s="123" t="s">
        <v>40</v>
      </c>
      <c r="J1168" s="121" t="s">
        <v>17431</v>
      </c>
      <c r="K1168" s="120" t="s">
        <v>17432</v>
      </c>
    </row>
    <row r="1169" customFormat="false" ht="14.25" hidden="false" customHeight="true" outlineLevel="0" collapsed="false">
      <c r="A1169" s="115"/>
      <c r="B1169" s="115"/>
      <c r="C1169" s="115"/>
      <c r="D1169" s="115"/>
      <c r="E1169" s="115"/>
      <c r="F1169" s="115"/>
      <c r="G1169" s="121"/>
      <c r="H1169" s="121"/>
      <c r="I1169" s="121"/>
      <c r="J1169" s="121"/>
      <c r="K1169" s="120" t="s">
        <v>17433</v>
      </c>
    </row>
    <row r="1170" customFormat="false" ht="14.25" hidden="false" customHeight="true" outlineLevel="0" collapsed="false">
      <c r="A1170" s="115"/>
      <c r="B1170" s="115"/>
      <c r="C1170" s="115"/>
      <c r="D1170" s="115"/>
      <c r="E1170" s="115"/>
      <c r="F1170" s="115"/>
      <c r="G1170" s="121" t="s">
        <v>17434</v>
      </c>
      <c r="H1170" s="121" t="s">
        <v>17435</v>
      </c>
      <c r="I1170" s="123" t="s">
        <v>40</v>
      </c>
      <c r="J1170" s="121" t="s">
        <v>17436</v>
      </c>
      <c r="K1170" s="120" t="s">
        <v>17437</v>
      </c>
    </row>
    <row r="1171" customFormat="false" ht="14.25" hidden="false" customHeight="true" outlineLevel="0" collapsed="false">
      <c r="A1171" s="115"/>
      <c r="B1171" s="115"/>
      <c r="C1171" s="134"/>
      <c r="D1171" s="134"/>
      <c r="E1171" s="134"/>
      <c r="F1171" s="134"/>
      <c r="G1171" s="134"/>
      <c r="H1171" s="134"/>
      <c r="I1171" s="134"/>
      <c r="J1171" s="134"/>
      <c r="K1171" s="120" t="s">
        <v>17438</v>
      </c>
    </row>
    <row r="1172" customFormat="false" ht="14.25" hidden="false" customHeight="true" outlineLevel="0" collapsed="false">
      <c r="A1172" s="115"/>
      <c r="B1172" s="115"/>
      <c r="C1172" s="125" t="s">
        <v>17439</v>
      </c>
      <c r="D1172" s="121" t="s">
        <v>17440</v>
      </c>
      <c r="E1172" s="121" t="s">
        <v>17441</v>
      </c>
      <c r="F1172" s="121" t="s">
        <v>38</v>
      </c>
      <c r="G1172" s="121" t="s">
        <v>17442</v>
      </c>
      <c r="H1172" s="121" t="s">
        <v>17443</v>
      </c>
      <c r="I1172" s="123" t="s">
        <v>40</v>
      </c>
      <c r="J1172" s="121" t="s">
        <v>17444</v>
      </c>
      <c r="K1172" s="120" t="s">
        <v>17445</v>
      </c>
    </row>
    <row r="1173" customFormat="false" ht="14.25" hidden="false" customHeight="true" outlineLevel="0" collapsed="false">
      <c r="A1173" s="115"/>
      <c r="B1173" s="115"/>
      <c r="C1173" s="115"/>
      <c r="D1173" s="115"/>
      <c r="E1173" s="115"/>
      <c r="F1173" s="115"/>
      <c r="G1173" s="121"/>
      <c r="H1173" s="121"/>
      <c r="I1173" s="121"/>
      <c r="J1173" s="121"/>
      <c r="K1173" s="120" t="s">
        <v>17446</v>
      </c>
    </row>
    <row r="1174" customFormat="false" ht="14.25" hidden="false" customHeight="true" outlineLevel="0" collapsed="false">
      <c r="A1174" s="115"/>
      <c r="B1174" s="115"/>
      <c r="C1174" s="115"/>
      <c r="D1174" s="115"/>
      <c r="E1174" s="115"/>
      <c r="F1174" s="115"/>
      <c r="G1174" s="121" t="s">
        <v>17447</v>
      </c>
      <c r="H1174" s="121" t="s">
        <v>17448</v>
      </c>
      <c r="I1174" s="123" t="s">
        <v>40</v>
      </c>
      <c r="J1174" s="121" t="s">
        <v>17449</v>
      </c>
      <c r="K1174" s="120" t="s">
        <v>17450</v>
      </c>
    </row>
    <row r="1175" customFormat="false" ht="14.25" hidden="false" customHeight="true" outlineLevel="0" collapsed="false">
      <c r="A1175" s="115"/>
      <c r="B1175" s="115"/>
      <c r="C1175" s="115"/>
      <c r="D1175" s="121"/>
      <c r="E1175" s="121"/>
      <c r="F1175" s="121"/>
      <c r="G1175" s="121"/>
      <c r="H1175" s="121"/>
      <c r="I1175" s="121"/>
      <c r="J1175" s="121"/>
      <c r="K1175" s="120" t="s">
        <v>17451</v>
      </c>
    </row>
    <row r="1176" customFormat="false" ht="14.25" hidden="false" customHeight="true" outlineLevel="0" collapsed="false">
      <c r="A1176" s="115"/>
      <c r="B1176" s="115"/>
      <c r="C1176" s="115"/>
      <c r="D1176" s="121" t="s">
        <v>17452</v>
      </c>
      <c r="E1176" s="121" t="s">
        <v>17453</v>
      </c>
      <c r="F1176" s="121" t="s">
        <v>38</v>
      </c>
      <c r="G1176" s="121" t="s">
        <v>17454</v>
      </c>
      <c r="H1176" s="121" t="s">
        <v>17455</v>
      </c>
      <c r="I1176" s="123" t="s">
        <v>40</v>
      </c>
      <c r="J1176" s="121" t="s">
        <v>17455</v>
      </c>
      <c r="K1176" s="120" t="s">
        <v>17456</v>
      </c>
    </row>
    <row r="1177" customFormat="false" ht="14.25" hidden="false" customHeight="true" outlineLevel="0" collapsed="false">
      <c r="A1177" s="115"/>
      <c r="B1177" s="115"/>
      <c r="C1177" s="115"/>
      <c r="D1177" s="115"/>
      <c r="E1177" s="115"/>
      <c r="F1177" s="115"/>
      <c r="G1177" s="121"/>
      <c r="H1177" s="121"/>
      <c r="I1177" s="121"/>
      <c r="J1177" s="121"/>
      <c r="K1177" s="120" t="s">
        <v>17457</v>
      </c>
    </row>
    <row r="1178" customFormat="false" ht="14.25" hidden="false" customHeight="true" outlineLevel="0" collapsed="false">
      <c r="A1178" s="115"/>
      <c r="B1178" s="115"/>
      <c r="C1178" s="115"/>
      <c r="D1178" s="115"/>
      <c r="E1178" s="115"/>
      <c r="F1178" s="115"/>
      <c r="G1178" s="121" t="s">
        <v>17458</v>
      </c>
      <c r="H1178" s="121" t="s">
        <v>17459</v>
      </c>
      <c r="I1178" s="123" t="s">
        <v>40</v>
      </c>
      <c r="J1178" s="121" t="s">
        <v>17460</v>
      </c>
      <c r="K1178" s="120" t="s">
        <v>17461</v>
      </c>
    </row>
    <row r="1179" customFormat="false" ht="14.25" hidden="false" customHeight="true" outlineLevel="0" collapsed="false">
      <c r="A1179" s="115"/>
      <c r="B1179" s="115"/>
      <c r="C1179" s="115"/>
      <c r="D1179" s="121"/>
      <c r="E1179" s="121"/>
      <c r="F1179" s="121"/>
      <c r="G1179" s="121"/>
      <c r="H1179" s="121"/>
      <c r="I1179" s="121"/>
      <c r="J1179" s="121"/>
      <c r="K1179" s="120" t="s">
        <v>17462</v>
      </c>
    </row>
    <row r="1180" customFormat="false" ht="14.25" hidden="false" customHeight="true" outlineLevel="0" collapsed="false">
      <c r="A1180" s="115"/>
      <c r="B1180" s="115"/>
      <c r="C1180" s="115"/>
      <c r="D1180" s="121" t="s">
        <v>17463</v>
      </c>
      <c r="E1180" s="121" t="s">
        <v>17464</v>
      </c>
      <c r="F1180" s="121" t="s">
        <v>38</v>
      </c>
      <c r="G1180" s="121" t="s">
        <v>17465</v>
      </c>
      <c r="H1180" s="121" t="s">
        <v>17466</v>
      </c>
      <c r="I1180" s="123" t="s">
        <v>40</v>
      </c>
      <c r="J1180" s="121" t="s">
        <v>17467</v>
      </c>
      <c r="K1180" s="120" t="s">
        <v>17468</v>
      </c>
    </row>
    <row r="1181" customFormat="false" ht="14.25" hidden="false" customHeight="true" outlineLevel="0" collapsed="false">
      <c r="A1181" s="115"/>
      <c r="B1181" s="115"/>
      <c r="C1181" s="115"/>
      <c r="D1181" s="115"/>
      <c r="E1181" s="115"/>
      <c r="F1181" s="115"/>
      <c r="G1181" s="121"/>
      <c r="H1181" s="121"/>
      <c r="I1181" s="121"/>
      <c r="J1181" s="121"/>
      <c r="K1181" s="120" t="s">
        <v>17469</v>
      </c>
    </row>
    <row r="1182" customFormat="false" ht="14.25" hidden="false" customHeight="true" outlineLevel="0" collapsed="false">
      <c r="A1182" s="115"/>
      <c r="B1182" s="115"/>
      <c r="C1182" s="115"/>
      <c r="D1182" s="115"/>
      <c r="E1182" s="115"/>
      <c r="F1182" s="115"/>
      <c r="G1182" s="121" t="s">
        <v>17470</v>
      </c>
      <c r="H1182" s="121" t="s">
        <v>17471</v>
      </c>
      <c r="I1182" s="123" t="s">
        <v>40</v>
      </c>
      <c r="J1182" s="121" t="s">
        <v>17471</v>
      </c>
      <c r="K1182" s="120" t="s">
        <v>17472</v>
      </c>
    </row>
    <row r="1183" customFormat="false" ht="14.25" hidden="false" customHeight="true" outlineLevel="0" collapsed="false">
      <c r="A1183" s="115"/>
      <c r="B1183" s="115"/>
      <c r="C1183" s="115"/>
      <c r="D1183" s="121"/>
      <c r="E1183" s="121"/>
      <c r="F1183" s="121"/>
      <c r="G1183" s="121"/>
      <c r="H1183" s="121"/>
      <c r="I1183" s="121"/>
      <c r="J1183" s="121"/>
      <c r="K1183" s="120" t="s">
        <v>17473</v>
      </c>
    </row>
    <row r="1184" customFormat="false" ht="14.25" hidden="false" customHeight="true" outlineLevel="0" collapsed="false">
      <c r="A1184" s="115"/>
      <c r="B1184" s="115"/>
      <c r="C1184" s="115"/>
      <c r="D1184" s="121" t="s">
        <v>17474</v>
      </c>
      <c r="E1184" s="121" t="s">
        <v>17475</v>
      </c>
      <c r="F1184" s="121" t="s">
        <v>38</v>
      </c>
      <c r="G1184" s="121" t="s">
        <v>17476</v>
      </c>
      <c r="H1184" s="121" t="s">
        <v>17477</v>
      </c>
      <c r="I1184" s="123" t="s">
        <v>40</v>
      </c>
      <c r="J1184" s="121" t="s">
        <v>17478</v>
      </c>
      <c r="K1184" s="120" t="s">
        <v>17479</v>
      </c>
    </row>
    <row r="1185" customFormat="false" ht="14.25" hidden="false" customHeight="true" outlineLevel="0" collapsed="false">
      <c r="A1185" s="115"/>
      <c r="B1185" s="115"/>
      <c r="C1185" s="115"/>
      <c r="D1185" s="115"/>
      <c r="E1185" s="115"/>
      <c r="F1185" s="115"/>
      <c r="G1185" s="121"/>
      <c r="H1185" s="121"/>
      <c r="I1185" s="121"/>
      <c r="J1185" s="121"/>
      <c r="K1185" s="120" t="s">
        <v>17480</v>
      </c>
    </row>
    <row r="1186" customFormat="false" ht="14.25" hidden="false" customHeight="true" outlineLevel="0" collapsed="false">
      <c r="A1186" s="115"/>
      <c r="B1186" s="115"/>
      <c r="C1186" s="115"/>
      <c r="D1186" s="115"/>
      <c r="E1186" s="115"/>
      <c r="F1186" s="115"/>
      <c r="G1186" s="121" t="s">
        <v>17481</v>
      </c>
      <c r="H1186" s="121" t="s">
        <v>17482</v>
      </c>
      <c r="I1186" s="123" t="s">
        <v>40</v>
      </c>
      <c r="J1186" s="121" t="s">
        <v>17483</v>
      </c>
      <c r="K1186" s="120" t="s">
        <v>17484</v>
      </c>
    </row>
    <row r="1187" customFormat="false" ht="14.25" hidden="false" customHeight="true" outlineLevel="0" collapsed="false">
      <c r="A1187" s="115"/>
      <c r="B1187" s="115"/>
      <c r="C1187" s="115"/>
      <c r="D1187" s="121"/>
      <c r="E1187" s="121"/>
      <c r="F1187" s="121"/>
      <c r="G1187" s="121"/>
      <c r="H1187" s="121"/>
      <c r="I1187" s="121"/>
      <c r="J1187" s="121"/>
      <c r="K1187" s="120" t="s">
        <v>17485</v>
      </c>
    </row>
    <row r="1188" customFormat="false" ht="14.25" hidden="false" customHeight="true" outlineLevel="0" collapsed="false">
      <c r="A1188" s="115"/>
      <c r="B1188" s="115"/>
      <c r="C1188" s="115"/>
      <c r="D1188" s="128" t="s">
        <v>17486</v>
      </c>
      <c r="E1188" s="121" t="s">
        <v>17487</v>
      </c>
      <c r="F1188" s="121" t="s">
        <v>38</v>
      </c>
      <c r="G1188" s="121" t="s">
        <v>17488</v>
      </c>
      <c r="H1188" s="121" t="s">
        <v>17489</v>
      </c>
      <c r="I1188" s="135" t="s">
        <v>50</v>
      </c>
      <c r="J1188" s="121" t="s">
        <v>17490</v>
      </c>
      <c r="K1188" s="120" t="s">
        <v>17491</v>
      </c>
    </row>
    <row r="1189" customFormat="false" ht="14.25" hidden="false" customHeight="true" outlineLevel="0" collapsed="false">
      <c r="A1189" s="115"/>
      <c r="B1189" s="115"/>
      <c r="C1189" s="115"/>
      <c r="D1189" s="115"/>
      <c r="E1189" s="115"/>
      <c r="F1189" s="115"/>
      <c r="G1189" s="121"/>
      <c r="H1189" s="121"/>
      <c r="I1189" s="136"/>
      <c r="J1189" s="121"/>
      <c r="K1189" s="120" t="s">
        <v>17492</v>
      </c>
    </row>
    <row r="1190" customFormat="false" ht="14.25" hidden="false" customHeight="true" outlineLevel="0" collapsed="false">
      <c r="A1190" s="115"/>
      <c r="B1190" s="115"/>
      <c r="C1190" s="115"/>
      <c r="D1190" s="115"/>
      <c r="E1190" s="115"/>
      <c r="F1190" s="115"/>
      <c r="G1190" s="121" t="s">
        <v>17493</v>
      </c>
      <c r="H1190" s="121" t="s">
        <v>17494</v>
      </c>
      <c r="I1190" s="133" t="s">
        <v>50</v>
      </c>
      <c r="J1190" s="121" t="s">
        <v>17494</v>
      </c>
      <c r="K1190" s="120" t="s">
        <v>17495</v>
      </c>
    </row>
    <row r="1191" customFormat="false" ht="14.25" hidden="false" customHeight="true" outlineLevel="0" collapsed="false">
      <c r="A1191" s="115"/>
      <c r="B1191" s="115"/>
      <c r="C1191" s="115"/>
      <c r="D1191" s="128"/>
      <c r="E1191" s="121"/>
      <c r="F1191" s="121"/>
      <c r="G1191" s="121"/>
      <c r="H1191" s="121"/>
      <c r="I1191" s="133"/>
      <c r="J1191" s="121"/>
      <c r="K1191" s="120" t="s">
        <v>17496</v>
      </c>
    </row>
    <row r="1192" customFormat="false" ht="14.25" hidden="false" customHeight="true" outlineLevel="0" collapsed="false">
      <c r="A1192" s="137" t="s">
        <v>17497</v>
      </c>
      <c r="B1192" s="115" t="s">
        <v>17498</v>
      </c>
      <c r="C1192" s="125" t="s">
        <v>17499</v>
      </c>
      <c r="D1192" s="121" t="s">
        <v>17500</v>
      </c>
      <c r="E1192" s="121" t="s">
        <v>17501</v>
      </c>
      <c r="F1192" s="121" t="s">
        <v>38</v>
      </c>
      <c r="G1192" s="121" t="s">
        <v>17502</v>
      </c>
      <c r="H1192" s="121" t="s">
        <v>17503</v>
      </c>
      <c r="I1192" s="122" t="s">
        <v>50</v>
      </c>
      <c r="J1192" s="121" t="s">
        <v>17504</v>
      </c>
      <c r="K1192" s="120" t="s">
        <v>17505</v>
      </c>
    </row>
    <row r="1193" customFormat="false" ht="14.25" hidden="false" customHeight="true" outlineLevel="0" collapsed="false">
      <c r="A1193" s="137"/>
      <c r="B1193" s="137"/>
      <c r="C1193" s="137"/>
      <c r="D1193" s="137"/>
      <c r="E1193" s="137"/>
      <c r="F1193" s="137"/>
      <c r="G1193" s="121"/>
      <c r="H1193" s="121"/>
      <c r="I1193" s="121"/>
      <c r="J1193" s="121"/>
      <c r="K1193" s="120" t="s">
        <v>17506</v>
      </c>
    </row>
    <row r="1194" customFormat="false" ht="14.25" hidden="false" customHeight="true" outlineLevel="0" collapsed="false">
      <c r="A1194" s="137"/>
      <c r="B1194" s="137"/>
      <c r="C1194" s="137"/>
      <c r="D1194" s="137"/>
      <c r="E1194" s="137"/>
      <c r="F1194" s="137"/>
      <c r="G1194" s="121" t="s">
        <v>17507</v>
      </c>
      <c r="H1194" s="121" t="s">
        <v>17508</v>
      </c>
      <c r="I1194" s="122" t="s">
        <v>50</v>
      </c>
      <c r="J1194" s="121" t="s">
        <v>17509</v>
      </c>
      <c r="K1194" s="120" t="s">
        <v>17510</v>
      </c>
    </row>
    <row r="1195" customFormat="false" ht="14.25" hidden="false" customHeight="true" outlineLevel="0" collapsed="false">
      <c r="A1195" s="137"/>
      <c r="B1195" s="137"/>
      <c r="C1195" s="137"/>
      <c r="D1195" s="121"/>
      <c r="E1195" s="121"/>
      <c r="F1195" s="121"/>
      <c r="G1195" s="121"/>
      <c r="H1195" s="121"/>
      <c r="I1195" s="121"/>
      <c r="J1195" s="121"/>
      <c r="K1195" s="120" t="s">
        <v>17511</v>
      </c>
    </row>
    <row r="1196" customFormat="false" ht="14.25" hidden="false" customHeight="true" outlineLevel="0" collapsed="false">
      <c r="A1196" s="137"/>
      <c r="B1196" s="137"/>
      <c r="C1196" s="137"/>
      <c r="D1196" s="121" t="s">
        <v>17512</v>
      </c>
      <c r="E1196" s="121" t="s">
        <v>17513</v>
      </c>
      <c r="F1196" s="121" t="s">
        <v>38</v>
      </c>
      <c r="G1196" s="121" t="s">
        <v>17514</v>
      </c>
      <c r="H1196" s="128" t="s">
        <v>17515</v>
      </c>
      <c r="I1196" s="122" t="s">
        <v>50</v>
      </c>
      <c r="J1196" s="121" t="s">
        <v>17516</v>
      </c>
      <c r="K1196" s="120" t="s">
        <v>17517</v>
      </c>
    </row>
    <row r="1197" customFormat="false" ht="14.25" hidden="false" customHeight="true" outlineLevel="0" collapsed="false">
      <c r="A1197" s="137"/>
      <c r="B1197" s="137"/>
      <c r="C1197" s="137"/>
      <c r="D1197" s="137"/>
      <c r="E1197" s="137"/>
      <c r="F1197" s="137"/>
      <c r="G1197" s="121"/>
      <c r="H1197" s="128"/>
      <c r="I1197" s="122"/>
      <c r="J1197" s="122"/>
      <c r="K1197" s="120" t="s">
        <v>17518</v>
      </c>
    </row>
    <row r="1198" customFormat="false" ht="14.25" hidden="false" customHeight="true" outlineLevel="0" collapsed="false">
      <c r="A1198" s="137"/>
      <c r="B1198" s="137"/>
      <c r="C1198" s="137"/>
      <c r="D1198" s="137"/>
      <c r="E1198" s="137"/>
      <c r="F1198" s="137"/>
      <c r="G1198" s="121" t="s">
        <v>17519</v>
      </c>
      <c r="H1198" s="121" t="s">
        <v>17520</v>
      </c>
      <c r="I1198" s="123" t="s">
        <v>40</v>
      </c>
      <c r="J1198" s="121" t="s">
        <v>17521</v>
      </c>
      <c r="K1198" s="120" t="s">
        <v>17522</v>
      </c>
    </row>
    <row r="1199" customFormat="false" ht="14.25" hidden="false" customHeight="true" outlineLevel="0" collapsed="false">
      <c r="A1199" s="137"/>
      <c r="B1199" s="137"/>
      <c r="C1199" s="137"/>
      <c r="D1199" s="121"/>
      <c r="E1199" s="121"/>
      <c r="F1199" s="121"/>
      <c r="G1199" s="121"/>
      <c r="H1199" s="121"/>
      <c r="I1199" s="121"/>
      <c r="J1199" s="121"/>
      <c r="K1199" s="120" t="s">
        <v>17523</v>
      </c>
    </row>
    <row r="1200" customFormat="false" ht="14.25" hidden="false" customHeight="true" outlineLevel="0" collapsed="false">
      <c r="A1200" s="137"/>
      <c r="B1200" s="137"/>
      <c r="C1200" s="137"/>
      <c r="D1200" s="121" t="s">
        <v>17524</v>
      </c>
      <c r="E1200" s="121" t="s">
        <v>17525</v>
      </c>
      <c r="F1200" s="121" t="s">
        <v>38</v>
      </c>
      <c r="G1200" s="121" t="s">
        <v>17526</v>
      </c>
      <c r="H1200" s="121" t="s">
        <v>17527</v>
      </c>
      <c r="I1200" s="123" t="s">
        <v>40</v>
      </c>
      <c r="J1200" s="121" t="s">
        <v>17528</v>
      </c>
      <c r="K1200" s="120" t="s">
        <v>17529</v>
      </c>
    </row>
    <row r="1201" customFormat="false" ht="14.25" hidden="false" customHeight="true" outlineLevel="0" collapsed="false">
      <c r="A1201" s="137"/>
      <c r="B1201" s="137"/>
      <c r="C1201" s="137"/>
      <c r="D1201" s="137"/>
      <c r="E1201" s="137"/>
      <c r="F1201" s="137"/>
      <c r="G1201" s="121"/>
      <c r="H1201" s="121"/>
      <c r="I1201" s="121"/>
      <c r="J1201" s="121"/>
      <c r="K1201" s="120" t="s">
        <v>17530</v>
      </c>
    </row>
    <row r="1202" customFormat="false" ht="14.25" hidden="false" customHeight="true" outlineLevel="0" collapsed="false">
      <c r="A1202" s="137"/>
      <c r="B1202" s="137"/>
      <c r="C1202" s="137"/>
      <c r="D1202" s="137"/>
      <c r="E1202" s="137"/>
      <c r="F1202" s="137"/>
      <c r="G1202" s="121" t="s">
        <v>17531</v>
      </c>
      <c r="H1202" s="121" t="s">
        <v>17532</v>
      </c>
      <c r="I1202" s="123" t="s">
        <v>40</v>
      </c>
      <c r="J1202" s="121" t="s">
        <v>17533</v>
      </c>
      <c r="K1202" s="120" t="s">
        <v>17534</v>
      </c>
    </row>
    <row r="1203" customFormat="false" ht="14.25" hidden="false" customHeight="true" outlineLevel="0" collapsed="false">
      <c r="A1203" s="137"/>
      <c r="B1203" s="137"/>
      <c r="C1203" s="137"/>
      <c r="D1203" s="121"/>
      <c r="E1203" s="121"/>
      <c r="F1203" s="121"/>
      <c r="G1203" s="121"/>
      <c r="H1203" s="121"/>
      <c r="I1203" s="121"/>
      <c r="J1203" s="121"/>
      <c r="K1203" s="120" t="s">
        <v>17535</v>
      </c>
    </row>
    <row r="1204" customFormat="false" ht="14.25" hidden="false" customHeight="true" outlineLevel="0" collapsed="false">
      <c r="A1204" s="137"/>
      <c r="B1204" s="137"/>
      <c r="C1204" s="137"/>
      <c r="D1204" s="121" t="s">
        <v>17536</v>
      </c>
      <c r="E1204" s="121" t="s">
        <v>17537</v>
      </c>
      <c r="F1204" s="121" t="s">
        <v>48</v>
      </c>
      <c r="G1204" s="121" t="s">
        <v>17538</v>
      </c>
      <c r="H1204" s="120" t="s">
        <v>17539</v>
      </c>
      <c r="I1204" s="138" t="s">
        <v>40</v>
      </c>
      <c r="J1204" s="120" t="s">
        <v>17540</v>
      </c>
      <c r="K1204" s="120" t="s">
        <v>17541</v>
      </c>
    </row>
    <row r="1205" customFormat="false" ht="14.25" hidden="false" customHeight="true" outlineLevel="0" collapsed="false">
      <c r="A1205" s="137"/>
      <c r="B1205" s="137"/>
      <c r="C1205" s="137"/>
      <c r="D1205" s="137"/>
      <c r="E1205" s="137"/>
      <c r="F1205" s="137"/>
      <c r="G1205" s="121"/>
      <c r="H1205" s="120"/>
      <c r="I1205" s="138"/>
      <c r="J1205" s="120"/>
      <c r="K1205" s="120" t="s">
        <v>15707</v>
      </c>
    </row>
    <row r="1206" customFormat="false" ht="14.25" hidden="false" customHeight="true" outlineLevel="0" collapsed="false">
      <c r="A1206" s="137"/>
      <c r="B1206" s="137"/>
      <c r="C1206" s="137"/>
      <c r="D1206" s="137"/>
      <c r="E1206" s="137"/>
      <c r="F1206" s="137"/>
      <c r="G1206" s="121" t="s">
        <v>17542</v>
      </c>
      <c r="H1206" s="121" t="s">
        <v>17543</v>
      </c>
      <c r="I1206" s="123" t="s">
        <v>40</v>
      </c>
      <c r="J1206" s="121" t="s">
        <v>17544</v>
      </c>
      <c r="K1206" s="120" t="s">
        <v>17545</v>
      </c>
    </row>
    <row r="1207" customFormat="false" ht="14.25" hidden="false" customHeight="true" outlineLevel="0" collapsed="false">
      <c r="A1207" s="137"/>
      <c r="B1207" s="137"/>
      <c r="C1207" s="137"/>
      <c r="D1207" s="121"/>
      <c r="E1207" s="121"/>
      <c r="F1207" s="121"/>
      <c r="G1207" s="121"/>
      <c r="H1207" s="121"/>
      <c r="I1207" s="121"/>
      <c r="J1207" s="121"/>
      <c r="K1207" s="120" t="s">
        <v>16311</v>
      </c>
    </row>
    <row r="1208" customFormat="false" ht="14.25" hidden="false" customHeight="true" outlineLevel="0" collapsed="false">
      <c r="A1208" s="137"/>
      <c r="B1208" s="137"/>
      <c r="C1208" s="137"/>
      <c r="D1208" s="121" t="s">
        <v>17546</v>
      </c>
      <c r="E1208" s="121" t="s">
        <v>17547</v>
      </c>
      <c r="F1208" s="121" t="s">
        <v>38</v>
      </c>
      <c r="G1208" s="121" t="s">
        <v>17548</v>
      </c>
      <c r="H1208" s="121" t="s">
        <v>17549</v>
      </c>
      <c r="I1208" s="123" t="s">
        <v>40</v>
      </c>
      <c r="J1208" s="121" t="s">
        <v>17550</v>
      </c>
      <c r="K1208" s="120" t="s">
        <v>17551</v>
      </c>
    </row>
    <row r="1209" customFormat="false" ht="14.25" hidden="false" customHeight="true" outlineLevel="0" collapsed="false">
      <c r="A1209" s="137"/>
      <c r="B1209" s="137"/>
      <c r="C1209" s="137"/>
      <c r="D1209" s="137"/>
      <c r="E1209" s="137"/>
      <c r="F1209" s="137"/>
      <c r="G1209" s="121"/>
      <c r="H1209" s="121"/>
      <c r="I1209" s="121"/>
      <c r="J1209" s="121"/>
      <c r="K1209" s="120" t="s">
        <v>17552</v>
      </c>
    </row>
    <row r="1210" customFormat="false" ht="14.25" hidden="false" customHeight="true" outlineLevel="0" collapsed="false">
      <c r="A1210" s="137"/>
      <c r="B1210" s="137"/>
      <c r="C1210" s="137"/>
      <c r="D1210" s="137"/>
      <c r="E1210" s="137"/>
      <c r="F1210" s="137"/>
      <c r="G1210" s="121" t="s">
        <v>17553</v>
      </c>
      <c r="H1210" s="121" t="s">
        <v>17554</v>
      </c>
      <c r="I1210" s="123" t="s">
        <v>40</v>
      </c>
      <c r="J1210" s="121" t="s">
        <v>17555</v>
      </c>
      <c r="K1210" s="120" t="s">
        <v>17556</v>
      </c>
    </row>
    <row r="1211" customFormat="false" ht="14.25" hidden="false" customHeight="true" outlineLevel="0" collapsed="false">
      <c r="A1211" s="137"/>
      <c r="B1211" s="137"/>
      <c r="C1211" s="125"/>
      <c r="D1211" s="125"/>
      <c r="E1211" s="125"/>
      <c r="F1211" s="125"/>
      <c r="G1211" s="125"/>
      <c r="H1211" s="125"/>
      <c r="I1211" s="125"/>
      <c r="J1211" s="125"/>
      <c r="K1211" s="120" t="s">
        <v>17557</v>
      </c>
    </row>
    <row r="1212" customFormat="false" ht="14.25" hidden="false" customHeight="true" outlineLevel="0" collapsed="false">
      <c r="A1212" s="137"/>
      <c r="B1212" s="137"/>
      <c r="C1212" s="125" t="s">
        <v>17558</v>
      </c>
      <c r="D1212" s="121" t="s">
        <v>17559</v>
      </c>
      <c r="E1212" s="121" t="s">
        <v>17560</v>
      </c>
      <c r="F1212" s="121" t="s">
        <v>38</v>
      </c>
      <c r="G1212" s="121" t="s">
        <v>17561</v>
      </c>
      <c r="H1212" s="121" t="s">
        <v>17562</v>
      </c>
      <c r="I1212" s="123" t="s">
        <v>40</v>
      </c>
      <c r="J1212" s="121" t="s">
        <v>17563</v>
      </c>
      <c r="K1212" s="120" t="s">
        <v>17564</v>
      </c>
    </row>
    <row r="1213" customFormat="false" ht="14.25" hidden="false" customHeight="true" outlineLevel="0" collapsed="false">
      <c r="A1213" s="137"/>
      <c r="B1213" s="137"/>
      <c r="C1213" s="137"/>
      <c r="D1213" s="137"/>
      <c r="E1213" s="137"/>
      <c r="F1213" s="137"/>
      <c r="G1213" s="121"/>
      <c r="H1213" s="121"/>
      <c r="I1213" s="121"/>
      <c r="J1213" s="121"/>
      <c r="K1213" s="120" t="s">
        <v>17565</v>
      </c>
    </row>
    <row r="1214" customFormat="false" ht="14.25" hidden="false" customHeight="true" outlineLevel="0" collapsed="false">
      <c r="A1214" s="137"/>
      <c r="B1214" s="137"/>
      <c r="C1214" s="137"/>
      <c r="D1214" s="137"/>
      <c r="E1214" s="137"/>
      <c r="F1214" s="137"/>
      <c r="G1214" s="121" t="s">
        <v>17566</v>
      </c>
      <c r="H1214" s="121" t="s">
        <v>17567</v>
      </c>
      <c r="I1214" s="123" t="s">
        <v>40</v>
      </c>
      <c r="J1214" s="121" t="s">
        <v>17568</v>
      </c>
      <c r="K1214" s="120" t="s">
        <v>17569</v>
      </c>
    </row>
    <row r="1215" customFormat="false" ht="14.25" hidden="false" customHeight="true" outlineLevel="0" collapsed="false">
      <c r="A1215" s="137"/>
      <c r="B1215" s="137"/>
      <c r="C1215" s="137"/>
      <c r="D1215" s="121"/>
      <c r="E1215" s="121"/>
      <c r="F1215" s="121"/>
      <c r="G1215" s="121"/>
      <c r="H1215" s="121"/>
      <c r="I1215" s="121"/>
      <c r="J1215" s="121"/>
      <c r="K1215" s="120" t="s">
        <v>17570</v>
      </c>
    </row>
    <row r="1216" customFormat="false" ht="14.25" hidden="false" customHeight="true" outlineLevel="0" collapsed="false">
      <c r="A1216" s="137"/>
      <c r="B1216" s="137"/>
      <c r="C1216" s="137"/>
      <c r="D1216" s="121" t="s">
        <v>17571</v>
      </c>
      <c r="E1216" s="121" t="s">
        <v>17572</v>
      </c>
      <c r="F1216" s="121" t="s">
        <v>38</v>
      </c>
      <c r="G1216" s="121" t="s">
        <v>17573</v>
      </c>
      <c r="H1216" s="121" t="s">
        <v>17574</v>
      </c>
      <c r="I1216" s="123" t="s">
        <v>40</v>
      </c>
      <c r="J1216" s="121" t="s">
        <v>17575</v>
      </c>
      <c r="K1216" s="120" t="s">
        <v>17576</v>
      </c>
    </row>
    <row r="1217" customFormat="false" ht="14.25" hidden="false" customHeight="true" outlineLevel="0" collapsed="false">
      <c r="A1217" s="137"/>
      <c r="B1217" s="137"/>
      <c r="C1217" s="137"/>
      <c r="D1217" s="137"/>
      <c r="E1217" s="137"/>
      <c r="F1217" s="137"/>
      <c r="G1217" s="121"/>
      <c r="H1217" s="121"/>
      <c r="I1217" s="121"/>
      <c r="J1217" s="121"/>
      <c r="K1217" s="120" t="s">
        <v>17577</v>
      </c>
    </row>
    <row r="1218" customFormat="false" ht="14.25" hidden="false" customHeight="true" outlineLevel="0" collapsed="false">
      <c r="A1218" s="137"/>
      <c r="B1218" s="137"/>
      <c r="C1218" s="137"/>
      <c r="D1218" s="137"/>
      <c r="E1218" s="137"/>
      <c r="F1218" s="137"/>
      <c r="G1218" s="121" t="s">
        <v>17578</v>
      </c>
      <c r="H1218" s="121" t="s">
        <v>17579</v>
      </c>
      <c r="I1218" s="123" t="s">
        <v>40</v>
      </c>
      <c r="J1218" s="121" t="s">
        <v>17579</v>
      </c>
      <c r="K1218" s="120" t="s">
        <v>16955</v>
      </c>
    </row>
    <row r="1219" customFormat="false" ht="14.25" hidden="false" customHeight="true" outlineLevel="0" collapsed="false">
      <c r="A1219" s="137"/>
      <c r="B1219" s="137"/>
      <c r="C1219" s="137"/>
      <c r="D1219" s="121"/>
      <c r="E1219" s="121"/>
      <c r="F1219" s="121"/>
      <c r="G1219" s="121"/>
      <c r="H1219" s="121"/>
      <c r="I1219" s="121"/>
      <c r="J1219" s="121"/>
      <c r="K1219" s="120" t="s">
        <v>17580</v>
      </c>
    </row>
    <row r="1220" customFormat="false" ht="14.25" hidden="false" customHeight="true" outlineLevel="0" collapsed="false">
      <c r="A1220" s="137"/>
      <c r="B1220" s="137"/>
      <c r="C1220" s="137"/>
      <c r="D1220" s="121" t="s">
        <v>17581</v>
      </c>
      <c r="E1220" s="121" t="s">
        <v>17582</v>
      </c>
      <c r="F1220" s="121" t="s">
        <v>38</v>
      </c>
      <c r="G1220" s="121" t="s">
        <v>17583</v>
      </c>
      <c r="H1220" s="121" t="s">
        <v>17584</v>
      </c>
      <c r="I1220" s="123" t="s">
        <v>40</v>
      </c>
      <c r="J1220" s="121" t="s">
        <v>17585</v>
      </c>
      <c r="K1220" s="120" t="s">
        <v>17586</v>
      </c>
    </row>
    <row r="1221" customFormat="false" ht="14.25" hidden="false" customHeight="true" outlineLevel="0" collapsed="false">
      <c r="A1221" s="137"/>
      <c r="B1221" s="137"/>
      <c r="C1221" s="137"/>
      <c r="D1221" s="137"/>
      <c r="E1221" s="137"/>
      <c r="F1221" s="137"/>
      <c r="G1221" s="121"/>
      <c r="H1221" s="121"/>
      <c r="I1221" s="121"/>
      <c r="J1221" s="121"/>
      <c r="K1221" s="120" t="s">
        <v>17587</v>
      </c>
    </row>
    <row r="1222" customFormat="false" ht="14.25" hidden="false" customHeight="true" outlineLevel="0" collapsed="false">
      <c r="A1222" s="137"/>
      <c r="B1222" s="137"/>
      <c r="C1222" s="137"/>
      <c r="D1222" s="137"/>
      <c r="E1222" s="137"/>
      <c r="F1222" s="137"/>
      <c r="G1222" s="121" t="s">
        <v>17588</v>
      </c>
      <c r="H1222" s="121" t="s">
        <v>17589</v>
      </c>
      <c r="I1222" s="123" t="s">
        <v>40</v>
      </c>
      <c r="J1222" s="121" t="s">
        <v>17590</v>
      </c>
      <c r="K1222" s="120" t="s">
        <v>17591</v>
      </c>
    </row>
    <row r="1223" customFormat="false" ht="14.25" hidden="false" customHeight="true" outlineLevel="0" collapsed="false">
      <c r="A1223" s="137"/>
      <c r="B1223" s="137"/>
      <c r="C1223" s="137"/>
      <c r="D1223" s="121"/>
      <c r="E1223" s="121"/>
      <c r="F1223" s="121"/>
      <c r="G1223" s="121"/>
      <c r="H1223" s="121"/>
      <c r="I1223" s="121"/>
      <c r="J1223" s="121"/>
      <c r="K1223" s="120" t="s">
        <v>17592</v>
      </c>
    </row>
    <row r="1224" customFormat="false" ht="14.25" hidden="false" customHeight="true" outlineLevel="0" collapsed="false">
      <c r="A1224" s="137"/>
      <c r="B1224" s="137"/>
      <c r="C1224" s="137"/>
      <c r="D1224" s="121" t="s">
        <v>17593</v>
      </c>
      <c r="E1224" s="121" t="s">
        <v>17594</v>
      </c>
      <c r="F1224" s="121" t="s">
        <v>38</v>
      </c>
      <c r="G1224" s="121" t="s">
        <v>17595</v>
      </c>
      <c r="H1224" s="121" t="s">
        <v>17596</v>
      </c>
      <c r="I1224" s="123" t="s">
        <v>40</v>
      </c>
      <c r="J1224" s="121" t="s">
        <v>17597</v>
      </c>
      <c r="K1224" s="120" t="s">
        <v>17598</v>
      </c>
    </row>
    <row r="1225" customFormat="false" ht="14.25" hidden="false" customHeight="true" outlineLevel="0" collapsed="false">
      <c r="A1225" s="137"/>
      <c r="B1225" s="137"/>
      <c r="C1225" s="137"/>
      <c r="D1225" s="137"/>
      <c r="E1225" s="137"/>
      <c r="F1225" s="137"/>
      <c r="G1225" s="121"/>
      <c r="H1225" s="121"/>
      <c r="I1225" s="121"/>
      <c r="J1225" s="121"/>
      <c r="K1225" s="120" t="s">
        <v>17599</v>
      </c>
    </row>
    <row r="1226" customFormat="false" ht="14.25" hidden="false" customHeight="true" outlineLevel="0" collapsed="false">
      <c r="A1226" s="137"/>
      <c r="B1226" s="137"/>
      <c r="C1226" s="137"/>
      <c r="D1226" s="137"/>
      <c r="E1226" s="137"/>
      <c r="F1226" s="137"/>
      <c r="G1226" s="121" t="s">
        <v>17600</v>
      </c>
      <c r="H1226" s="121" t="s">
        <v>17601</v>
      </c>
      <c r="I1226" s="123" t="s">
        <v>40</v>
      </c>
      <c r="J1226" s="128" t="s">
        <v>17602</v>
      </c>
      <c r="K1226" s="120" t="s">
        <v>17603</v>
      </c>
    </row>
    <row r="1227" customFormat="false" ht="14.25" hidden="false" customHeight="true" outlineLevel="0" collapsed="false">
      <c r="A1227" s="137"/>
      <c r="B1227" s="137"/>
      <c r="C1227" s="137"/>
      <c r="D1227" s="121"/>
      <c r="E1227" s="121"/>
      <c r="F1227" s="121"/>
      <c r="G1227" s="121"/>
      <c r="H1227" s="121"/>
      <c r="I1227" s="121"/>
      <c r="J1227" s="128"/>
      <c r="K1227" s="120" t="s">
        <v>17604</v>
      </c>
    </row>
    <row r="1228" customFormat="false" ht="14.25" hidden="false" customHeight="true" outlineLevel="0" collapsed="false">
      <c r="A1228" s="137"/>
      <c r="B1228" s="137"/>
      <c r="C1228" s="137"/>
      <c r="D1228" s="121" t="s">
        <v>17605</v>
      </c>
      <c r="E1228" s="121" t="s">
        <v>17606</v>
      </c>
      <c r="F1228" s="121" t="s">
        <v>38</v>
      </c>
      <c r="G1228" s="121" t="s">
        <v>17607</v>
      </c>
      <c r="H1228" s="121" t="s">
        <v>17608</v>
      </c>
      <c r="I1228" s="123" t="s">
        <v>40</v>
      </c>
      <c r="J1228" s="121" t="s">
        <v>17609</v>
      </c>
      <c r="K1228" s="120" t="s">
        <v>17610</v>
      </c>
    </row>
    <row r="1229" customFormat="false" ht="14.25" hidden="false" customHeight="true" outlineLevel="0" collapsed="false">
      <c r="A1229" s="137"/>
      <c r="B1229" s="137"/>
      <c r="C1229" s="137"/>
      <c r="D1229" s="137"/>
      <c r="E1229" s="137"/>
      <c r="F1229" s="137"/>
      <c r="G1229" s="121"/>
      <c r="H1229" s="121"/>
      <c r="I1229" s="121"/>
      <c r="J1229" s="121"/>
      <c r="K1229" s="120" t="s">
        <v>17611</v>
      </c>
    </row>
    <row r="1230" customFormat="false" ht="14.25" hidden="false" customHeight="true" outlineLevel="0" collapsed="false">
      <c r="A1230" s="137"/>
      <c r="B1230" s="137"/>
      <c r="C1230" s="137"/>
      <c r="D1230" s="137"/>
      <c r="E1230" s="137"/>
      <c r="F1230" s="137"/>
      <c r="G1230" s="121" t="s">
        <v>17612</v>
      </c>
      <c r="H1230" s="121" t="s">
        <v>17613</v>
      </c>
      <c r="I1230" s="123" t="s">
        <v>40</v>
      </c>
      <c r="J1230" s="121" t="s">
        <v>17613</v>
      </c>
      <c r="K1230" s="120" t="s">
        <v>17614</v>
      </c>
    </row>
    <row r="1231" customFormat="false" ht="14.25" hidden="false" customHeight="true" outlineLevel="0" collapsed="false">
      <c r="A1231" s="137"/>
      <c r="B1231" s="137"/>
      <c r="C1231" s="125"/>
      <c r="D1231" s="125"/>
      <c r="E1231" s="125"/>
      <c r="F1231" s="125"/>
      <c r="G1231" s="125"/>
      <c r="H1231" s="125"/>
      <c r="I1231" s="125"/>
      <c r="J1231" s="125"/>
      <c r="K1231" s="120" t="s">
        <v>17615</v>
      </c>
    </row>
    <row r="1232" customFormat="false" ht="14.25" hidden="false" customHeight="true" outlineLevel="0" collapsed="false">
      <c r="A1232" s="137"/>
      <c r="B1232" s="137"/>
      <c r="C1232" s="125" t="s">
        <v>17616</v>
      </c>
      <c r="D1232" s="121" t="s">
        <v>17617</v>
      </c>
      <c r="E1232" s="121" t="s">
        <v>17618</v>
      </c>
      <c r="F1232" s="121" t="s">
        <v>38</v>
      </c>
      <c r="G1232" s="121" t="s">
        <v>17619</v>
      </c>
      <c r="H1232" s="121" t="s">
        <v>17620</v>
      </c>
      <c r="I1232" s="123" t="s">
        <v>40</v>
      </c>
      <c r="J1232" s="121" t="s">
        <v>17621</v>
      </c>
      <c r="K1232" s="120" t="s">
        <v>17622</v>
      </c>
    </row>
    <row r="1233" customFormat="false" ht="14.25" hidden="false" customHeight="true" outlineLevel="0" collapsed="false">
      <c r="A1233" s="137"/>
      <c r="B1233" s="137"/>
      <c r="C1233" s="137"/>
      <c r="D1233" s="137"/>
      <c r="E1233" s="137"/>
      <c r="F1233" s="137"/>
      <c r="G1233" s="121"/>
      <c r="H1233" s="121"/>
      <c r="I1233" s="121"/>
      <c r="J1233" s="121"/>
      <c r="K1233" s="120" t="s">
        <v>17623</v>
      </c>
    </row>
    <row r="1234" customFormat="false" ht="14.25" hidden="false" customHeight="true" outlineLevel="0" collapsed="false">
      <c r="A1234" s="137"/>
      <c r="B1234" s="137"/>
      <c r="C1234" s="137"/>
      <c r="D1234" s="137"/>
      <c r="E1234" s="137"/>
      <c r="F1234" s="137"/>
      <c r="G1234" s="121" t="s">
        <v>17624</v>
      </c>
      <c r="H1234" s="121" t="s">
        <v>17625</v>
      </c>
      <c r="I1234" s="123" t="s">
        <v>40</v>
      </c>
      <c r="J1234" s="121" t="s">
        <v>17626</v>
      </c>
      <c r="K1234" s="120" t="s">
        <v>17627</v>
      </c>
    </row>
    <row r="1235" customFormat="false" ht="14.25" hidden="false" customHeight="true" outlineLevel="0" collapsed="false">
      <c r="A1235" s="137"/>
      <c r="B1235" s="137"/>
      <c r="C1235" s="137"/>
      <c r="D1235" s="121"/>
      <c r="E1235" s="121"/>
      <c r="F1235" s="121"/>
      <c r="G1235" s="121"/>
      <c r="H1235" s="121"/>
      <c r="I1235" s="121"/>
      <c r="J1235" s="121"/>
      <c r="K1235" s="120" t="s">
        <v>17628</v>
      </c>
    </row>
    <row r="1236" customFormat="false" ht="14.25" hidden="false" customHeight="true" outlineLevel="0" collapsed="false">
      <c r="A1236" s="137"/>
      <c r="B1236" s="137"/>
      <c r="C1236" s="137"/>
      <c r="D1236" s="121" t="s">
        <v>17629</v>
      </c>
      <c r="E1236" s="121" t="s">
        <v>17630</v>
      </c>
      <c r="F1236" s="121" t="s">
        <v>38</v>
      </c>
      <c r="G1236" s="121" t="s">
        <v>17631</v>
      </c>
      <c r="H1236" s="121" t="s">
        <v>17632</v>
      </c>
      <c r="I1236" s="123" t="s">
        <v>40</v>
      </c>
      <c r="J1236" s="121" t="s">
        <v>17632</v>
      </c>
      <c r="K1236" s="120" t="s">
        <v>17633</v>
      </c>
    </row>
    <row r="1237" customFormat="false" ht="14.25" hidden="false" customHeight="true" outlineLevel="0" collapsed="false">
      <c r="A1237" s="137"/>
      <c r="B1237" s="137"/>
      <c r="C1237" s="137"/>
      <c r="D1237" s="137"/>
      <c r="E1237" s="137"/>
      <c r="F1237" s="137"/>
      <c r="G1237" s="121"/>
      <c r="H1237" s="121"/>
      <c r="I1237" s="121"/>
      <c r="J1237" s="121"/>
      <c r="K1237" s="120" t="s">
        <v>17634</v>
      </c>
    </row>
    <row r="1238" customFormat="false" ht="14.25" hidden="false" customHeight="true" outlineLevel="0" collapsed="false">
      <c r="A1238" s="137"/>
      <c r="B1238" s="137"/>
      <c r="C1238" s="137"/>
      <c r="D1238" s="137"/>
      <c r="E1238" s="137"/>
      <c r="F1238" s="137"/>
      <c r="G1238" s="121" t="s">
        <v>17635</v>
      </c>
      <c r="H1238" s="121" t="s">
        <v>17636</v>
      </c>
      <c r="I1238" s="123" t="s">
        <v>40</v>
      </c>
      <c r="J1238" s="121" t="s">
        <v>17637</v>
      </c>
      <c r="K1238" s="120" t="s">
        <v>17638</v>
      </c>
    </row>
    <row r="1239" customFormat="false" ht="14.25" hidden="false" customHeight="true" outlineLevel="0" collapsed="false">
      <c r="A1239" s="137"/>
      <c r="B1239" s="137"/>
      <c r="C1239" s="137"/>
      <c r="D1239" s="121"/>
      <c r="E1239" s="121"/>
      <c r="F1239" s="121"/>
      <c r="G1239" s="121"/>
      <c r="H1239" s="121"/>
      <c r="I1239" s="121"/>
      <c r="J1239" s="121"/>
      <c r="K1239" s="120" t="s">
        <v>17639</v>
      </c>
    </row>
    <row r="1240" customFormat="false" ht="14.25" hidden="false" customHeight="true" outlineLevel="0" collapsed="false">
      <c r="A1240" s="137"/>
      <c r="B1240" s="137"/>
      <c r="C1240" s="137"/>
      <c r="D1240" s="121" t="s">
        <v>17640</v>
      </c>
      <c r="E1240" s="121" t="s">
        <v>17641</v>
      </c>
      <c r="F1240" s="121" t="s">
        <v>38</v>
      </c>
      <c r="G1240" s="121" t="s">
        <v>17642</v>
      </c>
      <c r="H1240" s="121" t="s">
        <v>17643</v>
      </c>
      <c r="I1240" s="123" t="s">
        <v>40</v>
      </c>
      <c r="J1240" s="121" t="s">
        <v>17644</v>
      </c>
      <c r="K1240" s="120" t="s">
        <v>17645</v>
      </c>
    </row>
    <row r="1241" customFormat="false" ht="14.25" hidden="false" customHeight="true" outlineLevel="0" collapsed="false">
      <c r="A1241" s="137"/>
      <c r="B1241" s="137"/>
      <c r="C1241" s="137"/>
      <c r="D1241" s="137"/>
      <c r="E1241" s="137"/>
      <c r="F1241" s="137"/>
      <c r="G1241" s="121"/>
      <c r="H1241" s="121"/>
      <c r="I1241" s="121"/>
      <c r="J1241" s="121"/>
      <c r="K1241" s="120" t="s">
        <v>17646</v>
      </c>
    </row>
    <row r="1242" customFormat="false" ht="14.25" hidden="false" customHeight="true" outlineLevel="0" collapsed="false">
      <c r="A1242" s="137"/>
      <c r="B1242" s="137"/>
      <c r="C1242" s="137"/>
      <c r="D1242" s="137"/>
      <c r="E1242" s="137"/>
      <c r="F1242" s="137"/>
      <c r="G1242" s="121" t="s">
        <v>17647</v>
      </c>
      <c r="H1242" s="121" t="s">
        <v>17648</v>
      </c>
      <c r="I1242" s="123" t="s">
        <v>40</v>
      </c>
      <c r="J1242" s="121" t="s">
        <v>17649</v>
      </c>
      <c r="K1242" s="120" t="s">
        <v>17650</v>
      </c>
    </row>
    <row r="1243" customFormat="false" ht="14.25" hidden="false" customHeight="true" outlineLevel="0" collapsed="false">
      <c r="A1243" s="137"/>
      <c r="B1243" s="137"/>
      <c r="C1243" s="137"/>
      <c r="D1243" s="121"/>
      <c r="E1243" s="121"/>
      <c r="F1243" s="121"/>
      <c r="G1243" s="121"/>
      <c r="H1243" s="121"/>
      <c r="I1243" s="121"/>
      <c r="J1243" s="121"/>
      <c r="K1243" s="120" t="s">
        <v>17651</v>
      </c>
    </row>
    <row r="1244" customFormat="false" ht="14.25" hidden="false" customHeight="true" outlineLevel="0" collapsed="false">
      <c r="A1244" s="137"/>
      <c r="B1244" s="137"/>
      <c r="C1244" s="137"/>
      <c r="D1244" s="121" t="s">
        <v>17652</v>
      </c>
      <c r="E1244" s="121" t="s">
        <v>17653</v>
      </c>
      <c r="F1244" s="121" t="s">
        <v>38</v>
      </c>
      <c r="G1244" s="121" t="s">
        <v>17654</v>
      </c>
      <c r="H1244" s="121" t="s">
        <v>17655</v>
      </c>
      <c r="I1244" s="132" t="s">
        <v>40</v>
      </c>
      <c r="J1244" s="121" t="s">
        <v>17655</v>
      </c>
      <c r="K1244" s="120" t="s">
        <v>17656</v>
      </c>
    </row>
    <row r="1245" customFormat="false" ht="14.25" hidden="false" customHeight="true" outlineLevel="0" collapsed="false">
      <c r="A1245" s="137"/>
      <c r="B1245" s="137"/>
      <c r="C1245" s="137"/>
      <c r="D1245" s="137"/>
      <c r="E1245" s="137"/>
      <c r="F1245" s="137"/>
      <c r="G1245" s="121"/>
      <c r="H1245" s="121"/>
      <c r="I1245" s="132"/>
      <c r="J1245" s="121"/>
      <c r="K1245" s="120" t="s">
        <v>17657</v>
      </c>
    </row>
    <row r="1246" customFormat="false" ht="14.25" hidden="false" customHeight="true" outlineLevel="0" collapsed="false">
      <c r="A1246" s="137"/>
      <c r="B1246" s="137"/>
      <c r="C1246" s="137"/>
      <c r="D1246" s="137"/>
      <c r="E1246" s="137"/>
      <c r="F1246" s="137"/>
      <c r="G1246" s="121" t="s">
        <v>17658</v>
      </c>
      <c r="H1246" s="121" t="s">
        <v>17659</v>
      </c>
      <c r="I1246" s="130" t="s">
        <v>67</v>
      </c>
      <c r="J1246" s="121" t="s">
        <v>17659</v>
      </c>
      <c r="K1246" s="120" t="s">
        <v>17660</v>
      </c>
    </row>
    <row r="1247" customFormat="false" ht="14.25" hidden="false" customHeight="true" outlineLevel="0" collapsed="false">
      <c r="A1247" s="137"/>
      <c r="B1247" s="137"/>
      <c r="C1247" s="137"/>
      <c r="D1247" s="121"/>
      <c r="E1247" s="121"/>
      <c r="F1247" s="121"/>
      <c r="G1247" s="121"/>
      <c r="H1247" s="121"/>
      <c r="I1247" s="121"/>
      <c r="J1247" s="121"/>
      <c r="K1247" s="120" t="s">
        <v>17661</v>
      </c>
    </row>
    <row r="1248" customFormat="false" ht="14.25" hidden="false" customHeight="true" outlineLevel="0" collapsed="false">
      <c r="A1248" s="137"/>
      <c r="B1248" s="137"/>
      <c r="C1248" s="137"/>
      <c r="D1248" s="121" t="s">
        <v>17662</v>
      </c>
      <c r="E1248" s="121" t="s">
        <v>17663</v>
      </c>
      <c r="F1248" s="121" t="s">
        <v>48</v>
      </c>
      <c r="G1248" s="121" t="s">
        <v>17664</v>
      </c>
      <c r="H1248" s="121" t="s">
        <v>17665</v>
      </c>
      <c r="I1248" s="123" t="s">
        <v>40</v>
      </c>
      <c r="J1248" s="121" t="s">
        <v>17666</v>
      </c>
      <c r="K1248" s="120" t="s">
        <v>17667</v>
      </c>
    </row>
    <row r="1249" customFormat="false" ht="14.25" hidden="false" customHeight="true" outlineLevel="0" collapsed="false">
      <c r="A1249" s="137"/>
      <c r="B1249" s="137"/>
      <c r="C1249" s="137"/>
      <c r="D1249" s="137"/>
      <c r="E1249" s="137"/>
      <c r="F1249" s="137"/>
      <c r="G1249" s="121"/>
      <c r="H1249" s="121"/>
      <c r="I1249" s="121"/>
      <c r="J1249" s="121"/>
      <c r="K1249" s="120" t="s">
        <v>17668</v>
      </c>
    </row>
    <row r="1250" customFormat="false" ht="14.25" hidden="false" customHeight="true" outlineLevel="0" collapsed="false">
      <c r="A1250" s="137"/>
      <c r="B1250" s="137"/>
      <c r="C1250" s="137"/>
      <c r="D1250" s="137"/>
      <c r="E1250" s="137"/>
      <c r="F1250" s="137"/>
      <c r="G1250" s="121" t="s">
        <v>17669</v>
      </c>
      <c r="H1250" s="121" t="s">
        <v>17670</v>
      </c>
      <c r="I1250" s="123" t="s">
        <v>40</v>
      </c>
      <c r="J1250" s="121" t="s">
        <v>17671</v>
      </c>
      <c r="K1250" s="120" t="s">
        <v>17672</v>
      </c>
    </row>
    <row r="1251" customFormat="false" ht="14.25" hidden="false" customHeight="true" outlineLevel="0" collapsed="false">
      <c r="A1251" s="137"/>
      <c r="B1251" s="137"/>
      <c r="C1251" s="125"/>
      <c r="D1251" s="125"/>
      <c r="E1251" s="125"/>
      <c r="F1251" s="125"/>
      <c r="G1251" s="125"/>
      <c r="H1251" s="125"/>
      <c r="I1251" s="125"/>
      <c r="J1251" s="125"/>
      <c r="K1251" s="120" t="s">
        <v>17673</v>
      </c>
    </row>
    <row r="1252" customFormat="false" ht="14.25" hidden="false" customHeight="true" outlineLevel="0" collapsed="false">
      <c r="A1252" s="137"/>
      <c r="B1252" s="137"/>
      <c r="C1252" s="125" t="s">
        <v>17674</v>
      </c>
      <c r="D1252" s="121" t="s">
        <v>17675</v>
      </c>
      <c r="E1252" s="121" t="s">
        <v>17676</v>
      </c>
      <c r="F1252" s="121" t="s">
        <v>38</v>
      </c>
      <c r="G1252" s="121" t="s">
        <v>17677</v>
      </c>
      <c r="H1252" s="121" t="s">
        <v>17678</v>
      </c>
      <c r="I1252" s="123" t="s">
        <v>40</v>
      </c>
      <c r="J1252" s="121" t="s">
        <v>17678</v>
      </c>
      <c r="K1252" s="120" t="s">
        <v>17679</v>
      </c>
    </row>
    <row r="1253" customFormat="false" ht="14.25" hidden="false" customHeight="true" outlineLevel="0" collapsed="false">
      <c r="A1253" s="137"/>
      <c r="B1253" s="137"/>
      <c r="C1253" s="137"/>
      <c r="D1253" s="137"/>
      <c r="E1253" s="137"/>
      <c r="F1253" s="137"/>
      <c r="G1253" s="121"/>
      <c r="H1253" s="121"/>
      <c r="I1253" s="121"/>
      <c r="J1253" s="121"/>
      <c r="K1253" s="120" t="s">
        <v>17680</v>
      </c>
    </row>
    <row r="1254" customFormat="false" ht="14.25" hidden="false" customHeight="true" outlineLevel="0" collapsed="false">
      <c r="A1254" s="137"/>
      <c r="B1254" s="137"/>
      <c r="C1254" s="137"/>
      <c r="D1254" s="137"/>
      <c r="E1254" s="137"/>
      <c r="F1254" s="137"/>
      <c r="G1254" s="121" t="s">
        <v>17681</v>
      </c>
      <c r="H1254" s="121" t="s">
        <v>17682</v>
      </c>
      <c r="I1254" s="123" t="s">
        <v>40</v>
      </c>
      <c r="J1254" s="121" t="s">
        <v>17682</v>
      </c>
      <c r="K1254" s="120" t="s">
        <v>17683</v>
      </c>
    </row>
    <row r="1255" customFormat="false" ht="14.25" hidden="false" customHeight="true" outlineLevel="0" collapsed="false">
      <c r="A1255" s="137"/>
      <c r="B1255" s="137"/>
      <c r="C1255" s="137"/>
      <c r="D1255" s="121"/>
      <c r="E1255" s="121"/>
      <c r="F1255" s="121"/>
      <c r="G1255" s="121"/>
      <c r="H1255" s="121"/>
      <c r="I1255" s="121"/>
      <c r="J1255" s="121"/>
      <c r="K1255" s="120" t="s">
        <v>17684</v>
      </c>
    </row>
    <row r="1256" customFormat="false" ht="14.25" hidden="false" customHeight="true" outlineLevel="0" collapsed="false">
      <c r="A1256" s="137"/>
      <c r="B1256" s="137"/>
      <c r="C1256" s="137"/>
      <c r="D1256" s="121" t="s">
        <v>17685</v>
      </c>
      <c r="E1256" s="121" t="s">
        <v>17686</v>
      </c>
      <c r="F1256" s="121" t="s">
        <v>38</v>
      </c>
      <c r="G1256" s="121" t="s">
        <v>17687</v>
      </c>
      <c r="H1256" s="121" t="s">
        <v>17688</v>
      </c>
      <c r="I1256" s="123" t="s">
        <v>40</v>
      </c>
      <c r="J1256" s="121" t="s">
        <v>17689</v>
      </c>
      <c r="K1256" s="120" t="s">
        <v>17690</v>
      </c>
    </row>
    <row r="1257" customFormat="false" ht="14.25" hidden="false" customHeight="true" outlineLevel="0" collapsed="false">
      <c r="A1257" s="137"/>
      <c r="B1257" s="137"/>
      <c r="C1257" s="137"/>
      <c r="D1257" s="137"/>
      <c r="E1257" s="137"/>
      <c r="F1257" s="137"/>
      <c r="G1257" s="121"/>
      <c r="H1257" s="121"/>
      <c r="I1257" s="121"/>
      <c r="J1257" s="121"/>
      <c r="K1257" s="120" t="s">
        <v>17691</v>
      </c>
    </row>
    <row r="1258" customFormat="false" ht="14.25" hidden="false" customHeight="true" outlineLevel="0" collapsed="false">
      <c r="A1258" s="137"/>
      <c r="B1258" s="137"/>
      <c r="C1258" s="137"/>
      <c r="D1258" s="137"/>
      <c r="E1258" s="137"/>
      <c r="F1258" s="137"/>
      <c r="G1258" s="121" t="s">
        <v>363</v>
      </c>
      <c r="H1258" s="121" t="s">
        <v>17692</v>
      </c>
      <c r="I1258" s="123" t="s">
        <v>40</v>
      </c>
      <c r="J1258" s="121" t="s">
        <v>17692</v>
      </c>
      <c r="K1258" s="120" t="s">
        <v>17693</v>
      </c>
    </row>
    <row r="1259" customFormat="false" ht="14.25" hidden="false" customHeight="true" outlineLevel="0" collapsed="false">
      <c r="A1259" s="137"/>
      <c r="B1259" s="137"/>
      <c r="C1259" s="137"/>
      <c r="D1259" s="121"/>
      <c r="E1259" s="121"/>
      <c r="F1259" s="121"/>
      <c r="G1259" s="121"/>
      <c r="H1259" s="121"/>
      <c r="I1259" s="121"/>
      <c r="J1259" s="121"/>
      <c r="K1259" s="120" t="s">
        <v>17289</v>
      </c>
    </row>
    <row r="1260" customFormat="false" ht="14.25" hidden="false" customHeight="true" outlineLevel="0" collapsed="false">
      <c r="A1260" s="137"/>
      <c r="B1260" s="137"/>
      <c r="C1260" s="137"/>
      <c r="D1260" s="121" t="s">
        <v>17694</v>
      </c>
      <c r="E1260" s="121" t="s">
        <v>17695</v>
      </c>
      <c r="F1260" s="121" t="s">
        <v>38</v>
      </c>
      <c r="G1260" s="121" t="s">
        <v>17696</v>
      </c>
      <c r="H1260" s="121" t="s">
        <v>17697</v>
      </c>
      <c r="I1260" s="123" t="s">
        <v>40</v>
      </c>
      <c r="J1260" s="121" t="s">
        <v>17698</v>
      </c>
      <c r="K1260" s="120" t="s">
        <v>17699</v>
      </c>
    </row>
    <row r="1261" customFormat="false" ht="14.25" hidden="false" customHeight="true" outlineLevel="0" collapsed="false">
      <c r="A1261" s="137"/>
      <c r="B1261" s="137"/>
      <c r="C1261" s="137"/>
      <c r="D1261" s="137"/>
      <c r="E1261" s="137"/>
      <c r="F1261" s="137"/>
      <c r="G1261" s="121"/>
      <c r="H1261" s="121"/>
      <c r="I1261" s="121"/>
      <c r="J1261" s="121"/>
      <c r="K1261" s="120" t="s">
        <v>17700</v>
      </c>
    </row>
    <row r="1262" customFormat="false" ht="14.25" hidden="false" customHeight="true" outlineLevel="0" collapsed="false">
      <c r="A1262" s="137"/>
      <c r="B1262" s="137"/>
      <c r="C1262" s="137"/>
      <c r="D1262" s="137"/>
      <c r="E1262" s="137"/>
      <c r="F1262" s="137"/>
      <c r="G1262" s="121" t="s">
        <v>17701</v>
      </c>
      <c r="H1262" s="121" t="s">
        <v>17702</v>
      </c>
      <c r="I1262" s="123" t="s">
        <v>40</v>
      </c>
      <c r="J1262" s="121" t="s">
        <v>17703</v>
      </c>
      <c r="K1262" s="120" t="s">
        <v>17704</v>
      </c>
    </row>
    <row r="1263" customFormat="false" ht="14.25" hidden="false" customHeight="true" outlineLevel="0" collapsed="false">
      <c r="A1263" s="137"/>
      <c r="B1263" s="137"/>
      <c r="C1263" s="137"/>
      <c r="D1263" s="121"/>
      <c r="E1263" s="121"/>
      <c r="F1263" s="121"/>
      <c r="G1263" s="121"/>
      <c r="H1263" s="121"/>
      <c r="I1263" s="121"/>
      <c r="J1263" s="121"/>
      <c r="K1263" s="120" t="s">
        <v>17517</v>
      </c>
    </row>
    <row r="1264" customFormat="false" ht="14.25" hidden="false" customHeight="true" outlineLevel="0" collapsed="false">
      <c r="A1264" s="137"/>
      <c r="B1264" s="137"/>
      <c r="C1264" s="137"/>
      <c r="D1264" s="121" t="s">
        <v>17705</v>
      </c>
      <c r="E1264" s="121" t="s">
        <v>17706</v>
      </c>
      <c r="F1264" s="121" t="s">
        <v>38</v>
      </c>
      <c r="G1264" s="121" t="s">
        <v>17707</v>
      </c>
      <c r="H1264" s="121" t="s">
        <v>17708</v>
      </c>
      <c r="I1264" s="123" t="s">
        <v>40</v>
      </c>
      <c r="J1264" s="121" t="s">
        <v>17709</v>
      </c>
      <c r="K1264" s="120" t="s">
        <v>17710</v>
      </c>
    </row>
    <row r="1265" customFormat="false" ht="14.25" hidden="false" customHeight="true" outlineLevel="0" collapsed="false">
      <c r="A1265" s="137"/>
      <c r="B1265" s="137"/>
      <c r="C1265" s="137"/>
      <c r="D1265" s="137"/>
      <c r="E1265" s="137"/>
      <c r="F1265" s="137"/>
      <c r="G1265" s="121"/>
      <c r="H1265" s="121"/>
      <c r="I1265" s="121"/>
      <c r="J1265" s="121"/>
      <c r="K1265" s="120" t="s">
        <v>17711</v>
      </c>
    </row>
    <row r="1266" customFormat="false" ht="14.25" hidden="false" customHeight="true" outlineLevel="0" collapsed="false">
      <c r="A1266" s="137"/>
      <c r="B1266" s="137"/>
      <c r="C1266" s="137"/>
      <c r="D1266" s="137"/>
      <c r="E1266" s="137"/>
      <c r="F1266" s="137"/>
      <c r="G1266" s="121" t="s">
        <v>17712</v>
      </c>
      <c r="H1266" s="121" t="s">
        <v>17713</v>
      </c>
      <c r="I1266" s="122" t="s">
        <v>50</v>
      </c>
      <c r="J1266" s="121" t="s">
        <v>17714</v>
      </c>
      <c r="K1266" s="120" t="s">
        <v>17715</v>
      </c>
    </row>
    <row r="1267" customFormat="false" ht="14.25" hidden="false" customHeight="true" outlineLevel="0" collapsed="false">
      <c r="A1267" s="137"/>
      <c r="B1267" s="137"/>
      <c r="C1267" s="137"/>
      <c r="D1267" s="121"/>
      <c r="E1267" s="121"/>
      <c r="F1267" s="121"/>
      <c r="G1267" s="121"/>
      <c r="H1267" s="121"/>
      <c r="I1267" s="121"/>
      <c r="J1267" s="121"/>
      <c r="K1267" s="120" t="s">
        <v>17716</v>
      </c>
    </row>
    <row r="1268" customFormat="false" ht="14.25" hidden="false" customHeight="true" outlineLevel="0" collapsed="false">
      <c r="A1268" s="137"/>
      <c r="B1268" s="137"/>
      <c r="C1268" s="137"/>
      <c r="D1268" s="121" t="s">
        <v>17717</v>
      </c>
      <c r="E1268" s="121" t="s">
        <v>17718</v>
      </c>
      <c r="F1268" s="121" t="s">
        <v>38</v>
      </c>
      <c r="G1268" s="121" t="s">
        <v>17719</v>
      </c>
      <c r="H1268" s="121" t="s">
        <v>17720</v>
      </c>
      <c r="I1268" s="122" t="s">
        <v>50</v>
      </c>
      <c r="J1268" s="128" t="s">
        <v>15658</v>
      </c>
      <c r="K1268" s="120" t="s">
        <v>17721</v>
      </c>
    </row>
    <row r="1269" customFormat="false" ht="14.25" hidden="false" customHeight="true" outlineLevel="0" collapsed="false">
      <c r="A1269" s="137"/>
      <c r="B1269" s="137"/>
      <c r="C1269" s="137"/>
      <c r="D1269" s="137"/>
      <c r="E1269" s="137"/>
      <c r="F1269" s="137"/>
      <c r="G1269" s="121"/>
      <c r="H1269" s="121"/>
      <c r="I1269" s="121"/>
      <c r="J1269" s="128"/>
      <c r="K1269" s="120" t="s">
        <v>17722</v>
      </c>
    </row>
    <row r="1270" customFormat="false" ht="14.25" hidden="false" customHeight="true" outlineLevel="0" collapsed="false">
      <c r="A1270" s="137"/>
      <c r="B1270" s="137"/>
      <c r="C1270" s="137"/>
      <c r="D1270" s="137"/>
      <c r="E1270" s="137"/>
      <c r="F1270" s="137"/>
      <c r="G1270" s="121" t="s">
        <v>17723</v>
      </c>
      <c r="H1270" s="121" t="s">
        <v>17724</v>
      </c>
      <c r="I1270" s="122" t="s">
        <v>50</v>
      </c>
      <c r="J1270" s="128" t="s">
        <v>17725</v>
      </c>
      <c r="K1270" s="120" t="s">
        <v>17726</v>
      </c>
    </row>
    <row r="1271" customFormat="false" ht="14.25" hidden="false" customHeight="true" outlineLevel="0" collapsed="false">
      <c r="A1271" s="137"/>
      <c r="B1271" s="137"/>
      <c r="C1271" s="125"/>
      <c r="D1271" s="125"/>
      <c r="E1271" s="125"/>
      <c r="F1271" s="125"/>
      <c r="G1271" s="125"/>
      <c r="H1271" s="125"/>
      <c r="I1271" s="125"/>
      <c r="J1271" s="128"/>
      <c r="K1271" s="120" t="s">
        <v>17727</v>
      </c>
    </row>
    <row r="1272" customFormat="false" ht="14.25" hidden="false" customHeight="true" outlineLevel="0" collapsed="false">
      <c r="A1272" s="137"/>
      <c r="B1272" s="137"/>
      <c r="C1272" s="125" t="s">
        <v>17728</v>
      </c>
      <c r="D1272" s="121" t="s">
        <v>17729</v>
      </c>
      <c r="E1272" s="121" t="s">
        <v>17730</v>
      </c>
      <c r="F1272" s="121" t="s">
        <v>38</v>
      </c>
      <c r="G1272" s="121" t="s">
        <v>17731</v>
      </c>
      <c r="H1272" s="121" t="s">
        <v>17725</v>
      </c>
      <c r="I1272" s="122" t="s">
        <v>50</v>
      </c>
      <c r="J1272" s="121" t="s">
        <v>17732</v>
      </c>
      <c r="K1272" s="120" t="s">
        <v>17733</v>
      </c>
    </row>
    <row r="1273" customFormat="false" ht="14.25" hidden="false" customHeight="true" outlineLevel="0" collapsed="false">
      <c r="A1273" s="137"/>
      <c r="B1273" s="137"/>
      <c r="C1273" s="137"/>
      <c r="D1273" s="137"/>
      <c r="E1273" s="137"/>
      <c r="F1273" s="137"/>
      <c r="G1273" s="121"/>
      <c r="H1273" s="121"/>
      <c r="I1273" s="121"/>
      <c r="J1273" s="121"/>
      <c r="K1273" s="120" t="s">
        <v>17734</v>
      </c>
    </row>
    <row r="1274" customFormat="false" ht="14.25" hidden="false" customHeight="true" outlineLevel="0" collapsed="false">
      <c r="A1274" s="137"/>
      <c r="B1274" s="137"/>
      <c r="C1274" s="137"/>
      <c r="D1274" s="137"/>
      <c r="E1274" s="137"/>
      <c r="F1274" s="137"/>
      <c r="G1274" s="121" t="s">
        <v>17735</v>
      </c>
      <c r="H1274" s="121" t="s">
        <v>17736</v>
      </c>
      <c r="I1274" s="122" t="s">
        <v>50</v>
      </c>
      <c r="J1274" s="121" t="s">
        <v>17736</v>
      </c>
      <c r="K1274" s="120" t="s">
        <v>17737</v>
      </c>
    </row>
    <row r="1275" customFormat="false" ht="14.25" hidden="false" customHeight="true" outlineLevel="0" collapsed="false">
      <c r="A1275" s="137"/>
      <c r="B1275" s="137"/>
      <c r="C1275" s="137"/>
      <c r="D1275" s="121"/>
      <c r="E1275" s="121"/>
      <c r="F1275" s="121"/>
      <c r="G1275" s="121"/>
      <c r="H1275" s="121"/>
      <c r="I1275" s="121"/>
      <c r="J1275" s="121"/>
      <c r="K1275" s="120" t="s">
        <v>17738</v>
      </c>
    </row>
    <row r="1276" customFormat="false" ht="14.25" hidden="false" customHeight="true" outlineLevel="0" collapsed="false">
      <c r="A1276" s="137"/>
      <c r="B1276" s="137"/>
      <c r="C1276" s="137"/>
      <c r="D1276" s="121" t="s">
        <v>17739</v>
      </c>
      <c r="E1276" s="121" t="s">
        <v>17740</v>
      </c>
      <c r="F1276" s="121" t="s">
        <v>38</v>
      </c>
      <c r="G1276" s="121" t="s">
        <v>17741</v>
      </c>
      <c r="H1276" s="121" t="s">
        <v>17742</v>
      </c>
      <c r="I1276" s="122" t="s">
        <v>50</v>
      </c>
      <c r="J1276" s="121" t="s">
        <v>17742</v>
      </c>
      <c r="K1276" s="120" t="s">
        <v>17743</v>
      </c>
    </row>
    <row r="1277" customFormat="false" ht="14.25" hidden="false" customHeight="true" outlineLevel="0" collapsed="false">
      <c r="A1277" s="137"/>
      <c r="B1277" s="137"/>
      <c r="C1277" s="137"/>
      <c r="D1277" s="137"/>
      <c r="E1277" s="137"/>
      <c r="F1277" s="137"/>
      <c r="G1277" s="121"/>
      <c r="H1277" s="121"/>
      <c r="I1277" s="121"/>
      <c r="J1277" s="121"/>
      <c r="K1277" s="120" t="s">
        <v>17744</v>
      </c>
    </row>
    <row r="1278" customFormat="false" ht="14.25" hidden="false" customHeight="true" outlineLevel="0" collapsed="false">
      <c r="A1278" s="137"/>
      <c r="B1278" s="137"/>
      <c r="C1278" s="137"/>
      <c r="D1278" s="137"/>
      <c r="E1278" s="137"/>
      <c r="F1278" s="137"/>
      <c r="G1278" s="121" t="s">
        <v>17745</v>
      </c>
      <c r="H1278" s="121" t="s">
        <v>17746</v>
      </c>
      <c r="I1278" s="122" t="s">
        <v>50</v>
      </c>
      <c r="J1278" s="121" t="s">
        <v>17747</v>
      </c>
      <c r="K1278" s="120" t="s">
        <v>17748</v>
      </c>
    </row>
    <row r="1279" customFormat="false" ht="14.25" hidden="false" customHeight="true" outlineLevel="0" collapsed="false">
      <c r="A1279" s="137"/>
      <c r="B1279" s="137"/>
      <c r="C1279" s="137"/>
      <c r="D1279" s="121"/>
      <c r="E1279" s="121"/>
      <c r="F1279" s="121"/>
      <c r="G1279" s="121"/>
      <c r="H1279" s="121"/>
      <c r="I1279" s="121"/>
      <c r="J1279" s="121"/>
      <c r="K1279" s="120" t="s">
        <v>17749</v>
      </c>
    </row>
    <row r="1280" customFormat="false" ht="14.25" hidden="false" customHeight="true" outlineLevel="0" collapsed="false">
      <c r="A1280" s="137"/>
      <c r="B1280" s="137"/>
      <c r="C1280" s="137"/>
      <c r="D1280" s="121" t="s">
        <v>17750</v>
      </c>
      <c r="E1280" s="121" t="s">
        <v>17751</v>
      </c>
      <c r="F1280" s="121" t="s">
        <v>38</v>
      </c>
      <c r="G1280" s="121" t="s">
        <v>17752</v>
      </c>
      <c r="H1280" s="121" t="s">
        <v>17753</v>
      </c>
      <c r="I1280" s="122" t="s">
        <v>50</v>
      </c>
      <c r="J1280" s="121" t="s">
        <v>17754</v>
      </c>
      <c r="K1280" s="120" t="s">
        <v>17755</v>
      </c>
    </row>
    <row r="1281" customFormat="false" ht="14.25" hidden="false" customHeight="true" outlineLevel="0" collapsed="false">
      <c r="A1281" s="137"/>
      <c r="B1281" s="137"/>
      <c r="C1281" s="137"/>
      <c r="D1281" s="137"/>
      <c r="E1281" s="137"/>
      <c r="F1281" s="137"/>
      <c r="G1281" s="121"/>
      <c r="H1281" s="121"/>
      <c r="I1281" s="121"/>
      <c r="J1281" s="121"/>
      <c r="K1281" s="120" t="s">
        <v>17756</v>
      </c>
    </row>
    <row r="1282" customFormat="false" ht="14.25" hidden="false" customHeight="true" outlineLevel="0" collapsed="false">
      <c r="A1282" s="137"/>
      <c r="B1282" s="137"/>
      <c r="C1282" s="137"/>
      <c r="D1282" s="137"/>
      <c r="E1282" s="137"/>
      <c r="F1282" s="137"/>
      <c r="G1282" s="121" t="s">
        <v>17757</v>
      </c>
      <c r="H1282" s="121" t="s">
        <v>17758</v>
      </c>
      <c r="I1282" s="122" t="s">
        <v>50</v>
      </c>
      <c r="J1282" s="121" t="s">
        <v>17759</v>
      </c>
      <c r="K1282" s="120" t="s">
        <v>17760</v>
      </c>
    </row>
    <row r="1283" customFormat="false" ht="14.25" hidden="false" customHeight="true" outlineLevel="0" collapsed="false">
      <c r="A1283" s="137"/>
      <c r="B1283" s="137"/>
      <c r="C1283" s="137"/>
      <c r="D1283" s="121"/>
      <c r="E1283" s="121"/>
      <c r="F1283" s="121"/>
      <c r="G1283" s="121"/>
      <c r="H1283" s="121"/>
      <c r="I1283" s="121"/>
      <c r="J1283" s="121"/>
      <c r="K1283" s="120" t="s">
        <v>17761</v>
      </c>
    </row>
    <row r="1284" customFormat="false" ht="14.25" hidden="false" customHeight="true" outlineLevel="0" collapsed="false">
      <c r="A1284" s="137"/>
      <c r="B1284" s="137"/>
      <c r="C1284" s="137"/>
      <c r="D1284" s="121" t="s">
        <v>17762</v>
      </c>
      <c r="E1284" s="121" t="s">
        <v>17763</v>
      </c>
      <c r="F1284" s="121" t="s">
        <v>38</v>
      </c>
      <c r="G1284" s="121" t="s">
        <v>17764</v>
      </c>
      <c r="H1284" s="121" t="s">
        <v>17765</v>
      </c>
      <c r="I1284" s="122" t="s">
        <v>50</v>
      </c>
      <c r="J1284" s="121" t="s">
        <v>17766</v>
      </c>
      <c r="K1284" s="120" t="s">
        <v>17767</v>
      </c>
    </row>
    <row r="1285" customFormat="false" ht="14.25" hidden="false" customHeight="true" outlineLevel="0" collapsed="false">
      <c r="A1285" s="137"/>
      <c r="B1285" s="137"/>
      <c r="C1285" s="137"/>
      <c r="D1285" s="137"/>
      <c r="E1285" s="137"/>
      <c r="F1285" s="137"/>
      <c r="G1285" s="121"/>
      <c r="H1285" s="121"/>
      <c r="I1285" s="121"/>
      <c r="J1285" s="121"/>
      <c r="K1285" s="120" t="s">
        <v>17768</v>
      </c>
    </row>
    <row r="1286" customFormat="false" ht="14.25" hidden="false" customHeight="true" outlineLevel="0" collapsed="false">
      <c r="A1286" s="137"/>
      <c r="B1286" s="137"/>
      <c r="C1286" s="137"/>
      <c r="D1286" s="137"/>
      <c r="E1286" s="137"/>
      <c r="F1286" s="137"/>
      <c r="G1286" s="121" t="s">
        <v>17769</v>
      </c>
      <c r="H1286" s="121" t="s">
        <v>17770</v>
      </c>
      <c r="I1286" s="122" t="s">
        <v>50</v>
      </c>
      <c r="J1286" s="121" t="s">
        <v>17771</v>
      </c>
      <c r="K1286" s="120" t="s">
        <v>17772</v>
      </c>
    </row>
    <row r="1287" customFormat="false" ht="14.25" hidden="false" customHeight="true" outlineLevel="0" collapsed="false">
      <c r="A1287" s="137"/>
      <c r="B1287" s="137"/>
      <c r="C1287" s="137"/>
      <c r="D1287" s="121"/>
      <c r="E1287" s="121"/>
      <c r="F1287" s="121"/>
      <c r="G1287" s="121"/>
      <c r="H1287" s="121"/>
      <c r="I1287" s="121"/>
      <c r="J1287" s="121"/>
      <c r="K1287" s="120" t="s">
        <v>17773</v>
      </c>
    </row>
    <row r="1288" customFormat="false" ht="14.25" hidden="false" customHeight="true" outlineLevel="0" collapsed="false">
      <c r="A1288" s="137"/>
      <c r="B1288" s="137"/>
      <c r="C1288" s="137"/>
      <c r="D1288" s="121" t="s">
        <v>17774</v>
      </c>
      <c r="E1288" s="121" t="s">
        <v>17775</v>
      </c>
      <c r="F1288" s="121" t="s">
        <v>38</v>
      </c>
      <c r="G1288" s="121" t="s">
        <v>17776</v>
      </c>
      <c r="H1288" s="121" t="s">
        <v>17777</v>
      </c>
      <c r="I1288" s="122" t="s">
        <v>50</v>
      </c>
      <c r="J1288" s="121" t="s">
        <v>17778</v>
      </c>
      <c r="K1288" s="120" t="s">
        <v>17779</v>
      </c>
    </row>
    <row r="1289" customFormat="false" ht="14.25" hidden="false" customHeight="true" outlineLevel="0" collapsed="false">
      <c r="A1289" s="137"/>
      <c r="B1289" s="137"/>
      <c r="C1289" s="137"/>
      <c r="D1289" s="137"/>
      <c r="E1289" s="137"/>
      <c r="F1289" s="137"/>
      <c r="G1289" s="121"/>
      <c r="H1289" s="121"/>
      <c r="I1289" s="121"/>
      <c r="J1289" s="121"/>
      <c r="K1289" s="120" t="s">
        <v>17780</v>
      </c>
    </row>
    <row r="1290" customFormat="false" ht="14.25" hidden="false" customHeight="true" outlineLevel="0" collapsed="false">
      <c r="A1290" s="137"/>
      <c r="B1290" s="137"/>
      <c r="C1290" s="137"/>
      <c r="D1290" s="137"/>
      <c r="E1290" s="137"/>
      <c r="F1290" s="137"/>
      <c r="G1290" s="121" t="s">
        <v>17781</v>
      </c>
      <c r="H1290" s="121" t="s">
        <v>17782</v>
      </c>
      <c r="I1290" s="122" t="s">
        <v>50</v>
      </c>
      <c r="J1290" s="121" t="s">
        <v>17783</v>
      </c>
      <c r="K1290" s="120" t="s">
        <v>17784</v>
      </c>
    </row>
    <row r="1291" customFormat="false" ht="14.25" hidden="false" customHeight="true" outlineLevel="0" collapsed="false">
      <c r="A1291" s="137"/>
      <c r="B1291" s="137"/>
      <c r="C1291" s="125"/>
      <c r="D1291" s="125"/>
      <c r="E1291" s="125"/>
      <c r="F1291" s="125"/>
      <c r="G1291" s="125"/>
      <c r="H1291" s="125"/>
      <c r="I1291" s="125"/>
      <c r="J1291" s="125"/>
      <c r="K1291" s="120" t="s">
        <v>17785</v>
      </c>
    </row>
    <row r="1292" customFormat="false" ht="14.25" hidden="false" customHeight="true" outlineLevel="0" collapsed="false">
      <c r="A1292" s="137"/>
      <c r="B1292" s="137"/>
      <c r="C1292" s="125" t="s">
        <v>17786</v>
      </c>
      <c r="D1292" s="121" t="s">
        <v>17787</v>
      </c>
      <c r="E1292" s="121" t="s">
        <v>17788</v>
      </c>
      <c r="F1292" s="121" t="s">
        <v>38</v>
      </c>
      <c r="G1292" s="121" t="s">
        <v>17789</v>
      </c>
      <c r="H1292" s="121" t="s">
        <v>17790</v>
      </c>
      <c r="I1292" s="123" t="s">
        <v>40</v>
      </c>
      <c r="J1292" s="121" t="s">
        <v>17791</v>
      </c>
      <c r="K1292" s="120" t="s">
        <v>17792</v>
      </c>
    </row>
    <row r="1293" customFormat="false" ht="14.25" hidden="false" customHeight="true" outlineLevel="0" collapsed="false">
      <c r="A1293" s="137"/>
      <c r="B1293" s="137"/>
      <c r="C1293" s="137"/>
      <c r="D1293" s="137"/>
      <c r="E1293" s="137"/>
      <c r="F1293" s="137"/>
      <c r="G1293" s="121"/>
      <c r="H1293" s="121"/>
      <c r="I1293" s="121"/>
      <c r="J1293" s="121"/>
      <c r="K1293" s="120" t="s">
        <v>17793</v>
      </c>
    </row>
    <row r="1294" customFormat="false" ht="14.25" hidden="false" customHeight="true" outlineLevel="0" collapsed="false">
      <c r="A1294" s="137"/>
      <c r="B1294" s="137"/>
      <c r="C1294" s="137"/>
      <c r="D1294" s="137"/>
      <c r="E1294" s="137"/>
      <c r="F1294" s="137"/>
      <c r="G1294" s="121" t="s">
        <v>17794</v>
      </c>
      <c r="H1294" s="121" t="s">
        <v>17795</v>
      </c>
      <c r="I1294" s="123" t="s">
        <v>40</v>
      </c>
      <c r="J1294" s="121" t="s">
        <v>17796</v>
      </c>
      <c r="K1294" s="120" t="s">
        <v>17797</v>
      </c>
    </row>
    <row r="1295" customFormat="false" ht="14.25" hidden="false" customHeight="true" outlineLevel="0" collapsed="false">
      <c r="A1295" s="137"/>
      <c r="B1295" s="137"/>
      <c r="C1295" s="137"/>
      <c r="D1295" s="121"/>
      <c r="E1295" s="121"/>
      <c r="F1295" s="121"/>
      <c r="G1295" s="121"/>
      <c r="H1295" s="121"/>
      <c r="I1295" s="121"/>
      <c r="J1295" s="121"/>
      <c r="K1295" s="120" t="s">
        <v>17798</v>
      </c>
    </row>
    <row r="1296" customFormat="false" ht="14.25" hidden="false" customHeight="true" outlineLevel="0" collapsed="false">
      <c r="A1296" s="137"/>
      <c r="B1296" s="137"/>
      <c r="C1296" s="137"/>
      <c r="D1296" s="121" t="s">
        <v>17799</v>
      </c>
      <c r="E1296" s="121" t="s">
        <v>17800</v>
      </c>
      <c r="F1296" s="121" t="s">
        <v>38</v>
      </c>
      <c r="G1296" s="121" t="s">
        <v>17801</v>
      </c>
      <c r="H1296" s="121" t="s">
        <v>17802</v>
      </c>
      <c r="I1296" s="123" t="s">
        <v>40</v>
      </c>
      <c r="J1296" s="121" t="s">
        <v>17803</v>
      </c>
      <c r="K1296" s="120" t="s">
        <v>17804</v>
      </c>
    </row>
    <row r="1297" customFormat="false" ht="14.25" hidden="false" customHeight="true" outlineLevel="0" collapsed="false">
      <c r="A1297" s="137"/>
      <c r="B1297" s="137"/>
      <c r="C1297" s="137"/>
      <c r="D1297" s="137"/>
      <c r="E1297" s="137"/>
      <c r="F1297" s="137"/>
      <c r="G1297" s="121"/>
      <c r="H1297" s="121"/>
      <c r="I1297" s="121"/>
      <c r="J1297" s="121"/>
      <c r="K1297" s="120" t="s">
        <v>17805</v>
      </c>
    </row>
    <row r="1298" customFormat="false" ht="14.25" hidden="false" customHeight="true" outlineLevel="0" collapsed="false">
      <c r="A1298" s="137"/>
      <c r="B1298" s="137"/>
      <c r="C1298" s="137"/>
      <c r="D1298" s="137"/>
      <c r="E1298" s="137"/>
      <c r="F1298" s="137"/>
      <c r="G1298" s="121" t="s">
        <v>17806</v>
      </c>
      <c r="H1298" s="121" t="s">
        <v>17807</v>
      </c>
      <c r="I1298" s="123" t="s">
        <v>40</v>
      </c>
      <c r="J1298" s="121" t="s">
        <v>17808</v>
      </c>
      <c r="K1298" s="120" t="s">
        <v>17809</v>
      </c>
    </row>
    <row r="1299" customFormat="false" ht="14.25" hidden="false" customHeight="true" outlineLevel="0" collapsed="false">
      <c r="A1299" s="137"/>
      <c r="B1299" s="137"/>
      <c r="C1299" s="137"/>
      <c r="D1299" s="121"/>
      <c r="E1299" s="121"/>
      <c r="F1299" s="121"/>
      <c r="G1299" s="121"/>
      <c r="H1299" s="121"/>
      <c r="I1299" s="121"/>
      <c r="J1299" s="121"/>
      <c r="K1299" s="120" t="s">
        <v>17810</v>
      </c>
    </row>
    <row r="1300" customFormat="false" ht="14.25" hidden="false" customHeight="true" outlineLevel="0" collapsed="false">
      <c r="A1300" s="137"/>
      <c r="B1300" s="137"/>
      <c r="C1300" s="137"/>
      <c r="D1300" s="121" t="s">
        <v>17811</v>
      </c>
      <c r="E1300" s="121" t="s">
        <v>17812</v>
      </c>
      <c r="F1300" s="121" t="s">
        <v>38</v>
      </c>
      <c r="G1300" s="121" t="s">
        <v>17813</v>
      </c>
      <c r="H1300" s="121" t="s">
        <v>17814</v>
      </c>
      <c r="I1300" s="123" t="s">
        <v>40</v>
      </c>
      <c r="J1300" s="121" t="s">
        <v>17815</v>
      </c>
      <c r="K1300" s="120" t="s">
        <v>17816</v>
      </c>
    </row>
    <row r="1301" customFormat="false" ht="14.25" hidden="false" customHeight="true" outlineLevel="0" collapsed="false">
      <c r="A1301" s="137"/>
      <c r="B1301" s="137"/>
      <c r="C1301" s="137"/>
      <c r="D1301" s="137"/>
      <c r="E1301" s="137"/>
      <c r="F1301" s="137"/>
      <c r="G1301" s="121"/>
      <c r="H1301" s="121"/>
      <c r="I1301" s="121"/>
      <c r="J1301" s="121"/>
      <c r="K1301" s="120" t="s">
        <v>17817</v>
      </c>
    </row>
    <row r="1302" customFormat="false" ht="14.25" hidden="false" customHeight="true" outlineLevel="0" collapsed="false">
      <c r="A1302" s="137"/>
      <c r="B1302" s="137"/>
      <c r="C1302" s="137"/>
      <c r="D1302" s="137"/>
      <c r="E1302" s="137"/>
      <c r="F1302" s="137"/>
      <c r="G1302" s="121" t="s">
        <v>17818</v>
      </c>
      <c r="H1302" s="121" t="s">
        <v>17819</v>
      </c>
      <c r="I1302" s="123" t="s">
        <v>40</v>
      </c>
      <c r="J1302" s="121" t="s">
        <v>17820</v>
      </c>
      <c r="K1302" s="120" t="s">
        <v>17821</v>
      </c>
    </row>
    <row r="1303" customFormat="false" ht="14.25" hidden="false" customHeight="true" outlineLevel="0" collapsed="false">
      <c r="A1303" s="137"/>
      <c r="B1303" s="137"/>
      <c r="C1303" s="137"/>
      <c r="D1303" s="121"/>
      <c r="E1303" s="121"/>
      <c r="F1303" s="121"/>
      <c r="G1303" s="121"/>
      <c r="H1303" s="121"/>
      <c r="I1303" s="121"/>
      <c r="J1303" s="121"/>
      <c r="K1303" s="120" t="s">
        <v>17822</v>
      </c>
    </row>
    <row r="1304" customFormat="false" ht="14.25" hidden="false" customHeight="true" outlineLevel="0" collapsed="false">
      <c r="A1304" s="137"/>
      <c r="B1304" s="137"/>
      <c r="C1304" s="137"/>
      <c r="D1304" s="121" t="s">
        <v>17823</v>
      </c>
      <c r="E1304" s="121" t="s">
        <v>17824</v>
      </c>
      <c r="F1304" s="121" t="s">
        <v>38</v>
      </c>
      <c r="G1304" s="121" t="s">
        <v>17825</v>
      </c>
      <c r="H1304" s="121" t="s">
        <v>17826</v>
      </c>
      <c r="I1304" s="123" t="s">
        <v>40</v>
      </c>
      <c r="J1304" s="121" t="s">
        <v>17827</v>
      </c>
      <c r="K1304" s="120" t="s">
        <v>17828</v>
      </c>
    </row>
    <row r="1305" customFormat="false" ht="14.25" hidden="false" customHeight="true" outlineLevel="0" collapsed="false">
      <c r="A1305" s="137"/>
      <c r="B1305" s="137"/>
      <c r="C1305" s="137"/>
      <c r="D1305" s="137"/>
      <c r="E1305" s="137"/>
      <c r="F1305" s="137"/>
      <c r="G1305" s="121"/>
      <c r="H1305" s="121"/>
      <c r="I1305" s="121"/>
      <c r="J1305" s="121"/>
      <c r="K1305" s="120" t="s">
        <v>17829</v>
      </c>
    </row>
    <row r="1306" customFormat="false" ht="14.25" hidden="false" customHeight="true" outlineLevel="0" collapsed="false">
      <c r="A1306" s="137"/>
      <c r="B1306" s="137"/>
      <c r="C1306" s="137"/>
      <c r="D1306" s="137"/>
      <c r="E1306" s="137"/>
      <c r="F1306" s="137"/>
      <c r="G1306" s="121" t="s">
        <v>17830</v>
      </c>
      <c r="H1306" s="121" t="s">
        <v>17831</v>
      </c>
      <c r="I1306" s="123" t="s">
        <v>40</v>
      </c>
      <c r="J1306" s="121" t="s">
        <v>17832</v>
      </c>
      <c r="K1306" s="120" t="s">
        <v>17833</v>
      </c>
    </row>
    <row r="1307" customFormat="false" ht="14.25" hidden="false" customHeight="true" outlineLevel="0" collapsed="false">
      <c r="A1307" s="137"/>
      <c r="B1307" s="137"/>
      <c r="C1307" s="137"/>
      <c r="D1307" s="121"/>
      <c r="E1307" s="121"/>
      <c r="F1307" s="121"/>
      <c r="G1307" s="121"/>
      <c r="H1307" s="121"/>
      <c r="I1307" s="121"/>
      <c r="J1307" s="121"/>
      <c r="K1307" s="120" t="s">
        <v>17834</v>
      </c>
    </row>
    <row r="1308" customFormat="false" ht="14.25" hidden="false" customHeight="true" outlineLevel="0" collapsed="false">
      <c r="A1308" s="137"/>
      <c r="B1308" s="137"/>
      <c r="C1308" s="137"/>
      <c r="D1308" s="121" t="s">
        <v>17835</v>
      </c>
      <c r="E1308" s="121" t="s">
        <v>17836</v>
      </c>
      <c r="F1308" s="121" t="s">
        <v>38</v>
      </c>
      <c r="G1308" s="121" t="s">
        <v>17837</v>
      </c>
      <c r="H1308" s="121" t="s">
        <v>17838</v>
      </c>
      <c r="I1308" s="123" t="s">
        <v>40</v>
      </c>
      <c r="J1308" s="121" t="s">
        <v>17838</v>
      </c>
      <c r="K1308" s="120" t="s">
        <v>17839</v>
      </c>
    </row>
    <row r="1309" customFormat="false" ht="14.25" hidden="false" customHeight="true" outlineLevel="0" collapsed="false">
      <c r="A1309" s="137"/>
      <c r="B1309" s="137"/>
      <c r="C1309" s="137"/>
      <c r="D1309" s="137"/>
      <c r="E1309" s="137"/>
      <c r="F1309" s="137"/>
      <c r="G1309" s="121"/>
      <c r="H1309" s="121"/>
      <c r="I1309" s="121"/>
      <c r="J1309" s="121"/>
      <c r="K1309" s="120" t="s">
        <v>17480</v>
      </c>
    </row>
    <row r="1310" customFormat="false" ht="14.25" hidden="false" customHeight="true" outlineLevel="0" collapsed="false">
      <c r="A1310" s="137"/>
      <c r="B1310" s="137"/>
      <c r="C1310" s="137"/>
      <c r="D1310" s="137"/>
      <c r="E1310" s="137"/>
      <c r="F1310" s="137"/>
      <c r="G1310" s="121" t="s">
        <v>17840</v>
      </c>
      <c r="H1310" s="121" t="s">
        <v>17841</v>
      </c>
      <c r="I1310" s="123" t="s">
        <v>40</v>
      </c>
      <c r="J1310" s="121" t="s">
        <v>17842</v>
      </c>
      <c r="K1310" s="120" t="s">
        <v>17843</v>
      </c>
    </row>
    <row r="1311" customFormat="false" ht="14.25" hidden="false" customHeight="true" outlineLevel="0" collapsed="false">
      <c r="A1311" s="137"/>
      <c r="B1311" s="115"/>
      <c r="C1311" s="115"/>
      <c r="D1311" s="115"/>
      <c r="E1311" s="115"/>
      <c r="F1311" s="115"/>
      <c r="G1311" s="115"/>
      <c r="H1311" s="115"/>
      <c r="I1311" s="115"/>
      <c r="J1311" s="115"/>
      <c r="K1311" s="120" t="s">
        <v>17844</v>
      </c>
    </row>
    <row r="1312" customFormat="false" ht="14.25" hidden="false" customHeight="true" outlineLevel="0" collapsed="false">
      <c r="A1312" s="139"/>
      <c r="B1312" s="139"/>
      <c r="C1312" s="139"/>
      <c r="D1312" s="139"/>
      <c r="E1312" s="140"/>
      <c r="F1312" s="139"/>
      <c r="G1312" s="93"/>
      <c r="H1312" s="93"/>
      <c r="I1312" s="93"/>
      <c r="J1312" s="93"/>
      <c r="K1312" s="93"/>
    </row>
    <row r="1313" customFormat="false" ht="14.25" hidden="false" customHeight="true" outlineLevel="0" collapsed="false">
      <c r="A1313" s="139"/>
      <c r="B1313" s="139"/>
      <c r="C1313" s="139"/>
      <c r="D1313" s="139"/>
      <c r="E1313" s="140"/>
      <c r="F1313" s="139"/>
      <c r="G1313" s="93"/>
      <c r="H1313" s="93"/>
      <c r="I1313" s="93"/>
      <c r="J1313" s="93"/>
      <c r="K1313" s="93"/>
    </row>
    <row r="1314" customFormat="false" ht="14.25" hidden="false" customHeight="true" outlineLevel="0" collapsed="false">
      <c r="A1314" s="139"/>
      <c r="B1314" s="139"/>
      <c r="C1314" s="139"/>
      <c r="D1314" s="139"/>
      <c r="E1314" s="140"/>
      <c r="F1314" s="139"/>
      <c r="G1314" s="93"/>
      <c r="H1314" s="93"/>
      <c r="I1314" s="93"/>
      <c r="J1314" s="93"/>
      <c r="K1314" s="93"/>
    </row>
    <row r="1315" customFormat="false" ht="14.25" hidden="false" customHeight="true" outlineLevel="0" collapsed="false">
      <c r="A1315" s="139"/>
      <c r="B1315" s="139"/>
      <c r="C1315" s="139"/>
      <c r="D1315" s="139"/>
      <c r="E1315" s="140"/>
      <c r="F1315" s="139"/>
      <c r="G1315" s="93"/>
      <c r="H1315" s="93"/>
      <c r="I1315" s="93"/>
      <c r="J1315" s="93"/>
      <c r="K1315" s="93"/>
    </row>
    <row r="1316" customFormat="false" ht="14.25" hidden="false" customHeight="true" outlineLevel="0" collapsed="false">
      <c r="A1316" s="139"/>
      <c r="B1316" s="139"/>
      <c r="C1316" s="139"/>
      <c r="D1316" s="139"/>
      <c r="E1316" s="140"/>
      <c r="F1316" s="139"/>
      <c r="G1316" s="93"/>
      <c r="H1316" s="93"/>
      <c r="I1316" s="93"/>
      <c r="J1316" s="93"/>
      <c r="K1316" s="93"/>
    </row>
    <row r="1317" customFormat="false" ht="14.25" hidden="false" customHeight="true" outlineLevel="0" collapsed="false">
      <c r="A1317" s="139"/>
      <c r="B1317" s="139"/>
      <c r="C1317" s="139"/>
      <c r="D1317" s="139"/>
      <c r="E1317" s="140"/>
      <c r="F1317" s="139"/>
      <c r="G1317" s="93"/>
      <c r="H1317" s="93"/>
      <c r="I1317" s="93"/>
      <c r="J1317" s="93"/>
      <c r="K1317" s="93"/>
    </row>
    <row r="1318" customFormat="false" ht="14.25" hidden="false" customHeight="true" outlineLevel="0" collapsed="false">
      <c r="A1318" s="139"/>
      <c r="B1318" s="139"/>
      <c r="C1318" s="139"/>
      <c r="D1318" s="139"/>
      <c r="E1318" s="140"/>
      <c r="F1318" s="139"/>
      <c r="G1318" s="93"/>
      <c r="H1318" s="93"/>
      <c r="I1318" s="93"/>
      <c r="J1318" s="93"/>
      <c r="K1318" s="93"/>
    </row>
    <row r="1319" customFormat="false" ht="14.25" hidden="false" customHeight="true" outlineLevel="0" collapsed="false">
      <c r="A1319" s="139"/>
      <c r="B1319" s="139"/>
      <c r="C1319" s="139"/>
      <c r="D1319" s="139"/>
      <c r="E1319" s="140"/>
      <c r="F1319" s="139"/>
      <c r="G1319" s="93"/>
      <c r="H1319" s="93"/>
      <c r="I1319" s="93"/>
      <c r="J1319" s="93"/>
      <c r="K1319" s="93"/>
    </row>
    <row r="1320" customFormat="false" ht="14.25" hidden="false" customHeight="true" outlineLevel="0" collapsed="false">
      <c r="A1320" s="139"/>
      <c r="B1320" s="139"/>
      <c r="C1320" s="139"/>
      <c r="D1320" s="139"/>
      <c r="E1320" s="140"/>
      <c r="F1320" s="139"/>
      <c r="G1320" s="93"/>
      <c r="H1320" s="93"/>
      <c r="I1320" s="93"/>
      <c r="J1320" s="93"/>
      <c r="K1320" s="93"/>
    </row>
    <row r="1321" customFormat="false" ht="14.25" hidden="false" customHeight="true" outlineLevel="0" collapsed="false">
      <c r="A1321" s="139"/>
      <c r="B1321" s="139"/>
      <c r="C1321" s="139"/>
      <c r="D1321" s="139"/>
      <c r="E1321" s="140"/>
      <c r="F1321" s="139"/>
      <c r="G1321" s="93"/>
      <c r="H1321" s="93"/>
      <c r="I1321" s="93"/>
      <c r="J1321" s="93"/>
      <c r="K1321" s="93"/>
    </row>
    <row r="1322" customFormat="false" ht="14.25" hidden="false" customHeight="true" outlineLevel="0" collapsed="false">
      <c r="A1322" s="139"/>
      <c r="B1322" s="139"/>
      <c r="C1322" s="139"/>
      <c r="D1322" s="139"/>
      <c r="E1322" s="140"/>
      <c r="F1322" s="139"/>
      <c r="G1322" s="93"/>
      <c r="H1322" s="93"/>
      <c r="I1322" s="93"/>
      <c r="J1322" s="93"/>
      <c r="K1322" s="93"/>
    </row>
    <row r="1323" customFormat="false" ht="14.25" hidden="false" customHeight="true" outlineLevel="0" collapsed="false">
      <c r="A1323" s="139"/>
      <c r="B1323" s="139"/>
      <c r="C1323" s="139"/>
      <c r="D1323" s="139"/>
      <c r="E1323" s="140"/>
      <c r="F1323" s="139"/>
      <c r="G1323" s="93"/>
      <c r="H1323" s="93"/>
      <c r="I1323" s="93"/>
      <c r="J1323" s="93"/>
      <c r="K1323" s="93"/>
    </row>
    <row r="1324" customFormat="false" ht="14.25" hidden="false" customHeight="true" outlineLevel="0" collapsed="false">
      <c r="A1324" s="139"/>
      <c r="B1324" s="139"/>
      <c r="C1324" s="139"/>
      <c r="D1324" s="139"/>
      <c r="E1324" s="140"/>
      <c r="F1324" s="139"/>
      <c r="G1324" s="93"/>
      <c r="H1324" s="93"/>
      <c r="I1324" s="93"/>
      <c r="J1324" s="93"/>
      <c r="K1324" s="93"/>
    </row>
    <row r="1325" customFormat="false" ht="14.25" hidden="false" customHeight="true" outlineLevel="0" collapsed="false">
      <c r="A1325" s="139"/>
      <c r="B1325" s="139"/>
      <c r="C1325" s="139"/>
      <c r="D1325" s="139"/>
      <c r="E1325" s="140"/>
      <c r="F1325" s="139"/>
      <c r="G1325" s="93"/>
      <c r="H1325" s="93"/>
      <c r="I1325" s="93"/>
      <c r="J1325" s="93"/>
      <c r="K1325" s="93"/>
    </row>
    <row r="1326" customFormat="false" ht="14.25" hidden="false" customHeight="true" outlineLevel="0" collapsed="false">
      <c r="A1326" s="139"/>
      <c r="B1326" s="139"/>
      <c r="C1326" s="139"/>
      <c r="D1326" s="139"/>
      <c r="E1326" s="140"/>
      <c r="F1326" s="139"/>
      <c r="G1326" s="93"/>
      <c r="H1326" s="93"/>
      <c r="I1326" s="93"/>
      <c r="J1326" s="93"/>
      <c r="K1326" s="93"/>
    </row>
    <row r="1327" customFormat="false" ht="14.25" hidden="false" customHeight="true" outlineLevel="0" collapsed="false">
      <c r="A1327" s="139"/>
      <c r="B1327" s="139"/>
      <c r="C1327" s="139"/>
      <c r="D1327" s="139"/>
      <c r="E1327" s="140"/>
      <c r="F1327" s="139"/>
      <c r="G1327" s="93"/>
      <c r="H1327" s="93"/>
      <c r="I1327" s="93"/>
      <c r="J1327" s="93"/>
      <c r="K1327" s="93"/>
    </row>
    <row r="1328" customFormat="false" ht="14.25" hidden="false" customHeight="true" outlineLevel="0" collapsed="false">
      <c r="A1328" s="139"/>
      <c r="B1328" s="139"/>
      <c r="C1328" s="139"/>
      <c r="D1328" s="139"/>
      <c r="E1328" s="140"/>
      <c r="F1328" s="139"/>
      <c r="G1328" s="93"/>
      <c r="H1328" s="93"/>
      <c r="I1328" s="93"/>
      <c r="J1328" s="93"/>
      <c r="K1328" s="93"/>
    </row>
    <row r="1329" customFormat="false" ht="14.25" hidden="false" customHeight="true" outlineLevel="0" collapsed="false">
      <c r="A1329" s="139"/>
      <c r="B1329" s="139"/>
      <c r="C1329" s="139"/>
      <c r="D1329" s="139"/>
      <c r="E1329" s="140"/>
      <c r="F1329" s="139"/>
      <c r="G1329" s="93"/>
      <c r="H1329" s="93"/>
      <c r="I1329" s="93"/>
      <c r="J1329" s="93"/>
      <c r="K1329" s="93"/>
    </row>
    <row r="1330" customFormat="false" ht="14.25" hidden="false" customHeight="true" outlineLevel="0" collapsed="false">
      <c r="A1330" s="139"/>
      <c r="B1330" s="139"/>
      <c r="C1330" s="139"/>
      <c r="D1330" s="139"/>
      <c r="E1330" s="140"/>
      <c r="F1330" s="139"/>
      <c r="G1330" s="93"/>
      <c r="H1330" s="93"/>
      <c r="I1330" s="93"/>
      <c r="J1330" s="93"/>
      <c r="K1330" s="93"/>
    </row>
    <row r="1331" customFormat="false" ht="14.25" hidden="false" customHeight="true" outlineLevel="0" collapsed="false">
      <c r="A1331" s="139"/>
      <c r="B1331" s="139"/>
      <c r="C1331" s="139"/>
      <c r="D1331" s="139"/>
      <c r="E1331" s="140"/>
      <c r="F1331" s="139"/>
      <c r="G1331" s="93"/>
      <c r="H1331" s="93"/>
      <c r="I1331" s="93"/>
      <c r="J1331" s="93"/>
      <c r="K1331" s="93"/>
    </row>
    <row r="1332" customFormat="false" ht="14.25" hidden="false" customHeight="true" outlineLevel="0" collapsed="false">
      <c r="A1332" s="139"/>
      <c r="B1332" s="139"/>
      <c r="C1332" s="139"/>
      <c r="D1332" s="139"/>
      <c r="E1332" s="140"/>
      <c r="F1332" s="139"/>
      <c r="G1332" s="93"/>
      <c r="H1332" s="93"/>
      <c r="I1332" s="93"/>
      <c r="J1332" s="93"/>
      <c r="K1332" s="93"/>
    </row>
    <row r="1333" customFormat="false" ht="14.25" hidden="false" customHeight="true" outlineLevel="0" collapsed="false">
      <c r="A1333" s="139"/>
      <c r="B1333" s="139"/>
      <c r="C1333" s="139"/>
      <c r="D1333" s="139"/>
      <c r="E1333" s="140"/>
      <c r="F1333" s="139"/>
      <c r="G1333" s="93"/>
      <c r="H1333" s="93"/>
      <c r="I1333" s="93"/>
      <c r="J1333" s="93"/>
      <c r="K1333" s="93"/>
    </row>
    <row r="1334" customFormat="false" ht="14.25" hidden="false" customHeight="true" outlineLevel="0" collapsed="false">
      <c r="A1334" s="139"/>
      <c r="B1334" s="139"/>
      <c r="C1334" s="139"/>
      <c r="D1334" s="139"/>
      <c r="E1334" s="140"/>
      <c r="F1334" s="139"/>
      <c r="G1334" s="93"/>
      <c r="H1334" s="93"/>
      <c r="I1334" s="93"/>
      <c r="J1334" s="93"/>
      <c r="K1334" s="93"/>
    </row>
    <row r="1335" customFormat="false" ht="14.25" hidden="false" customHeight="true" outlineLevel="0" collapsed="false">
      <c r="A1335" s="139"/>
      <c r="B1335" s="139"/>
      <c r="C1335" s="139"/>
      <c r="D1335" s="139"/>
      <c r="E1335" s="140"/>
      <c r="F1335" s="139"/>
      <c r="G1335" s="93"/>
      <c r="H1335" s="93"/>
      <c r="I1335" s="93"/>
      <c r="J1335" s="93"/>
      <c r="K1335" s="93"/>
    </row>
    <row r="1336" customFormat="false" ht="14.25" hidden="false" customHeight="true" outlineLevel="0" collapsed="false">
      <c r="A1336" s="139"/>
      <c r="B1336" s="139"/>
      <c r="C1336" s="139"/>
      <c r="D1336" s="139"/>
      <c r="E1336" s="140"/>
      <c r="F1336" s="139"/>
      <c r="G1336" s="93"/>
      <c r="H1336" s="93"/>
      <c r="I1336" s="93"/>
      <c r="J1336" s="93"/>
      <c r="K1336" s="93"/>
    </row>
    <row r="1337" customFormat="false" ht="14.25" hidden="false" customHeight="true" outlineLevel="0" collapsed="false">
      <c r="A1337" s="139"/>
      <c r="B1337" s="139"/>
      <c r="C1337" s="139"/>
      <c r="D1337" s="139"/>
      <c r="E1337" s="140"/>
      <c r="F1337" s="139"/>
      <c r="G1337" s="93"/>
      <c r="H1337" s="93"/>
      <c r="I1337" s="93"/>
      <c r="J1337" s="93"/>
      <c r="K1337" s="93"/>
    </row>
    <row r="1338" customFormat="false" ht="14.25" hidden="false" customHeight="true" outlineLevel="0" collapsed="false">
      <c r="A1338" s="139"/>
      <c r="B1338" s="139"/>
      <c r="C1338" s="139"/>
      <c r="D1338" s="139"/>
      <c r="E1338" s="140"/>
      <c r="F1338" s="139"/>
      <c r="G1338" s="93"/>
      <c r="H1338" s="93"/>
      <c r="I1338" s="93"/>
      <c r="J1338" s="93"/>
      <c r="K1338" s="93"/>
    </row>
    <row r="1339" customFormat="false" ht="14.25" hidden="false" customHeight="true" outlineLevel="0" collapsed="false">
      <c r="A1339" s="139"/>
      <c r="B1339" s="139"/>
      <c r="C1339" s="139"/>
      <c r="D1339" s="139"/>
      <c r="E1339" s="140"/>
      <c r="F1339" s="139"/>
      <c r="G1339" s="93"/>
      <c r="H1339" s="93"/>
      <c r="I1339" s="93"/>
      <c r="J1339" s="93"/>
      <c r="K1339" s="93"/>
    </row>
    <row r="1340" customFormat="false" ht="14.25" hidden="false" customHeight="true" outlineLevel="0" collapsed="false">
      <c r="A1340" s="139"/>
      <c r="B1340" s="139"/>
      <c r="C1340" s="139"/>
      <c r="D1340" s="139"/>
      <c r="E1340" s="140"/>
      <c r="F1340" s="139"/>
      <c r="G1340" s="93"/>
      <c r="H1340" s="93"/>
      <c r="I1340" s="93"/>
      <c r="J1340" s="93"/>
      <c r="K1340" s="93"/>
    </row>
    <row r="1341" customFormat="false" ht="14.25" hidden="false" customHeight="true" outlineLevel="0" collapsed="false">
      <c r="A1341" s="139"/>
      <c r="B1341" s="139"/>
      <c r="C1341" s="139"/>
      <c r="D1341" s="139"/>
      <c r="E1341" s="140"/>
      <c r="F1341" s="139"/>
      <c r="G1341" s="93"/>
      <c r="H1341" s="93"/>
      <c r="I1341" s="93"/>
      <c r="J1341" s="93"/>
      <c r="K1341" s="93"/>
    </row>
    <row r="1342" customFormat="false" ht="14.25" hidden="false" customHeight="true" outlineLevel="0" collapsed="false">
      <c r="A1342" s="139"/>
      <c r="B1342" s="139"/>
      <c r="C1342" s="139"/>
      <c r="D1342" s="139"/>
      <c r="E1342" s="140"/>
      <c r="F1342" s="139"/>
      <c r="G1342" s="93"/>
      <c r="H1342" s="93"/>
      <c r="I1342" s="93"/>
      <c r="J1342" s="93"/>
      <c r="K1342" s="93"/>
    </row>
    <row r="1343" customFormat="false" ht="14.25" hidden="false" customHeight="true" outlineLevel="0" collapsed="false">
      <c r="A1343" s="139"/>
      <c r="B1343" s="139"/>
      <c r="C1343" s="139"/>
      <c r="D1343" s="139"/>
      <c r="E1343" s="140"/>
      <c r="F1343" s="139"/>
      <c r="G1343" s="93"/>
      <c r="H1343" s="93"/>
      <c r="I1343" s="93"/>
      <c r="J1343" s="93"/>
      <c r="K1343" s="93"/>
    </row>
    <row r="1344" customFormat="false" ht="14.25" hidden="false" customHeight="true" outlineLevel="0" collapsed="false">
      <c r="A1344" s="139"/>
      <c r="B1344" s="139"/>
      <c r="C1344" s="139"/>
      <c r="D1344" s="139"/>
      <c r="E1344" s="140"/>
      <c r="F1344" s="139"/>
      <c r="G1344" s="93"/>
      <c r="H1344" s="93"/>
      <c r="I1344" s="93"/>
      <c r="J1344" s="93"/>
      <c r="K1344" s="93"/>
    </row>
    <row r="1345" customFormat="false" ht="14.25" hidden="false" customHeight="true" outlineLevel="0" collapsed="false">
      <c r="A1345" s="139"/>
      <c r="B1345" s="139"/>
      <c r="C1345" s="139"/>
      <c r="D1345" s="139"/>
      <c r="E1345" s="140"/>
      <c r="F1345" s="139"/>
      <c r="G1345" s="93"/>
      <c r="H1345" s="93"/>
      <c r="I1345" s="93"/>
      <c r="J1345" s="93"/>
      <c r="K1345" s="93"/>
    </row>
    <row r="1346" customFormat="false" ht="14.25" hidden="false" customHeight="true" outlineLevel="0" collapsed="false">
      <c r="A1346" s="139"/>
      <c r="B1346" s="139"/>
      <c r="C1346" s="139"/>
      <c r="D1346" s="139"/>
      <c r="E1346" s="140"/>
      <c r="F1346" s="139"/>
      <c r="G1346" s="93"/>
      <c r="H1346" s="93"/>
      <c r="I1346" s="93"/>
      <c r="J1346" s="93"/>
      <c r="K1346" s="93"/>
    </row>
    <row r="1347" customFormat="false" ht="14.25" hidden="false" customHeight="true" outlineLevel="0" collapsed="false">
      <c r="A1347" s="139"/>
      <c r="B1347" s="139"/>
      <c r="C1347" s="139"/>
      <c r="D1347" s="139"/>
      <c r="E1347" s="140"/>
      <c r="F1347" s="139"/>
      <c r="G1347" s="93"/>
      <c r="H1347" s="93"/>
      <c r="I1347" s="93"/>
      <c r="J1347" s="93"/>
      <c r="K1347" s="93"/>
    </row>
    <row r="1348" customFormat="false" ht="14.25" hidden="false" customHeight="true" outlineLevel="0" collapsed="false">
      <c r="A1348" s="139"/>
      <c r="B1348" s="139"/>
      <c r="C1348" s="139"/>
      <c r="D1348" s="139"/>
      <c r="E1348" s="140"/>
      <c r="F1348" s="139"/>
      <c r="G1348" s="93"/>
      <c r="H1348" s="93"/>
      <c r="I1348" s="93"/>
      <c r="J1348" s="93"/>
      <c r="K1348" s="93"/>
    </row>
    <row r="1349" customFormat="false" ht="14.25" hidden="false" customHeight="true" outlineLevel="0" collapsed="false">
      <c r="A1349" s="139"/>
      <c r="B1349" s="139"/>
      <c r="C1349" s="139"/>
      <c r="D1349" s="139"/>
      <c r="E1349" s="140"/>
      <c r="F1349" s="139"/>
      <c r="G1349" s="93"/>
      <c r="H1349" s="93"/>
      <c r="I1349" s="93"/>
      <c r="J1349" s="93"/>
      <c r="K1349" s="93"/>
    </row>
    <row r="1350" customFormat="false" ht="14.25" hidden="false" customHeight="true" outlineLevel="0" collapsed="false">
      <c r="A1350" s="139"/>
      <c r="B1350" s="139"/>
      <c r="C1350" s="139"/>
      <c r="D1350" s="139"/>
      <c r="E1350" s="140"/>
      <c r="F1350" s="139"/>
      <c r="G1350" s="93"/>
      <c r="H1350" s="93"/>
      <c r="I1350" s="93"/>
      <c r="J1350" s="93"/>
      <c r="K1350" s="93"/>
    </row>
    <row r="1351" customFormat="false" ht="14.25" hidden="false" customHeight="true" outlineLevel="0" collapsed="false">
      <c r="A1351" s="139"/>
      <c r="B1351" s="139"/>
      <c r="C1351" s="139"/>
      <c r="D1351" s="139"/>
      <c r="E1351" s="140"/>
      <c r="F1351" s="139"/>
      <c r="G1351" s="93"/>
      <c r="H1351" s="93"/>
      <c r="I1351" s="93"/>
      <c r="J1351" s="93"/>
      <c r="K1351" s="93"/>
    </row>
    <row r="1352" customFormat="false" ht="14.25" hidden="false" customHeight="true" outlineLevel="0" collapsed="false">
      <c r="A1352" s="139"/>
      <c r="B1352" s="139"/>
      <c r="C1352" s="139"/>
      <c r="D1352" s="139"/>
      <c r="E1352" s="140"/>
      <c r="F1352" s="139"/>
      <c r="G1352" s="93"/>
      <c r="H1352" s="93"/>
      <c r="I1352" s="93"/>
      <c r="J1352" s="93"/>
      <c r="K1352" s="93"/>
    </row>
    <row r="1353" customFormat="false" ht="14.25" hidden="false" customHeight="true" outlineLevel="0" collapsed="false">
      <c r="A1353" s="139"/>
      <c r="B1353" s="139"/>
      <c r="C1353" s="139"/>
      <c r="D1353" s="139"/>
      <c r="E1353" s="140"/>
      <c r="F1353" s="139"/>
      <c r="G1353" s="93"/>
      <c r="H1353" s="93"/>
      <c r="I1353" s="93"/>
      <c r="J1353" s="93"/>
      <c r="K1353" s="93"/>
    </row>
    <row r="1354" customFormat="false" ht="14.25" hidden="false" customHeight="true" outlineLevel="0" collapsed="false">
      <c r="A1354" s="139"/>
      <c r="B1354" s="139"/>
      <c r="C1354" s="139"/>
      <c r="D1354" s="139"/>
      <c r="E1354" s="140"/>
      <c r="F1354" s="139"/>
      <c r="G1354" s="93"/>
      <c r="H1354" s="93"/>
      <c r="I1354" s="93"/>
      <c r="J1354" s="93"/>
      <c r="K1354" s="93"/>
    </row>
    <row r="1355" customFormat="false" ht="14.25" hidden="false" customHeight="true" outlineLevel="0" collapsed="false">
      <c r="A1355" s="139"/>
      <c r="B1355" s="139"/>
      <c r="C1355" s="139"/>
      <c r="D1355" s="139"/>
      <c r="E1355" s="140"/>
      <c r="F1355" s="139"/>
      <c r="G1355" s="93"/>
      <c r="H1355" s="93"/>
      <c r="I1355" s="93"/>
      <c r="J1355" s="93"/>
      <c r="K1355" s="93"/>
    </row>
    <row r="1356" customFormat="false" ht="14.25" hidden="false" customHeight="true" outlineLevel="0" collapsed="false">
      <c r="A1356" s="139"/>
      <c r="B1356" s="139"/>
      <c r="C1356" s="139"/>
      <c r="D1356" s="139"/>
      <c r="E1356" s="140"/>
      <c r="F1356" s="139"/>
      <c r="G1356" s="93"/>
      <c r="H1356" s="93"/>
      <c r="I1356" s="93"/>
      <c r="J1356" s="93"/>
      <c r="K1356" s="93"/>
    </row>
    <row r="1357" customFormat="false" ht="14.25" hidden="false" customHeight="true" outlineLevel="0" collapsed="false">
      <c r="A1357" s="139"/>
      <c r="B1357" s="139"/>
      <c r="C1357" s="139"/>
      <c r="D1357" s="139"/>
      <c r="E1357" s="140"/>
      <c r="F1357" s="139"/>
      <c r="G1357" s="93"/>
      <c r="H1357" s="93"/>
      <c r="I1357" s="93"/>
      <c r="J1357" s="93"/>
      <c r="K1357" s="93"/>
    </row>
    <row r="1358" customFormat="false" ht="14.25" hidden="false" customHeight="true" outlineLevel="0" collapsed="false">
      <c r="A1358" s="139"/>
      <c r="B1358" s="139"/>
      <c r="C1358" s="139"/>
      <c r="D1358" s="139"/>
      <c r="E1358" s="140"/>
      <c r="F1358" s="139"/>
      <c r="G1358" s="93"/>
      <c r="H1358" s="93"/>
      <c r="I1358" s="93"/>
      <c r="J1358" s="93"/>
      <c r="K1358" s="93"/>
    </row>
    <row r="1359" customFormat="false" ht="14.25" hidden="false" customHeight="true" outlineLevel="0" collapsed="false">
      <c r="A1359" s="139"/>
      <c r="B1359" s="139"/>
      <c r="C1359" s="139"/>
      <c r="D1359" s="139"/>
      <c r="E1359" s="140"/>
      <c r="F1359" s="139"/>
      <c r="G1359" s="93"/>
      <c r="H1359" s="93"/>
      <c r="I1359" s="93"/>
      <c r="J1359" s="93"/>
      <c r="K1359" s="93"/>
    </row>
    <row r="1360" customFormat="false" ht="14.25" hidden="false" customHeight="true" outlineLevel="0" collapsed="false">
      <c r="A1360" s="139"/>
      <c r="B1360" s="139"/>
      <c r="C1360" s="139"/>
      <c r="D1360" s="139"/>
      <c r="E1360" s="140"/>
      <c r="F1360" s="139"/>
      <c r="G1360" s="93"/>
      <c r="H1360" s="93"/>
      <c r="I1360" s="93"/>
      <c r="J1360" s="93"/>
      <c r="K1360" s="93"/>
    </row>
    <row r="1361" customFormat="false" ht="14.25" hidden="false" customHeight="true" outlineLevel="0" collapsed="false">
      <c r="A1361" s="139"/>
      <c r="B1361" s="139"/>
      <c r="C1361" s="139"/>
      <c r="D1361" s="139"/>
      <c r="E1361" s="140"/>
      <c r="F1361" s="139"/>
      <c r="G1361" s="93"/>
      <c r="H1361" s="93"/>
      <c r="I1361" s="93"/>
      <c r="J1361" s="93"/>
      <c r="K1361" s="93"/>
    </row>
    <row r="1362" customFormat="false" ht="14.25" hidden="false" customHeight="true" outlineLevel="0" collapsed="false">
      <c r="A1362" s="139"/>
      <c r="B1362" s="139"/>
      <c r="C1362" s="139"/>
      <c r="D1362" s="139"/>
      <c r="E1362" s="140"/>
      <c r="F1362" s="139"/>
      <c r="G1362" s="93"/>
      <c r="H1362" s="93"/>
      <c r="I1362" s="93"/>
      <c r="J1362" s="93"/>
      <c r="K1362" s="93"/>
    </row>
    <row r="1363" customFormat="false" ht="14.25" hidden="false" customHeight="true" outlineLevel="0" collapsed="false">
      <c r="A1363" s="139"/>
      <c r="B1363" s="139"/>
      <c r="C1363" s="139"/>
      <c r="D1363" s="139"/>
      <c r="E1363" s="140"/>
      <c r="F1363" s="139"/>
      <c r="G1363" s="93"/>
      <c r="H1363" s="93"/>
      <c r="I1363" s="93"/>
      <c r="J1363" s="93"/>
      <c r="K1363" s="93"/>
    </row>
    <row r="1364" customFormat="false" ht="14.25" hidden="false" customHeight="true" outlineLevel="0" collapsed="false">
      <c r="A1364" s="139"/>
      <c r="B1364" s="139"/>
      <c r="C1364" s="139"/>
      <c r="D1364" s="139"/>
      <c r="E1364" s="140"/>
      <c r="F1364" s="139"/>
      <c r="G1364" s="93"/>
      <c r="H1364" s="93"/>
      <c r="I1364" s="93"/>
      <c r="J1364" s="93"/>
      <c r="K1364" s="93"/>
    </row>
    <row r="1365" customFormat="false" ht="14.25" hidden="false" customHeight="true" outlineLevel="0" collapsed="false">
      <c r="A1365" s="139"/>
      <c r="B1365" s="139"/>
      <c r="C1365" s="139"/>
      <c r="D1365" s="139"/>
      <c r="E1365" s="140"/>
      <c r="F1365" s="139"/>
      <c r="G1365" s="93"/>
      <c r="H1365" s="93"/>
      <c r="I1365" s="93"/>
      <c r="J1365" s="93"/>
      <c r="K1365" s="93"/>
    </row>
    <row r="1366" customFormat="false" ht="14.25" hidden="false" customHeight="true" outlineLevel="0" collapsed="false">
      <c r="A1366" s="139"/>
      <c r="B1366" s="139"/>
      <c r="C1366" s="139"/>
      <c r="D1366" s="139"/>
      <c r="E1366" s="140"/>
      <c r="F1366" s="139"/>
      <c r="G1366" s="93"/>
      <c r="H1366" s="93"/>
      <c r="I1366" s="93"/>
      <c r="J1366" s="93"/>
      <c r="K1366" s="93"/>
    </row>
    <row r="1367" customFormat="false" ht="14.25" hidden="false" customHeight="true" outlineLevel="0" collapsed="false">
      <c r="A1367" s="139"/>
      <c r="B1367" s="139"/>
      <c r="C1367" s="139"/>
      <c r="D1367" s="139"/>
      <c r="E1367" s="140"/>
      <c r="F1367" s="139"/>
      <c r="G1367" s="93"/>
      <c r="H1367" s="93"/>
      <c r="I1367" s="93"/>
      <c r="J1367" s="93"/>
      <c r="K1367" s="93"/>
    </row>
    <row r="1368" customFormat="false" ht="14.25" hidden="false" customHeight="true" outlineLevel="0" collapsed="false">
      <c r="A1368" s="139"/>
      <c r="B1368" s="139"/>
      <c r="C1368" s="139"/>
      <c r="D1368" s="139"/>
      <c r="E1368" s="140"/>
      <c r="F1368" s="139"/>
      <c r="G1368" s="93"/>
      <c r="H1368" s="93"/>
      <c r="I1368" s="93"/>
      <c r="J1368" s="93"/>
      <c r="K1368" s="93"/>
    </row>
    <row r="1369" customFormat="false" ht="14.25" hidden="false" customHeight="true" outlineLevel="0" collapsed="false">
      <c r="A1369" s="139"/>
      <c r="B1369" s="139"/>
      <c r="C1369" s="139"/>
      <c r="D1369" s="139"/>
      <c r="E1369" s="140"/>
      <c r="F1369" s="139"/>
      <c r="G1369" s="93"/>
      <c r="H1369" s="93"/>
      <c r="I1369" s="93"/>
      <c r="J1369" s="93"/>
      <c r="K1369" s="93"/>
    </row>
    <row r="1370" customFormat="false" ht="14.25" hidden="false" customHeight="true" outlineLevel="0" collapsed="false">
      <c r="A1370" s="139"/>
      <c r="B1370" s="139"/>
      <c r="C1370" s="139"/>
      <c r="D1370" s="139"/>
      <c r="E1370" s="140"/>
      <c r="F1370" s="139"/>
      <c r="G1370" s="93"/>
      <c r="H1370" s="93"/>
      <c r="I1370" s="93"/>
      <c r="J1370" s="93"/>
      <c r="K1370" s="93"/>
    </row>
    <row r="1371" customFormat="false" ht="14.25" hidden="false" customHeight="true" outlineLevel="0" collapsed="false">
      <c r="A1371" s="139"/>
      <c r="B1371" s="139"/>
      <c r="C1371" s="139"/>
      <c r="D1371" s="139"/>
      <c r="E1371" s="140"/>
      <c r="F1371" s="139"/>
      <c r="G1371" s="93"/>
      <c r="H1371" s="93"/>
      <c r="I1371" s="93"/>
      <c r="J1371" s="93"/>
      <c r="K1371" s="93"/>
    </row>
    <row r="1372" customFormat="false" ht="14.25" hidden="false" customHeight="true" outlineLevel="0" collapsed="false">
      <c r="A1372" s="139"/>
      <c r="B1372" s="139"/>
      <c r="C1372" s="139"/>
      <c r="D1372" s="139"/>
      <c r="E1372" s="140"/>
      <c r="F1372" s="139"/>
      <c r="G1372" s="93"/>
      <c r="H1372" s="93"/>
      <c r="I1372" s="93"/>
      <c r="J1372" s="93"/>
      <c r="K1372" s="93"/>
    </row>
    <row r="1373" customFormat="false" ht="14.25" hidden="false" customHeight="true" outlineLevel="0" collapsed="false">
      <c r="A1373" s="139"/>
      <c r="B1373" s="139"/>
      <c r="C1373" s="139"/>
      <c r="D1373" s="139"/>
      <c r="E1373" s="140"/>
      <c r="F1373" s="139"/>
      <c r="G1373" s="93"/>
      <c r="H1373" s="93"/>
      <c r="I1373" s="93"/>
      <c r="J1373" s="93"/>
      <c r="K1373" s="93"/>
    </row>
    <row r="1374" customFormat="false" ht="14.25" hidden="false" customHeight="true" outlineLevel="0" collapsed="false">
      <c r="A1374" s="139"/>
      <c r="B1374" s="139"/>
      <c r="C1374" s="139"/>
      <c r="D1374" s="139"/>
      <c r="E1374" s="140"/>
      <c r="F1374" s="139"/>
      <c r="G1374" s="93"/>
      <c r="H1374" s="93"/>
      <c r="I1374" s="93"/>
      <c r="J1374" s="93"/>
      <c r="K1374" s="93"/>
    </row>
    <row r="1375" customFormat="false" ht="14.25" hidden="false" customHeight="true" outlineLevel="0" collapsed="false">
      <c r="A1375" s="139"/>
      <c r="B1375" s="139"/>
      <c r="C1375" s="139"/>
      <c r="D1375" s="139"/>
      <c r="E1375" s="140"/>
      <c r="F1375" s="139"/>
      <c r="G1375" s="93"/>
      <c r="H1375" s="93"/>
      <c r="I1375" s="93"/>
      <c r="J1375" s="93"/>
      <c r="K1375" s="93"/>
    </row>
    <row r="1376" customFormat="false" ht="14.25" hidden="false" customHeight="true" outlineLevel="0" collapsed="false">
      <c r="A1376" s="139"/>
      <c r="B1376" s="139"/>
      <c r="C1376" s="139"/>
      <c r="D1376" s="139"/>
      <c r="E1376" s="140"/>
      <c r="F1376" s="139"/>
      <c r="G1376" s="93"/>
      <c r="H1376" s="93"/>
      <c r="I1376" s="93"/>
      <c r="J1376" s="93"/>
      <c r="K1376" s="93"/>
    </row>
    <row r="1377" customFormat="false" ht="14.25" hidden="false" customHeight="true" outlineLevel="0" collapsed="false">
      <c r="A1377" s="139"/>
      <c r="B1377" s="139"/>
      <c r="C1377" s="139"/>
      <c r="D1377" s="139"/>
      <c r="E1377" s="140"/>
      <c r="F1377" s="139"/>
      <c r="G1377" s="93"/>
      <c r="H1377" s="93"/>
      <c r="I1377" s="93"/>
      <c r="J1377" s="93"/>
      <c r="K1377" s="93"/>
    </row>
    <row r="1378" customFormat="false" ht="14.25" hidden="false" customHeight="true" outlineLevel="0" collapsed="false">
      <c r="A1378" s="139"/>
      <c r="B1378" s="139"/>
      <c r="C1378" s="139"/>
      <c r="D1378" s="139"/>
      <c r="E1378" s="140"/>
      <c r="F1378" s="139"/>
      <c r="G1378" s="93"/>
      <c r="H1378" s="93"/>
      <c r="I1378" s="93"/>
      <c r="J1378" s="93"/>
      <c r="K1378" s="93"/>
    </row>
    <row r="1379" customFormat="false" ht="14.25" hidden="false" customHeight="true" outlineLevel="0" collapsed="false">
      <c r="A1379" s="139"/>
      <c r="B1379" s="139"/>
      <c r="C1379" s="139"/>
      <c r="D1379" s="139"/>
      <c r="E1379" s="140"/>
      <c r="F1379" s="139"/>
      <c r="G1379" s="93"/>
      <c r="H1379" s="93"/>
      <c r="I1379" s="93"/>
      <c r="J1379" s="93"/>
      <c r="K1379" s="93"/>
    </row>
    <row r="1380" customFormat="false" ht="14.25" hidden="false" customHeight="true" outlineLevel="0" collapsed="false">
      <c r="A1380" s="139"/>
      <c r="B1380" s="139"/>
      <c r="C1380" s="139"/>
      <c r="D1380" s="139"/>
      <c r="E1380" s="140"/>
      <c r="F1380" s="139"/>
      <c r="G1380" s="93"/>
      <c r="H1380" s="93"/>
      <c r="I1380" s="93"/>
      <c r="J1380" s="93"/>
      <c r="K1380" s="93"/>
    </row>
    <row r="1381" customFormat="false" ht="14.25" hidden="false" customHeight="true" outlineLevel="0" collapsed="false">
      <c r="A1381" s="139"/>
      <c r="B1381" s="139"/>
      <c r="C1381" s="139"/>
      <c r="D1381" s="139"/>
      <c r="E1381" s="140"/>
      <c r="F1381" s="139"/>
      <c r="G1381" s="93"/>
      <c r="H1381" s="93"/>
      <c r="I1381" s="93"/>
      <c r="J1381" s="93"/>
      <c r="K1381" s="93"/>
    </row>
    <row r="1382" customFormat="false" ht="14.25" hidden="false" customHeight="true" outlineLevel="0" collapsed="false">
      <c r="A1382" s="139"/>
      <c r="B1382" s="139"/>
      <c r="C1382" s="139"/>
      <c r="D1382" s="139"/>
      <c r="E1382" s="140"/>
      <c r="F1382" s="139"/>
      <c r="G1382" s="93"/>
      <c r="H1382" s="93"/>
      <c r="I1382" s="93"/>
      <c r="J1382" s="93"/>
      <c r="K1382" s="93"/>
    </row>
    <row r="1383" customFormat="false" ht="14.25" hidden="false" customHeight="true" outlineLevel="0" collapsed="false">
      <c r="A1383" s="139"/>
      <c r="B1383" s="139"/>
      <c r="C1383" s="139"/>
      <c r="D1383" s="139"/>
      <c r="E1383" s="140"/>
      <c r="F1383" s="139"/>
      <c r="G1383" s="93"/>
      <c r="H1383" s="93"/>
      <c r="I1383" s="93"/>
      <c r="J1383" s="93"/>
      <c r="K1383" s="93"/>
    </row>
    <row r="1384" customFormat="false" ht="14.25" hidden="false" customHeight="true" outlineLevel="0" collapsed="false">
      <c r="A1384" s="139"/>
      <c r="B1384" s="139"/>
      <c r="C1384" s="139"/>
      <c r="D1384" s="139"/>
      <c r="E1384" s="140"/>
      <c r="F1384" s="139"/>
      <c r="G1384" s="93"/>
      <c r="H1384" s="93"/>
      <c r="I1384" s="93"/>
      <c r="J1384" s="93"/>
      <c r="K1384" s="93"/>
    </row>
    <row r="1385" customFormat="false" ht="14.25" hidden="false" customHeight="true" outlineLevel="0" collapsed="false">
      <c r="A1385" s="139"/>
      <c r="B1385" s="139"/>
      <c r="C1385" s="139"/>
      <c r="D1385" s="139"/>
      <c r="E1385" s="140"/>
      <c r="F1385" s="139"/>
      <c r="G1385" s="93"/>
      <c r="H1385" s="93"/>
      <c r="I1385" s="93"/>
      <c r="J1385" s="93"/>
      <c r="K1385" s="93"/>
    </row>
    <row r="1386" customFormat="false" ht="14.25" hidden="false" customHeight="true" outlineLevel="0" collapsed="false">
      <c r="A1386" s="139"/>
      <c r="B1386" s="139"/>
      <c r="C1386" s="139"/>
      <c r="D1386" s="139"/>
      <c r="E1386" s="140"/>
      <c r="F1386" s="139"/>
      <c r="G1386" s="93"/>
      <c r="H1386" s="93"/>
      <c r="I1386" s="93"/>
      <c r="J1386" s="93"/>
      <c r="K1386" s="93"/>
    </row>
    <row r="1387" customFormat="false" ht="14.25" hidden="false" customHeight="true" outlineLevel="0" collapsed="false">
      <c r="A1387" s="139"/>
      <c r="B1387" s="139"/>
      <c r="C1387" s="139"/>
      <c r="D1387" s="139"/>
      <c r="E1387" s="140"/>
      <c r="F1387" s="139"/>
      <c r="G1387" s="93"/>
      <c r="H1387" s="93"/>
      <c r="I1387" s="93"/>
      <c r="J1387" s="93"/>
      <c r="K1387" s="93"/>
    </row>
    <row r="1388" customFormat="false" ht="14.25" hidden="false" customHeight="true" outlineLevel="0" collapsed="false">
      <c r="A1388" s="139"/>
      <c r="B1388" s="139"/>
      <c r="C1388" s="139"/>
      <c r="D1388" s="139"/>
      <c r="E1388" s="140"/>
      <c r="F1388" s="139"/>
      <c r="G1388" s="93"/>
      <c r="H1388" s="93"/>
      <c r="I1388" s="93"/>
      <c r="J1388" s="93"/>
      <c r="K1388" s="93"/>
    </row>
    <row r="1389" customFormat="false" ht="14.25" hidden="false" customHeight="true" outlineLevel="0" collapsed="false">
      <c r="A1389" s="139"/>
      <c r="B1389" s="139"/>
      <c r="C1389" s="139"/>
      <c r="D1389" s="139"/>
      <c r="E1389" s="140"/>
      <c r="F1389" s="139"/>
      <c r="G1389" s="93"/>
      <c r="H1389" s="93"/>
      <c r="I1389" s="93"/>
      <c r="J1389" s="93"/>
      <c r="K1389" s="93"/>
    </row>
    <row r="1390" customFormat="false" ht="14.25" hidden="false" customHeight="true" outlineLevel="0" collapsed="false">
      <c r="A1390" s="139"/>
      <c r="B1390" s="139"/>
      <c r="C1390" s="139"/>
      <c r="D1390" s="139"/>
      <c r="E1390" s="140"/>
      <c r="F1390" s="139"/>
      <c r="G1390" s="93"/>
      <c r="H1390" s="93"/>
      <c r="I1390" s="93"/>
      <c r="J1390" s="93"/>
      <c r="K1390" s="93"/>
    </row>
    <row r="1391" customFormat="false" ht="14.25" hidden="false" customHeight="true" outlineLevel="0" collapsed="false">
      <c r="A1391" s="139"/>
      <c r="B1391" s="139"/>
      <c r="C1391" s="139"/>
      <c r="D1391" s="139"/>
      <c r="E1391" s="140"/>
      <c r="F1391" s="139"/>
      <c r="G1391" s="93"/>
      <c r="H1391" s="93"/>
      <c r="I1391" s="93"/>
      <c r="J1391" s="93"/>
      <c r="K1391" s="93"/>
    </row>
    <row r="1392" customFormat="false" ht="14.25" hidden="false" customHeight="true" outlineLevel="0" collapsed="false">
      <c r="A1392" s="139"/>
      <c r="B1392" s="139"/>
      <c r="C1392" s="139"/>
      <c r="D1392" s="139"/>
      <c r="E1392" s="140"/>
      <c r="F1392" s="139"/>
      <c r="G1392" s="93"/>
      <c r="H1392" s="93"/>
      <c r="I1392" s="93"/>
      <c r="J1392" s="93"/>
      <c r="K1392" s="93"/>
    </row>
    <row r="1393" customFormat="false" ht="14.25" hidden="false" customHeight="true" outlineLevel="0" collapsed="false">
      <c r="A1393" s="139"/>
      <c r="B1393" s="139"/>
      <c r="C1393" s="139"/>
      <c r="D1393" s="139"/>
      <c r="E1393" s="140"/>
      <c r="F1393" s="139"/>
      <c r="G1393" s="93"/>
      <c r="H1393" s="93"/>
      <c r="I1393" s="93"/>
      <c r="J1393" s="93"/>
      <c r="K1393" s="93"/>
    </row>
    <row r="1394" customFormat="false" ht="14.25" hidden="false" customHeight="true" outlineLevel="0" collapsed="false">
      <c r="A1394" s="139"/>
      <c r="B1394" s="139"/>
      <c r="C1394" s="139"/>
      <c r="D1394" s="139"/>
      <c r="E1394" s="140"/>
      <c r="F1394" s="139"/>
      <c r="G1394" s="93"/>
      <c r="H1394" s="93"/>
      <c r="I1394" s="93"/>
      <c r="J1394" s="93"/>
      <c r="K1394" s="93"/>
    </row>
    <row r="1395" customFormat="false" ht="14.25" hidden="false" customHeight="true" outlineLevel="0" collapsed="false">
      <c r="A1395" s="139"/>
      <c r="B1395" s="139"/>
      <c r="C1395" s="139"/>
      <c r="D1395" s="139"/>
      <c r="E1395" s="140"/>
      <c r="F1395" s="139"/>
      <c r="G1395" s="93"/>
      <c r="H1395" s="93"/>
      <c r="I1395" s="93"/>
      <c r="J1395" s="93"/>
      <c r="K1395" s="93"/>
    </row>
    <row r="1396" customFormat="false" ht="14.25" hidden="false" customHeight="true" outlineLevel="0" collapsed="false">
      <c r="A1396" s="139"/>
      <c r="B1396" s="139"/>
      <c r="C1396" s="139"/>
      <c r="D1396" s="139"/>
      <c r="E1396" s="140"/>
      <c r="F1396" s="139"/>
      <c r="G1396" s="93"/>
      <c r="H1396" s="93"/>
      <c r="I1396" s="93"/>
      <c r="J1396" s="93"/>
      <c r="K1396" s="93"/>
    </row>
    <row r="1397" customFormat="false" ht="14.25" hidden="false" customHeight="true" outlineLevel="0" collapsed="false">
      <c r="A1397" s="139"/>
      <c r="B1397" s="139"/>
      <c r="C1397" s="139"/>
      <c r="D1397" s="139"/>
      <c r="E1397" s="140"/>
      <c r="F1397" s="139"/>
      <c r="G1397" s="93"/>
      <c r="H1397" s="93"/>
      <c r="I1397" s="93"/>
      <c r="J1397" s="93"/>
      <c r="K1397" s="93"/>
    </row>
    <row r="1398" customFormat="false" ht="14.25" hidden="false" customHeight="true" outlineLevel="0" collapsed="false">
      <c r="A1398" s="139"/>
      <c r="B1398" s="139"/>
      <c r="C1398" s="139"/>
      <c r="D1398" s="139"/>
      <c r="E1398" s="140"/>
      <c r="F1398" s="139"/>
      <c r="G1398" s="93"/>
      <c r="H1398" s="93"/>
      <c r="I1398" s="93"/>
      <c r="J1398" s="93"/>
      <c r="K1398" s="93"/>
    </row>
    <row r="1399" customFormat="false" ht="14.25" hidden="false" customHeight="true" outlineLevel="0" collapsed="false">
      <c r="A1399" s="139"/>
      <c r="B1399" s="139"/>
      <c r="C1399" s="139"/>
      <c r="D1399" s="139"/>
      <c r="E1399" s="140"/>
      <c r="F1399" s="139"/>
      <c r="G1399" s="93"/>
      <c r="H1399" s="93"/>
      <c r="I1399" s="93"/>
      <c r="J1399" s="93"/>
      <c r="K1399" s="93"/>
    </row>
    <row r="1400" customFormat="false" ht="14.25" hidden="false" customHeight="true" outlineLevel="0" collapsed="false">
      <c r="A1400" s="139"/>
      <c r="B1400" s="139"/>
      <c r="C1400" s="139"/>
      <c r="D1400" s="139"/>
      <c r="E1400" s="140"/>
      <c r="F1400" s="139"/>
      <c r="G1400" s="93"/>
      <c r="H1400" s="93"/>
      <c r="I1400" s="93"/>
      <c r="J1400" s="93"/>
      <c r="K1400" s="93"/>
    </row>
    <row r="1401" customFormat="false" ht="14.25" hidden="false" customHeight="true" outlineLevel="0" collapsed="false">
      <c r="A1401" s="139"/>
      <c r="B1401" s="139"/>
      <c r="C1401" s="139"/>
      <c r="D1401" s="139"/>
      <c r="E1401" s="140"/>
      <c r="F1401" s="139"/>
      <c r="G1401" s="93"/>
      <c r="H1401" s="93"/>
      <c r="I1401" s="93"/>
      <c r="J1401" s="93"/>
      <c r="K1401" s="93"/>
    </row>
    <row r="1402" customFormat="false" ht="14.25" hidden="false" customHeight="true" outlineLevel="0" collapsed="false">
      <c r="A1402" s="139"/>
      <c r="B1402" s="139"/>
      <c r="C1402" s="139"/>
      <c r="D1402" s="139"/>
      <c r="E1402" s="140"/>
      <c r="F1402" s="139"/>
      <c r="G1402" s="93"/>
      <c r="H1402" s="93"/>
      <c r="I1402" s="93"/>
      <c r="J1402" s="93"/>
      <c r="K1402" s="93"/>
    </row>
    <row r="1403" customFormat="false" ht="14.25" hidden="false" customHeight="true" outlineLevel="0" collapsed="false">
      <c r="A1403" s="139"/>
      <c r="B1403" s="139"/>
      <c r="C1403" s="139"/>
      <c r="D1403" s="139"/>
      <c r="E1403" s="140"/>
      <c r="F1403" s="139"/>
      <c r="G1403" s="93"/>
      <c r="H1403" s="93"/>
      <c r="I1403" s="93"/>
      <c r="J1403" s="93"/>
      <c r="K1403" s="93"/>
    </row>
    <row r="1404" customFormat="false" ht="14.25" hidden="false" customHeight="true" outlineLevel="0" collapsed="false">
      <c r="A1404" s="139"/>
      <c r="B1404" s="139"/>
      <c r="C1404" s="139"/>
      <c r="D1404" s="139"/>
      <c r="E1404" s="140"/>
      <c r="F1404" s="139"/>
      <c r="G1404" s="93"/>
      <c r="H1404" s="93"/>
      <c r="I1404" s="93"/>
      <c r="J1404" s="93"/>
      <c r="K1404" s="93"/>
    </row>
    <row r="1405" customFormat="false" ht="14.25" hidden="false" customHeight="true" outlineLevel="0" collapsed="false">
      <c r="A1405" s="139"/>
      <c r="B1405" s="139"/>
      <c r="C1405" s="139"/>
      <c r="D1405" s="139"/>
      <c r="E1405" s="140"/>
      <c r="F1405" s="139"/>
      <c r="G1405" s="93"/>
      <c r="H1405" s="93"/>
      <c r="I1405" s="93"/>
      <c r="J1405" s="93"/>
      <c r="K1405" s="93"/>
    </row>
    <row r="1406" customFormat="false" ht="14.25" hidden="false" customHeight="true" outlineLevel="0" collapsed="false">
      <c r="A1406" s="139"/>
      <c r="B1406" s="139"/>
      <c r="C1406" s="139"/>
      <c r="D1406" s="139"/>
      <c r="E1406" s="140"/>
      <c r="F1406" s="139"/>
      <c r="G1406" s="93"/>
      <c r="H1406" s="93"/>
      <c r="I1406" s="93"/>
      <c r="J1406" s="93"/>
      <c r="K1406" s="93"/>
    </row>
    <row r="1407" customFormat="false" ht="14.25" hidden="false" customHeight="true" outlineLevel="0" collapsed="false">
      <c r="A1407" s="139"/>
      <c r="B1407" s="139"/>
      <c r="C1407" s="139"/>
      <c r="D1407" s="139"/>
      <c r="E1407" s="140"/>
      <c r="F1407" s="139"/>
      <c r="G1407" s="93"/>
      <c r="H1407" s="93"/>
      <c r="I1407" s="93"/>
      <c r="J1407" s="93"/>
      <c r="K1407" s="93"/>
    </row>
    <row r="1408" customFormat="false" ht="14.25" hidden="false" customHeight="true" outlineLevel="0" collapsed="false">
      <c r="A1408" s="139"/>
      <c r="B1408" s="139"/>
      <c r="C1408" s="139"/>
      <c r="D1408" s="139"/>
      <c r="E1408" s="140"/>
      <c r="F1408" s="139"/>
      <c r="G1408" s="93"/>
      <c r="H1408" s="93"/>
      <c r="I1408" s="93"/>
      <c r="J1408" s="93"/>
      <c r="K1408" s="93"/>
    </row>
    <row r="1409" customFormat="false" ht="14.25" hidden="false" customHeight="true" outlineLevel="0" collapsed="false">
      <c r="A1409" s="139"/>
      <c r="B1409" s="139"/>
      <c r="C1409" s="139"/>
      <c r="D1409" s="139"/>
      <c r="E1409" s="140"/>
      <c r="F1409" s="139"/>
      <c r="G1409" s="93"/>
      <c r="H1409" s="93"/>
      <c r="I1409" s="93"/>
      <c r="J1409" s="93"/>
      <c r="K1409" s="93"/>
    </row>
    <row r="1410" customFormat="false" ht="14.25" hidden="false" customHeight="true" outlineLevel="0" collapsed="false">
      <c r="A1410" s="139"/>
      <c r="B1410" s="139"/>
      <c r="C1410" s="139"/>
      <c r="D1410" s="139"/>
      <c r="E1410" s="140"/>
      <c r="F1410" s="139"/>
      <c r="G1410" s="93"/>
      <c r="H1410" s="93"/>
      <c r="I1410" s="93"/>
      <c r="J1410" s="93"/>
      <c r="K1410" s="93"/>
    </row>
    <row r="1411" customFormat="false" ht="14.25" hidden="false" customHeight="true" outlineLevel="0" collapsed="false">
      <c r="A1411" s="139"/>
      <c r="B1411" s="139"/>
      <c r="C1411" s="139"/>
      <c r="D1411" s="139"/>
      <c r="E1411" s="140"/>
      <c r="F1411" s="139"/>
      <c r="G1411" s="93"/>
      <c r="H1411" s="93"/>
      <c r="I1411" s="93"/>
      <c r="J1411" s="93"/>
      <c r="K1411" s="93"/>
    </row>
    <row r="1412" customFormat="false" ht="14.25" hidden="false" customHeight="true" outlineLevel="0" collapsed="false">
      <c r="A1412" s="139"/>
      <c r="B1412" s="139"/>
      <c r="C1412" s="139"/>
      <c r="D1412" s="139"/>
      <c r="E1412" s="140"/>
      <c r="F1412" s="139"/>
      <c r="G1412" s="93"/>
      <c r="H1412" s="93"/>
      <c r="I1412" s="93"/>
      <c r="J1412" s="93"/>
      <c r="K1412" s="93"/>
    </row>
    <row r="1413" customFormat="false" ht="14.25" hidden="false" customHeight="true" outlineLevel="0" collapsed="false">
      <c r="A1413" s="139"/>
      <c r="B1413" s="139"/>
      <c r="C1413" s="139"/>
      <c r="D1413" s="139"/>
      <c r="E1413" s="140"/>
      <c r="F1413" s="139"/>
      <c r="G1413" s="93"/>
      <c r="H1413" s="93"/>
      <c r="I1413" s="93"/>
      <c r="J1413" s="93"/>
      <c r="K1413" s="93"/>
    </row>
    <row r="1414" customFormat="false" ht="14.25" hidden="false" customHeight="true" outlineLevel="0" collapsed="false">
      <c r="A1414" s="139"/>
      <c r="B1414" s="139"/>
      <c r="C1414" s="139"/>
      <c r="D1414" s="139"/>
      <c r="E1414" s="140"/>
      <c r="F1414" s="139"/>
      <c r="G1414" s="93"/>
      <c r="H1414" s="93"/>
      <c r="I1414" s="93"/>
      <c r="J1414" s="93"/>
      <c r="K1414" s="93"/>
    </row>
    <row r="1415" customFormat="false" ht="14.25" hidden="false" customHeight="true" outlineLevel="0" collapsed="false">
      <c r="A1415" s="139"/>
      <c r="B1415" s="139"/>
      <c r="C1415" s="139"/>
      <c r="D1415" s="139"/>
      <c r="E1415" s="140"/>
      <c r="F1415" s="139"/>
      <c r="G1415" s="93"/>
      <c r="H1415" s="93"/>
      <c r="I1415" s="93"/>
      <c r="J1415" s="93"/>
      <c r="K1415" s="93"/>
    </row>
    <row r="1416" customFormat="false" ht="14.25" hidden="false" customHeight="true" outlineLevel="0" collapsed="false">
      <c r="A1416" s="139"/>
      <c r="B1416" s="139"/>
      <c r="C1416" s="139"/>
      <c r="D1416" s="139"/>
      <c r="E1416" s="140"/>
      <c r="F1416" s="139"/>
      <c r="G1416" s="93"/>
      <c r="H1416" s="93"/>
      <c r="I1416" s="93"/>
      <c r="J1416" s="93"/>
      <c r="K1416" s="93"/>
    </row>
    <row r="1417" customFormat="false" ht="14.25" hidden="false" customHeight="true" outlineLevel="0" collapsed="false">
      <c r="A1417" s="139"/>
      <c r="B1417" s="139"/>
      <c r="C1417" s="139"/>
      <c r="D1417" s="139"/>
      <c r="E1417" s="140"/>
      <c r="F1417" s="139"/>
      <c r="G1417" s="93"/>
      <c r="H1417" s="93"/>
      <c r="I1417" s="93"/>
      <c r="J1417" s="93"/>
      <c r="K1417" s="93"/>
    </row>
    <row r="1418" customFormat="false" ht="14.25" hidden="false" customHeight="true" outlineLevel="0" collapsed="false">
      <c r="A1418" s="139"/>
      <c r="B1418" s="139"/>
      <c r="C1418" s="139"/>
      <c r="D1418" s="139"/>
      <c r="E1418" s="140"/>
      <c r="F1418" s="139"/>
      <c r="G1418" s="93"/>
      <c r="H1418" s="93"/>
      <c r="I1418" s="93"/>
      <c r="J1418" s="93"/>
      <c r="K1418" s="93"/>
    </row>
    <row r="1419" customFormat="false" ht="14.25" hidden="false" customHeight="true" outlineLevel="0" collapsed="false">
      <c r="A1419" s="139"/>
      <c r="B1419" s="139"/>
      <c r="C1419" s="139"/>
      <c r="D1419" s="139"/>
      <c r="E1419" s="140"/>
      <c r="F1419" s="139"/>
      <c r="G1419" s="93"/>
      <c r="H1419" s="93"/>
      <c r="I1419" s="93"/>
      <c r="J1419" s="93"/>
      <c r="K1419" s="93"/>
    </row>
    <row r="1420" customFormat="false" ht="14.25" hidden="false" customHeight="true" outlineLevel="0" collapsed="false">
      <c r="A1420" s="139"/>
      <c r="B1420" s="139"/>
      <c r="C1420" s="139"/>
      <c r="D1420" s="139"/>
      <c r="E1420" s="140"/>
      <c r="F1420" s="139"/>
      <c r="G1420" s="93"/>
      <c r="H1420" s="93"/>
      <c r="I1420" s="93"/>
      <c r="J1420" s="93"/>
      <c r="K1420" s="93"/>
    </row>
    <row r="1421" customFormat="false" ht="14.25" hidden="false" customHeight="true" outlineLevel="0" collapsed="false">
      <c r="A1421" s="139"/>
      <c r="B1421" s="139"/>
      <c r="C1421" s="139"/>
      <c r="D1421" s="139"/>
      <c r="E1421" s="140"/>
      <c r="F1421" s="139"/>
      <c r="G1421" s="93"/>
      <c r="H1421" s="93"/>
      <c r="I1421" s="93"/>
      <c r="J1421" s="93"/>
      <c r="K1421" s="93"/>
    </row>
    <row r="1422" customFormat="false" ht="14.25" hidden="false" customHeight="true" outlineLevel="0" collapsed="false">
      <c r="A1422" s="139"/>
      <c r="B1422" s="139"/>
      <c r="C1422" s="139"/>
      <c r="D1422" s="139"/>
      <c r="E1422" s="140"/>
      <c r="F1422" s="139"/>
      <c r="G1422" s="93"/>
      <c r="H1422" s="93"/>
      <c r="I1422" s="93"/>
      <c r="J1422" s="93"/>
      <c r="K1422" s="93"/>
    </row>
    <row r="1423" customFormat="false" ht="14.25" hidden="false" customHeight="true" outlineLevel="0" collapsed="false">
      <c r="A1423" s="139"/>
      <c r="B1423" s="139"/>
      <c r="C1423" s="139"/>
      <c r="D1423" s="139"/>
      <c r="E1423" s="140"/>
      <c r="F1423" s="139"/>
      <c r="G1423" s="93"/>
      <c r="H1423" s="93"/>
      <c r="I1423" s="93"/>
      <c r="J1423" s="93"/>
      <c r="K1423" s="93"/>
    </row>
    <row r="1424" customFormat="false" ht="14.25" hidden="false" customHeight="true" outlineLevel="0" collapsed="false">
      <c r="A1424" s="139"/>
      <c r="B1424" s="139"/>
      <c r="C1424" s="139"/>
      <c r="D1424" s="139"/>
      <c r="E1424" s="140"/>
      <c r="F1424" s="139"/>
      <c r="G1424" s="93"/>
      <c r="H1424" s="93"/>
      <c r="I1424" s="93"/>
      <c r="J1424" s="93"/>
      <c r="K1424" s="93"/>
    </row>
    <row r="1425" customFormat="false" ht="14.25" hidden="false" customHeight="true" outlineLevel="0" collapsed="false">
      <c r="A1425" s="139"/>
      <c r="B1425" s="139"/>
      <c r="C1425" s="139"/>
      <c r="D1425" s="139"/>
      <c r="E1425" s="140"/>
      <c r="F1425" s="139"/>
      <c r="G1425" s="93"/>
      <c r="H1425" s="93"/>
      <c r="I1425" s="93"/>
      <c r="J1425" s="93"/>
      <c r="K1425" s="93"/>
    </row>
    <row r="1426" customFormat="false" ht="14.25" hidden="false" customHeight="true" outlineLevel="0" collapsed="false">
      <c r="A1426" s="139"/>
      <c r="B1426" s="139"/>
      <c r="C1426" s="139"/>
      <c r="D1426" s="139"/>
      <c r="E1426" s="140"/>
      <c r="F1426" s="139"/>
      <c r="G1426" s="93"/>
      <c r="H1426" s="93"/>
      <c r="I1426" s="93"/>
      <c r="J1426" s="93"/>
      <c r="K1426" s="93"/>
    </row>
    <row r="1427" customFormat="false" ht="14.25" hidden="false" customHeight="true" outlineLevel="0" collapsed="false">
      <c r="A1427" s="139"/>
      <c r="B1427" s="139"/>
      <c r="C1427" s="139"/>
      <c r="D1427" s="139"/>
      <c r="E1427" s="140"/>
      <c r="F1427" s="139"/>
      <c r="G1427" s="93"/>
      <c r="H1427" s="93"/>
      <c r="I1427" s="93"/>
      <c r="J1427" s="93"/>
      <c r="K1427" s="93"/>
    </row>
    <row r="1428" customFormat="false" ht="14.25" hidden="false" customHeight="true" outlineLevel="0" collapsed="false">
      <c r="A1428" s="139"/>
      <c r="B1428" s="139"/>
      <c r="C1428" s="139"/>
      <c r="D1428" s="139"/>
      <c r="E1428" s="140"/>
      <c r="F1428" s="139"/>
      <c r="G1428" s="93"/>
      <c r="H1428" s="93"/>
      <c r="I1428" s="93"/>
      <c r="J1428" s="93"/>
      <c r="K1428" s="93"/>
    </row>
    <row r="1429" customFormat="false" ht="14.25" hidden="false" customHeight="true" outlineLevel="0" collapsed="false">
      <c r="A1429" s="139"/>
      <c r="B1429" s="139"/>
      <c r="C1429" s="139"/>
      <c r="D1429" s="139"/>
      <c r="E1429" s="140"/>
      <c r="F1429" s="139"/>
      <c r="G1429" s="93"/>
      <c r="H1429" s="93"/>
      <c r="I1429" s="93"/>
      <c r="J1429" s="93"/>
      <c r="K1429" s="93"/>
    </row>
    <row r="1430" customFormat="false" ht="14.25" hidden="false" customHeight="true" outlineLevel="0" collapsed="false">
      <c r="A1430" s="139"/>
      <c r="B1430" s="139"/>
      <c r="C1430" s="139"/>
      <c r="D1430" s="139"/>
      <c r="E1430" s="140"/>
      <c r="F1430" s="139"/>
      <c r="G1430" s="93"/>
      <c r="H1430" s="93"/>
      <c r="I1430" s="93"/>
      <c r="J1430" s="93"/>
      <c r="K1430" s="93"/>
    </row>
    <row r="1431" customFormat="false" ht="14.25" hidden="false" customHeight="true" outlineLevel="0" collapsed="false">
      <c r="A1431" s="139"/>
      <c r="B1431" s="139"/>
      <c r="C1431" s="139"/>
      <c r="D1431" s="139"/>
      <c r="E1431" s="140"/>
      <c r="F1431" s="139"/>
      <c r="G1431" s="93"/>
      <c r="H1431" s="93"/>
      <c r="I1431" s="93"/>
      <c r="J1431" s="93"/>
      <c r="K1431" s="93"/>
    </row>
    <row r="1432" customFormat="false" ht="14.25" hidden="false" customHeight="true" outlineLevel="0" collapsed="false">
      <c r="A1432" s="139"/>
      <c r="B1432" s="139"/>
      <c r="C1432" s="139"/>
      <c r="D1432" s="139"/>
      <c r="E1432" s="140"/>
      <c r="F1432" s="139"/>
      <c r="G1432" s="93"/>
      <c r="H1432" s="93"/>
      <c r="I1432" s="93"/>
      <c r="J1432" s="93"/>
      <c r="K1432" s="93"/>
    </row>
    <row r="1433" customFormat="false" ht="14.25" hidden="false" customHeight="true" outlineLevel="0" collapsed="false">
      <c r="A1433" s="139"/>
      <c r="B1433" s="139"/>
      <c r="C1433" s="139"/>
      <c r="D1433" s="139"/>
      <c r="E1433" s="140"/>
      <c r="F1433" s="139"/>
      <c r="G1433" s="93"/>
      <c r="H1433" s="93"/>
      <c r="I1433" s="93"/>
      <c r="J1433" s="93"/>
      <c r="K1433" s="93"/>
    </row>
    <row r="1434" customFormat="false" ht="14.25" hidden="false" customHeight="true" outlineLevel="0" collapsed="false">
      <c r="A1434" s="139"/>
      <c r="B1434" s="139"/>
      <c r="C1434" s="139"/>
      <c r="D1434" s="139"/>
      <c r="E1434" s="140"/>
      <c r="F1434" s="139"/>
      <c r="G1434" s="93"/>
      <c r="H1434" s="93"/>
      <c r="I1434" s="93"/>
      <c r="J1434" s="93"/>
      <c r="K1434" s="93"/>
    </row>
    <row r="1435" customFormat="false" ht="14.25" hidden="false" customHeight="true" outlineLevel="0" collapsed="false">
      <c r="A1435" s="139"/>
      <c r="B1435" s="139"/>
      <c r="C1435" s="139"/>
      <c r="D1435" s="139"/>
      <c r="E1435" s="140"/>
      <c r="F1435" s="139"/>
      <c r="G1435" s="93"/>
      <c r="H1435" s="93"/>
      <c r="I1435" s="93"/>
      <c r="J1435" s="93"/>
      <c r="K1435" s="93"/>
    </row>
    <row r="1436" customFormat="false" ht="14.25" hidden="false" customHeight="true" outlineLevel="0" collapsed="false">
      <c r="A1436" s="139"/>
      <c r="B1436" s="139"/>
      <c r="C1436" s="139"/>
      <c r="D1436" s="139"/>
      <c r="E1436" s="140"/>
      <c r="F1436" s="139"/>
      <c r="G1436" s="93"/>
      <c r="H1436" s="93"/>
      <c r="I1436" s="93"/>
      <c r="J1436" s="93"/>
      <c r="K1436" s="93"/>
    </row>
    <row r="1437" customFormat="false" ht="14.25" hidden="false" customHeight="true" outlineLevel="0" collapsed="false">
      <c r="A1437" s="139"/>
      <c r="B1437" s="139"/>
      <c r="C1437" s="139"/>
      <c r="D1437" s="139"/>
      <c r="E1437" s="140"/>
      <c r="F1437" s="139"/>
      <c r="G1437" s="93"/>
      <c r="H1437" s="93"/>
      <c r="I1437" s="93"/>
      <c r="J1437" s="93"/>
      <c r="K1437" s="93"/>
    </row>
    <row r="1438" customFormat="false" ht="14.25" hidden="false" customHeight="true" outlineLevel="0" collapsed="false">
      <c r="A1438" s="139"/>
      <c r="B1438" s="139"/>
      <c r="C1438" s="139"/>
      <c r="D1438" s="139"/>
      <c r="E1438" s="140"/>
      <c r="F1438" s="139"/>
      <c r="G1438" s="93"/>
      <c r="H1438" s="93"/>
      <c r="I1438" s="93"/>
      <c r="J1438" s="93"/>
      <c r="K1438" s="93"/>
    </row>
    <row r="1439" customFormat="false" ht="14.25" hidden="false" customHeight="true" outlineLevel="0" collapsed="false">
      <c r="A1439" s="139"/>
      <c r="B1439" s="139"/>
      <c r="C1439" s="139"/>
      <c r="D1439" s="139"/>
      <c r="E1439" s="140"/>
      <c r="F1439" s="139"/>
      <c r="G1439" s="93"/>
      <c r="H1439" s="93"/>
      <c r="I1439" s="93"/>
      <c r="J1439" s="93"/>
      <c r="K1439" s="93"/>
    </row>
    <row r="1440" customFormat="false" ht="14.25" hidden="false" customHeight="true" outlineLevel="0" collapsed="false">
      <c r="A1440" s="139"/>
      <c r="B1440" s="139"/>
      <c r="C1440" s="139"/>
      <c r="D1440" s="139"/>
      <c r="E1440" s="140"/>
      <c r="F1440" s="139"/>
      <c r="G1440" s="93"/>
      <c r="H1440" s="93"/>
      <c r="I1440" s="93"/>
      <c r="J1440" s="93"/>
      <c r="K1440" s="93"/>
    </row>
    <row r="1441" customFormat="false" ht="14.25" hidden="false" customHeight="true" outlineLevel="0" collapsed="false">
      <c r="A1441" s="139"/>
      <c r="B1441" s="139"/>
      <c r="C1441" s="139"/>
      <c r="D1441" s="139"/>
      <c r="E1441" s="140"/>
      <c r="F1441" s="139"/>
      <c r="G1441" s="93"/>
      <c r="H1441" s="93"/>
      <c r="I1441" s="93"/>
      <c r="J1441" s="93"/>
      <c r="K1441" s="93"/>
    </row>
    <row r="1442" customFormat="false" ht="14.25" hidden="false" customHeight="true" outlineLevel="0" collapsed="false">
      <c r="A1442" s="139"/>
      <c r="B1442" s="139"/>
      <c r="C1442" s="139"/>
      <c r="D1442" s="139"/>
      <c r="E1442" s="140"/>
      <c r="F1442" s="139"/>
      <c r="G1442" s="93"/>
      <c r="H1442" s="93"/>
      <c r="I1442" s="93"/>
      <c r="J1442" s="93"/>
      <c r="K1442" s="93"/>
    </row>
    <row r="1443" customFormat="false" ht="14.25" hidden="false" customHeight="true" outlineLevel="0" collapsed="false">
      <c r="A1443" s="139"/>
      <c r="B1443" s="139"/>
      <c r="C1443" s="139"/>
      <c r="D1443" s="139"/>
      <c r="E1443" s="140"/>
      <c r="F1443" s="139"/>
      <c r="G1443" s="93"/>
      <c r="H1443" s="93"/>
      <c r="I1443" s="93"/>
      <c r="J1443" s="93"/>
      <c r="K1443" s="93"/>
    </row>
    <row r="1444" customFormat="false" ht="14.25" hidden="false" customHeight="true" outlineLevel="0" collapsed="false">
      <c r="A1444" s="139"/>
      <c r="B1444" s="139"/>
      <c r="C1444" s="139"/>
      <c r="D1444" s="139"/>
      <c r="E1444" s="140"/>
      <c r="F1444" s="139"/>
      <c r="G1444" s="93"/>
      <c r="H1444" s="93"/>
      <c r="I1444" s="93"/>
      <c r="J1444" s="93"/>
      <c r="K1444" s="93"/>
    </row>
    <row r="1445" customFormat="false" ht="14.25" hidden="false" customHeight="true" outlineLevel="0" collapsed="false">
      <c r="A1445" s="139"/>
      <c r="B1445" s="139"/>
      <c r="C1445" s="139"/>
      <c r="D1445" s="139"/>
      <c r="E1445" s="140"/>
      <c r="F1445" s="139"/>
      <c r="G1445" s="93"/>
      <c r="H1445" s="93"/>
      <c r="I1445" s="93"/>
      <c r="J1445" s="93"/>
      <c r="K1445" s="93"/>
    </row>
    <row r="1446" customFormat="false" ht="14.25" hidden="false" customHeight="true" outlineLevel="0" collapsed="false">
      <c r="A1446" s="139"/>
      <c r="B1446" s="139"/>
      <c r="C1446" s="139"/>
      <c r="D1446" s="139"/>
      <c r="E1446" s="140"/>
      <c r="F1446" s="139"/>
      <c r="G1446" s="93"/>
      <c r="H1446" s="93"/>
      <c r="I1446" s="93"/>
      <c r="J1446" s="93"/>
      <c r="K1446" s="93"/>
    </row>
    <row r="1447" customFormat="false" ht="14.25" hidden="false" customHeight="true" outlineLevel="0" collapsed="false">
      <c r="A1447" s="139"/>
      <c r="B1447" s="139"/>
      <c r="C1447" s="139"/>
      <c r="D1447" s="139"/>
      <c r="E1447" s="140"/>
      <c r="F1447" s="139"/>
      <c r="G1447" s="93"/>
      <c r="H1447" s="93"/>
      <c r="I1447" s="93"/>
      <c r="J1447" s="93"/>
      <c r="K1447" s="93"/>
    </row>
    <row r="1448" customFormat="false" ht="14.25" hidden="false" customHeight="true" outlineLevel="0" collapsed="false">
      <c r="A1448" s="139"/>
      <c r="B1448" s="139"/>
      <c r="C1448" s="139"/>
      <c r="D1448" s="139"/>
      <c r="E1448" s="140"/>
      <c r="F1448" s="139"/>
      <c r="G1448" s="93"/>
      <c r="H1448" s="93"/>
      <c r="I1448" s="93"/>
      <c r="J1448" s="93"/>
      <c r="K1448" s="93"/>
    </row>
    <row r="1449" customFormat="false" ht="14.25" hidden="false" customHeight="true" outlineLevel="0" collapsed="false">
      <c r="A1449" s="139"/>
      <c r="B1449" s="139"/>
      <c r="C1449" s="139"/>
      <c r="D1449" s="139"/>
      <c r="E1449" s="140"/>
      <c r="F1449" s="139"/>
      <c r="G1449" s="93"/>
      <c r="H1449" s="93"/>
      <c r="I1449" s="93"/>
      <c r="J1449" s="93"/>
      <c r="K1449" s="93"/>
    </row>
    <row r="1450" customFormat="false" ht="14.25" hidden="false" customHeight="true" outlineLevel="0" collapsed="false">
      <c r="A1450" s="139"/>
      <c r="B1450" s="139"/>
      <c r="C1450" s="139"/>
      <c r="D1450" s="139"/>
      <c r="E1450" s="140"/>
      <c r="F1450" s="139"/>
      <c r="G1450" s="93"/>
      <c r="H1450" s="93"/>
      <c r="I1450" s="93"/>
      <c r="J1450" s="93"/>
      <c r="K1450" s="93"/>
    </row>
    <row r="1451" customFormat="false" ht="14.25" hidden="false" customHeight="true" outlineLevel="0" collapsed="false">
      <c r="A1451" s="139"/>
      <c r="B1451" s="139"/>
      <c r="C1451" s="139"/>
      <c r="D1451" s="139"/>
      <c r="E1451" s="140"/>
      <c r="F1451" s="139"/>
      <c r="G1451" s="93"/>
      <c r="H1451" s="93"/>
      <c r="I1451" s="93"/>
      <c r="J1451" s="93"/>
      <c r="K1451" s="93"/>
    </row>
    <row r="1452" customFormat="false" ht="14.25" hidden="false" customHeight="true" outlineLevel="0" collapsed="false">
      <c r="A1452" s="139"/>
      <c r="B1452" s="139"/>
      <c r="C1452" s="139"/>
      <c r="D1452" s="139"/>
      <c r="E1452" s="140"/>
      <c r="F1452" s="139"/>
      <c r="G1452" s="93"/>
      <c r="H1452" s="93"/>
      <c r="I1452" s="93"/>
      <c r="J1452" s="93"/>
      <c r="K1452" s="93"/>
    </row>
    <row r="1453" customFormat="false" ht="14.25" hidden="false" customHeight="true" outlineLevel="0" collapsed="false">
      <c r="A1453" s="139"/>
      <c r="B1453" s="139"/>
      <c r="C1453" s="139"/>
      <c r="D1453" s="139"/>
      <c r="E1453" s="140"/>
      <c r="F1453" s="139"/>
      <c r="G1453" s="93"/>
      <c r="H1453" s="93"/>
      <c r="I1453" s="93"/>
      <c r="J1453" s="93"/>
      <c r="K1453" s="93"/>
    </row>
    <row r="1454" customFormat="false" ht="14.25" hidden="false" customHeight="true" outlineLevel="0" collapsed="false">
      <c r="A1454" s="139"/>
      <c r="B1454" s="139"/>
      <c r="C1454" s="139"/>
      <c r="D1454" s="139"/>
      <c r="E1454" s="140"/>
      <c r="F1454" s="139"/>
      <c r="G1454" s="93"/>
      <c r="H1454" s="93"/>
      <c r="I1454" s="93"/>
      <c r="J1454" s="93"/>
      <c r="K1454" s="93"/>
    </row>
    <row r="1455" customFormat="false" ht="14.25" hidden="false" customHeight="true" outlineLevel="0" collapsed="false">
      <c r="A1455" s="139"/>
      <c r="B1455" s="139"/>
      <c r="C1455" s="139"/>
      <c r="D1455" s="139"/>
      <c r="E1455" s="140"/>
      <c r="F1455" s="139"/>
      <c r="G1455" s="93"/>
      <c r="H1455" s="93"/>
      <c r="I1455" s="93"/>
      <c r="J1455" s="93"/>
      <c r="K1455" s="93"/>
    </row>
    <row r="1456" customFormat="false" ht="14.25" hidden="false" customHeight="true" outlineLevel="0" collapsed="false">
      <c r="A1456" s="139"/>
      <c r="B1456" s="139"/>
      <c r="C1456" s="139"/>
      <c r="D1456" s="139"/>
      <c r="E1456" s="140"/>
      <c r="F1456" s="139"/>
      <c r="G1456" s="93"/>
      <c r="H1456" s="93"/>
      <c r="I1456" s="93"/>
      <c r="J1456" s="93"/>
      <c r="K1456" s="93"/>
    </row>
    <row r="1457" customFormat="false" ht="14.25" hidden="false" customHeight="true" outlineLevel="0" collapsed="false">
      <c r="A1457" s="139"/>
      <c r="B1457" s="139"/>
      <c r="C1457" s="139"/>
      <c r="D1457" s="139"/>
      <c r="E1457" s="140"/>
      <c r="F1457" s="139"/>
      <c r="G1457" s="93"/>
      <c r="H1457" s="93"/>
      <c r="I1457" s="93"/>
      <c r="J1457" s="93"/>
      <c r="K1457" s="93"/>
    </row>
    <row r="1458" customFormat="false" ht="14.25" hidden="false" customHeight="true" outlineLevel="0" collapsed="false">
      <c r="A1458" s="139"/>
      <c r="B1458" s="139"/>
      <c r="C1458" s="139"/>
      <c r="D1458" s="139"/>
      <c r="E1458" s="140"/>
      <c r="F1458" s="139"/>
      <c r="G1458" s="93"/>
      <c r="H1458" s="93"/>
      <c r="I1458" s="93"/>
      <c r="J1458" s="93"/>
      <c r="K1458" s="93"/>
    </row>
    <row r="1459" customFormat="false" ht="14.25" hidden="false" customHeight="true" outlineLevel="0" collapsed="false">
      <c r="A1459" s="139"/>
      <c r="B1459" s="139"/>
      <c r="C1459" s="139"/>
      <c r="D1459" s="139"/>
      <c r="E1459" s="140"/>
      <c r="F1459" s="139"/>
      <c r="G1459" s="93"/>
      <c r="H1459" s="93"/>
      <c r="I1459" s="93"/>
      <c r="J1459" s="93"/>
      <c r="K1459" s="93"/>
    </row>
    <row r="1460" customFormat="false" ht="14.25" hidden="false" customHeight="true" outlineLevel="0" collapsed="false">
      <c r="A1460" s="139"/>
      <c r="B1460" s="139"/>
      <c r="C1460" s="139"/>
      <c r="D1460" s="139"/>
      <c r="E1460" s="140"/>
      <c r="F1460" s="139"/>
      <c r="G1460" s="93"/>
      <c r="H1460" s="93"/>
      <c r="I1460" s="93"/>
      <c r="J1460" s="93"/>
      <c r="K1460" s="93"/>
    </row>
    <row r="1461" customFormat="false" ht="14.25" hidden="false" customHeight="true" outlineLevel="0" collapsed="false">
      <c r="A1461" s="139"/>
      <c r="B1461" s="139"/>
      <c r="C1461" s="139"/>
      <c r="D1461" s="139"/>
      <c r="E1461" s="140"/>
      <c r="F1461" s="139"/>
      <c r="G1461" s="93"/>
      <c r="H1461" s="93"/>
      <c r="I1461" s="93"/>
      <c r="J1461" s="93"/>
      <c r="K1461" s="93"/>
    </row>
    <row r="1462" customFormat="false" ht="14.25" hidden="false" customHeight="true" outlineLevel="0" collapsed="false">
      <c r="A1462" s="139"/>
      <c r="B1462" s="139"/>
      <c r="C1462" s="139"/>
      <c r="D1462" s="139"/>
      <c r="E1462" s="140"/>
      <c r="F1462" s="139"/>
      <c r="G1462" s="93"/>
      <c r="H1462" s="93"/>
      <c r="I1462" s="93"/>
      <c r="J1462" s="93"/>
      <c r="K1462" s="93"/>
    </row>
    <row r="1463" customFormat="false" ht="14.25" hidden="false" customHeight="true" outlineLevel="0" collapsed="false">
      <c r="A1463" s="139"/>
      <c r="B1463" s="139"/>
      <c r="C1463" s="139"/>
      <c r="D1463" s="139"/>
      <c r="E1463" s="140"/>
      <c r="F1463" s="139"/>
      <c r="G1463" s="93"/>
      <c r="H1463" s="93"/>
      <c r="I1463" s="93"/>
      <c r="J1463" s="93"/>
      <c r="K1463" s="93"/>
    </row>
    <row r="1464" customFormat="false" ht="14.25" hidden="false" customHeight="true" outlineLevel="0" collapsed="false">
      <c r="A1464" s="139"/>
      <c r="B1464" s="139"/>
      <c r="C1464" s="139"/>
      <c r="D1464" s="139"/>
      <c r="E1464" s="140"/>
      <c r="F1464" s="139"/>
      <c r="G1464" s="93"/>
      <c r="H1464" s="93"/>
      <c r="I1464" s="93"/>
      <c r="J1464" s="93"/>
      <c r="K1464" s="93"/>
    </row>
    <row r="1465" customFormat="false" ht="14.25" hidden="false" customHeight="true" outlineLevel="0" collapsed="false">
      <c r="A1465" s="139"/>
      <c r="B1465" s="139"/>
      <c r="C1465" s="139"/>
      <c r="D1465" s="139"/>
      <c r="E1465" s="140"/>
      <c r="F1465" s="139"/>
      <c r="G1465" s="93"/>
      <c r="H1465" s="93"/>
      <c r="I1465" s="93"/>
      <c r="J1465" s="93"/>
      <c r="K1465" s="93"/>
    </row>
    <row r="1466" customFormat="false" ht="14.25" hidden="false" customHeight="true" outlineLevel="0" collapsed="false">
      <c r="A1466" s="139"/>
      <c r="B1466" s="139"/>
      <c r="C1466" s="139"/>
      <c r="D1466" s="139"/>
      <c r="E1466" s="140"/>
      <c r="F1466" s="139"/>
      <c r="G1466" s="93"/>
      <c r="H1466" s="93"/>
      <c r="I1466" s="93"/>
      <c r="J1466" s="93"/>
      <c r="K1466" s="93"/>
    </row>
    <row r="1467" customFormat="false" ht="14.25" hidden="false" customHeight="true" outlineLevel="0" collapsed="false">
      <c r="A1467" s="139"/>
      <c r="B1467" s="139"/>
      <c r="C1467" s="139"/>
      <c r="D1467" s="139"/>
      <c r="E1467" s="140"/>
      <c r="F1467" s="139"/>
      <c r="G1467" s="93"/>
      <c r="H1467" s="93"/>
      <c r="I1467" s="93"/>
      <c r="J1467" s="93"/>
      <c r="K1467" s="93"/>
    </row>
    <row r="1468" customFormat="false" ht="14.25" hidden="false" customHeight="true" outlineLevel="0" collapsed="false">
      <c r="A1468" s="139"/>
      <c r="B1468" s="139"/>
      <c r="C1468" s="139"/>
      <c r="D1468" s="139"/>
      <c r="E1468" s="140"/>
      <c r="F1468" s="139"/>
      <c r="G1468" s="93"/>
      <c r="H1468" s="93"/>
      <c r="I1468" s="93"/>
      <c r="J1468" s="93"/>
      <c r="K1468" s="93"/>
    </row>
    <row r="1469" customFormat="false" ht="14.25" hidden="false" customHeight="true" outlineLevel="0" collapsed="false">
      <c r="A1469" s="139"/>
      <c r="B1469" s="139"/>
      <c r="C1469" s="139"/>
      <c r="D1469" s="139"/>
      <c r="E1469" s="140"/>
      <c r="F1469" s="139"/>
      <c r="G1469" s="93"/>
      <c r="H1469" s="93"/>
      <c r="I1469" s="93"/>
      <c r="J1469" s="93"/>
      <c r="K1469" s="93"/>
    </row>
    <row r="1470" customFormat="false" ht="14.25" hidden="false" customHeight="true" outlineLevel="0" collapsed="false">
      <c r="A1470" s="139"/>
      <c r="B1470" s="139"/>
      <c r="C1470" s="139"/>
      <c r="D1470" s="139"/>
      <c r="E1470" s="140"/>
      <c r="F1470" s="139"/>
      <c r="G1470" s="93"/>
      <c r="H1470" s="93"/>
      <c r="I1470" s="93"/>
      <c r="J1470" s="93"/>
      <c r="K1470" s="93"/>
    </row>
    <row r="1471" customFormat="false" ht="14.25" hidden="false" customHeight="true" outlineLevel="0" collapsed="false">
      <c r="A1471" s="139"/>
      <c r="B1471" s="139"/>
      <c r="C1471" s="139"/>
      <c r="D1471" s="139"/>
      <c r="E1471" s="140"/>
      <c r="F1471" s="139"/>
      <c r="G1471" s="93"/>
      <c r="H1471" s="93"/>
      <c r="I1471" s="93"/>
      <c r="J1471" s="93"/>
      <c r="K1471" s="93"/>
    </row>
  </sheetData>
  <mergeCells count="3123">
    <mergeCell ref="A2:A220"/>
    <mergeCell ref="B2:B50"/>
    <mergeCell ref="C2:C11"/>
    <mergeCell ref="D2:D3"/>
    <mergeCell ref="E2:E3"/>
    <mergeCell ref="F2:F3"/>
    <mergeCell ref="D4:D5"/>
    <mergeCell ref="E4:E5"/>
    <mergeCell ref="F4:F5"/>
    <mergeCell ref="D6:D7"/>
    <mergeCell ref="E6:E7"/>
    <mergeCell ref="F6:F7"/>
    <mergeCell ref="D8:D9"/>
    <mergeCell ref="E8:E9"/>
    <mergeCell ref="F8:F9"/>
    <mergeCell ref="D10:D11"/>
    <mergeCell ref="E10:E11"/>
    <mergeCell ref="F10:F11"/>
    <mergeCell ref="C12:C21"/>
    <mergeCell ref="D12:D13"/>
    <mergeCell ref="E12:E13"/>
    <mergeCell ref="F12:F13"/>
    <mergeCell ref="D14:D15"/>
    <mergeCell ref="E14:E15"/>
    <mergeCell ref="F14:F15"/>
    <mergeCell ref="D16:D17"/>
    <mergeCell ref="E16:E17"/>
    <mergeCell ref="F16:F17"/>
    <mergeCell ref="D18:D19"/>
    <mergeCell ref="E18:E19"/>
    <mergeCell ref="F18:F19"/>
    <mergeCell ref="D20:D21"/>
    <mergeCell ref="E20:E21"/>
    <mergeCell ref="F20:F21"/>
    <mergeCell ref="C22:C31"/>
    <mergeCell ref="D22:D23"/>
    <mergeCell ref="E22:E23"/>
    <mergeCell ref="F22:F23"/>
    <mergeCell ref="D24:D25"/>
    <mergeCell ref="E24:E25"/>
    <mergeCell ref="F24:F25"/>
    <mergeCell ref="D26:D27"/>
    <mergeCell ref="E26:E27"/>
    <mergeCell ref="F26:F27"/>
    <mergeCell ref="D28:D29"/>
    <mergeCell ref="E28:E29"/>
    <mergeCell ref="F28:F29"/>
    <mergeCell ref="D30:D31"/>
    <mergeCell ref="E30:E31"/>
    <mergeCell ref="F30:F31"/>
    <mergeCell ref="C32:C41"/>
    <mergeCell ref="D32:D33"/>
    <mergeCell ref="E32:E33"/>
    <mergeCell ref="F32:F33"/>
    <mergeCell ref="D34:D35"/>
    <mergeCell ref="E34:E35"/>
    <mergeCell ref="F34:F35"/>
    <mergeCell ref="D36:D37"/>
    <mergeCell ref="E36:E37"/>
    <mergeCell ref="F36:F37"/>
    <mergeCell ref="D38:D39"/>
    <mergeCell ref="E38:E39"/>
    <mergeCell ref="F38:F39"/>
    <mergeCell ref="D40:D41"/>
    <mergeCell ref="E40:E41"/>
    <mergeCell ref="F40:F41"/>
    <mergeCell ref="C42:C51"/>
    <mergeCell ref="D42:D43"/>
    <mergeCell ref="E42:E43"/>
    <mergeCell ref="F42:F43"/>
    <mergeCell ref="D44:D45"/>
    <mergeCell ref="E44:E45"/>
    <mergeCell ref="F44:F45"/>
    <mergeCell ref="D46:D47"/>
    <mergeCell ref="E46:E47"/>
    <mergeCell ref="F46:F47"/>
    <mergeCell ref="D48:D49"/>
    <mergeCell ref="E48:E49"/>
    <mergeCell ref="F48:F49"/>
    <mergeCell ref="D50:D51"/>
    <mergeCell ref="E50:E51"/>
    <mergeCell ref="F50:F51"/>
    <mergeCell ref="B52:B110"/>
    <mergeCell ref="C52:C60"/>
    <mergeCell ref="D52:D53"/>
    <mergeCell ref="E52:E53"/>
    <mergeCell ref="F52:F53"/>
    <mergeCell ref="D54:D55"/>
    <mergeCell ref="E54:E55"/>
    <mergeCell ref="F54:F55"/>
    <mergeCell ref="D56:D57"/>
    <mergeCell ref="E56:E57"/>
    <mergeCell ref="F56:F57"/>
    <mergeCell ref="D58:D59"/>
    <mergeCell ref="E58:E59"/>
    <mergeCell ref="F58:F59"/>
    <mergeCell ref="D60:D61"/>
    <mergeCell ref="E60:E61"/>
    <mergeCell ref="F60:F61"/>
    <mergeCell ref="C62:C70"/>
    <mergeCell ref="D62:D63"/>
    <mergeCell ref="E62:E63"/>
    <mergeCell ref="F62:F63"/>
    <mergeCell ref="D64:D65"/>
    <mergeCell ref="E64:E65"/>
    <mergeCell ref="F64:F65"/>
    <mergeCell ref="D66:D67"/>
    <mergeCell ref="E66:E67"/>
    <mergeCell ref="F66:F67"/>
    <mergeCell ref="D68:D69"/>
    <mergeCell ref="E68:E69"/>
    <mergeCell ref="F68:F69"/>
    <mergeCell ref="D70:D71"/>
    <mergeCell ref="E70:E71"/>
    <mergeCell ref="F70:F71"/>
    <mergeCell ref="C72:C81"/>
    <mergeCell ref="D72:D73"/>
    <mergeCell ref="E72:E73"/>
    <mergeCell ref="F72:F73"/>
    <mergeCell ref="D74:D75"/>
    <mergeCell ref="E74:E75"/>
    <mergeCell ref="F74:F75"/>
    <mergeCell ref="D76:D77"/>
    <mergeCell ref="E76:E77"/>
    <mergeCell ref="F76:F77"/>
    <mergeCell ref="D78:D79"/>
    <mergeCell ref="E78:E79"/>
    <mergeCell ref="F78:F79"/>
    <mergeCell ref="D80:D81"/>
    <mergeCell ref="E80:E81"/>
    <mergeCell ref="F80:F81"/>
    <mergeCell ref="C82:C91"/>
    <mergeCell ref="D82:D83"/>
    <mergeCell ref="E82:E83"/>
    <mergeCell ref="F82:F83"/>
    <mergeCell ref="D84:D85"/>
    <mergeCell ref="E84:E85"/>
    <mergeCell ref="F84:F85"/>
    <mergeCell ref="D86:D87"/>
    <mergeCell ref="E86:E87"/>
    <mergeCell ref="F86:F87"/>
    <mergeCell ref="D88:D89"/>
    <mergeCell ref="E88:E89"/>
    <mergeCell ref="F88:F89"/>
    <mergeCell ref="D90:D91"/>
    <mergeCell ref="E90:E91"/>
    <mergeCell ref="F90:F91"/>
    <mergeCell ref="C92:C101"/>
    <mergeCell ref="D92:D93"/>
    <mergeCell ref="E92:E93"/>
    <mergeCell ref="F92:F93"/>
    <mergeCell ref="D94:D95"/>
    <mergeCell ref="E94:E95"/>
    <mergeCell ref="F94:F95"/>
    <mergeCell ref="D96:D97"/>
    <mergeCell ref="E96:E97"/>
    <mergeCell ref="F96:F97"/>
    <mergeCell ref="D98:D99"/>
    <mergeCell ref="E98:E99"/>
    <mergeCell ref="F98:F99"/>
    <mergeCell ref="D100:D101"/>
    <mergeCell ref="E100:E101"/>
    <mergeCell ref="F100:F101"/>
    <mergeCell ref="C102:C111"/>
    <mergeCell ref="D102:D103"/>
    <mergeCell ref="E102:E103"/>
    <mergeCell ref="F102:F103"/>
    <mergeCell ref="D104:D105"/>
    <mergeCell ref="E104:E105"/>
    <mergeCell ref="F104:F105"/>
    <mergeCell ref="D106:D107"/>
    <mergeCell ref="E106:E107"/>
    <mergeCell ref="F106:F107"/>
    <mergeCell ref="D108:D109"/>
    <mergeCell ref="E108:E109"/>
    <mergeCell ref="F108:F109"/>
    <mergeCell ref="D110:D111"/>
    <mergeCell ref="E110:E111"/>
    <mergeCell ref="F110:F111"/>
    <mergeCell ref="B112:B170"/>
    <mergeCell ref="C112:C121"/>
    <mergeCell ref="D112:D113"/>
    <mergeCell ref="E112:E113"/>
    <mergeCell ref="F112:F113"/>
    <mergeCell ref="D114:D115"/>
    <mergeCell ref="E114:E115"/>
    <mergeCell ref="F114:F115"/>
    <mergeCell ref="D116:D117"/>
    <mergeCell ref="E116:E117"/>
    <mergeCell ref="F116:F117"/>
    <mergeCell ref="D118:D119"/>
    <mergeCell ref="E118:E119"/>
    <mergeCell ref="F118:F119"/>
    <mergeCell ref="D120:D121"/>
    <mergeCell ref="E120:E121"/>
    <mergeCell ref="F120:F121"/>
    <mergeCell ref="C122:C131"/>
    <mergeCell ref="D122:D123"/>
    <mergeCell ref="E122:E123"/>
    <mergeCell ref="F122:F123"/>
    <mergeCell ref="D124:D125"/>
    <mergeCell ref="E124:E125"/>
    <mergeCell ref="F124:F125"/>
    <mergeCell ref="D126:D127"/>
    <mergeCell ref="E126:E127"/>
    <mergeCell ref="F126:F127"/>
    <mergeCell ref="D128:D129"/>
    <mergeCell ref="E128:E129"/>
    <mergeCell ref="F128:F129"/>
    <mergeCell ref="D130:D131"/>
    <mergeCell ref="E130:E131"/>
    <mergeCell ref="F130:F131"/>
    <mergeCell ref="C132:C141"/>
    <mergeCell ref="D132:D133"/>
    <mergeCell ref="E132:E133"/>
    <mergeCell ref="F132:F133"/>
    <mergeCell ref="D134:D135"/>
    <mergeCell ref="E134:E135"/>
    <mergeCell ref="F134:F135"/>
    <mergeCell ref="D136:D137"/>
    <mergeCell ref="E136:E137"/>
    <mergeCell ref="F136:F137"/>
    <mergeCell ref="D138:D139"/>
    <mergeCell ref="E138:E139"/>
    <mergeCell ref="F138:F139"/>
    <mergeCell ref="D140:D141"/>
    <mergeCell ref="E140:E141"/>
    <mergeCell ref="F140:F141"/>
    <mergeCell ref="C142:C151"/>
    <mergeCell ref="D142:D143"/>
    <mergeCell ref="E142:E143"/>
    <mergeCell ref="F142:F143"/>
    <mergeCell ref="D144:D145"/>
    <mergeCell ref="E144:E145"/>
    <mergeCell ref="F144:F145"/>
    <mergeCell ref="D146:D147"/>
    <mergeCell ref="E146:E147"/>
    <mergeCell ref="F146:F147"/>
    <mergeCell ref="D148:D149"/>
    <mergeCell ref="E148:E149"/>
    <mergeCell ref="F148:F149"/>
    <mergeCell ref="D150:D151"/>
    <mergeCell ref="E150:E151"/>
    <mergeCell ref="F150:F151"/>
    <mergeCell ref="C152:C161"/>
    <mergeCell ref="D152:D153"/>
    <mergeCell ref="E152:E153"/>
    <mergeCell ref="F152:F153"/>
    <mergeCell ref="D154:D155"/>
    <mergeCell ref="E154:E155"/>
    <mergeCell ref="F154:F155"/>
    <mergeCell ref="D156:D157"/>
    <mergeCell ref="E156:E157"/>
    <mergeCell ref="F156:F157"/>
    <mergeCell ref="D158:D159"/>
    <mergeCell ref="E158:E159"/>
    <mergeCell ref="F158:F159"/>
    <mergeCell ref="D160:D161"/>
    <mergeCell ref="E160:E161"/>
    <mergeCell ref="F160:F161"/>
    <mergeCell ref="C162:C171"/>
    <mergeCell ref="D162:D163"/>
    <mergeCell ref="E162:E163"/>
    <mergeCell ref="F162:F163"/>
    <mergeCell ref="D164:D165"/>
    <mergeCell ref="E164:E165"/>
    <mergeCell ref="F164:F165"/>
    <mergeCell ref="D166:D167"/>
    <mergeCell ref="E166:E167"/>
    <mergeCell ref="F166:F167"/>
    <mergeCell ref="D168:D169"/>
    <mergeCell ref="E168:E169"/>
    <mergeCell ref="F168:F169"/>
    <mergeCell ref="D170:D171"/>
    <mergeCell ref="E170:E171"/>
    <mergeCell ref="F170:F171"/>
    <mergeCell ref="B172:B220"/>
    <mergeCell ref="C172:C181"/>
    <mergeCell ref="D172:D173"/>
    <mergeCell ref="E172:E173"/>
    <mergeCell ref="F172:F173"/>
    <mergeCell ref="D174:D175"/>
    <mergeCell ref="E174:E175"/>
    <mergeCell ref="F174:F175"/>
    <mergeCell ref="D176:D177"/>
    <mergeCell ref="E176:E177"/>
    <mergeCell ref="F176:F177"/>
    <mergeCell ref="D178:D179"/>
    <mergeCell ref="E178:E179"/>
    <mergeCell ref="F178:F179"/>
    <mergeCell ref="D180:D181"/>
    <mergeCell ref="E180:E181"/>
    <mergeCell ref="F180:F181"/>
    <mergeCell ref="C182:C191"/>
    <mergeCell ref="D182:D183"/>
    <mergeCell ref="E182:E183"/>
    <mergeCell ref="F182:F183"/>
    <mergeCell ref="D184:D185"/>
    <mergeCell ref="E184:E185"/>
    <mergeCell ref="F184:F185"/>
    <mergeCell ref="D186:D187"/>
    <mergeCell ref="E186:E187"/>
    <mergeCell ref="F186:F187"/>
    <mergeCell ref="D188:D189"/>
    <mergeCell ref="E188:E189"/>
    <mergeCell ref="F188:F189"/>
    <mergeCell ref="D190:D191"/>
    <mergeCell ref="E190:E191"/>
    <mergeCell ref="F190:F191"/>
    <mergeCell ref="C192:C201"/>
    <mergeCell ref="D192:D193"/>
    <mergeCell ref="E192:E193"/>
    <mergeCell ref="F192:F193"/>
    <mergeCell ref="D194:D195"/>
    <mergeCell ref="E194:E195"/>
    <mergeCell ref="F194:F195"/>
    <mergeCell ref="D196:D197"/>
    <mergeCell ref="E196:E197"/>
    <mergeCell ref="F196:F197"/>
    <mergeCell ref="D198:D199"/>
    <mergeCell ref="E198:E199"/>
    <mergeCell ref="F198:F199"/>
    <mergeCell ref="D200:D201"/>
    <mergeCell ref="E200:E201"/>
    <mergeCell ref="F200:F201"/>
    <mergeCell ref="C202:C211"/>
    <mergeCell ref="D202:D203"/>
    <mergeCell ref="E202:E203"/>
    <mergeCell ref="F202:F203"/>
    <mergeCell ref="D204:D205"/>
    <mergeCell ref="E204:E205"/>
    <mergeCell ref="F204:F205"/>
    <mergeCell ref="D206:D207"/>
    <mergeCell ref="E206:E207"/>
    <mergeCell ref="F206:F207"/>
    <mergeCell ref="D208:D209"/>
    <mergeCell ref="E208:E209"/>
    <mergeCell ref="F208:F209"/>
    <mergeCell ref="D210:D211"/>
    <mergeCell ref="E210:E211"/>
    <mergeCell ref="F210:F211"/>
    <mergeCell ref="C212:C221"/>
    <mergeCell ref="D212:D213"/>
    <mergeCell ref="E212:E213"/>
    <mergeCell ref="F212:F213"/>
    <mergeCell ref="D214:D215"/>
    <mergeCell ref="E214:E215"/>
    <mergeCell ref="F214:F215"/>
    <mergeCell ref="D216:D217"/>
    <mergeCell ref="E216:E217"/>
    <mergeCell ref="F216:F217"/>
    <mergeCell ref="D218:D219"/>
    <mergeCell ref="E218:E219"/>
    <mergeCell ref="F218:F219"/>
    <mergeCell ref="D220:D221"/>
    <mergeCell ref="E220:E221"/>
    <mergeCell ref="F220:F221"/>
    <mergeCell ref="A222:A450"/>
    <mergeCell ref="B222:B280"/>
    <mergeCell ref="C222:C231"/>
    <mergeCell ref="D222:D223"/>
    <mergeCell ref="E222:E223"/>
    <mergeCell ref="F222:F223"/>
    <mergeCell ref="D224:D225"/>
    <mergeCell ref="E224:E225"/>
    <mergeCell ref="F224:F225"/>
    <mergeCell ref="D226:D227"/>
    <mergeCell ref="E226:E227"/>
    <mergeCell ref="F226:F227"/>
    <mergeCell ref="D228:D229"/>
    <mergeCell ref="E228:E229"/>
    <mergeCell ref="F228:F229"/>
    <mergeCell ref="D230:D231"/>
    <mergeCell ref="E230:E231"/>
    <mergeCell ref="F230:F231"/>
    <mergeCell ref="C232:C241"/>
    <mergeCell ref="D232:D233"/>
    <mergeCell ref="E232:E233"/>
    <mergeCell ref="F232:F233"/>
    <mergeCell ref="D234:D235"/>
    <mergeCell ref="E234:E235"/>
    <mergeCell ref="F234:F235"/>
    <mergeCell ref="D236:D237"/>
    <mergeCell ref="E236:E237"/>
    <mergeCell ref="F236:F237"/>
    <mergeCell ref="D238:D239"/>
    <mergeCell ref="E238:E239"/>
    <mergeCell ref="F238:F239"/>
    <mergeCell ref="D240:D241"/>
    <mergeCell ref="E240:E241"/>
    <mergeCell ref="F240:F241"/>
    <mergeCell ref="C242:C251"/>
    <mergeCell ref="D242:D243"/>
    <mergeCell ref="E242:E243"/>
    <mergeCell ref="F242:F243"/>
    <mergeCell ref="D244:D245"/>
    <mergeCell ref="E244:E245"/>
    <mergeCell ref="F244:F245"/>
    <mergeCell ref="D246:D247"/>
    <mergeCell ref="E246:E247"/>
    <mergeCell ref="F246:F247"/>
    <mergeCell ref="D248:D249"/>
    <mergeCell ref="E248:E249"/>
    <mergeCell ref="F248:F249"/>
    <mergeCell ref="D250:D251"/>
    <mergeCell ref="E250:E251"/>
    <mergeCell ref="F250:F251"/>
    <mergeCell ref="C252:C261"/>
    <mergeCell ref="D252:D253"/>
    <mergeCell ref="E252:E253"/>
    <mergeCell ref="F252:F253"/>
    <mergeCell ref="D254:D255"/>
    <mergeCell ref="E254:E255"/>
    <mergeCell ref="F254:F255"/>
    <mergeCell ref="D256:D257"/>
    <mergeCell ref="E256:E257"/>
    <mergeCell ref="F256:F257"/>
    <mergeCell ref="D258:D259"/>
    <mergeCell ref="E258:E259"/>
    <mergeCell ref="F258:F259"/>
    <mergeCell ref="D260:D261"/>
    <mergeCell ref="E260:E261"/>
    <mergeCell ref="F260:F261"/>
    <mergeCell ref="C262:C271"/>
    <mergeCell ref="D262:D263"/>
    <mergeCell ref="E262:E263"/>
    <mergeCell ref="F262:F263"/>
    <mergeCell ref="D264:D265"/>
    <mergeCell ref="E264:E265"/>
    <mergeCell ref="F264:F265"/>
    <mergeCell ref="D266:D267"/>
    <mergeCell ref="E266:E267"/>
    <mergeCell ref="F266:F267"/>
    <mergeCell ref="D268:D269"/>
    <mergeCell ref="E268:E269"/>
    <mergeCell ref="F268:F269"/>
    <mergeCell ref="D270:D271"/>
    <mergeCell ref="E270:E271"/>
    <mergeCell ref="F270:F271"/>
    <mergeCell ref="C272:C281"/>
    <mergeCell ref="D272:D273"/>
    <mergeCell ref="E272:E273"/>
    <mergeCell ref="F272:F273"/>
    <mergeCell ref="D274:D275"/>
    <mergeCell ref="E274:E275"/>
    <mergeCell ref="F274:F275"/>
    <mergeCell ref="D276:D277"/>
    <mergeCell ref="E276:E277"/>
    <mergeCell ref="F276:F277"/>
    <mergeCell ref="D278:D279"/>
    <mergeCell ref="E278:E279"/>
    <mergeCell ref="F278:F279"/>
    <mergeCell ref="D280:D281"/>
    <mergeCell ref="E280:E281"/>
    <mergeCell ref="F280:F281"/>
    <mergeCell ref="B282:B330"/>
    <mergeCell ref="C282:C291"/>
    <mergeCell ref="D282:D283"/>
    <mergeCell ref="E282:E283"/>
    <mergeCell ref="F282:F283"/>
    <mergeCell ref="D284:D285"/>
    <mergeCell ref="E284:E285"/>
    <mergeCell ref="F284:F285"/>
    <mergeCell ref="D286:D287"/>
    <mergeCell ref="E286:E287"/>
    <mergeCell ref="F286:F287"/>
    <mergeCell ref="D288:D289"/>
    <mergeCell ref="E288:E289"/>
    <mergeCell ref="F288:F289"/>
    <mergeCell ref="D290:D291"/>
    <mergeCell ref="E290:E291"/>
    <mergeCell ref="F290:F291"/>
    <mergeCell ref="C292:C301"/>
    <mergeCell ref="D292:D293"/>
    <mergeCell ref="E292:E293"/>
    <mergeCell ref="F292:F293"/>
    <mergeCell ref="D294:D295"/>
    <mergeCell ref="E294:E295"/>
    <mergeCell ref="F294:F295"/>
    <mergeCell ref="D296:D297"/>
    <mergeCell ref="E296:E297"/>
    <mergeCell ref="F296:F297"/>
    <mergeCell ref="D298:D299"/>
    <mergeCell ref="E298:E299"/>
    <mergeCell ref="F298:F299"/>
    <mergeCell ref="D300:D301"/>
    <mergeCell ref="E300:E301"/>
    <mergeCell ref="F300:F301"/>
    <mergeCell ref="C302:C311"/>
    <mergeCell ref="D302:D303"/>
    <mergeCell ref="E302:E303"/>
    <mergeCell ref="F302:F303"/>
    <mergeCell ref="D304:D305"/>
    <mergeCell ref="E304:E305"/>
    <mergeCell ref="F304:F305"/>
    <mergeCell ref="D306:D307"/>
    <mergeCell ref="E306:E307"/>
    <mergeCell ref="F306:F307"/>
    <mergeCell ref="D308:D309"/>
    <mergeCell ref="E308:E309"/>
    <mergeCell ref="F308:F309"/>
    <mergeCell ref="D310:D311"/>
    <mergeCell ref="E310:E311"/>
    <mergeCell ref="F310:F311"/>
    <mergeCell ref="C312:C321"/>
    <mergeCell ref="D312:D313"/>
    <mergeCell ref="E312:E313"/>
    <mergeCell ref="F312:F313"/>
    <mergeCell ref="D314:D315"/>
    <mergeCell ref="E314:E315"/>
    <mergeCell ref="F314:F315"/>
    <mergeCell ref="D316:D317"/>
    <mergeCell ref="E316:E317"/>
    <mergeCell ref="F316:F317"/>
    <mergeCell ref="D318:D319"/>
    <mergeCell ref="E318:E319"/>
    <mergeCell ref="F318:F319"/>
    <mergeCell ref="D320:D321"/>
    <mergeCell ref="E320:E321"/>
    <mergeCell ref="F320:F321"/>
    <mergeCell ref="C322:C331"/>
    <mergeCell ref="D322:D323"/>
    <mergeCell ref="E322:E323"/>
    <mergeCell ref="F322:F323"/>
    <mergeCell ref="D324:D325"/>
    <mergeCell ref="E324:E325"/>
    <mergeCell ref="F324:F325"/>
    <mergeCell ref="D326:D327"/>
    <mergeCell ref="E326:E327"/>
    <mergeCell ref="F326:F327"/>
    <mergeCell ref="D328:D329"/>
    <mergeCell ref="E328:E329"/>
    <mergeCell ref="F328:F329"/>
    <mergeCell ref="D330:D331"/>
    <mergeCell ref="E330:E331"/>
    <mergeCell ref="F330:F331"/>
    <mergeCell ref="B332:B390"/>
    <mergeCell ref="C332:C341"/>
    <mergeCell ref="D332:D333"/>
    <mergeCell ref="E332:E333"/>
    <mergeCell ref="F332:F333"/>
    <mergeCell ref="D334:D335"/>
    <mergeCell ref="E334:E335"/>
    <mergeCell ref="F334:F335"/>
    <mergeCell ref="D336:D337"/>
    <mergeCell ref="E336:E337"/>
    <mergeCell ref="F336:F337"/>
    <mergeCell ref="D338:D339"/>
    <mergeCell ref="E338:E339"/>
    <mergeCell ref="F338:F339"/>
    <mergeCell ref="D340:D341"/>
    <mergeCell ref="E340:E341"/>
    <mergeCell ref="F340:F341"/>
    <mergeCell ref="C342:C351"/>
    <mergeCell ref="D342:D343"/>
    <mergeCell ref="E342:E343"/>
    <mergeCell ref="F342:F343"/>
    <mergeCell ref="D344:D345"/>
    <mergeCell ref="E344:E345"/>
    <mergeCell ref="F344:F345"/>
    <mergeCell ref="D346:D347"/>
    <mergeCell ref="E346:E347"/>
    <mergeCell ref="F346:F347"/>
    <mergeCell ref="D348:D349"/>
    <mergeCell ref="E348:E349"/>
    <mergeCell ref="F348:F349"/>
    <mergeCell ref="D350:D351"/>
    <mergeCell ref="E350:E351"/>
    <mergeCell ref="F350:F351"/>
    <mergeCell ref="C352:C361"/>
    <mergeCell ref="D352:D353"/>
    <mergeCell ref="E352:E353"/>
    <mergeCell ref="F352:F353"/>
    <mergeCell ref="D354:D355"/>
    <mergeCell ref="E354:E355"/>
    <mergeCell ref="F354:F355"/>
    <mergeCell ref="D356:D357"/>
    <mergeCell ref="E356:E357"/>
    <mergeCell ref="F356:F357"/>
    <mergeCell ref="D358:D359"/>
    <mergeCell ref="E358:E359"/>
    <mergeCell ref="F358:F359"/>
    <mergeCell ref="D360:D361"/>
    <mergeCell ref="E360:E361"/>
    <mergeCell ref="F360:F361"/>
    <mergeCell ref="C362:C371"/>
    <mergeCell ref="D362:D363"/>
    <mergeCell ref="E362:E363"/>
    <mergeCell ref="F362:F363"/>
    <mergeCell ref="D364:D365"/>
    <mergeCell ref="E364:E365"/>
    <mergeCell ref="F364:F365"/>
    <mergeCell ref="D366:D367"/>
    <mergeCell ref="E366:E367"/>
    <mergeCell ref="F366:F367"/>
    <mergeCell ref="D368:D369"/>
    <mergeCell ref="E368:E369"/>
    <mergeCell ref="F368:F369"/>
    <mergeCell ref="D370:D371"/>
    <mergeCell ref="E370:E371"/>
    <mergeCell ref="F370:F371"/>
    <mergeCell ref="C372:C381"/>
    <mergeCell ref="D372:D373"/>
    <mergeCell ref="E372:E373"/>
    <mergeCell ref="F372:F373"/>
    <mergeCell ref="D374:D375"/>
    <mergeCell ref="E374:E375"/>
    <mergeCell ref="F374:F375"/>
    <mergeCell ref="D376:D377"/>
    <mergeCell ref="E376:E377"/>
    <mergeCell ref="F376:F377"/>
    <mergeCell ref="D378:D379"/>
    <mergeCell ref="E378:E379"/>
    <mergeCell ref="F378:F379"/>
    <mergeCell ref="D380:D381"/>
    <mergeCell ref="E380:E381"/>
    <mergeCell ref="F380:F381"/>
    <mergeCell ref="C382:C391"/>
    <mergeCell ref="D382:D383"/>
    <mergeCell ref="E382:E383"/>
    <mergeCell ref="F382:F383"/>
    <mergeCell ref="D384:D385"/>
    <mergeCell ref="E384:E385"/>
    <mergeCell ref="F384:F385"/>
    <mergeCell ref="D386:D387"/>
    <mergeCell ref="E386:E387"/>
    <mergeCell ref="F386:F387"/>
    <mergeCell ref="D388:D389"/>
    <mergeCell ref="E388:E389"/>
    <mergeCell ref="F388:F389"/>
    <mergeCell ref="D390:D391"/>
    <mergeCell ref="E390:E391"/>
    <mergeCell ref="F390:F391"/>
    <mergeCell ref="B392:B450"/>
    <mergeCell ref="C392:C401"/>
    <mergeCell ref="D392:D393"/>
    <mergeCell ref="E392:E393"/>
    <mergeCell ref="F392:F393"/>
    <mergeCell ref="D394:D395"/>
    <mergeCell ref="E394:E395"/>
    <mergeCell ref="F394:F395"/>
    <mergeCell ref="D396:D397"/>
    <mergeCell ref="E396:E397"/>
    <mergeCell ref="F396:F397"/>
    <mergeCell ref="D398:D399"/>
    <mergeCell ref="E398:E399"/>
    <mergeCell ref="F398:F399"/>
    <mergeCell ref="D400:D401"/>
    <mergeCell ref="E400:E401"/>
    <mergeCell ref="F400:F401"/>
    <mergeCell ref="C402:C411"/>
    <mergeCell ref="D402:D403"/>
    <mergeCell ref="E402:E403"/>
    <mergeCell ref="F402:F403"/>
    <mergeCell ref="D404:D405"/>
    <mergeCell ref="E404:E405"/>
    <mergeCell ref="F404:F405"/>
    <mergeCell ref="D406:D407"/>
    <mergeCell ref="E406:E407"/>
    <mergeCell ref="F406:F407"/>
    <mergeCell ref="D408:D409"/>
    <mergeCell ref="E408:E409"/>
    <mergeCell ref="F408:F409"/>
    <mergeCell ref="D410:D411"/>
    <mergeCell ref="E410:E411"/>
    <mergeCell ref="F410:F411"/>
    <mergeCell ref="C412:C421"/>
    <mergeCell ref="D412:D413"/>
    <mergeCell ref="E412:E413"/>
    <mergeCell ref="F412:F413"/>
    <mergeCell ref="D414:D415"/>
    <mergeCell ref="E414:E415"/>
    <mergeCell ref="F414:F415"/>
    <mergeCell ref="D416:D417"/>
    <mergeCell ref="E416:E417"/>
    <mergeCell ref="F416:F417"/>
    <mergeCell ref="D418:D419"/>
    <mergeCell ref="E418:E419"/>
    <mergeCell ref="F418:F419"/>
    <mergeCell ref="D420:D421"/>
    <mergeCell ref="E420:E421"/>
    <mergeCell ref="F420:F421"/>
    <mergeCell ref="C422:C431"/>
    <mergeCell ref="D422:D423"/>
    <mergeCell ref="E422:E423"/>
    <mergeCell ref="F422:F423"/>
    <mergeCell ref="D424:D425"/>
    <mergeCell ref="E424:E425"/>
    <mergeCell ref="F424:F425"/>
    <mergeCell ref="D426:D427"/>
    <mergeCell ref="E426:E427"/>
    <mergeCell ref="F426:F427"/>
    <mergeCell ref="D428:D429"/>
    <mergeCell ref="E428:E429"/>
    <mergeCell ref="F428:F429"/>
    <mergeCell ref="D430:D431"/>
    <mergeCell ref="E430:E431"/>
    <mergeCell ref="F430:F431"/>
    <mergeCell ref="C432:C441"/>
    <mergeCell ref="D432:D433"/>
    <mergeCell ref="E432:E433"/>
    <mergeCell ref="F432:F433"/>
    <mergeCell ref="D434:D435"/>
    <mergeCell ref="E434:E435"/>
    <mergeCell ref="F434:F435"/>
    <mergeCell ref="D436:D437"/>
    <mergeCell ref="E436:E437"/>
    <mergeCell ref="F436:F437"/>
    <mergeCell ref="D438:D439"/>
    <mergeCell ref="E438:E439"/>
    <mergeCell ref="F438:F439"/>
    <mergeCell ref="D440:D441"/>
    <mergeCell ref="E440:E441"/>
    <mergeCell ref="F440:F441"/>
    <mergeCell ref="C442:C451"/>
    <mergeCell ref="D442:D443"/>
    <mergeCell ref="E442:E443"/>
    <mergeCell ref="F442:F443"/>
    <mergeCell ref="D444:D445"/>
    <mergeCell ref="E444:E445"/>
    <mergeCell ref="F444:F445"/>
    <mergeCell ref="D446:D447"/>
    <mergeCell ref="E446:E447"/>
    <mergeCell ref="F446:F447"/>
    <mergeCell ref="D448:D449"/>
    <mergeCell ref="E448:E449"/>
    <mergeCell ref="F448:F449"/>
    <mergeCell ref="D450:D451"/>
    <mergeCell ref="E450:E451"/>
    <mergeCell ref="F450:F451"/>
    <mergeCell ref="A452:A471"/>
    <mergeCell ref="B452:B471"/>
    <mergeCell ref="C452:C461"/>
    <mergeCell ref="D452:D453"/>
    <mergeCell ref="E452:E453"/>
    <mergeCell ref="F452:F453"/>
    <mergeCell ref="D454:D455"/>
    <mergeCell ref="E454:E455"/>
    <mergeCell ref="F454:F455"/>
    <mergeCell ref="D456:D457"/>
    <mergeCell ref="E456:E457"/>
    <mergeCell ref="F456:F457"/>
    <mergeCell ref="D458:D459"/>
    <mergeCell ref="E458:E459"/>
    <mergeCell ref="F458:F459"/>
    <mergeCell ref="D460:D461"/>
    <mergeCell ref="E460:E461"/>
    <mergeCell ref="F460:F461"/>
    <mergeCell ref="C462:C470"/>
    <mergeCell ref="D462:D463"/>
    <mergeCell ref="E462:E463"/>
    <mergeCell ref="F462:F463"/>
    <mergeCell ref="D464:D465"/>
    <mergeCell ref="E464:E465"/>
    <mergeCell ref="F464:F465"/>
    <mergeCell ref="D466:D467"/>
    <mergeCell ref="E466:E467"/>
    <mergeCell ref="F466:F467"/>
    <mergeCell ref="D468:D469"/>
    <mergeCell ref="E468:E469"/>
    <mergeCell ref="F468:F469"/>
    <mergeCell ref="D470:D471"/>
    <mergeCell ref="E470:E471"/>
    <mergeCell ref="F470:F471"/>
    <mergeCell ref="A472:A831"/>
    <mergeCell ref="B472:B531"/>
    <mergeCell ref="C472:C491"/>
    <mergeCell ref="D472:D475"/>
    <mergeCell ref="E472:E475"/>
    <mergeCell ref="F472:F475"/>
    <mergeCell ref="G472:G473"/>
    <mergeCell ref="H472:H473"/>
    <mergeCell ref="I472:I473"/>
    <mergeCell ref="J472:J473"/>
    <mergeCell ref="G474:G475"/>
    <mergeCell ref="H474:H475"/>
    <mergeCell ref="I474:I475"/>
    <mergeCell ref="J474:J475"/>
    <mergeCell ref="D476:D479"/>
    <mergeCell ref="E476:E479"/>
    <mergeCell ref="F476:F479"/>
    <mergeCell ref="G476:G477"/>
    <mergeCell ref="H476:H477"/>
    <mergeCell ref="I476:I477"/>
    <mergeCell ref="J476:J477"/>
    <mergeCell ref="G478:G479"/>
    <mergeCell ref="H478:H479"/>
    <mergeCell ref="I478:I479"/>
    <mergeCell ref="J478:J479"/>
    <mergeCell ref="D480:D483"/>
    <mergeCell ref="E480:E483"/>
    <mergeCell ref="F480:F483"/>
    <mergeCell ref="G480:G481"/>
    <mergeCell ref="H480:H481"/>
    <mergeCell ref="I480:I481"/>
    <mergeCell ref="J480:J481"/>
    <mergeCell ref="G482:G483"/>
    <mergeCell ref="H482:H483"/>
    <mergeCell ref="I482:I483"/>
    <mergeCell ref="J482:J483"/>
    <mergeCell ref="D484:D487"/>
    <mergeCell ref="E484:E487"/>
    <mergeCell ref="F484:F487"/>
    <mergeCell ref="G484:G485"/>
    <mergeCell ref="H484:H485"/>
    <mergeCell ref="I484:I485"/>
    <mergeCell ref="J484:J485"/>
    <mergeCell ref="G486:G487"/>
    <mergeCell ref="H486:H487"/>
    <mergeCell ref="I486:I487"/>
    <mergeCell ref="J486:J487"/>
    <mergeCell ref="D488:D491"/>
    <mergeCell ref="E488:E491"/>
    <mergeCell ref="F488:F491"/>
    <mergeCell ref="G488:G489"/>
    <mergeCell ref="H488:H489"/>
    <mergeCell ref="I488:I489"/>
    <mergeCell ref="J488:J489"/>
    <mergeCell ref="G490:G491"/>
    <mergeCell ref="H490:H491"/>
    <mergeCell ref="I490:I491"/>
    <mergeCell ref="J490:J491"/>
    <mergeCell ref="C492:C511"/>
    <mergeCell ref="D492:D495"/>
    <mergeCell ref="E492:E495"/>
    <mergeCell ref="F492:F495"/>
    <mergeCell ref="G492:G493"/>
    <mergeCell ref="H492:H493"/>
    <mergeCell ref="I492:I493"/>
    <mergeCell ref="J492:J493"/>
    <mergeCell ref="G494:G495"/>
    <mergeCell ref="H494:H495"/>
    <mergeCell ref="I494:I495"/>
    <mergeCell ref="J494:J495"/>
    <mergeCell ref="D496:D499"/>
    <mergeCell ref="E496:E499"/>
    <mergeCell ref="F496:F499"/>
    <mergeCell ref="G496:G497"/>
    <mergeCell ref="H496:H497"/>
    <mergeCell ref="I496:I497"/>
    <mergeCell ref="J496:J497"/>
    <mergeCell ref="G498:G499"/>
    <mergeCell ref="H498:H499"/>
    <mergeCell ref="I498:I499"/>
    <mergeCell ref="J498:J499"/>
    <mergeCell ref="D500:D503"/>
    <mergeCell ref="E500:E503"/>
    <mergeCell ref="F500:F503"/>
    <mergeCell ref="G500:G501"/>
    <mergeCell ref="H500:H501"/>
    <mergeCell ref="I500:I501"/>
    <mergeCell ref="J500:J501"/>
    <mergeCell ref="G502:G503"/>
    <mergeCell ref="H502:H503"/>
    <mergeCell ref="I502:I503"/>
    <mergeCell ref="J502:J503"/>
    <mergeCell ref="D504:D507"/>
    <mergeCell ref="E504:E507"/>
    <mergeCell ref="F504:F507"/>
    <mergeCell ref="G504:G505"/>
    <mergeCell ref="H504:H505"/>
    <mergeCell ref="I504:I505"/>
    <mergeCell ref="J504:J505"/>
    <mergeCell ref="G506:G507"/>
    <mergeCell ref="H506:H507"/>
    <mergeCell ref="I506:I507"/>
    <mergeCell ref="J506:J507"/>
    <mergeCell ref="D508:D511"/>
    <mergeCell ref="E508:E511"/>
    <mergeCell ref="F508:F511"/>
    <mergeCell ref="G508:G509"/>
    <mergeCell ref="H508:H509"/>
    <mergeCell ref="I508:I509"/>
    <mergeCell ref="J508:J509"/>
    <mergeCell ref="G510:G511"/>
    <mergeCell ref="H510:H511"/>
    <mergeCell ref="I510:I511"/>
    <mergeCell ref="J510:J511"/>
    <mergeCell ref="C512:C531"/>
    <mergeCell ref="D512:D515"/>
    <mergeCell ref="E512:E515"/>
    <mergeCell ref="F512:F515"/>
    <mergeCell ref="G512:G513"/>
    <mergeCell ref="H512:H513"/>
    <mergeCell ref="I512:I513"/>
    <mergeCell ref="J512:J513"/>
    <mergeCell ref="G514:G515"/>
    <mergeCell ref="H514:H515"/>
    <mergeCell ref="I514:I515"/>
    <mergeCell ref="J514:J515"/>
    <mergeCell ref="D516:D519"/>
    <mergeCell ref="E516:E519"/>
    <mergeCell ref="F516:F519"/>
    <mergeCell ref="G516:G517"/>
    <mergeCell ref="H516:H517"/>
    <mergeCell ref="I516:I517"/>
    <mergeCell ref="J516:J517"/>
    <mergeCell ref="G518:G519"/>
    <mergeCell ref="H518:H519"/>
    <mergeCell ref="I518:I519"/>
    <mergeCell ref="J518:J519"/>
    <mergeCell ref="D520:D523"/>
    <mergeCell ref="E520:E523"/>
    <mergeCell ref="F520:F523"/>
    <mergeCell ref="G520:G521"/>
    <mergeCell ref="H520:H521"/>
    <mergeCell ref="I520:I521"/>
    <mergeCell ref="J520:J521"/>
    <mergeCell ref="G522:G523"/>
    <mergeCell ref="H522:H523"/>
    <mergeCell ref="I522:I523"/>
    <mergeCell ref="J522:J523"/>
    <mergeCell ref="D524:D527"/>
    <mergeCell ref="E524:E527"/>
    <mergeCell ref="F524:F527"/>
    <mergeCell ref="G524:G525"/>
    <mergeCell ref="H524:H525"/>
    <mergeCell ref="I524:I525"/>
    <mergeCell ref="J524:J525"/>
    <mergeCell ref="G526:G527"/>
    <mergeCell ref="H526:H527"/>
    <mergeCell ref="I526:I527"/>
    <mergeCell ref="J526:J527"/>
    <mergeCell ref="D528:D531"/>
    <mergeCell ref="E528:E531"/>
    <mergeCell ref="F528:F531"/>
    <mergeCell ref="G528:G529"/>
    <mergeCell ref="H528:H529"/>
    <mergeCell ref="I528:I529"/>
    <mergeCell ref="J528:J529"/>
    <mergeCell ref="G530:G531"/>
    <mergeCell ref="H530:H531"/>
    <mergeCell ref="I530:I531"/>
    <mergeCell ref="J530:J531"/>
    <mergeCell ref="B532:B651"/>
    <mergeCell ref="C532:C551"/>
    <mergeCell ref="D532:D535"/>
    <mergeCell ref="E532:E535"/>
    <mergeCell ref="F532:F535"/>
    <mergeCell ref="G532:G533"/>
    <mergeCell ref="H532:H533"/>
    <mergeCell ref="I532:I533"/>
    <mergeCell ref="J532:J533"/>
    <mergeCell ref="G534:G535"/>
    <mergeCell ref="H534:H535"/>
    <mergeCell ref="I534:I535"/>
    <mergeCell ref="J534:J535"/>
    <mergeCell ref="D536:D539"/>
    <mergeCell ref="E536:E539"/>
    <mergeCell ref="F536:F539"/>
    <mergeCell ref="G536:G537"/>
    <mergeCell ref="H536:H537"/>
    <mergeCell ref="I536:I537"/>
    <mergeCell ref="J536:J537"/>
    <mergeCell ref="G538:G539"/>
    <mergeCell ref="H538:H539"/>
    <mergeCell ref="I538:I539"/>
    <mergeCell ref="J538:J539"/>
    <mergeCell ref="D540:D543"/>
    <mergeCell ref="E540:E543"/>
    <mergeCell ref="F540:F543"/>
    <mergeCell ref="G540:G541"/>
    <mergeCell ref="H540:H541"/>
    <mergeCell ref="I540:I541"/>
    <mergeCell ref="J540:J541"/>
    <mergeCell ref="G542:G543"/>
    <mergeCell ref="H542:H543"/>
    <mergeCell ref="I542:I543"/>
    <mergeCell ref="J542:J543"/>
    <mergeCell ref="D544:D547"/>
    <mergeCell ref="E544:E547"/>
    <mergeCell ref="F544:F547"/>
    <mergeCell ref="G544:G545"/>
    <mergeCell ref="H544:H545"/>
    <mergeCell ref="I544:I545"/>
    <mergeCell ref="J544:J545"/>
    <mergeCell ref="G546:G547"/>
    <mergeCell ref="H546:H547"/>
    <mergeCell ref="I546:I547"/>
    <mergeCell ref="J546:J547"/>
    <mergeCell ref="D548:D551"/>
    <mergeCell ref="E548:E551"/>
    <mergeCell ref="F548:F551"/>
    <mergeCell ref="G548:G549"/>
    <mergeCell ref="H548:H549"/>
    <mergeCell ref="I548:I549"/>
    <mergeCell ref="J548:J549"/>
    <mergeCell ref="G550:G551"/>
    <mergeCell ref="H550:H551"/>
    <mergeCell ref="I550:I551"/>
    <mergeCell ref="J550:J551"/>
    <mergeCell ref="C552:C571"/>
    <mergeCell ref="D552:D555"/>
    <mergeCell ref="E552:E555"/>
    <mergeCell ref="F552:F555"/>
    <mergeCell ref="G552:G553"/>
    <mergeCell ref="H552:H553"/>
    <mergeCell ref="I552:I553"/>
    <mergeCell ref="J552:J553"/>
    <mergeCell ref="G554:G555"/>
    <mergeCell ref="H554:H555"/>
    <mergeCell ref="I554:I555"/>
    <mergeCell ref="J554:J555"/>
    <mergeCell ref="D556:D559"/>
    <mergeCell ref="E556:E559"/>
    <mergeCell ref="F556:F559"/>
    <mergeCell ref="G556:G557"/>
    <mergeCell ref="H556:H557"/>
    <mergeCell ref="I556:I557"/>
    <mergeCell ref="J556:J557"/>
    <mergeCell ref="G558:G559"/>
    <mergeCell ref="H558:H559"/>
    <mergeCell ref="I558:I559"/>
    <mergeCell ref="J558:J559"/>
    <mergeCell ref="D560:D563"/>
    <mergeCell ref="E560:E563"/>
    <mergeCell ref="F560:F563"/>
    <mergeCell ref="G560:G561"/>
    <mergeCell ref="H560:H561"/>
    <mergeCell ref="I560:I561"/>
    <mergeCell ref="J560:J561"/>
    <mergeCell ref="G562:G563"/>
    <mergeCell ref="H562:H563"/>
    <mergeCell ref="I562:I563"/>
    <mergeCell ref="J562:J563"/>
    <mergeCell ref="D564:D567"/>
    <mergeCell ref="E564:E567"/>
    <mergeCell ref="F564:F567"/>
    <mergeCell ref="G564:G565"/>
    <mergeCell ref="H564:H565"/>
    <mergeCell ref="I564:I565"/>
    <mergeCell ref="J564:J565"/>
    <mergeCell ref="G566:G567"/>
    <mergeCell ref="H566:H567"/>
    <mergeCell ref="I566:I567"/>
    <mergeCell ref="J566:J567"/>
    <mergeCell ref="D568:D571"/>
    <mergeCell ref="E568:E571"/>
    <mergeCell ref="F568:F571"/>
    <mergeCell ref="G568:G569"/>
    <mergeCell ref="H568:H569"/>
    <mergeCell ref="I568:I569"/>
    <mergeCell ref="J568:J569"/>
    <mergeCell ref="G570:G571"/>
    <mergeCell ref="H570:H571"/>
    <mergeCell ref="I570:I571"/>
    <mergeCell ref="J570:J571"/>
    <mergeCell ref="C572:C591"/>
    <mergeCell ref="D572:D575"/>
    <mergeCell ref="E572:E575"/>
    <mergeCell ref="F572:F575"/>
    <mergeCell ref="G572:G573"/>
    <mergeCell ref="H572:H573"/>
    <mergeCell ref="I572:I573"/>
    <mergeCell ref="J572:J573"/>
    <mergeCell ref="G574:G575"/>
    <mergeCell ref="H574:H575"/>
    <mergeCell ref="I574:I575"/>
    <mergeCell ref="J574:J575"/>
    <mergeCell ref="D576:D579"/>
    <mergeCell ref="E576:E579"/>
    <mergeCell ref="F576:F579"/>
    <mergeCell ref="G576:G577"/>
    <mergeCell ref="H576:H577"/>
    <mergeCell ref="I576:I577"/>
    <mergeCell ref="J576:J577"/>
    <mergeCell ref="G578:G579"/>
    <mergeCell ref="H578:H579"/>
    <mergeCell ref="I578:I579"/>
    <mergeCell ref="J578:J579"/>
    <mergeCell ref="D580:D583"/>
    <mergeCell ref="E580:E583"/>
    <mergeCell ref="F580:F583"/>
    <mergeCell ref="G580:G581"/>
    <mergeCell ref="H580:H581"/>
    <mergeCell ref="I580:I581"/>
    <mergeCell ref="J580:J581"/>
    <mergeCell ref="G582:G583"/>
    <mergeCell ref="H582:H583"/>
    <mergeCell ref="I582:I583"/>
    <mergeCell ref="J582:J583"/>
    <mergeCell ref="D584:D587"/>
    <mergeCell ref="E584:E587"/>
    <mergeCell ref="F584:F587"/>
    <mergeCell ref="G584:G585"/>
    <mergeCell ref="H584:H585"/>
    <mergeCell ref="I584:I585"/>
    <mergeCell ref="J584:J585"/>
    <mergeCell ref="G586:G587"/>
    <mergeCell ref="H586:H587"/>
    <mergeCell ref="I586:I587"/>
    <mergeCell ref="J586:J587"/>
    <mergeCell ref="D588:D591"/>
    <mergeCell ref="E588:E591"/>
    <mergeCell ref="F588:F591"/>
    <mergeCell ref="G588:G589"/>
    <mergeCell ref="H588:H589"/>
    <mergeCell ref="I588:I589"/>
    <mergeCell ref="J588:J589"/>
    <mergeCell ref="G590:G591"/>
    <mergeCell ref="H590:H591"/>
    <mergeCell ref="I590:I591"/>
    <mergeCell ref="J590:J591"/>
    <mergeCell ref="C592:C611"/>
    <mergeCell ref="D592:D595"/>
    <mergeCell ref="E592:E595"/>
    <mergeCell ref="F592:F595"/>
    <mergeCell ref="G592:G593"/>
    <mergeCell ref="H592:H593"/>
    <mergeCell ref="I592:I593"/>
    <mergeCell ref="J592:J593"/>
    <mergeCell ref="G594:G595"/>
    <mergeCell ref="H594:H595"/>
    <mergeCell ref="I594:I595"/>
    <mergeCell ref="J594:J595"/>
    <mergeCell ref="D596:D599"/>
    <mergeCell ref="E596:E599"/>
    <mergeCell ref="F596:F599"/>
    <mergeCell ref="G596:G597"/>
    <mergeCell ref="H596:H597"/>
    <mergeCell ref="I596:I597"/>
    <mergeCell ref="J596:J597"/>
    <mergeCell ref="G598:G599"/>
    <mergeCell ref="H598:H599"/>
    <mergeCell ref="I598:I599"/>
    <mergeCell ref="J598:J599"/>
    <mergeCell ref="D600:D603"/>
    <mergeCell ref="E600:E603"/>
    <mergeCell ref="F600:F603"/>
    <mergeCell ref="G600:G601"/>
    <mergeCell ref="H600:H601"/>
    <mergeCell ref="I600:I601"/>
    <mergeCell ref="J600:J601"/>
    <mergeCell ref="G602:G603"/>
    <mergeCell ref="H602:H603"/>
    <mergeCell ref="I602:I603"/>
    <mergeCell ref="J602:J603"/>
    <mergeCell ref="D604:D607"/>
    <mergeCell ref="E604:E607"/>
    <mergeCell ref="F604:F607"/>
    <mergeCell ref="G604:G605"/>
    <mergeCell ref="H604:H605"/>
    <mergeCell ref="I604:I605"/>
    <mergeCell ref="J604:J605"/>
    <mergeCell ref="G606:G607"/>
    <mergeCell ref="H606:H607"/>
    <mergeCell ref="I606:I607"/>
    <mergeCell ref="J606:J607"/>
    <mergeCell ref="D608:D611"/>
    <mergeCell ref="E608:E611"/>
    <mergeCell ref="F608:F611"/>
    <mergeCell ref="G608:G609"/>
    <mergeCell ref="H608:H609"/>
    <mergeCell ref="I608:I609"/>
    <mergeCell ref="J608:J609"/>
    <mergeCell ref="G610:G611"/>
    <mergeCell ref="H610:H611"/>
    <mergeCell ref="I610:I611"/>
    <mergeCell ref="J610:J611"/>
    <mergeCell ref="C612:C631"/>
    <mergeCell ref="D612:D615"/>
    <mergeCell ref="E612:E615"/>
    <mergeCell ref="F612:F615"/>
    <mergeCell ref="G612:G613"/>
    <mergeCell ref="H612:H613"/>
    <mergeCell ref="I612:I613"/>
    <mergeCell ref="J612:J613"/>
    <mergeCell ref="G614:G615"/>
    <mergeCell ref="H614:H615"/>
    <mergeCell ref="I614:I615"/>
    <mergeCell ref="J614:J615"/>
    <mergeCell ref="D616:D619"/>
    <mergeCell ref="E616:E619"/>
    <mergeCell ref="F616:F619"/>
    <mergeCell ref="G616:G617"/>
    <mergeCell ref="H616:H617"/>
    <mergeCell ref="I616:I617"/>
    <mergeCell ref="J616:J617"/>
    <mergeCell ref="G618:G619"/>
    <mergeCell ref="H618:H619"/>
    <mergeCell ref="I618:I619"/>
    <mergeCell ref="J618:J619"/>
    <mergeCell ref="D620:D623"/>
    <mergeCell ref="E620:E623"/>
    <mergeCell ref="F620:F623"/>
    <mergeCell ref="G620:G621"/>
    <mergeCell ref="H620:H621"/>
    <mergeCell ref="I620:I621"/>
    <mergeCell ref="J620:J621"/>
    <mergeCell ref="G622:G623"/>
    <mergeCell ref="H622:H623"/>
    <mergeCell ref="I622:I623"/>
    <mergeCell ref="J622:J623"/>
    <mergeCell ref="D624:D627"/>
    <mergeCell ref="E624:E627"/>
    <mergeCell ref="F624:F627"/>
    <mergeCell ref="G624:G625"/>
    <mergeCell ref="H624:H625"/>
    <mergeCell ref="I624:I625"/>
    <mergeCell ref="J624:J625"/>
    <mergeCell ref="G626:G627"/>
    <mergeCell ref="H626:H627"/>
    <mergeCell ref="I626:I627"/>
    <mergeCell ref="J626:J627"/>
    <mergeCell ref="D628:D631"/>
    <mergeCell ref="E628:E631"/>
    <mergeCell ref="F628:F631"/>
    <mergeCell ref="G628:G629"/>
    <mergeCell ref="H628:H629"/>
    <mergeCell ref="I628:I629"/>
    <mergeCell ref="J628:J629"/>
    <mergeCell ref="G630:G631"/>
    <mergeCell ref="H630:H631"/>
    <mergeCell ref="I630:I631"/>
    <mergeCell ref="J630:J631"/>
    <mergeCell ref="C632:C651"/>
    <mergeCell ref="D632:D635"/>
    <mergeCell ref="E632:E635"/>
    <mergeCell ref="F632:F635"/>
    <mergeCell ref="G632:G633"/>
    <mergeCell ref="H632:H633"/>
    <mergeCell ref="I632:I633"/>
    <mergeCell ref="J632:J633"/>
    <mergeCell ref="G634:G635"/>
    <mergeCell ref="H634:H635"/>
    <mergeCell ref="I634:I635"/>
    <mergeCell ref="J634:J635"/>
    <mergeCell ref="D636:D639"/>
    <mergeCell ref="E636:E639"/>
    <mergeCell ref="F636:F639"/>
    <mergeCell ref="G636:G637"/>
    <mergeCell ref="H636:H637"/>
    <mergeCell ref="I636:I637"/>
    <mergeCell ref="J636:J637"/>
    <mergeCell ref="G638:G639"/>
    <mergeCell ref="H638:H639"/>
    <mergeCell ref="I638:I639"/>
    <mergeCell ref="J638:J639"/>
    <mergeCell ref="D640:D643"/>
    <mergeCell ref="E640:E643"/>
    <mergeCell ref="F640:F643"/>
    <mergeCell ref="G640:G641"/>
    <mergeCell ref="H640:H641"/>
    <mergeCell ref="I640:I641"/>
    <mergeCell ref="J640:J641"/>
    <mergeCell ref="G642:G643"/>
    <mergeCell ref="H642:H643"/>
    <mergeCell ref="I642:I643"/>
    <mergeCell ref="J642:J643"/>
    <mergeCell ref="D644:D647"/>
    <mergeCell ref="E644:E647"/>
    <mergeCell ref="F644:F647"/>
    <mergeCell ref="G644:G645"/>
    <mergeCell ref="H644:H645"/>
    <mergeCell ref="I644:I645"/>
    <mergeCell ref="J644:J645"/>
    <mergeCell ref="G646:G647"/>
    <mergeCell ref="H646:H647"/>
    <mergeCell ref="I646:I647"/>
    <mergeCell ref="J646:J647"/>
    <mergeCell ref="D648:D651"/>
    <mergeCell ref="E648:E651"/>
    <mergeCell ref="F648:F651"/>
    <mergeCell ref="G648:G649"/>
    <mergeCell ref="H648:H649"/>
    <mergeCell ref="I648:I649"/>
    <mergeCell ref="J648:J649"/>
    <mergeCell ref="G650:G651"/>
    <mergeCell ref="H650:H651"/>
    <mergeCell ref="I650:I651"/>
    <mergeCell ref="J650:J651"/>
    <mergeCell ref="B652:B831"/>
    <mergeCell ref="C652:C671"/>
    <mergeCell ref="D652:D655"/>
    <mergeCell ref="E652:E655"/>
    <mergeCell ref="F652:F655"/>
    <mergeCell ref="G652:G653"/>
    <mergeCell ref="H652:H653"/>
    <mergeCell ref="I652:I653"/>
    <mergeCell ref="J652:J653"/>
    <mergeCell ref="G654:G655"/>
    <mergeCell ref="H654:H655"/>
    <mergeCell ref="I654:I655"/>
    <mergeCell ref="J654:J655"/>
    <mergeCell ref="D656:D659"/>
    <mergeCell ref="E656:E659"/>
    <mergeCell ref="F656:F659"/>
    <mergeCell ref="G656:G657"/>
    <mergeCell ref="H656:H657"/>
    <mergeCell ref="I656:I657"/>
    <mergeCell ref="J656:J657"/>
    <mergeCell ref="G658:G659"/>
    <mergeCell ref="H658:H659"/>
    <mergeCell ref="I658:I659"/>
    <mergeCell ref="J658:J659"/>
    <mergeCell ref="D660:D663"/>
    <mergeCell ref="E660:E663"/>
    <mergeCell ref="F660:F663"/>
    <mergeCell ref="G660:G661"/>
    <mergeCell ref="H660:H661"/>
    <mergeCell ref="I660:I661"/>
    <mergeCell ref="J660:J661"/>
    <mergeCell ref="G662:G663"/>
    <mergeCell ref="H662:H663"/>
    <mergeCell ref="I662:I663"/>
    <mergeCell ref="J662:J663"/>
    <mergeCell ref="D664:D667"/>
    <mergeCell ref="E664:E667"/>
    <mergeCell ref="F664:F667"/>
    <mergeCell ref="G664:G665"/>
    <mergeCell ref="H664:H665"/>
    <mergeCell ref="I664:I665"/>
    <mergeCell ref="J664:J665"/>
    <mergeCell ref="G666:G667"/>
    <mergeCell ref="H666:H667"/>
    <mergeCell ref="I666:I667"/>
    <mergeCell ref="J666:J667"/>
    <mergeCell ref="D668:D671"/>
    <mergeCell ref="E668:E671"/>
    <mergeCell ref="F668:F671"/>
    <mergeCell ref="G668:G669"/>
    <mergeCell ref="H668:H669"/>
    <mergeCell ref="I668:I669"/>
    <mergeCell ref="J668:J669"/>
    <mergeCell ref="G670:G671"/>
    <mergeCell ref="H670:H671"/>
    <mergeCell ref="I670:I671"/>
    <mergeCell ref="J670:J671"/>
    <mergeCell ref="C672:C691"/>
    <mergeCell ref="D672:D675"/>
    <mergeCell ref="E672:E675"/>
    <mergeCell ref="F672:F675"/>
    <mergeCell ref="G672:G673"/>
    <mergeCell ref="H672:H673"/>
    <mergeCell ref="I672:I673"/>
    <mergeCell ref="J672:J673"/>
    <mergeCell ref="G674:G675"/>
    <mergeCell ref="H674:H675"/>
    <mergeCell ref="I674:I675"/>
    <mergeCell ref="J674:J675"/>
    <mergeCell ref="D676:D679"/>
    <mergeCell ref="E676:E679"/>
    <mergeCell ref="F676:F679"/>
    <mergeCell ref="G676:G677"/>
    <mergeCell ref="H676:H677"/>
    <mergeCell ref="I676:I677"/>
    <mergeCell ref="J676:J677"/>
    <mergeCell ref="G678:G679"/>
    <mergeCell ref="H678:H679"/>
    <mergeCell ref="I678:I679"/>
    <mergeCell ref="J678:J679"/>
    <mergeCell ref="D680:D683"/>
    <mergeCell ref="E680:E683"/>
    <mergeCell ref="F680:F683"/>
    <mergeCell ref="G680:G681"/>
    <mergeCell ref="H680:H681"/>
    <mergeCell ref="I680:I681"/>
    <mergeCell ref="J680:J681"/>
    <mergeCell ref="G682:G683"/>
    <mergeCell ref="H682:H683"/>
    <mergeCell ref="I682:I683"/>
    <mergeCell ref="J682:J683"/>
    <mergeCell ref="D684:D687"/>
    <mergeCell ref="E684:E687"/>
    <mergeCell ref="F684:F687"/>
    <mergeCell ref="G684:G685"/>
    <mergeCell ref="H684:H685"/>
    <mergeCell ref="I684:I685"/>
    <mergeCell ref="J684:J685"/>
    <mergeCell ref="G686:G687"/>
    <mergeCell ref="H686:H687"/>
    <mergeCell ref="I686:I687"/>
    <mergeCell ref="J686:J687"/>
    <mergeCell ref="D688:D691"/>
    <mergeCell ref="E688:E691"/>
    <mergeCell ref="F688:F691"/>
    <mergeCell ref="G688:G689"/>
    <mergeCell ref="H688:H689"/>
    <mergeCell ref="I688:I689"/>
    <mergeCell ref="J688:J689"/>
    <mergeCell ref="G690:G691"/>
    <mergeCell ref="H690:H691"/>
    <mergeCell ref="I690:I691"/>
    <mergeCell ref="J690:J691"/>
    <mergeCell ref="C692:C711"/>
    <mergeCell ref="D692:D695"/>
    <mergeCell ref="E692:E695"/>
    <mergeCell ref="F692:F695"/>
    <mergeCell ref="G692:G693"/>
    <mergeCell ref="H692:H693"/>
    <mergeCell ref="I692:I693"/>
    <mergeCell ref="J692:J693"/>
    <mergeCell ref="G694:G695"/>
    <mergeCell ref="H694:H695"/>
    <mergeCell ref="I694:I695"/>
    <mergeCell ref="J694:J695"/>
    <mergeCell ref="D696:D699"/>
    <mergeCell ref="E696:E699"/>
    <mergeCell ref="F696:F699"/>
    <mergeCell ref="G696:G697"/>
    <mergeCell ref="H696:H697"/>
    <mergeCell ref="I696:I697"/>
    <mergeCell ref="J696:J697"/>
    <mergeCell ref="G698:G699"/>
    <mergeCell ref="H698:H699"/>
    <mergeCell ref="I698:I699"/>
    <mergeCell ref="J698:J699"/>
    <mergeCell ref="D700:D703"/>
    <mergeCell ref="E700:E703"/>
    <mergeCell ref="F700:F703"/>
    <mergeCell ref="G700:G701"/>
    <mergeCell ref="H700:H701"/>
    <mergeCell ref="I700:I701"/>
    <mergeCell ref="J700:J701"/>
    <mergeCell ref="G702:G703"/>
    <mergeCell ref="H702:H703"/>
    <mergeCell ref="I702:I703"/>
    <mergeCell ref="J702:J703"/>
    <mergeCell ref="D704:D707"/>
    <mergeCell ref="E704:E707"/>
    <mergeCell ref="F704:F707"/>
    <mergeCell ref="G704:G705"/>
    <mergeCell ref="H704:H705"/>
    <mergeCell ref="I704:I705"/>
    <mergeCell ref="J704:J705"/>
    <mergeCell ref="G706:G707"/>
    <mergeCell ref="H706:H707"/>
    <mergeCell ref="I706:I707"/>
    <mergeCell ref="J706:J707"/>
    <mergeCell ref="D708:D711"/>
    <mergeCell ref="E708:E711"/>
    <mergeCell ref="F708:F711"/>
    <mergeCell ref="G708:G709"/>
    <mergeCell ref="H708:H709"/>
    <mergeCell ref="I708:I709"/>
    <mergeCell ref="J708:J709"/>
    <mergeCell ref="G710:G711"/>
    <mergeCell ref="H710:H711"/>
    <mergeCell ref="I710:I711"/>
    <mergeCell ref="J710:J711"/>
    <mergeCell ref="C712:C731"/>
    <mergeCell ref="D712:D715"/>
    <mergeCell ref="E712:E715"/>
    <mergeCell ref="F712:F715"/>
    <mergeCell ref="G712:G713"/>
    <mergeCell ref="H712:H713"/>
    <mergeCell ref="I712:I713"/>
    <mergeCell ref="J712:J713"/>
    <mergeCell ref="G714:G715"/>
    <mergeCell ref="H714:H715"/>
    <mergeCell ref="I714:I715"/>
    <mergeCell ref="J714:J715"/>
    <mergeCell ref="D716:D719"/>
    <mergeCell ref="E716:E719"/>
    <mergeCell ref="F716:F719"/>
    <mergeCell ref="G716:G717"/>
    <mergeCell ref="H716:H717"/>
    <mergeCell ref="I716:I717"/>
    <mergeCell ref="J716:J717"/>
    <mergeCell ref="G718:G719"/>
    <mergeCell ref="H718:H719"/>
    <mergeCell ref="I718:I719"/>
    <mergeCell ref="J718:J719"/>
    <mergeCell ref="D720:D723"/>
    <mergeCell ref="E720:E723"/>
    <mergeCell ref="F720:F723"/>
    <mergeCell ref="G720:G721"/>
    <mergeCell ref="H720:H721"/>
    <mergeCell ref="I720:I721"/>
    <mergeCell ref="J720:J721"/>
    <mergeCell ref="G722:G723"/>
    <mergeCell ref="H722:H723"/>
    <mergeCell ref="I722:I723"/>
    <mergeCell ref="J722:J723"/>
    <mergeCell ref="D724:D727"/>
    <mergeCell ref="E724:E727"/>
    <mergeCell ref="F724:F727"/>
    <mergeCell ref="G724:G725"/>
    <mergeCell ref="H724:H725"/>
    <mergeCell ref="I724:I725"/>
    <mergeCell ref="J724:J725"/>
    <mergeCell ref="G726:G727"/>
    <mergeCell ref="H726:H727"/>
    <mergeCell ref="I726:I727"/>
    <mergeCell ref="J726:J727"/>
    <mergeCell ref="D728:D731"/>
    <mergeCell ref="E728:E731"/>
    <mergeCell ref="F728:F731"/>
    <mergeCell ref="G728:G729"/>
    <mergeCell ref="H728:H729"/>
    <mergeCell ref="I728:I729"/>
    <mergeCell ref="J728:J729"/>
    <mergeCell ref="G730:G731"/>
    <mergeCell ref="H730:H731"/>
    <mergeCell ref="I730:I731"/>
    <mergeCell ref="J730:J731"/>
    <mergeCell ref="C732:C751"/>
    <mergeCell ref="D732:D735"/>
    <mergeCell ref="E732:E735"/>
    <mergeCell ref="F732:F735"/>
    <mergeCell ref="G732:G733"/>
    <mergeCell ref="H732:H733"/>
    <mergeCell ref="I732:I733"/>
    <mergeCell ref="J732:J733"/>
    <mergeCell ref="G734:G735"/>
    <mergeCell ref="H734:H735"/>
    <mergeCell ref="I734:I735"/>
    <mergeCell ref="J734:J735"/>
    <mergeCell ref="D736:D739"/>
    <mergeCell ref="E736:E739"/>
    <mergeCell ref="F736:F739"/>
    <mergeCell ref="G736:G737"/>
    <mergeCell ref="H736:H737"/>
    <mergeCell ref="I736:I737"/>
    <mergeCell ref="J736:J737"/>
    <mergeCell ref="G738:G739"/>
    <mergeCell ref="H738:H739"/>
    <mergeCell ref="I738:I739"/>
    <mergeCell ref="J738:J739"/>
    <mergeCell ref="D740:D743"/>
    <mergeCell ref="E740:E743"/>
    <mergeCell ref="F740:F743"/>
    <mergeCell ref="G740:G741"/>
    <mergeCell ref="H740:H741"/>
    <mergeCell ref="I740:I741"/>
    <mergeCell ref="J740:J741"/>
    <mergeCell ref="G742:G743"/>
    <mergeCell ref="H742:H743"/>
    <mergeCell ref="I742:I743"/>
    <mergeCell ref="J742:J743"/>
    <mergeCell ref="D744:D747"/>
    <mergeCell ref="E744:E747"/>
    <mergeCell ref="F744:F747"/>
    <mergeCell ref="G744:G745"/>
    <mergeCell ref="H744:H745"/>
    <mergeCell ref="I744:I745"/>
    <mergeCell ref="J744:J745"/>
    <mergeCell ref="G746:G747"/>
    <mergeCell ref="H746:H747"/>
    <mergeCell ref="I746:I747"/>
    <mergeCell ref="J746:J747"/>
    <mergeCell ref="D748:D751"/>
    <mergeCell ref="E748:E751"/>
    <mergeCell ref="F748:F751"/>
    <mergeCell ref="G748:G749"/>
    <mergeCell ref="H748:H749"/>
    <mergeCell ref="I748:I749"/>
    <mergeCell ref="J748:J749"/>
    <mergeCell ref="G750:G751"/>
    <mergeCell ref="H750:H751"/>
    <mergeCell ref="I750:I751"/>
    <mergeCell ref="J750:J751"/>
    <mergeCell ref="C752:C771"/>
    <mergeCell ref="D752:D755"/>
    <mergeCell ref="E752:E755"/>
    <mergeCell ref="F752:F755"/>
    <mergeCell ref="G752:G753"/>
    <mergeCell ref="H752:H753"/>
    <mergeCell ref="I752:I753"/>
    <mergeCell ref="J752:J753"/>
    <mergeCell ref="G754:G755"/>
    <mergeCell ref="H754:H755"/>
    <mergeCell ref="I754:I755"/>
    <mergeCell ref="J754:J755"/>
    <mergeCell ref="D756:D759"/>
    <mergeCell ref="E756:E759"/>
    <mergeCell ref="F756:F759"/>
    <mergeCell ref="G756:G757"/>
    <mergeCell ref="H756:H757"/>
    <mergeCell ref="I756:I757"/>
    <mergeCell ref="J756:J757"/>
    <mergeCell ref="G758:G759"/>
    <mergeCell ref="H758:H759"/>
    <mergeCell ref="I758:I759"/>
    <mergeCell ref="J758:J759"/>
    <mergeCell ref="D760:D763"/>
    <mergeCell ref="E760:E763"/>
    <mergeCell ref="F760:F763"/>
    <mergeCell ref="G760:G761"/>
    <mergeCell ref="H760:H761"/>
    <mergeCell ref="I760:I761"/>
    <mergeCell ref="J760:J761"/>
    <mergeCell ref="G762:G763"/>
    <mergeCell ref="H762:H763"/>
    <mergeCell ref="I762:I763"/>
    <mergeCell ref="J762:J763"/>
    <mergeCell ref="D764:D767"/>
    <mergeCell ref="E764:E767"/>
    <mergeCell ref="F764:F767"/>
    <mergeCell ref="G764:G765"/>
    <mergeCell ref="H764:H765"/>
    <mergeCell ref="I764:I765"/>
    <mergeCell ref="J764:J765"/>
    <mergeCell ref="G766:G767"/>
    <mergeCell ref="H766:H767"/>
    <mergeCell ref="I766:I767"/>
    <mergeCell ref="J766:J767"/>
    <mergeCell ref="D768:D771"/>
    <mergeCell ref="E768:E771"/>
    <mergeCell ref="F768:F771"/>
    <mergeCell ref="G768:G769"/>
    <mergeCell ref="H768:H769"/>
    <mergeCell ref="I768:I769"/>
    <mergeCell ref="J768:J769"/>
    <mergeCell ref="G770:G771"/>
    <mergeCell ref="H770:H771"/>
    <mergeCell ref="I770:I771"/>
    <mergeCell ref="J770:J771"/>
    <mergeCell ref="C772:C791"/>
    <mergeCell ref="D772:D775"/>
    <mergeCell ref="E772:E775"/>
    <mergeCell ref="F772:F775"/>
    <mergeCell ref="G772:G773"/>
    <mergeCell ref="H772:H773"/>
    <mergeCell ref="I772:I773"/>
    <mergeCell ref="J772:J773"/>
    <mergeCell ref="G774:G775"/>
    <mergeCell ref="H774:H775"/>
    <mergeCell ref="I774:I775"/>
    <mergeCell ref="J774:J775"/>
    <mergeCell ref="D776:D779"/>
    <mergeCell ref="E776:E779"/>
    <mergeCell ref="F776:F779"/>
    <mergeCell ref="G776:G777"/>
    <mergeCell ref="H776:H777"/>
    <mergeCell ref="I776:I777"/>
    <mergeCell ref="J776:J777"/>
    <mergeCell ref="G778:G779"/>
    <mergeCell ref="H778:H779"/>
    <mergeCell ref="I778:I779"/>
    <mergeCell ref="J778:J779"/>
    <mergeCell ref="D780:D783"/>
    <mergeCell ref="E780:E783"/>
    <mergeCell ref="F780:F783"/>
    <mergeCell ref="G780:G781"/>
    <mergeCell ref="H780:H781"/>
    <mergeCell ref="I780:I781"/>
    <mergeCell ref="J780:J781"/>
    <mergeCell ref="G782:G783"/>
    <mergeCell ref="H782:H783"/>
    <mergeCell ref="I782:I783"/>
    <mergeCell ref="J782:J783"/>
    <mergeCell ref="D784:D787"/>
    <mergeCell ref="E784:E787"/>
    <mergeCell ref="F784:F787"/>
    <mergeCell ref="G784:G785"/>
    <mergeCell ref="H784:H785"/>
    <mergeCell ref="I784:I785"/>
    <mergeCell ref="J784:J785"/>
    <mergeCell ref="G786:G787"/>
    <mergeCell ref="H786:H787"/>
    <mergeCell ref="I786:I787"/>
    <mergeCell ref="J786:J787"/>
    <mergeCell ref="D788:D791"/>
    <mergeCell ref="E788:E791"/>
    <mergeCell ref="F788:F791"/>
    <mergeCell ref="G788:G789"/>
    <mergeCell ref="H788:H789"/>
    <mergeCell ref="I788:I789"/>
    <mergeCell ref="J788:J789"/>
    <mergeCell ref="G790:G791"/>
    <mergeCell ref="H790:H791"/>
    <mergeCell ref="I790:I791"/>
    <mergeCell ref="J790:J791"/>
    <mergeCell ref="C792:C811"/>
    <mergeCell ref="D792:D795"/>
    <mergeCell ref="E792:E795"/>
    <mergeCell ref="F792:F795"/>
    <mergeCell ref="G792:G793"/>
    <mergeCell ref="H792:H793"/>
    <mergeCell ref="I792:I793"/>
    <mergeCell ref="J792:J793"/>
    <mergeCell ref="G794:G795"/>
    <mergeCell ref="H794:H795"/>
    <mergeCell ref="I794:I795"/>
    <mergeCell ref="J794:J795"/>
    <mergeCell ref="D796:D799"/>
    <mergeCell ref="E796:E799"/>
    <mergeCell ref="F796:F799"/>
    <mergeCell ref="G796:G797"/>
    <mergeCell ref="H796:H797"/>
    <mergeCell ref="I796:I797"/>
    <mergeCell ref="J796:J797"/>
    <mergeCell ref="G798:G799"/>
    <mergeCell ref="H798:H799"/>
    <mergeCell ref="I798:I799"/>
    <mergeCell ref="J798:J799"/>
    <mergeCell ref="D800:D803"/>
    <mergeCell ref="E800:E803"/>
    <mergeCell ref="F800:F803"/>
    <mergeCell ref="G800:G801"/>
    <mergeCell ref="H800:H801"/>
    <mergeCell ref="I800:I801"/>
    <mergeCell ref="J800:J801"/>
    <mergeCell ref="G802:G803"/>
    <mergeCell ref="H802:H803"/>
    <mergeCell ref="I802:I803"/>
    <mergeCell ref="J802:J803"/>
    <mergeCell ref="D804:D807"/>
    <mergeCell ref="E804:E807"/>
    <mergeCell ref="F804:F807"/>
    <mergeCell ref="G804:G805"/>
    <mergeCell ref="H804:H805"/>
    <mergeCell ref="I804:I805"/>
    <mergeCell ref="J804:J805"/>
    <mergeCell ref="G806:G807"/>
    <mergeCell ref="H806:H807"/>
    <mergeCell ref="I806:I807"/>
    <mergeCell ref="J806:J807"/>
    <mergeCell ref="D808:D811"/>
    <mergeCell ref="E808:E811"/>
    <mergeCell ref="F808:F811"/>
    <mergeCell ref="G808:G809"/>
    <mergeCell ref="H808:H809"/>
    <mergeCell ref="I808:I809"/>
    <mergeCell ref="J808:J809"/>
    <mergeCell ref="G810:G811"/>
    <mergeCell ref="H810:H811"/>
    <mergeCell ref="I810:I811"/>
    <mergeCell ref="J810:J811"/>
    <mergeCell ref="C812:C831"/>
    <mergeCell ref="D812:D815"/>
    <mergeCell ref="E812:E815"/>
    <mergeCell ref="F812:F815"/>
    <mergeCell ref="G812:G813"/>
    <mergeCell ref="H812:H813"/>
    <mergeCell ref="I812:I813"/>
    <mergeCell ref="J812:J813"/>
    <mergeCell ref="G814:G815"/>
    <mergeCell ref="H814:H815"/>
    <mergeCell ref="I814:I815"/>
    <mergeCell ref="J814:J815"/>
    <mergeCell ref="D816:D819"/>
    <mergeCell ref="E816:E819"/>
    <mergeCell ref="F816:F819"/>
    <mergeCell ref="G816:G817"/>
    <mergeCell ref="H816:H817"/>
    <mergeCell ref="I816:I817"/>
    <mergeCell ref="J816:J817"/>
    <mergeCell ref="G818:G819"/>
    <mergeCell ref="H818:H819"/>
    <mergeCell ref="I818:I819"/>
    <mergeCell ref="J818:J819"/>
    <mergeCell ref="D820:D823"/>
    <mergeCell ref="E820:E823"/>
    <mergeCell ref="F820:F823"/>
    <mergeCell ref="G820:G821"/>
    <mergeCell ref="H820:H821"/>
    <mergeCell ref="I820:I821"/>
    <mergeCell ref="J820:J821"/>
    <mergeCell ref="G822:G823"/>
    <mergeCell ref="H822:H823"/>
    <mergeCell ref="I822:I823"/>
    <mergeCell ref="J822:J823"/>
    <mergeCell ref="D824:D827"/>
    <mergeCell ref="E824:E827"/>
    <mergeCell ref="F824:F827"/>
    <mergeCell ref="G824:G825"/>
    <mergeCell ref="H824:H825"/>
    <mergeCell ref="I824:I825"/>
    <mergeCell ref="J824:J825"/>
    <mergeCell ref="G826:G827"/>
    <mergeCell ref="H826:H827"/>
    <mergeCell ref="I826:I827"/>
    <mergeCell ref="J826:J827"/>
    <mergeCell ref="D828:D831"/>
    <mergeCell ref="E828:E831"/>
    <mergeCell ref="F828:F831"/>
    <mergeCell ref="G828:G829"/>
    <mergeCell ref="H828:H829"/>
    <mergeCell ref="I828:I829"/>
    <mergeCell ref="J828:J829"/>
    <mergeCell ref="G830:G831"/>
    <mergeCell ref="H830:H831"/>
    <mergeCell ref="I830:I831"/>
    <mergeCell ref="J830:J831"/>
    <mergeCell ref="A832:A1191"/>
    <mergeCell ref="B832:B951"/>
    <mergeCell ref="C832:C851"/>
    <mergeCell ref="D832:D835"/>
    <mergeCell ref="E832:E835"/>
    <mergeCell ref="F832:F835"/>
    <mergeCell ref="G832:G833"/>
    <mergeCell ref="H832:H833"/>
    <mergeCell ref="I832:I833"/>
    <mergeCell ref="J832:J833"/>
    <mergeCell ref="G834:G835"/>
    <mergeCell ref="H834:H835"/>
    <mergeCell ref="I834:I835"/>
    <mergeCell ref="J834:J835"/>
    <mergeCell ref="D836:D839"/>
    <mergeCell ref="E836:E839"/>
    <mergeCell ref="F836:F839"/>
    <mergeCell ref="G836:G837"/>
    <mergeCell ref="H836:H837"/>
    <mergeCell ref="I836:I837"/>
    <mergeCell ref="J836:J837"/>
    <mergeCell ref="G838:G839"/>
    <mergeCell ref="H838:H839"/>
    <mergeCell ref="I838:I839"/>
    <mergeCell ref="J838:J839"/>
    <mergeCell ref="D840:D843"/>
    <mergeCell ref="E840:E843"/>
    <mergeCell ref="F840:F843"/>
    <mergeCell ref="G840:G841"/>
    <mergeCell ref="H840:H841"/>
    <mergeCell ref="I840:I841"/>
    <mergeCell ref="J840:J841"/>
    <mergeCell ref="G842:G843"/>
    <mergeCell ref="H842:H843"/>
    <mergeCell ref="I842:I843"/>
    <mergeCell ref="J842:J843"/>
    <mergeCell ref="D844:D847"/>
    <mergeCell ref="E844:E847"/>
    <mergeCell ref="F844:F847"/>
    <mergeCell ref="G844:G845"/>
    <mergeCell ref="H844:H845"/>
    <mergeCell ref="I844:I845"/>
    <mergeCell ref="J844:J845"/>
    <mergeCell ref="G846:G847"/>
    <mergeCell ref="H846:H847"/>
    <mergeCell ref="I846:I847"/>
    <mergeCell ref="J846:J847"/>
    <mergeCell ref="D848:D851"/>
    <mergeCell ref="E848:E851"/>
    <mergeCell ref="F848:F851"/>
    <mergeCell ref="G848:G849"/>
    <mergeCell ref="H848:H849"/>
    <mergeCell ref="I848:I849"/>
    <mergeCell ref="J848:J849"/>
    <mergeCell ref="G850:G851"/>
    <mergeCell ref="H850:H851"/>
    <mergeCell ref="I850:I851"/>
    <mergeCell ref="J850:J851"/>
    <mergeCell ref="C852:C871"/>
    <mergeCell ref="D852:D855"/>
    <mergeCell ref="E852:E855"/>
    <mergeCell ref="F852:F855"/>
    <mergeCell ref="G852:G853"/>
    <mergeCell ref="H852:H853"/>
    <mergeCell ref="I852:I853"/>
    <mergeCell ref="J852:J853"/>
    <mergeCell ref="G854:G855"/>
    <mergeCell ref="H854:H855"/>
    <mergeCell ref="I854:I855"/>
    <mergeCell ref="J854:J855"/>
    <mergeCell ref="D856:D859"/>
    <mergeCell ref="E856:E859"/>
    <mergeCell ref="F856:F859"/>
    <mergeCell ref="G856:G857"/>
    <mergeCell ref="H856:H857"/>
    <mergeCell ref="I856:I857"/>
    <mergeCell ref="J856:J857"/>
    <mergeCell ref="G858:G859"/>
    <mergeCell ref="H858:H859"/>
    <mergeCell ref="I858:I859"/>
    <mergeCell ref="J858:J859"/>
    <mergeCell ref="D860:D863"/>
    <mergeCell ref="E860:E863"/>
    <mergeCell ref="F860:F863"/>
    <mergeCell ref="G860:G861"/>
    <mergeCell ref="H860:H861"/>
    <mergeCell ref="I860:I861"/>
    <mergeCell ref="J860:J861"/>
    <mergeCell ref="G862:G863"/>
    <mergeCell ref="H862:H863"/>
    <mergeCell ref="I862:I863"/>
    <mergeCell ref="J862:J863"/>
    <mergeCell ref="D864:D867"/>
    <mergeCell ref="E864:E867"/>
    <mergeCell ref="F864:F867"/>
    <mergeCell ref="G864:G865"/>
    <mergeCell ref="H864:H865"/>
    <mergeCell ref="I864:I865"/>
    <mergeCell ref="J864:J865"/>
    <mergeCell ref="G866:G867"/>
    <mergeCell ref="H866:H867"/>
    <mergeCell ref="I866:I867"/>
    <mergeCell ref="J866:J867"/>
    <mergeCell ref="D868:D871"/>
    <mergeCell ref="E868:E871"/>
    <mergeCell ref="F868:F871"/>
    <mergeCell ref="G868:G869"/>
    <mergeCell ref="H868:H869"/>
    <mergeCell ref="I868:I869"/>
    <mergeCell ref="J868:J869"/>
    <mergeCell ref="G870:G871"/>
    <mergeCell ref="H870:H871"/>
    <mergeCell ref="I870:I871"/>
    <mergeCell ref="J870:J871"/>
    <mergeCell ref="C872:C891"/>
    <mergeCell ref="D872:D875"/>
    <mergeCell ref="E872:E875"/>
    <mergeCell ref="F872:F875"/>
    <mergeCell ref="G872:G873"/>
    <mergeCell ref="H872:H873"/>
    <mergeCell ref="I872:I873"/>
    <mergeCell ref="J872:J873"/>
    <mergeCell ref="G874:G875"/>
    <mergeCell ref="H874:H875"/>
    <mergeCell ref="I874:I875"/>
    <mergeCell ref="J874:J875"/>
    <mergeCell ref="D876:D879"/>
    <mergeCell ref="E876:E879"/>
    <mergeCell ref="F876:F879"/>
    <mergeCell ref="G876:G877"/>
    <mergeCell ref="H876:H877"/>
    <mergeCell ref="I876:I877"/>
    <mergeCell ref="J876:J877"/>
    <mergeCell ref="G878:G879"/>
    <mergeCell ref="H878:H879"/>
    <mergeCell ref="I878:I879"/>
    <mergeCell ref="J878:J879"/>
    <mergeCell ref="D880:D883"/>
    <mergeCell ref="E880:E883"/>
    <mergeCell ref="F880:F883"/>
    <mergeCell ref="G880:G881"/>
    <mergeCell ref="H880:H881"/>
    <mergeCell ref="I880:I881"/>
    <mergeCell ref="J880:J881"/>
    <mergeCell ref="G882:G883"/>
    <mergeCell ref="H882:H883"/>
    <mergeCell ref="I882:I883"/>
    <mergeCell ref="J882:J883"/>
    <mergeCell ref="D884:D887"/>
    <mergeCell ref="E884:E887"/>
    <mergeCell ref="F884:F887"/>
    <mergeCell ref="G884:G885"/>
    <mergeCell ref="H884:H885"/>
    <mergeCell ref="I884:I885"/>
    <mergeCell ref="J884:J885"/>
    <mergeCell ref="G886:G887"/>
    <mergeCell ref="H886:H887"/>
    <mergeCell ref="I886:I887"/>
    <mergeCell ref="J886:J887"/>
    <mergeCell ref="D888:D891"/>
    <mergeCell ref="E888:E891"/>
    <mergeCell ref="F888:F891"/>
    <mergeCell ref="G888:G889"/>
    <mergeCell ref="H888:H889"/>
    <mergeCell ref="I888:I889"/>
    <mergeCell ref="J888:J889"/>
    <mergeCell ref="G890:G891"/>
    <mergeCell ref="H890:H891"/>
    <mergeCell ref="I890:I891"/>
    <mergeCell ref="J890:J891"/>
    <mergeCell ref="C892:C911"/>
    <mergeCell ref="D892:D895"/>
    <mergeCell ref="E892:E895"/>
    <mergeCell ref="F892:F895"/>
    <mergeCell ref="G892:G893"/>
    <mergeCell ref="H892:H893"/>
    <mergeCell ref="I892:I893"/>
    <mergeCell ref="J892:J893"/>
    <mergeCell ref="G894:G895"/>
    <mergeCell ref="H894:H895"/>
    <mergeCell ref="I894:I895"/>
    <mergeCell ref="J894:J895"/>
    <mergeCell ref="D896:D899"/>
    <mergeCell ref="E896:E899"/>
    <mergeCell ref="F896:F899"/>
    <mergeCell ref="G896:G897"/>
    <mergeCell ref="H896:H897"/>
    <mergeCell ref="I896:I897"/>
    <mergeCell ref="J896:J897"/>
    <mergeCell ref="G898:G899"/>
    <mergeCell ref="H898:H899"/>
    <mergeCell ref="I898:I899"/>
    <mergeCell ref="J898:J899"/>
    <mergeCell ref="D900:D903"/>
    <mergeCell ref="E900:E903"/>
    <mergeCell ref="F900:F903"/>
    <mergeCell ref="G900:G901"/>
    <mergeCell ref="H900:H901"/>
    <mergeCell ref="I900:I901"/>
    <mergeCell ref="J900:J901"/>
    <mergeCell ref="G902:G903"/>
    <mergeCell ref="H902:H903"/>
    <mergeCell ref="I902:I903"/>
    <mergeCell ref="J902:J903"/>
    <mergeCell ref="D904:D907"/>
    <mergeCell ref="E904:E907"/>
    <mergeCell ref="F904:F907"/>
    <mergeCell ref="G904:G905"/>
    <mergeCell ref="H904:H905"/>
    <mergeCell ref="I904:I905"/>
    <mergeCell ref="J904:J905"/>
    <mergeCell ref="G906:G907"/>
    <mergeCell ref="H906:H907"/>
    <mergeCell ref="I906:I907"/>
    <mergeCell ref="J906:J907"/>
    <mergeCell ref="D908:D911"/>
    <mergeCell ref="E908:E911"/>
    <mergeCell ref="F908:F911"/>
    <mergeCell ref="G908:G909"/>
    <mergeCell ref="H908:H909"/>
    <mergeCell ref="I908:I909"/>
    <mergeCell ref="J908:J909"/>
    <mergeCell ref="G910:G911"/>
    <mergeCell ref="H910:H911"/>
    <mergeCell ref="I910:I911"/>
    <mergeCell ref="J910:J911"/>
    <mergeCell ref="C912:C931"/>
    <mergeCell ref="D912:D915"/>
    <mergeCell ref="E912:E915"/>
    <mergeCell ref="F912:F915"/>
    <mergeCell ref="G912:G913"/>
    <mergeCell ref="H912:H913"/>
    <mergeCell ref="I912:I913"/>
    <mergeCell ref="J912:J913"/>
    <mergeCell ref="G914:G915"/>
    <mergeCell ref="H914:H915"/>
    <mergeCell ref="I914:I915"/>
    <mergeCell ref="J914:J915"/>
    <mergeCell ref="D916:D919"/>
    <mergeCell ref="E916:E919"/>
    <mergeCell ref="F916:F919"/>
    <mergeCell ref="G916:G917"/>
    <mergeCell ref="H916:H917"/>
    <mergeCell ref="I916:I917"/>
    <mergeCell ref="J916:J917"/>
    <mergeCell ref="G918:G919"/>
    <mergeCell ref="H918:H919"/>
    <mergeCell ref="I918:I919"/>
    <mergeCell ref="J918:J919"/>
    <mergeCell ref="D920:D923"/>
    <mergeCell ref="E920:E923"/>
    <mergeCell ref="F920:F923"/>
    <mergeCell ref="G920:G921"/>
    <mergeCell ref="H920:H921"/>
    <mergeCell ref="I920:I921"/>
    <mergeCell ref="J920:J921"/>
    <mergeCell ref="G922:G923"/>
    <mergeCell ref="H922:H923"/>
    <mergeCell ref="I922:I923"/>
    <mergeCell ref="J922:J923"/>
    <mergeCell ref="D924:D927"/>
    <mergeCell ref="E924:E927"/>
    <mergeCell ref="F924:F927"/>
    <mergeCell ref="G924:G925"/>
    <mergeCell ref="H924:H925"/>
    <mergeCell ref="I924:I925"/>
    <mergeCell ref="J924:J925"/>
    <mergeCell ref="G926:G927"/>
    <mergeCell ref="H926:H927"/>
    <mergeCell ref="I926:I927"/>
    <mergeCell ref="J926:J927"/>
    <mergeCell ref="D928:D931"/>
    <mergeCell ref="E928:E931"/>
    <mergeCell ref="F928:F931"/>
    <mergeCell ref="G928:G929"/>
    <mergeCell ref="H928:H929"/>
    <mergeCell ref="I928:I929"/>
    <mergeCell ref="J928:J929"/>
    <mergeCell ref="G930:G931"/>
    <mergeCell ref="H930:H931"/>
    <mergeCell ref="I930:I931"/>
    <mergeCell ref="J930:J931"/>
    <mergeCell ref="C932:C951"/>
    <mergeCell ref="D932:D935"/>
    <mergeCell ref="E932:E935"/>
    <mergeCell ref="F932:F935"/>
    <mergeCell ref="G932:G933"/>
    <mergeCell ref="H932:H933"/>
    <mergeCell ref="I932:I933"/>
    <mergeCell ref="J932:J933"/>
    <mergeCell ref="G934:G935"/>
    <mergeCell ref="H934:H935"/>
    <mergeCell ref="I934:I935"/>
    <mergeCell ref="J934:J935"/>
    <mergeCell ref="D936:D939"/>
    <mergeCell ref="E936:E939"/>
    <mergeCell ref="F936:F939"/>
    <mergeCell ref="G936:G937"/>
    <mergeCell ref="H936:H937"/>
    <mergeCell ref="I936:I937"/>
    <mergeCell ref="J936:J937"/>
    <mergeCell ref="G938:G939"/>
    <mergeCell ref="H938:H939"/>
    <mergeCell ref="I938:I939"/>
    <mergeCell ref="J938:J939"/>
    <mergeCell ref="D940:D943"/>
    <mergeCell ref="E940:E943"/>
    <mergeCell ref="F940:F943"/>
    <mergeCell ref="G940:G941"/>
    <mergeCell ref="H940:H941"/>
    <mergeCell ref="I940:I941"/>
    <mergeCell ref="J940:J941"/>
    <mergeCell ref="G942:G943"/>
    <mergeCell ref="H942:H943"/>
    <mergeCell ref="I942:I943"/>
    <mergeCell ref="J942:J943"/>
    <mergeCell ref="D944:D947"/>
    <mergeCell ref="E944:E947"/>
    <mergeCell ref="F944:F947"/>
    <mergeCell ref="G944:G945"/>
    <mergeCell ref="H944:H945"/>
    <mergeCell ref="I944:I945"/>
    <mergeCell ref="J944:J945"/>
    <mergeCell ref="G946:G947"/>
    <mergeCell ref="H946:H947"/>
    <mergeCell ref="I946:I947"/>
    <mergeCell ref="J946:J947"/>
    <mergeCell ref="D948:D951"/>
    <mergeCell ref="E948:E951"/>
    <mergeCell ref="F948:F951"/>
    <mergeCell ref="G948:G949"/>
    <mergeCell ref="H948:H949"/>
    <mergeCell ref="I948:I949"/>
    <mergeCell ref="J948:J949"/>
    <mergeCell ref="G950:G951"/>
    <mergeCell ref="H950:H951"/>
    <mergeCell ref="I950:I951"/>
    <mergeCell ref="J950:J951"/>
    <mergeCell ref="B952:B1071"/>
    <mergeCell ref="C952:C971"/>
    <mergeCell ref="D952:D955"/>
    <mergeCell ref="E952:E955"/>
    <mergeCell ref="F952:F955"/>
    <mergeCell ref="G952:G953"/>
    <mergeCell ref="H952:H953"/>
    <mergeCell ref="I952:I953"/>
    <mergeCell ref="J952:J953"/>
    <mergeCell ref="G954:G955"/>
    <mergeCell ref="H954:H955"/>
    <mergeCell ref="I954:I955"/>
    <mergeCell ref="J954:J955"/>
    <mergeCell ref="D956:D959"/>
    <mergeCell ref="E956:E959"/>
    <mergeCell ref="F956:F959"/>
    <mergeCell ref="G956:G957"/>
    <mergeCell ref="H956:H957"/>
    <mergeCell ref="I956:I957"/>
    <mergeCell ref="J956:J957"/>
    <mergeCell ref="G958:G959"/>
    <mergeCell ref="H958:H959"/>
    <mergeCell ref="I958:I959"/>
    <mergeCell ref="J958:J959"/>
    <mergeCell ref="D960:D963"/>
    <mergeCell ref="E960:E963"/>
    <mergeCell ref="F960:F963"/>
    <mergeCell ref="G960:G961"/>
    <mergeCell ref="H960:H961"/>
    <mergeCell ref="I960:I961"/>
    <mergeCell ref="J960:J961"/>
    <mergeCell ref="G962:G963"/>
    <mergeCell ref="H962:H963"/>
    <mergeCell ref="I962:I963"/>
    <mergeCell ref="J962:J963"/>
    <mergeCell ref="D964:D967"/>
    <mergeCell ref="E964:E967"/>
    <mergeCell ref="F964:F967"/>
    <mergeCell ref="G964:G965"/>
    <mergeCell ref="H964:H965"/>
    <mergeCell ref="I964:I965"/>
    <mergeCell ref="J964:J965"/>
    <mergeCell ref="G966:G967"/>
    <mergeCell ref="H966:H967"/>
    <mergeCell ref="I966:I967"/>
    <mergeCell ref="J966:J967"/>
    <mergeCell ref="D968:D971"/>
    <mergeCell ref="E968:E971"/>
    <mergeCell ref="F968:F971"/>
    <mergeCell ref="G968:G969"/>
    <mergeCell ref="H968:H969"/>
    <mergeCell ref="I968:I969"/>
    <mergeCell ref="J968:J969"/>
    <mergeCell ref="G970:G971"/>
    <mergeCell ref="H970:H971"/>
    <mergeCell ref="I970:I971"/>
    <mergeCell ref="J970:J971"/>
    <mergeCell ref="C972:C991"/>
    <mergeCell ref="D972:D975"/>
    <mergeCell ref="E972:E975"/>
    <mergeCell ref="F972:F975"/>
    <mergeCell ref="G972:G973"/>
    <mergeCell ref="H972:H973"/>
    <mergeCell ref="I972:I973"/>
    <mergeCell ref="J972:J973"/>
    <mergeCell ref="G974:G975"/>
    <mergeCell ref="H974:H975"/>
    <mergeCell ref="I974:I975"/>
    <mergeCell ref="J974:J975"/>
    <mergeCell ref="D976:D979"/>
    <mergeCell ref="E976:E979"/>
    <mergeCell ref="F976:F979"/>
    <mergeCell ref="G976:G977"/>
    <mergeCell ref="H976:H977"/>
    <mergeCell ref="I976:I977"/>
    <mergeCell ref="J976:J977"/>
    <mergeCell ref="G978:G979"/>
    <mergeCell ref="H978:H979"/>
    <mergeCell ref="I978:I979"/>
    <mergeCell ref="J978:J979"/>
    <mergeCell ref="D980:D983"/>
    <mergeCell ref="E980:E983"/>
    <mergeCell ref="F980:F983"/>
    <mergeCell ref="G980:G981"/>
    <mergeCell ref="H980:H981"/>
    <mergeCell ref="I980:I981"/>
    <mergeCell ref="J980:J981"/>
    <mergeCell ref="G982:G983"/>
    <mergeCell ref="H982:H983"/>
    <mergeCell ref="I982:I983"/>
    <mergeCell ref="J982:J983"/>
    <mergeCell ref="D984:D987"/>
    <mergeCell ref="E984:E987"/>
    <mergeCell ref="F984:F987"/>
    <mergeCell ref="G984:G985"/>
    <mergeCell ref="H984:H985"/>
    <mergeCell ref="I984:I985"/>
    <mergeCell ref="J984:J985"/>
    <mergeCell ref="G986:G987"/>
    <mergeCell ref="H986:H987"/>
    <mergeCell ref="I986:I987"/>
    <mergeCell ref="J986:J987"/>
    <mergeCell ref="D988:D991"/>
    <mergeCell ref="E988:E991"/>
    <mergeCell ref="F988:F991"/>
    <mergeCell ref="G988:G989"/>
    <mergeCell ref="H988:H989"/>
    <mergeCell ref="I988:I989"/>
    <mergeCell ref="J988:J989"/>
    <mergeCell ref="G990:G991"/>
    <mergeCell ref="H990:H991"/>
    <mergeCell ref="I990:I991"/>
    <mergeCell ref="J990:J991"/>
    <mergeCell ref="C992:C1011"/>
    <mergeCell ref="D992:D995"/>
    <mergeCell ref="E992:E995"/>
    <mergeCell ref="F992:F995"/>
    <mergeCell ref="G992:G993"/>
    <mergeCell ref="H992:H993"/>
    <mergeCell ref="I992:I993"/>
    <mergeCell ref="J992:J993"/>
    <mergeCell ref="G994:G995"/>
    <mergeCell ref="H994:H995"/>
    <mergeCell ref="I994:I995"/>
    <mergeCell ref="J994:J995"/>
    <mergeCell ref="D996:D999"/>
    <mergeCell ref="E996:E999"/>
    <mergeCell ref="F996:F999"/>
    <mergeCell ref="G996:G997"/>
    <mergeCell ref="H996:H997"/>
    <mergeCell ref="I996:I997"/>
    <mergeCell ref="J996:J997"/>
    <mergeCell ref="G998:G999"/>
    <mergeCell ref="H998:H999"/>
    <mergeCell ref="I998:I999"/>
    <mergeCell ref="J998:J999"/>
    <mergeCell ref="D1000:D1003"/>
    <mergeCell ref="E1000:E1003"/>
    <mergeCell ref="F1000:F1003"/>
    <mergeCell ref="G1000:G1001"/>
    <mergeCell ref="H1000:H1001"/>
    <mergeCell ref="I1000:I1001"/>
    <mergeCell ref="J1000:J1001"/>
    <mergeCell ref="G1002:G1003"/>
    <mergeCell ref="H1002:H1003"/>
    <mergeCell ref="I1002:I1003"/>
    <mergeCell ref="J1002:J1003"/>
    <mergeCell ref="D1004:D1007"/>
    <mergeCell ref="E1004:E1007"/>
    <mergeCell ref="F1004:F1007"/>
    <mergeCell ref="G1004:G1005"/>
    <mergeCell ref="H1004:H1005"/>
    <mergeCell ref="I1004:I1005"/>
    <mergeCell ref="J1004:J1005"/>
    <mergeCell ref="G1006:G1007"/>
    <mergeCell ref="H1006:H1007"/>
    <mergeCell ref="I1006:I1007"/>
    <mergeCell ref="J1006:J1007"/>
    <mergeCell ref="D1008:D1011"/>
    <mergeCell ref="E1008:E1011"/>
    <mergeCell ref="F1008:F1011"/>
    <mergeCell ref="G1008:G1009"/>
    <mergeCell ref="H1008:H1009"/>
    <mergeCell ref="I1008:I1009"/>
    <mergeCell ref="J1008:J1009"/>
    <mergeCell ref="G1010:G1011"/>
    <mergeCell ref="H1010:H1011"/>
    <mergeCell ref="I1010:I1011"/>
    <mergeCell ref="J1010:J1011"/>
    <mergeCell ref="C1012:C1031"/>
    <mergeCell ref="D1012:D1015"/>
    <mergeCell ref="E1012:E1015"/>
    <mergeCell ref="F1012:F1015"/>
    <mergeCell ref="G1012:G1013"/>
    <mergeCell ref="H1012:H1013"/>
    <mergeCell ref="I1012:I1013"/>
    <mergeCell ref="J1012:J1013"/>
    <mergeCell ref="G1014:G1015"/>
    <mergeCell ref="H1014:H1015"/>
    <mergeCell ref="I1014:I1015"/>
    <mergeCell ref="J1014:J1015"/>
    <mergeCell ref="D1016:D1019"/>
    <mergeCell ref="E1016:E1019"/>
    <mergeCell ref="F1016:F1019"/>
    <mergeCell ref="G1016:G1017"/>
    <mergeCell ref="H1016:H1017"/>
    <mergeCell ref="I1016:I1017"/>
    <mergeCell ref="J1016:J1017"/>
    <mergeCell ref="G1018:G1019"/>
    <mergeCell ref="H1018:H1019"/>
    <mergeCell ref="I1018:I1019"/>
    <mergeCell ref="J1018:J1019"/>
    <mergeCell ref="D1020:D1023"/>
    <mergeCell ref="E1020:E1023"/>
    <mergeCell ref="F1020:F1023"/>
    <mergeCell ref="G1020:G1021"/>
    <mergeCell ref="H1020:H1021"/>
    <mergeCell ref="I1020:I1021"/>
    <mergeCell ref="J1020:J1021"/>
    <mergeCell ref="G1022:G1023"/>
    <mergeCell ref="H1022:H1023"/>
    <mergeCell ref="I1022:I1023"/>
    <mergeCell ref="J1022:J1023"/>
    <mergeCell ref="D1024:D1027"/>
    <mergeCell ref="E1024:E1027"/>
    <mergeCell ref="F1024:F1027"/>
    <mergeCell ref="G1024:G1025"/>
    <mergeCell ref="H1024:H1025"/>
    <mergeCell ref="I1024:I1025"/>
    <mergeCell ref="J1024:J1025"/>
    <mergeCell ref="G1026:G1027"/>
    <mergeCell ref="H1026:H1027"/>
    <mergeCell ref="I1026:I1027"/>
    <mergeCell ref="J1026:J1027"/>
    <mergeCell ref="D1028:D1031"/>
    <mergeCell ref="E1028:E1031"/>
    <mergeCell ref="F1028:F1031"/>
    <mergeCell ref="G1028:G1029"/>
    <mergeCell ref="H1028:H1029"/>
    <mergeCell ref="I1028:I1029"/>
    <mergeCell ref="J1028:J1029"/>
    <mergeCell ref="G1030:G1031"/>
    <mergeCell ref="H1030:H1031"/>
    <mergeCell ref="I1030:I1031"/>
    <mergeCell ref="J1030:J1031"/>
    <mergeCell ref="C1032:C1051"/>
    <mergeCell ref="D1032:D1035"/>
    <mergeCell ref="E1032:E1035"/>
    <mergeCell ref="F1032:F1035"/>
    <mergeCell ref="G1032:G1033"/>
    <mergeCell ref="H1032:H1033"/>
    <mergeCell ref="I1032:I1033"/>
    <mergeCell ref="J1032:J1033"/>
    <mergeCell ref="G1034:G1035"/>
    <mergeCell ref="H1034:H1035"/>
    <mergeCell ref="I1034:I1035"/>
    <mergeCell ref="J1034:J1035"/>
    <mergeCell ref="D1036:D1039"/>
    <mergeCell ref="E1036:E1039"/>
    <mergeCell ref="F1036:F1039"/>
    <mergeCell ref="G1036:G1037"/>
    <mergeCell ref="H1036:H1037"/>
    <mergeCell ref="I1036:I1037"/>
    <mergeCell ref="J1036:J1037"/>
    <mergeCell ref="G1038:G1039"/>
    <mergeCell ref="H1038:H1039"/>
    <mergeCell ref="I1038:I1039"/>
    <mergeCell ref="J1038:J1039"/>
    <mergeCell ref="D1040:D1043"/>
    <mergeCell ref="E1040:E1043"/>
    <mergeCell ref="F1040:F1043"/>
    <mergeCell ref="G1040:G1041"/>
    <mergeCell ref="H1040:H1041"/>
    <mergeCell ref="I1040:I1041"/>
    <mergeCell ref="J1040:J1041"/>
    <mergeCell ref="G1042:G1043"/>
    <mergeCell ref="H1042:H1043"/>
    <mergeCell ref="I1042:I1043"/>
    <mergeCell ref="J1042:J1043"/>
    <mergeCell ref="D1044:D1047"/>
    <mergeCell ref="E1044:E1047"/>
    <mergeCell ref="F1044:F1047"/>
    <mergeCell ref="G1044:G1045"/>
    <mergeCell ref="H1044:H1045"/>
    <mergeCell ref="I1044:I1045"/>
    <mergeCell ref="J1044:J1045"/>
    <mergeCell ref="G1046:G1047"/>
    <mergeCell ref="H1046:H1047"/>
    <mergeCell ref="I1046:I1047"/>
    <mergeCell ref="J1046:J1047"/>
    <mergeCell ref="D1048:D1051"/>
    <mergeCell ref="E1048:E1051"/>
    <mergeCell ref="F1048:F1051"/>
    <mergeCell ref="G1048:G1049"/>
    <mergeCell ref="H1048:H1049"/>
    <mergeCell ref="I1048:I1049"/>
    <mergeCell ref="J1048:J1049"/>
    <mergeCell ref="G1050:G1051"/>
    <mergeCell ref="H1050:H1051"/>
    <mergeCell ref="I1050:I1051"/>
    <mergeCell ref="J1050:J1051"/>
    <mergeCell ref="C1052:C1071"/>
    <mergeCell ref="D1052:D1055"/>
    <mergeCell ref="E1052:E1055"/>
    <mergeCell ref="F1052:F1055"/>
    <mergeCell ref="G1052:G1053"/>
    <mergeCell ref="H1052:H1053"/>
    <mergeCell ref="I1052:I1053"/>
    <mergeCell ref="J1052:J1053"/>
    <mergeCell ref="G1054:G1055"/>
    <mergeCell ref="H1054:H1055"/>
    <mergeCell ref="I1054:I1055"/>
    <mergeCell ref="J1054:J1055"/>
    <mergeCell ref="D1056:D1059"/>
    <mergeCell ref="E1056:E1059"/>
    <mergeCell ref="F1056:F1059"/>
    <mergeCell ref="G1056:G1057"/>
    <mergeCell ref="H1056:H1057"/>
    <mergeCell ref="I1056:I1057"/>
    <mergeCell ref="J1056:J1057"/>
    <mergeCell ref="G1058:G1059"/>
    <mergeCell ref="H1058:H1059"/>
    <mergeCell ref="I1058:I1059"/>
    <mergeCell ref="J1058:J1059"/>
    <mergeCell ref="D1060:D1063"/>
    <mergeCell ref="E1060:E1063"/>
    <mergeCell ref="F1060:F1063"/>
    <mergeCell ref="G1060:G1061"/>
    <mergeCell ref="H1060:H1061"/>
    <mergeCell ref="I1060:I1061"/>
    <mergeCell ref="J1060:J1061"/>
    <mergeCell ref="G1062:G1063"/>
    <mergeCell ref="H1062:H1063"/>
    <mergeCell ref="I1062:I1063"/>
    <mergeCell ref="J1062:J1063"/>
    <mergeCell ref="D1064:D1067"/>
    <mergeCell ref="E1064:E1067"/>
    <mergeCell ref="F1064:F1067"/>
    <mergeCell ref="G1064:G1065"/>
    <mergeCell ref="H1064:H1065"/>
    <mergeCell ref="I1064:I1065"/>
    <mergeCell ref="J1064:J1065"/>
    <mergeCell ref="G1066:G1067"/>
    <mergeCell ref="H1066:H1067"/>
    <mergeCell ref="I1066:I1067"/>
    <mergeCell ref="J1066:J1067"/>
    <mergeCell ref="D1068:D1071"/>
    <mergeCell ref="E1068:E1071"/>
    <mergeCell ref="F1068:F1071"/>
    <mergeCell ref="G1068:G1069"/>
    <mergeCell ref="H1068:H1069"/>
    <mergeCell ref="I1068:I1069"/>
    <mergeCell ref="J1068:J1069"/>
    <mergeCell ref="G1070:G1071"/>
    <mergeCell ref="H1070:H1071"/>
    <mergeCell ref="I1070:I1071"/>
    <mergeCell ref="J1070:J1071"/>
    <mergeCell ref="B1072:B1191"/>
    <mergeCell ref="C1072:C1091"/>
    <mergeCell ref="D1072:D1075"/>
    <mergeCell ref="E1072:E1075"/>
    <mergeCell ref="F1072:F1075"/>
    <mergeCell ref="G1072:G1073"/>
    <mergeCell ref="H1072:H1073"/>
    <mergeCell ref="I1072:I1073"/>
    <mergeCell ref="J1072:J1073"/>
    <mergeCell ref="G1074:G1075"/>
    <mergeCell ref="H1074:H1075"/>
    <mergeCell ref="I1074:I1075"/>
    <mergeCell ref="J1074:J1075"/>
    <mergeCell ref="D1076:D1079"/>
    <mergeCell ref="E1076:E1079"/>
    <mergeCell ref="F1076:F1079"/>
    <mergeCell ref="G1076:G1077"/>
    <mergeCell ref="H1076:H1077"/>
    <mergeCell ref="I1076:I1077"/>
    <mergeCell ref="J1076:J1077"/>
    <mergeCell ref="G1078:G1079"/>
    <mergeCell ref="H1078:H1079"/>
    <mergeCell ref="I1078:I1079"/>
    <mergeCell ref="J1078:J1079"/>
    <mergeCell ref="D1080:D1083"/>
    <mergeCell ref="E1080:E1083"/>
    <mergeCell ref="F1080:F1083"/>
    <mergeCell ref="G1080:G1081"/>
    <mergeCell ref="H1080:H1081"/>
    <mergeCell ref="I1080:I1081"/>
    <mergeCell ref="J1080:J1081"/>
    <mergeCell ref="G1082:G1083"/>
    <mergeCell ref="H1082:H1083"/>
    <mergeCell ref="I1082:I1083"/>
    <mergeCell ref="J1082:J1083"/>
    <mergeCell ref="D1084:D1087"/>
    <mergeCell ref="E1084:E1087"/>
    <mergeCell ref="F1084:F1087"/>
    <mergeCell ref="G1084:G1085"/>
    <mergeCell ref="H1084:H1085"/>
    <mergeCell ref="I1084:I1085"/>
    <mergeCell ref="J1084:J1085"/>
    <mergeCell ref="G1086:G1087"/>
    <mergeCell ref="H1086:H1087"/>
    <mergeCell ref="I1086:I1087"/>
    <mergeCell ref="J1086:J1087"/>
    <mergeCell ref="D1088:D1091"/>
    <mergeCell ref="E1088:E1091"/>
    <mergeCell ref="F1088:F1091"/>
    <mergeCell ref="G1088:G1089"/>
    <mergeCell ref="H1088:H1089"/>
    <mergeCell ref="I1088:I1089"/>
    <mergeCell ref="J1088:J1089"/>
    <mergeCell ref="G1090:G1091"/>
    <mergeCell ref="H1090:H1091"/>
    <mergeCell ref="I1090:I1091"/>
    <mergeCell ref="J1090:J1091"/>
    <mergeCell ref="C1092:C1111"/>
    <mergeCell ref="D1092:D1095"/>
    <mergeCell ref="E1092:E1095"/>
    <mergeCell ref="F1092:F1095"/>
    <mergeCell ref="G1092:G1093"/>
    <mergeCell ref="H1092:H1093"/>
    <mergeCell ref="I1092:I1093"/>
    <mergeCell ref="J1092:J1093"/>
    <mergeCell ref="G1094:G1095"/>
    <mergeCell ref="H1094:H1095"/>
    <mergeCell ref="I1094:I1095"/>
    <mergeCell ref="J1094:J1095"/>
    <mergeCell ref="D1096:D1099"/>
    <mergeCell ref="E1096:E1099"/>
    <mergeCell ref="F1096:F1099"/>
    <mergeCell ref="G1096:G1097"/>
    <mergeCell ref="H1096:H1097"/>
    <mergeCell ref="I1096:I1097"/>
    <mergeCell ref="J1096:J1097"/>
    <mergeCell ref="G1098:G1099"/>
    <mergeCell ref="H1098:H1099"/>
    <mergeCell ref="I1098:I1099"/>
    <mergeCell ref="J1098:J1099"/>
    <mergeCell ref="D1100:D1103"/>
    <mergeCell ref="E1100:E1103"/>
    <mergeCell ref="F1100:F1103"/>
    <mergeCell ref="G1100:G1101"/>
    <mergeCell ref="H1100:H1101"/>
    <mergeCell ref="I1100:I1101"/>
    <mergeCell ref="J1100:J1101"/>
    <mergeCell ref="G1102:G1103"/>
    <mergeCell ref="H1102:H1103"/>
    <mergeCell ref="I1102:I1103"/>
    <mergeCell ref="J1102:J1103"/>
    <mergeCell ref="D1104:D1107"/>
    <mergeCell ref="E1104:E1107"/>
    <mergeCell ref="F1104:F1107"/>
    <mergeCell ref="G1104:G1105"/>
    <mergeCell ref="H1104:H1105"/>
    <mergeCell ref="I1104:I1105"/>
    <mergeCell ref="J1104:J1105"/>
    <mergeCell ref="G1106:G1107"/>
    <mergeCell ref="H1106:H1107"/>
    <mergeCell ref="I1106:I1107"/>
    <mergeCell ref="J1106:J1107"/>
    <mergeCell ref="D1108:D1111"/>
    <mergeCell ref="E1108:E1111"/>
    <mergeCell ref="F1108:F1111"/>
    <mergeCell ref="G1108:G1109"/>
    <mergeCell ref="H1108:H1109"/>
    <mergeCell ref="I1108:I1109"/>
    <mergeCell ref="J1108:J1109"/>
    <mergeCell ref="G1110:G1111"/>
    <mergeCell ref="H1110:H1111"/>
    <mergeCell ref="I1110:I1111"/>
    <mergeCell ref="J1110:J1111"/>
    <mergeCell ref="C1112:C1131"/>
    <mergeCell ref="D1112:D1115"/>
    <mergeCell ref="E1112:E1115"/>
    <mergeCell ref="F1112:F1115"/>
    <mergeCell ref="G1112:G1113"/>
    <mergeCell ref="H1112:H1113"/>
    <mergeCell ref="I1112:I1113"/>
    <mergeCell ref="J1112:J1113"/>
    <mergeCell ref="G1114:G1115"/>
    <mergeCell ref="H1114:H1115"/>
    <mergeCell ref="I1114:I1115"/>
    <mergeCell ref="J1114:J1115"/>
    <mergeCell ref="D1116:D1119"/>
    <mergeCell ref="E1116:E1119"/>
    <mergeCell ref="F1116:F1119"/>
    <mergeCell ref="G1116:G1117"/>
    <mergeCell ref="H1116:H1117"/>
    <mergeCell ref="I1116:I1117"/>
    <mergeCell ref="J1116:J1117"/>
    <mergeCell ref="G1118:G1119"/>
    <mergeCell ref="H1118:H1119"/>
    <mergeCell ref="I1118:I1119"/>
    <mergeCell ref="J1118:J1119"/>
    <mergeCell ref="D1120:D1123"/>
    <mergeCell ref="E1120:E1123"/>
    <mergeCell ref="F1120:F1123"/>
    <mergeCell ref="G1120:G1121"/>
    <mergeCell ref="H1120:H1121"/>
    <mergeCell ref="I1120:I1121"/>
    <mergeCell ref="J1120:J1121"/>
    <mergeCell ref="G1122:G1123"/>
    <mergeCell ref="H1122:H1123"/>
    <mergeCell ref="I1122:I1123"/>
    <mergeCell ref="J1122:J1123"/>
    <mergeCell ref="D1124:D1127"/>
    <mergeCell ref="E1124:E1127"/>
    <mergeCell ref="F1124:F1127"/>
    <mergeCell ref="G1124:G1125"/>
    <mergeCell ref="H1124:H1125"/>
    <mergeCell ref="I1124:I1125"/>
    <mergeCell ref="J1124:J1125"/>
    <mergeCell ref="G1126:G1127"/>
    <mergeCell ref="H1126:H1127"/>
    <mergeCell ref="I1126:I1127"/>
    <mergeCell ref="J1126:J1127"/>
    <mergeCell ref="D1128:D1131"/>
    <mergeCell ref="E1128:E1131"/>
    <mergeCell ref="F1128:F1131"/>
    <mergeCell ref="G1128:G1129"/>
    <mergeCell ref="H1128:H1129"/>
    <mergeCell ref="I1128:I1129"/>
    <mergeCell ref="J1128:J1129"/>
    <mergeCell ref="G1130:G1131"/>
    <mergeCell ref="H1130:H1131"/>
    <mergeCell ref="I1130:I1131"/>
    <mergeCell ref="J1130:J1131"/>
    <mergeCell ref="C1132:C1151"/>
    <mergeCell ref="D1132:D1135"/>
    <mergeCell ref="E1132:E1135"/>
    <mergeCell ref="F1132:F1135"/>
    <mergeCell ref="G1132:G1133"/>
    <mergeCell ref="H1132:H1133"/>
    <mergeCell ref="I1132:I1133"/>
    <mergeCell ref="J1132:J1133"/>
    <mergeCell ref="G1134:G1135"/>
    <mergeCell ref="H1134:H1135"/>
    <mergeCell ref="I1134:I1135"/>
    <mergeCell ref="J1134:J1135"/>
    <mergeCell ref="D1136:D1139"/>
    <mergeCell ref="E1136:E1139"/>
    <mergeCell ref="F1136:F1139"/>
    <mergeCell ref="G1136:G1137"/>
    <mergeCell ref="H1136:H1137"/>
    <mergeCell ref="I1136:I1137"/>
    <mergeCell ref="J1136:J1137"/>
    <mergeCell ref="G1138:G1139"/>
    <mergeCell ref="H1138:H1139"/>
    <mergeCell ref="I1138:I1139"/>
    <mergeCell ref="J1138:J1139"/>
    <mergeCell ref="D1140:D1143"/>
    <mergeCell ref="E1140:E1143"/>
    <mergeCell ref="F1140:F1143"/>
    <mergeCell ref="G1140:G1141"/>
    <mergeCell ref="H1140:H1141"/>
    <mergeCell ref="I1140:I1141"/>
    <mergeCell ref="J1140:J1141"/>
    <mergeCell ref="G1142:G1143"/>
    <mergeCell ref="H1142:H1143"/>
    <mergeCell ref="I1142:I1143"/>
    <mergeCell ref="J1142:J1143"/>
    <mergeCell ref="D1144:D1147"/>
    <mergeCell ref="E1144:E1147"/>
    <mergeCell ref="F1144:F1147"/>
    <mergeCell ref="G1144:G1145"/>
    <mergeCell ref="H1144:H1145"/>
    <mergeCell ref="I1144:I1145"/>
    <mergeCell ref="J1144:J1145"/>
    <mergeCell ref="G1146:G1147"/>
    <mergeCell ref="H1146:H1147"/>
    <mergeCell ref="I1146:I1147"/>
    <mergeCell ref="J1146:J1147"/>
    <mergeCell ref="D1148:D1151"/>
    <mergeCell ref="E1148:E1151"/>
    <mergeCell ref="F1148:F1151"/>
    <mergeCell ref="G1148:G1149"/>
    <mergeCell ref="H1148:H1149"/>
    <mergeCell ref="I1148:I1149"/>
    <mergeCell ref="J1148:J1149"/>
    <mergeCell ref="G1150:G1151"/>
    <mergeCell ref="H1150:H1151"/>
    <mergeCell ref="I1150:I1151"/>
    <mergeCell ref="J1150:J1151"/>
    <mergeCell ref="C1152:C1171"/>
    <mergeCell ref="D1152:D1155"/>
    <mergeCell ref="E1152:E1155"/>
    <mergeCell ref="F1152:F1155"/>
    <mergeCell ref="G1152:G1153"/>
    <mergeCell ref="H1152:H1153"/>
    <mergeCell ref="I1152:I1153"/>
    <mergeCell ref="J1152:J1153"/>
    <mergeCell ref="G1154:G1155"/>
    <mergeCell ref="H1154:H1155"/>
    <mergeCell ref="I1154:I1155"/>
    <mergeCell ref="J1154:J1155"/>
    <mergeCell ref="D1156:D1159"/>
    <mergeCell ref="E1156:E1159"/>
    <mergeCell ref="F1156:F1159"/>
    <mergeCell ref="G1156:G1157"/>
    <mergeCell ref="H1156:H1157"/>
    <mergeCell ref="I1156:I1157"/>
    <mergeCell ref="J1156:J1157"/>
    <mergeCell ref="G1158:G1159"/>
    <mergeCell ref="H1158:H1159"/>
    <mergeCell ref="I1158:I1159"/>
    <mergeCell ref="J1158:J1159"/>
    <mergeCell ref="D1160:D1163"/>
    <mergeCell ref="E1160:E1163"/>
    <mergeCell ref="F1160:F1163"/>
    <mergeCell ref="G1160:G1161"/>
    <mergeCell ref="H1160:H1161"/>
    <mergeCell ref="I1160:I1161"/>
    <mergeCell ref="J1160:J1161"/>
    <mergeCell ref="G1162:G1163"/>
    <mergeCell ref="H1162:H1163"/>
    <mergeCell ref="I1162:I1163"/>
    <mergeCell ref="J1162:J1163"/>
    <mergeCell ref="D1164:D1167"/>
    <mergeCell ref="E1164:E1167"/>
    <mergeCell ref="F1164:F1167"/>
    <mergeCell ref="G1164:G1165"/>
    <mergeCell ref="H1164:H1165"/>
    <mergeCell ref="I1164:I1165"/>
    <mergeCell ref="J1164:J1165"/>
    <mergeCell ref="G1166:G1167"/>
    <mergeCell ref="H1166:H1167"/>
    <mergeCell ref="I1166:I1167"/>
    <mergeCell ref="J1166:J1167"/>
    <mergeCell ref="D1168:D1171"/>
    <mergeCell ref="E1168:E1171"/>
    <mergeCell ref="F1168:F1171"/>
    <mergeCell ref="G1168:G1169"/>
    <mergeCell ref="H1168:H1169"/>
    <mergeCell ref="I1168:I1169"/>
    <mergeCell ref="J1168:J1169"/>
    <mergeCell ref="G1170:G1171"/>
    <mergeCell ref="H1170:H1171"/>
    <mergeCell ref="I1170:I1171"/>
    <mergeCell ref="J1170:J1171"/>
    <mergeCell ref="C1172:C1191"/>
    <mergeCell ref="D1172:D1175"/>
    <mergeCell ref="E1172:E1175"/>
    <mergeCell ref="F1172:F1175"/>
    <mergeCell ref="G1172:G1173"/>
    <mergeCell ref="H1172:H1173"/>
    <mergeCell ref="I1172:I1173"/>
    <mergeCell ref="J1172:J1173"/>
    <mergeCell ref="G1174:G1175"/>
    <mergeCell ref="H1174:H1175"/>
    <mergeCell ref="I1174:I1175"/>
    <mergeCell ref="J1174:J1175"/>
    <mergeCell ref="D1176:D1179"/>
    <mergeCell ref="E1176:E1179"/>
    <mergeCell ref="F1176:F1179"/>
    <mergeCell ref="G1176:G1177"/>
    <mergeCell ref="H1176:H1177"/>
    <mergeCell ref="I1176:I1177"/>
    <mergeCell ref="J1176:J1177"/>
    <mergeCell ref="G1178:G1179"/>
    <mergeCell ref="H1178:H1179"/>
    <mergeCell ref="I1178:I1179"/>
    <mergeCell ref="J1178:J1179"/>
    <mergeCell ref="D1180:D1183"/>
    <mergeCell ref="E1180:E1183"/>
    <mergeCell ref="F1180:F1183"/>
    <mergeCell ref="G1180:G1181"/>
    <mergeCell ref="H1180:H1181"/>
    <mergeCell ref="I1180:I1181"/>
    <mergeCell ref="J1180:J1181"/>
    <mergeCell ref="G1182:G1183"/>
    <mergeCell ref="H1182:H1183"/>
    <mergeCell ref="I1182:I1183"/>
    <mergeCell ref="J1182:J1183"/>
    <mergeCell ref="D1184:D1187"/>
    <mergeCell ref="E1184:E1187"/>
    <mergeCell ref="F1184:F1187"/>
    <mergeCell ref="G1184:G1185"/>
    <mergeCell ref="H1184:H1185"/>
    <mergeCell ref="I1184:I1185"/>
    <mergeCell ref="J1184:J1185"/>
    <mergeCell ref="G1186:G1187"/>
    <mergeCell ref="H1186:H1187"/>
    <mergeCell ref="I1186:I1187"/>
    <mergeCell ref="J1186:J1187"/>
    <mergeCell ref="D1188:D1191"/>
    <mergeCell ref="E1188:E1191"/>
    <mergeCell ref="F1188:F1191"/>
    <mergeCell ref="G1188:G1189"/>
    <mergeCell ref="H1188:H1189"/>
    <mergeCell ref="J1188:J1189"/>
    <mergeCell ref="G1190:G1191"/>
    <mergeCell ref="H1190:H1191"/>
    <mergeCell ref="I1190:I1191"/>
    <mergeCell ref="J1190:J1191"/>
    <mergeCell ref="A1192:A1311"/>
    <mergeCell ref="B1192:B1311"/>
    <mergeCell ref="C1192:C1211"/>
    <mergeCell ref="D1192:D1195"/>
    <mergeCell ref="E1192:E1195"/>
    <mergeCell ref="F1192:F1195"/>
    <mergeCell ref="G1192:G1193"/>
    <mergeCell ref="H1192:H1193"/>
    <mergeCell ref="I1192:I1193"/>
    <mergeCell ref="J1192:J1193"/>
    <mergeCell ref="G1194:G1195"/>
    <mergeCell ref="H1194:H1195"/>
    <mergeCell ref="I1194:I1195"/>
    <mergeCell ref="J1194:J1195"/>
    <mergeCell ref="D1196:D1199"/>
    <mergeCell ref="E1196:E1199"/>
    <mergeCell ref="F1196:F1199"/>
    <mergeCell ref="G1196:G1197"/>
    <mergeCell ref="H1196:H1197"/>
    <mergeCell ref="I1196:I1197"/>
    <mergeCell ref="J1196:J1197"/>
    <mergeCell ref="G1198:G1199"/>
    <mergeCell ref="H1198:H1199"/>
    <mergeCell ref="I1198:I1199"/>
    <mergeCell ref="J1198:J1199"/>
    <mergeCell ref="D1200:D1203"/>
    <mergeCell ref="E1200:E1203"/>
    <mergeCell ref="F1200:F1203"/>
    <mergeCell ref="G1200:G1201"/>
    <mergeCell ref="H1200:H1201"/>
    <mergeCell ref="I1200:I1201"/>
    <mergeCell ref="J1200:J1201"/>
    <mergeCell ref="G1202:G1203"/>
    <mergeCell ref="H1202:H1203"/>
    <mergeCell ref="I1202:I1203"/>
    <mergeCell ref="J1202:J1203"/>
    <mergeCell ref="D1204:D1207"/>
    <mergeCell ref="E1204:E1207"/>
    <mergeCell ref="F1204:F1207"/>
    <mergeCell ref="G1204:G1205"/>
    <mergeCell ref="I1204:I1205"/>
    <mergeCell ref="G1206:G1207"/>
    <mergeCell ref="H1206:H1207"/>
    <mergeCell ref="I1206:I1207"/>
    <mergeCell ref="J1206:J1207"/>
    <mergeCell ref="D1208:D1211"/>
    <mergeCell ref="E1208:E1211"/>
    <mergeCell ref="F1208:F1211"/>
    <mergeCell ref="G1208:G1209"/>
    <mergeCell ref="H1208:H1209"/>
    <mergeCell ref="I1208:I1209"/>
    <mergeCell ref="J1208:J1209"/>
    <mergeCell ref="G1210:G1211"/>
    <mergeCell ref="H1210:H1211"/>
    <mergeCell ref="I1210:I1211"/>
    <mergeCell ref="J1210:J1211"/>
    <mergeCell ref="C1212:C1231"/>
    <mergeCell ref="D1212:D1215"/>
    <mergeCell ref="E1212:E1215"/>
    <mergeCell ref="F1212:F1215"/>
    <mergeCell ref="G1212:G1213"/>
    <mergeCell ref="H1212:H1213"/>
    <mergeCell ref="I1212:I1213"/>
    <mergeCell ref="J1212:J1213"/>
    <mergeCell ref="G1214:G1215"/>
    <mergeCell ref="H1214:H1215"/>
    <mergeCell ref="I1214:I1215"/>
    <mergeCell ref="J1214:J1215"/>
    <mergeCell ref="D1216:D1219"/>
    <mergeCell ref="E1216:E1219"/>
    <mergeCell ref="F1216:F1219"/>
    <mergeCell ref="G1216:G1217"/>
    <mergeCell ref="H1216:H1217"/>
    <mergeCell ref="I1216:I1217"/>
    <mergeCell ref="J1216:J1217"/>
    <mergeCell ref="G1218:G1219"/>
    <mergeCell ref="H1218:H1219"/>
    <mergeCell ref="I1218:I1219"/>
    <mergeCell ref="J1218:J1219"/>
    <mergeCell ref="D1220:D1223"/>
    <mergeCell ref="E1220:E1223"/>
    <mergeCell ref="F1220:F1223"/>
    <mergeCell ref="G1220:G1221"/>
    <mergeCell ref="H1220:H1221"/>
    <mergeCell ref="I1220:I1221"/>
    <mergeCell ref="J1220:J1221"/>
    <mergeCell ref="G1222:G1223"/>
    <mergeCell ref="H1222:H1223"/>
    <mergeCell ref="I1222:I1223"/>
    <mergeCell ref="J1222:J1223"/>
    <mergeCell ref="D1224:D1227"/>
    <mergeCell ref="E1224:E1227"/>
    <mergeCell ref="F1224:F1227"/>
    <mergeCell ref="G1224:G1225"/>
    <mergeCell ref="H1224:H1225"/>
    <mergeCell ref="I1224:I1225"/>
    <mergeCell ref="J1224:J1225"/>
    <mergeCell ref="G1226:G1227"/>
    <mergeCell ref="H1226:H1227"/>
    <mergeCell ref="I1226:I1227"/>
    <mergeCell ref="J1226:J1227"/>
    <mergeCell ref="D1228:D1231"/>
    <mergeCell ref="E1228:E1231"/>
    <mergeCell ref="F1228:F1231"/>
    <mergeCell ref="G1228:G1229"/>
    <mergeCell ref="H1228:H1229"/>
    <mergeCell ref="I1228:I1229"/>
    <mergeCell ref="J1228:J1229"/>
    <mergeCell ref="G1230:G1231"/>
    <mergeCell ref="H1230:H1231"/>
    <mergeCell ref="I1230:I1231"/>
    <mergeCell ref="J1230:J1231"/>
    <mergeCell ref="C1232:C1251"/>
    <mergeCell ref="D1232:D1235"/>
    <mergeCell ref="E1232:E1235"/>
    <mergeCell ref="F1232:F1235"/>
    <mergeCell ref="G1232:G1233"/>
    <mergeCell ref="H1232:H1233"/>
    <mergeCell ref="I1232:I1233"/>
    <mergeCell ref="J1232:J1233"/>
    <mergeCell ref="G1234:G1235"/>
    <mergeCell ref="H1234:H1235"/>
    <mergeCell ref="I1234:I1235"/>
    <mergeCell ref="J1234:J1235"/>
    <mergeCell ref="D1236:D1239"/>
    <mergeCell ref="E1236:E1239"/>
    <mergeCell ref="F1236:F1239"/>
    <mergeCell ref="G1236:G1237"/>
    <mergeCell ref="H1236:H1237"/>
    <mergeCell ref="I1236:I1237"/>
    <mergeCell ref="J1236:J1237"/>
    <mergeCell ref="G1238:G1239"/>
    <mergeCell ref="H1238:H1239"/>
    <mergeCell ref="I1238:I1239"/>
    <mergeCell ref="J1238:J1239"/>
    <mergeCell ref="D1240:D1243"/>
    <mergeCell ref="E1240:E1243"/>
    <mergeCell ref="F1240:F1243"/>
    <mergeCell ref="G1240:G1241"/>
    <mergeCell ref="H1240:H1241"/>
    <mergeCell ref="I1240:I1241"/>
    <mergeCell ref="J1240:J1241"/>
    <mergeCell ref="G1242:G1243"/>
    <mergeCell ref="H1242:H1243"/>
    <mergeCell ref="I1242:I1243"/>
    <mergeCell ref="J1242:J1243"/>
    <mergeCell ref="D1244:D1247"/>
    <mergeCell ref="E1244:E1247"/>
    <mergeCell ref="F1244:F1247"/>
    <mergeCell ref="G1244:G1245"/>
    <mergeCell ref="H1244:H1245"/>
    <mergeCell ref="I1244:I1245"/>
    <mergeCell ref="J1244:J1245"/>
    <mergeCell ref="G1246:G1247"/>
    <mergeCell ref="H1246:H1247"/>
    <mergeCell ref="I1246:I1247"/>
    <mergeCell ref="J1246:J1247"/>
    <mergeCell ref="D1248:D1251"/>
    <mergeCell ref="E1248:E1251"/>
    <mergeCell ref="F1248:F1251"/>
    <mergeCell ref="G1248:G1249"/>
    <mergeCell ref="H1248:H1249"/>
    <mergeCell ref="I1248:I1249"/>
    <mergeCell ref="J1248:J1249"/>
    <mergeCell ref="G1250:G1251"/>
    <mergeCell ref="H1250:H1251"/>
    <mergeCell ref="I1250:I1251"/>
    <mergeCell ref="J1250:J1251"/>
    <mergeCell ref="C1252:C1271"/>
    <mergeCell ref="D1252:D1255"/>
    <mergeCell ref="E1252:E1255"/>
    <mergeCell ref="F1252:F1255"/>
    <mergeCell ref="G1252:G1253"/>
    <mergeCell ref="H1252:H1253"/>
    <mergeCell ref="I1252:I1253"/>
    <mergeCell ref="J1252:J1253"/>
    <mergeCell ref="G1254:G1255"/>
    <mergeCell ref="H1254:H1255"/>
    <mergeCell ref="I1254:I1255"/>
    <mergeCell ref="J1254:J1255"/>
    <mergeCell ref="D1256:D1259"/>
    <mergeCell ref="E1256:E1259"/>
    <mergeCell ref="F1256:F1259"/>
    <mergeCell ref="G1256:G1257"/>
    <mergeCell ref="H1256:H1257"/>
    <mergeCell ref="I1256:I1257"/>
    <mergeCell ref="J1256:J1257"/>
    <mergeCell ref="G1258:G1259"/>
    <mergeCell ref="H1258:H1259"/>
    <mergeCell ref="I1258:I1259"/>
    <mergeCell ref="J1258:J1259"/>
    <mergeCell ref="D1260:D1263"/>
    <mergeCell ref="E1260:E1263"/>
    <mergeCell ref="F1260:F1263"/>
    <mergeCell ref="G1260:G1261"/>
    <mergeCell ref="H1260:H1261"/>
    <mergeCell ref="I1260:I1261"/>
    <mergeCell ref="J1260:J1261"/>
    <mergeCell ref="G1262:G1263"/>
    <mergeCell ref="H1262:H1263"/>
    <mergeCell ref="I1262:I1263"/>
    <mergeCell ref="J1262:J1263"/>
    <mergeCell ref="D1264:D1267"/>
    <mergeCell ref="E1264:E1267"/>
    <mergeCell ref="F1264:F1267"/>
    <mergeCell ref="G1264:G1265"/>
    <mergeCell ref="H1264:H1265"/>
    <mergeCell ref="I1264:I1265"/>
    <mergeCell ref="J1264:J1265"/>
    <mergeCell ref="G1266:G1267"/>
    <mergeCell ref="H1266:H1267"/>
    <mergeCell ref="I1266:I1267"/>
    <mergeCell ref="J1266:J1267"/>
    <mergeCell ref="D1268:D1271"/>
    <mergeCell ref="E1268:E1271"/>
    <mergeCell ref="F1268:F1271"/>
    <mergeCell ref="G1268:G1269"/>
    <mergeCell ref="H1268:H1269"/>
    <mergeCell ref="I1268:I1269"/>
    <mergeCell ref="J1268:J1269"/>
    <mergeCell ref="G1270:G1271"/>
    <mergeCell ref="H1270:H1271"/>
    <mergeCell ref="I1270:I1271"/>
    <mergeCell ref="J1270:J1271"/>
    <mergeCell ref="C1272:C1291"/>
    <mergeCell ref="D1272:D1275"/>
    <mergeCell ref="E1272:E1275"/>
    <mergeCell ref="F1272:F1275"/>
    <mergeCell ref="G1272:G1273"/>
    <mergeCell ref="H1272:H1273"/>
    <mergeCell ref="I1272:I1273"/>
    <mergeCell ref="J1272:J1273"/>
    <mergeCell ref="G1274:G1275"/>
    <mergeCell ref="H1274:H1275"/>
    <mergeCell ref="I1274:I1275"/>
    <mergeCell ref="J1274:J1275"/>
    <mergeCell ref="D1276:D1279"/>
    <mergeCell ref="E1276:E1279"/>
    <mergeCell ref="F1276:F1279"/>
    <mergeCell ref="G1276:G1277"/>
    <mergeCell ref="H1276:H1277"/>
    <mergeCell ref="I1276:I1277"/>
    <mergeCell ref="J1276:J1277"/>
    <mergeCell ref="G1278:G1279"/>
    <mergeCell ref="H1278:H1279"/>
    <mergeCell ref="I1278:I1279"/>
    <mergeCell ref="J1278:J1279"/>
    <mergeCell ref="D1280:D1283"/>
    <mergeCell ref="E1280:E1283"/>
    <mergeCell ref="F1280:F1283"/>
    <mergeCell ref="G1280:G1281"/>
    <mergeCell ref="H1280:H1281"/>
    <mergeCell ref="I1280:I1281"/>
    <mergeCell ref="J1280:J1281"/>
    <mergeCell ref="G1282:G1283"/>
    <mergeCell ref="H1282:H1283"/>
    <mergeCell ref="I1282:I1283"/>
    <mergeCell ref="J1282:J1283"/>
    <mergeCell ref="D1284:D1287"/>
    <mergeCell ref="E1284:E1287"/>
    <mergeCell ref="F1284:F1287"/>
    <mergeCell ref="G1284:G1285"/>
    <mergeCell ref="H1284:H1285"/>
    <mergeCell ref="I1284:I1285"/>
    <mergeCell ref="J1284:J1285"/>
    <mergeCell ref="G1286:G1287"/>
    <mergeCell ref="H1286:H1287"/>
    <mergeCell ref="I1286:I1287"/>
    <mergeCell ref="J1286:J1287"/>
    <mergeCell ref="D1288:D1291"/>
    <mergeCell ref="E1288:E1291"/>
    <mergeCell ref="F1288:F1291"/>
    <mergeCell ref="G1288:G1289"/>
    <mergeCell ref="H1288:H1289"/>
    <mergeCell ref="I1288:I1289"/>
    <mergeCell ref="J1288:J1289"/>
    <mergeCell ref="G1290:G1291"/>
    <mergeCell ref="H1290:H1291"/>
    <mergeCell ref="I1290:I1291"/>
    <mergeCell ref="J1290:J1291"/>
    <mergeCell ref="C1292:C1311"/>
    <mergeCell ref="D1292:D1295"/>
    <mergeCell ref="E1292:E1295"/>
    <mergeCell ref="F1292:F1295"/>
    <mergeCell ref="G1292:G1293"/>
    <mergeCell ref="H1292:H1293"/>
    <mergeCell ref="I1292:I1293"/>
    <mergeCell ref="J1292:J1293"/>
    <mergeCell ref="G1294:G1295"/>
    <mergeCell ref="H1294:H1295"/>
    <mergeCell ref="I1294:I1295"/>
    <mergeCell ref="J1294:J1295"/>
    <mergeCell ref="D1296:D1299"/>
    <mergeCell ref="E1296:E1299"/>
    <mergeCell ref="F1296:F1299"/>
    <mergeCell ref="G1296:G1297"/>
    <mergeCell ref="H1296:H1297"/>
    <mergeCell ref="I1296:I1297"/>
    <mergeCell ref="J1296:J1297"/>
    <mergeCell ref="G1298:G1299"/>
    <mergeCell ref="H1298:H1299"/>
    <mergeCell ref="I1298:I1299"/>
    <mergeCell ref="J1298:J1299"/>
    <mergeCell ref="D1300:D1303"/>
    <mergeCell ref="E1300:E1303"/>
    <mergeCell ref="F1300:F1303"/>
    <mergeCell ref="G1300:G1301"/>
    <mergeCell ref="H1300:H1301"/>
    <mergeCell ref="I1300:I1301"/>
    <mergeCell ref="J1300:J1301"/>
    <mergeCell ref="G1302:G1303"/>
    <mergeCell ref="H1302:H1303"/>
    <mergeCell ref="I1302:I1303"/>
    <mergeCell ref="J1302:J1303"/>
    <mergeCell ref="D1304:D1307"/>
    <mergeCell ref="E1304:E1307"/>
    <mergeCell ref="F1304:F1307"/>
    <mergeCell ref="G1304:G1305"/>
    <mergeCell ref="H1304:H1305"/>
    <mergeCell ref="I1304:I1305"/>
    <mergeCell ref="J1304:J1305"/>
    <mergeCell ref="G1306:G1307"/>
    <mergeCell ref="H1306:H1307"/>
    <mergeCell ref="I1306:I1307"/>
    <mergeCell ref="J1306:J1307"/>
    <mergeCell ref="D1308:D1311"/>
    <mergeCell ref="E1308:E1311"/>
    <mergeCell ref="F1308:F1311"/>
    <mergeCell ref="G1308:G1309"/>
    <mergeCell ref="H1308:H1309"/>
    <mergeCell ref="I1308:I1309"/>
    <mergeCell ref="J1308:J1309"/>
    <mergeCell ref="G1310:G1311"/>
    <mergeCell ref="H1310:H1311"/>
    <mergeCell ref="I1310:I1311"/>
    <mergeCell ref="J1310:J131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58"/>
  <sheetViews>
    <sheetView showFormulas="false" showGridLines="true" showRowColHeaders="true" showZeros="true" rightToLeft="false" tabSelected="false" showOutlineSymbols="true" defaultGridColor="true" view="normal" topLeftCell="A3156" colorId="64" zoomScale="124" zoomScaleNormal="124" zoomScalePageLayoutView="100" workbookViewId="0">
      <selection pane="topLeft" activeCell="F3152" activeCellId="0" sqref="F3152"/>
    </sheetView>
  </sheetViews>
  <sheetFormatPr defaultColWidth="14.30078125" defaultRowHeight="12.8" zeroHeight="false" outlineLevelRow="0" outlineLevelCol="0"/>
  <cols>
    <col collapsed="false" customWidth="true" hidden="false" outlineLevel="0" max="1" min="1" style="1" width="33.71"/>
    <col collapsed="false" customWidth="true" hidden="false" outlineLevel="0" max="2" min="2" style="1" width="48.13"/>
    <col collapsed="false" customWidth="true" hidden="false" outlineLevel="0" max="3" min="3" style="1" width="53.01"/>
    <col collapsed="false" customWidth="true" hidden="false" outlineLevel="0" max="4" min="4" style="1" width="68.68"/>
    <col collapsed="false" customWidth="true" hidden="false" outlineLevel="0" max="5" min="5" style="1" width="57.78"/>
    <col collapsed="false" customWidth="true" hidden="false" outlineLevel="0" max="6" min="6" style="1" width="48.25"/>
    <col collapsed="false" customWidth="true" hidden="false" outlineLevel="0" max="7" min="7" style="1" width="12.04"/>
    <col collapsed="false" customWidth="true" hidden="false" outlineLevel="0" max="8" min="8" style="1" width="61.98"/>
    <col collapsed="false" customWidth="true" hidden="false" outlineLevel="0" max="9" min="9" style="1" width="12.04"/>
    <col collapsed="false" customWidth="true" hidden="false" outlineLevel="0" max="10" min="10" style="1" width="86.37"/>
    <col collapsed="false" customWidth="true" hidden="false" outlineLevel="0" max="11" min="11" style="1" width="96.59"/>
    <col collapsed="false" customWidth="true" hidden="false" outlineLevel="0" max="26" min="12" style="1" width="12.04"/>
  </cols>
  <sheetData>
    <row r="1" customFormat="false" ht="14.25" hidden="false" customHeight="true" outlineLevel="0" collapsed="false">
      <c r="A1" s="23" t="s">
        <v>1</v>
      </c>
      <c r="B1" s="23" t="s">
        <v>22</v>
      </c>
      <c r="C1" s="24" t="s">
        <v>23</v>
      </c>
      <c r="D1" s="24" t="s">
        <v>24</v>
      </c>
      <c r="E1" s="24" t="s">
        <v>25</v>
      </c>
      <c r="F1" s="25" t="s">
        <v>26</v>
      </c>
      <c r="G1" s="26" t="s">
        <v>27</v>
      </c>
      <c r="H1" s="25" t="s">
        <v>28</v>
      </c>
      <c r="I1" s="26" t="s">
        <v>29</v>
      </c>
      <c r="J1" s="24" t="s">
        <v>30</v>
      </c>
      <c r="K1" s="24" t="s">
        <v>31</v>
      </c>
    </row>
    <row r="2" customFormat="false" ht="14.25" hidden="false" customHeight="true" outlineLevel="0" collapsed="false">
      <c r="A2" s="27" t="s">
        <v>32</v>
      </c>
      <c r="B2" s="28" t="s">
        <v>33</v>
      </c>
      <c r="C2" s="29" t="s">
        <v>34</v>
      </c>
      <c r="D2" s="29" t="s">
        <v>35</v>
      </c>
      <c r="E2" s="30" t="s">
        <v>36</v>
      </c>
      <c r="F2" s="31" t="s">
        <v>37</v>
      </c>
      <c r="G2" s="32" t="s">
        <v>38</v>
      </c>
      <c r="H2" s="33" t="s">
        <v>39</v>
      </c>
      <c r="I2" s="34" t="s">
        <v>40</v>
      </c>
      <c r="J2" s="35" t="s">
        <v>41</v>
      </c>
      <c r="K2" s="36" t="s">
        <v>42</v>
      </c>
    </row>
    <row r="3" customFormat="false" ht="14.25" hidden="false" customHeight="true" outlineLevel="0" collapsed="false">
      <c r="A3" s="27"/>
      <c r="B3" s="27"/>
      <c r="C3" s="27"/>
      <c r="D3" s="27"/>
      <c r="E3" s="30" t="s">
        <v>43</v>
      </c>
      <c r="F3" s="31"/>
      <c r="G3" s="32"/>
      <c r="H3" s="33"/>
      <c r="I3" s="34"/>
      <c r="J3" s="35"/>
      <c r="K3" s="36" t="s">
        <v>44</v>
      </c>
    </row>
    <row r="4" customFormat="false" ht="14.25" hidden="false" customHeight="true" outlineLevel="0" collapsed="false">
      <c r="A4" s="27"/>
      <c r="B4" s="27"/>
      <c r="C4" s="27"/>
      <c r="D4" s="29" t="s">
        <v>45</v>
      </c>
      <c r="E4" s="30" t="s">
        <v>46</v>
      </c>
      <c r="F4" s="31" t="s">
        <v>47</v>
      </c>
      <c r="G4" s="32" t="s">
        <v>48</v>
      </c>
      <c r="H4" s="33" t="s">
        <v>49</v>
      </c>
      <c r="I4" s="37" t="s">
        <v>50</v>
      </c>
      <c r="J4" s="35" t="s">
        <v>51</v>
      </c>
      <c r="K4" s="36" t="s">
        <v>52</v>
      </c>
    </row>
    <row r="5" customFormat="false" ht="14.25" hidden="false" customHeight="true" outlineLevel="0" collapsed="false">
      <c r="A5" s="27"/>
      <c r="B5" s="27"/>
      <c r="C5" s="27"/>
      <c r="D5" s="27"/>
      <c r="E5" s="30" t="s">
        <v>53</v>
      </c>
      <c r="F5" s="31"/>
      <c r="G5" s="32"/>
      <c r="H5" s="33"/>
      <c r="I5" s="37"/>
      <c r="J5" s="35"/>
      <c r="K5" s="36" t="s">
        <v>54</v>
      </c>
    </row>
    <row r="6" customFormat="false" ht="14.25" hidden="false" customHeight="true" outlineLevel="0" collapsed="false">
      <c r="A6" s="27"/>
      <c r="B6" s="27"/>
      <c r="C6" s="27"/>
      <c r="D6" s="29" t="s">
        <v>55</v>
      </c>
      <c r="E6" s="30" t="s">
        <v>56</v>
      </c>
      <c r="F6" s="31" t="s">
        <v>57</v>
      </c>
      <c r="G6" s="32" t="s">
        <v>58</v>
      </c>
      <c r="H6" s="38" t="s">
        <v>59</v>
      </c>
      <c r="I6" s="34" t="s">
        <v>40</v>
      </c>
      <c r="J6" s="35" t="s">
        <v>60</v>
      </c>
      <c r="K6" s="36" t="s">
        <v>61</v>
      </c>
    </row>
    <row r="7" customFormat="false" ht="14.25" hidden="false" customHeight="true" outlineLevel="0" collapsed="false">
      <c r="A7" s="27"/>
      <c r="B7" s="27"/>
      <c r="C7" s="27"/>
      <c r="D7" s="27"/>
      <c r="E7" s="30" t="s">
        <v>46</v>
      </c>
      <c r="F7" s="31"/>
      <c r="G7" s="32"/>
      <c r="H7" s="38"/>
      <c r="I7" s="34"/>
      <c r="J7" s="35"/>
      <c r="K7" s="36" t="s">
        <v>62</v>
      </c>
    </row>
    <row r="8" customFormat="false" ht="14.25" hidden="false" customHeight="true" outlineLevel="0" collapsed="false">
      <c r="A8" s="27"/>
      <c r="B8" s="27"/>
      <c r="C8" s="27"/>
      <c r="D8" s="29" t="s">
        <v>63</v>
      </c>
      <c r="E8" s="36" t="s">
        <v>64</v>
      </c>
      <c r="F8" s="31" t="s">
        <v>65</v>
      </c>
      <c r="G8" s="32" t="s">
        <v>48</v>
      </c>
      <c r="H8" s="38" t="s">
        <v>66</v>
      </c>
      <c r="I8" s="39" t="s">
        <v>67</v>
      </c>
      <c r="J8" s="35" t="s">
        <v>68</v>
      </c>
      <c r="K8" s="36" t="s">
        <v>69</v>
      </c>
    </row>
    <row r="9" customFormat="false" ht="14.25" hidden="false" customHeight="true" outlineLevel="0" collapsed="false">
      <c r="A9" s="27"/>
      <c r="B9" s="27"/>
      <c r="C9" s="27"/>
      <c r="D9" s="27"/>
      <c r="E9" s="36" t="s">
        <v>70</v>
      </c>
      <c r="F9" s="31"/>
      <c r="G9" s="32"/>
      <c r="H9" s="38"/>
      <c r="I9" s="39"/>
      <c r="J9" s="35"/>
      <c r="K9" s="36" t="s">
        <v>71</v>
      </c>
    </row>
    <row r="10" customFormat="false" ht="14.25" hidden="false" customHeight="true" outlineLevel="0" collapsed="false">
      <c r="A10" s="27"/>
      <c r="B10" s="27"/>
      <c r="C10" s="27"/>
      <c r="D10" s="29" t="s">
        <v>72</v>
      </c>
      <c r="E10" s="36" t="s">
        <v>73</v>
      </c>
      <c r="F10" s="31" t="s">
        <v>74</v>
      </c>
      <c r="G10" s="32" t="s">
        <v>48</v>
      </c>
      <c r="H10" s="33" t="s">
        <v>75</v>
      </c>
      <c r="I10" s="34" t="s">
        <v>40</v>
      </c>
      <c r="J10" s="35" t="s">
        <v>76</v>
      </c>
      <c r="K10" s="36" t="s">
        <v>77</v>
      </c>
    </row>
    <row r="11" customFormat="false" ht="14.25" hidden="false" customHeight="true" outlineLevel="0" collapsed="false">
      <c r="A11" s="27"/>
      <c r="B11" s="27"/>
      <c r="C11" s="27"/>
      <c r="D11" s="27"/>
      <c r="E11" s="36" t="s">
        <v>78</v>
      </c>
      <c r="F11" s="31"/>
      <c r="G11" s="32"/>
      <c r="H11" s="33"/>
      <c r="I11" s="34"/>
      <c r="J11" s="35"/>
      <c r="K11" s="36" t="s">
        <v>79</v>
      </c>
    </row>
    <row r="12" customFormat="false" ht="14.25" hidden="false" customHeight="true" outlineLevel="0" collapsed="false">
      <c r="A12" s="27"/>
      <c r="B12" s="27"/>
      <c r="C12" s="40" t="s">
        <v>80</v>
      </c>
      <c r="D12" s="29" t="s">
        <v>81</v>
      </c>
      <c r="E12" s="36" t="s">
        <v>82</v>
      </c>
      <c r="F12" s="31" t="s">
        <v>83</v>
      </c>
      <c r="G12" s="32" t="s">
        <v>38</v>
      </c>
      <c r="H12" s="33" t="s">
        <v>84</v>
      </c>
      <c r="I12" s="37" t="s">
        <v>50</v>
      </c>
      <c r="J12" s="35" t="s">
        <v>85</v>
      </c>
      <c r="K12" s="36" t="s">
        <v>86</v>
      </c>
    </row>
    <row r="13" customFormat="false" ht="14.25" hidden="false" customHeight="true" outlineLevel="0" collapsed="false">
      <c r="A13" s="27"/>
      <c r="B13" s="27"/>
      <c r="C13" s="27"/>
      <c r="D13" s="27"/>
      <c r="E13" s="36" t="s">
        <v>87</v>
      </c>
      <c r="F13" s="31"/>
      <c r="G13" s="32"/>
      <c r="H13" s="33"/>
      <c r="I13" s="37"/>
      <c r="J13" s="35"/>
      <c r="K13" s="36" t="s">
        <v>88</v>
      </c>
    </row>
    <row r="14" customFormat="false" ht="14.25" hidden="false" customHeight="true" outlineLevel="0" collapsed="false">
      <c r="A14" s="27"/>
      <c r="B14" s="27"/>
      <c r="C14" s="27"/>
      <c r="D14" s="29" t="s">
        <v>89</v>
      </c>
      <c r="E14" s="36" t="s">
        <v>90</v>
      </c>
      <c r="F14" s="31" t="s">
        <v>91</v>
      </c>
      <c r="G14" s="32" t="s">
        <v>38</v>
      </c>
      <c r="H14" s="33" t="s">
        <v>92</v>
      </c>
      <c r="I14" s="34" t="s">
        <v>40</v>
      </c>
      <c r="J14" s="35" t="s">
        <v>93</v>
      </c>
      <c r="K14" s="36" t="s">
        <v>94</v>
      </c>
    </row>
    <row r="15" customFormat="false" ht="14.25" hidden="false" customHeight="true" outlineLevel="0" collapsed="false">
      <c r="A15" s="27"/>
      <c r="B15" s="27"/>
      <c r="C15" s="27"/>
      <c r="D15" s="27"/>
      <c r="E15" s="36" t="s">
        <v>95</v>
      </c>
      <c r="F15" s="31"/>
      <c r="G15" s="32"/>
      <c r="H15" s="33"/>
      <c r="I15" s="34"/>
      <c r="J15" s="35"/>
      <c r="K15" s="36" t="s">
        <v>96</v>
      </c>
    </row>
    <row r="16" customFormat="false" ht="14.25" hidden="false" customHeight="true" outlineLevel="0" collapsed="false">
      <c r="A16" s="27"/>
      <c r="B16" s="27"/>
      <c r="C16" s="27"/>
      <c r="D16" s="29" t="s">
        <v>97</v>
      </c>
      <c r="E16" s="36" t="s">
        <v>98</v>
      </c>
      <c r="F16" s="31" t="s">
        <v>99</v>
      </c>
      <c r="G16" s="32" t="s">
        <v>38</v>
      </c>
      <c r="H16" s="33" t="s">
        <v>100</v>
      </c>
      <c r="I16" s="39" t="s">
        <v>67</v>
      </c>
      <c r="J16" s="35" t="s">
        <v>101</v>
      </c>
      <c r="K16" s="36" t="s">
        <v>102</v>
      </c>
    </row>
    <row r="17" customFormat="false" ht="14.25" hidden="false" customHeight="true" outlineLevel="0" collapsed="false">
      <c r="A17" s="27"/>
      <c r="B17" s="27"/>
      <c r="C17" s="27"/>
      <c r="D17" s="27"/>
      <c r="E17" s="36" t="s">
        <v>103</v>
      </c>
      <c r="F17" s="31"/>
      <c r="G17" s="32"/>
      <c r="H17" s="33"/>
      <c r="I17" s="39"/>
      <c r="J17" s="35"/>
      <c r="K17" s="36" t="s">
        <v>104</v>
      </c>
    </row>
    <row r="18" customFormat="false" ht="14.25" hidden="false" customHeight="true" outlineLevel="0" collapsed="false">
      <c r="A18" s="27"/>
      <c r="B18" s="27"/>
      <c r="C18" s="27"/>
      <c r="D18" s="29" t="s">
        <v>105</v>
      </c>
      <c r="E18" s="36" t="s">
        <v>106</v>
      </c>
      <c r="F18" s="31" t="s">
        <v>107</v>
      </c>
      <c r="G18" s="32" t="s">
        <v>48</v>
      </c>
      <c r="H18" s="33" t="s">
        <v>108</v>
      </c>
      <c r="I18" s="34" t="s">
        <v>40</v>
      </c>
      <c r="J18" s="35" t="s">
        <v>109</v>
      </c>
      <c r="K18" s="36" t="s">
        <v>110</v>
      </c>
    </row>
    <row r="19" customFormat="false" ht="14.25" hidden="false" customHeight="true" outlineLevel="0" collapsed="false">
      <c r="A19" s="27"/>
      <c r="B19" s="27"/>
      <c r="C19" s="27"/>
      <c r="D19" s="27"/>
      <c r="E19" s="36" t="s">
        <v>111</v>
      </c>
      <c r="F19" s="31"/>
      <c r="G19" s="32"/>
      <c r="H19" s="33"/>
      <c r="I19" s="34"/>
      <c r="J19" s="35"/>
      <c r="K19" s="36" t="s">
        <v>112</v>
      </c>
    </row>
    <row r="20" customFormat="false" ht="14.25" hidden="false" customHeight="true" outlineLevel="0" collapsed="false">
      <c r="A20" s="27"/>
      <c r="B20" s="27"/>
      <c r="C20" s="27"/>
      <c r="D20" s="29" t="s">
        <v>113</v>
      </c>
      <c r="E20" s="36" t="s">
        <v>114</v>
      </c>
      <c r="F20" s="31" t="s">
        <v>115</v>
      </c>
      <c r="G20" s="32" t="s">
        <v>58</v>
      </c>
      <c r="H20" s="33" t="s">
        <v>116</v>
      </c>
      <c r="I20" s="37" t="s">
        <v>50</v>
      </c>
      <c r="J20" s="35" t="s">
        <v>117</v>
      </c>
      <c r="K20" s="36" t="s">
        <v>118</v>
      </c>
    </row>
    <row r="21" customFormat="false" ht="14.25" hidden="false" customHeight="true" outlineLevel="0" collapsed="false">
      <c r="A21" s="27"/>
      <c r="B21" s="27"/>
      <c r="C21" s="27"/>
      <c r="D21" s="27"/>
      <c r="E21" s="36" t="s">
        <v>119</v>
      </c>
      <c r="F21" s="31"/>
      <c r="G21" s="32"/>
      <c r="H21" s="33"/>
      <c r="I21" s="37"/>
      <c r="J21" s="35"/>
      <c r="K21" s="36" t="s">
        <v>120</v>
      </c>
    </row>
    <row r="22" customFormat="false" ht="14.25" hidden="false" customHeight="true" outlineLevel="0" collapsed="false">
      <c r="A22" s="27"/>
      <c r="B22" s="27"/>
      <c r="C22" s="27"/>
      <c r="D22" s="29" t="s">
        <v>121</v>
      </c>
      <c r="E22" s="36" t="s">
        <v>122</v>
      </c>
      <c r="F22" s="31" t="s">
        <v>123</v>
      </c>
      <c r="G22" s="32" t="s">
        <v>48</v>
      </c>
      <c r="H22" s="33" t="s">
        <v>124</v>
      </c>
      <c r="I22" s="34" t="s">
        <v>40</v>
      </c>
      <c r="J22" s="35" t="s">
        <v>125</v>
      </c>
      <c r="K22" s="36" t="s">
        <v>126</v>
      </c>
    </row>
    <row r="23" customFormat="false" ht="14.25" hidden="false" customHeight="true" outlineLevel="0" collapsed="false">
      <c r="A23" s="27"/>
      <c r="B23" s="27"/>
      <c r="C23" s="27"/>
      <c r="D23" s="27"/>
      <c r="E23" s="36" t="s">
        <v>127</v>
      </c>
      <c r="F23" s="31"/>
      <c r="G23" s="32"/>
      <c r="H23" s="33"/>
      <c r="I23" s="34"/>
      <c r="J23" s="35"/>
      <c r="K23" s="36" t="s">
        <v>128</v>
      </c>
    </row>
    <row r="24" customFormat="false" ht="14.25" hidden="false" customHeight="true" outlineLevel="0" collapsed="false">
      <c r="A24" s="27"/>
      <c r="B24" s="27"/>
      <c r="C24" s="27"/>
      <c r="D24" s="29" t="s">
        <v>129</v>
      </c>
      <c r="E24" s="36" t="s">
        <v>130</v>
      </c>
      <c r="F24" s="31" t="s">
        <v>131</v>
      </c>
      <c r="G24" s="32" t="s">
        <v>48</v>
      </c>
      <c r="H24" s="33" t="s">
        <v>132</v>
      </c>
      <c r="I24" s="39" t="s">
        <v>67</v>
      </c>
      <c r="J24" s="35" t="s">
        <v>133</v>
      </c>
      <c r="K24" s="36" t="s">
        <v>134</v>
      </c>
    </row>
    <row r="25" customFormat="false" ht="14.25" hidden="false" customHeight="true" outlineLevel="0" collapsed="false">
      <c r="A25" s="27"/>
      <c r="B25" s="27"/>
      <c r="C25" s="27"/>
      <c r="D25" s="27"/>
      <c r="E25" s="36" t="s">
        <v>135</v>
      </c>
      <c r="F25" s="31"/>
      <c r="G25" s="32"/>
      <c r="H25" s="33"/>
      <c r="I25" s="39"/>
      <c r="J25" s="35"/>
      <c r="K25" s="36" t="s">
        <v>136</v>
      </c>
    </row>
    <row r="26" customFormat="false" ht="14.25" hidden="false" customHeight="true" outlineLevel="0" collapsed="false">
      <c r="A26" s="27"/>
      <c r="B26" s="27"/>
      <c r="C26" s="40" t="s">
        <v>137</v>
      </c>
      <c r="D26" s="29" t="s">
        <v>138</v>
      </c>
      <c r="E26" s="36" t="s">
        <v>139</v>
      </c>
      <c r="F26" s="31" t="s">
        <v>140</v>
      </c>
      <c r="G26" s="32" t="s">
        <v>38</v>
      </c>
      <c r="H26" s="33" t="s">
        <v>141</v>
      </c>
      <c r="I26" s="34" t="s">
        <v>40</v>
      </c>
      <c r="J26" s="35" t="s">
        <v>142</v>
      </c>
      <c r="K26" s="36" t="s">
        <v>143</v>
      </c>
    </row>
    <row r="27" customFormat="false" ht="14.25" hidden="false" customHeight="true" outlineLevel="0" collapsed="false">
      <c r="A27" s="27"/>
      <c r="B27" s="27"/>
      <c r="C27" s="27"/>
      <c r="D27" s="27"/>
      <c r="E27" s="36" t="s">
        <v>144</v>
      </c>
      <c r="F27" s="31"/>
      <c r="G27" s="32"/>
      <c r="H27" s="33"/>
      <c r="I27" s="34"/>
      <c r="J27" s="35"/>
      <c r="K27" s="36" t="s">
        <v>145</v>
      </c>
    </row>
    <row r="28" customFormat="false" ht="14.25" hidden="false" customHeight="true" outlineLevel="0" collapsed="false">
      <c r="A28" s="27"/>
      <c r="B28" s="27"/>
      <c r="C28" s="27"/>
      <c r="D28" s="29" t="s">
        <v>146</v>
      </c>
      <c r="E28" s="36" t="s">
        <v>147</v>
      </c>
      <c r="F28" s="31" t="s">
        <v>148</v>
      </c>
      <c r="G28" s="32" t="s">
        <v>38</v>
      </c>
      <c r="H28" s="33" t="s">
        <v>149</v>
      </c>
      <c r="I28" s="37" t="s">
        <v>50</v>
      </c>
      <c r="J28" s="35" t="s">
        <v>150</v>
      </c>
      <c r="K28" s="36" t="s">
        <v>151</v>
      </c>
    </row>
    <row r="29" customFormat="false" ht="14.25" hidden="false" customHeight="true" outlineLevel="0" collapsed="false">
      <c r="A29" s="27"/>
      <c r="B29" s="27"/>
      <c r="C29" s="27"/>
      <c r="D29" s="27"/>
      <c r="E29" s="36" t="s">
        <v>152</v>
      </c>
      <c r="F29" s="31"/>
      <c r="G29" s="32"/>
      <c r="H29" s="33"/>
      <c r="I29" s="37"/>
      <c r="J29" s="35"/>
      <c r="K29" s="36" t="s">
        <v>153</v>
      </c>
    </row>
    <row r="30" customFormat="false" ht="14.25" hidden="false" customHeight="true" outlineLevel="0" collapsed="false">
      <c r="A30" s="27"/>
      <c r="B30" s="27"/>
      <c r="C30" s="27"/>
      <c r="D30" s="29" t="s">
        <v>154</v>
      </c>
      <c r="E30" s="36" t="s">
        <v>155</v>
      </c>
      <c r="F30" s="31" t="s">
        <v>156</v>
      </c>
      <c r="G30" s="32" t="s">
        <v>38</v>
      </c>
      <c r="H30" s="33" t="s">
        <v>157</v>
      </c>
      <c r="I30" s="34" t="s">
        <v>40</v>
      </c>
      <c r="J30" s="35" t="s">
        <v>158</v>
      </c>
      <c r="K30" s="36" t="s">
        <v>159</v>
      </c>
    </row>
    <row r="31" customFormat="false" ht="14.25" hidden="false" customHeight="true" outlineLevel="0" collapsed="false">
      <c r="A31" s="27"/>
      <c r="B31" s="27"/>
      <c r="C31" s="27"/>
      <c r="D31" s="27"/>
      <c r="E31" s="36" t="s">
        <v>160</v>
      </c>
      <c r="F31" s="31"/>
      <c r="G31" s="32"/>
      <c r="H31" s="33"/>
      <c r="I31" s="34"/>
      <c r="J31" s="35"/>
      <c r="K31" s="36" t="s">
        <v>161</v>
      </c>
    </row>
    <row r="32" customFormat="false" ht="14.25" hidden="false" customHeight="true" outlineLevel="0" collapsed="false">
      <c r="A32" s="27"/>
      <c r="B32" s="27"/>
      <c r="C32" s="27"/>
      <c r="D32" s="29" t="s">
        <v>162</v>
      </c>
      <c r="E32" s="36" t="s">
        <v>163</v>
      </c>
      <c r="F32" s="31" t="s">
        <v>164</v>
      </c>
      <c r="G32" s="32" t="s">
        <v>48</v>
      </c>
      <c r="H32" s="33" t="s">
        <v>165</v>
      </c>
      <c r="I32" s="39" t="s">
        <v>67</v>
      </c>
      <c r="J32" s="35" t="s">
        <v>166</v>
      </c>
      <c r="K32" s="36" t="s">
        <v>167</v>
      </c>
    </row>
    <row r="33" customFormat="false" ht="14.25" hidden="false" customHeight="true" outlineLevel="0" collapsed="false">
      <c r="A33" s="27"/>
      <c r="B33" s="27"/>
      <c r="C33" s="27"/>
      <c r="D33" s="27"/>
      <c r="E33" s="36" t="s">
        <v>168</v>
      </c>
      <c r="F33" s="31"/>
      <c r="G33" s="32"/>
      <c r="H33" s="33"/>
      <c r="I33" s="39"/>
      <c r="J33" s="35"/>
      <c r="K33" s="36" t="s">
        <v>169</v>
      </c>
    </row>
    <row r="34" customFormat="false" ht="14.25" hidden="false" customHeight="true" outlineLevel="0" collapsed="false">
      <c r="A34" s="27"/>
      <c r="B34" s="27"/>
      <c r="C34" s="27"/>
      <c r="D34" s="29" t="s">
        <v>170</v>
      </c>
      <c r="E34" s="36" t="s">
        <v>171</v>
      </c>
      <c r="F34" s="31" t="s">
        <v>172</v>
      </c>
      <c r="G34" s="32" t="s">
        <v>58</v>
      </c>
      <c r="H34" s="33" t="s">
        <v>173</v>
      </c>
      <c r="I34" s="34" t="s">
        <v>40</v>
      </c>
      <c r="J34" s="35" t="s">
        <v>174</v>
      </c>
      <c r="K34" s="36" t="s">
        <v>175</v>
      </c>
    </row>
    <row r="35" customFormat="false" ht="14.25" hidden="false" customHeight="true" outlineLevel="0" collapsed="false">
      <c r="A35" s="27"/>
      <c r="B35" s="27"/>
      <c r="C35" s="27"/>
      <c r="D35" s="27"/>
      <c r="E35" s="36" t="s">
        <v>176</v>
      </c>
      <c r="F35" s="31"/>
      <c r="G35" s="32"/>
      <c r="H35" s="33"/>
      <c r="I35" s="34"/>
      <c r="J35" s="35"/>
      <c r="K35" s="36" t="s">
        <v>177</v>
      </c>
    </row>
    <row r="36" customFormat="false" ht="14.25" hidden="false" customHeight="true" outlineLevel="0" collapsed="false">
      <c r="A36" s="27"/>
      <c r="B36" s="27"/>
      <c r="C36" s="29" t="s">
        <v>178</v>
      </c>
      <c r="D36" s="29" t="s">
        <v>179</v>
      </c>
      <c r="E36" s="36" t="s">
        <v>180</v>
      </c>
      <c r="F36" s="31" t="s">
        <v>181</v>
      </c>
      <c r="G36" s="32" t="s">
        <v>48</v>
      </c>
      <c r="H36" s="33" t="s">
        <v>182</v>
      </c>
      <c r="I36" s="37" t="s">
        <v>50</v>
      </c>
      <c r="J36" s="35" t="s">
        <v>182</v>
      </c>
      <c r="K36" s="36" t="s">
        <v>183</v>
      </c>
    </row>
    <row r="37" customFormat="false" ht="14.25" hidden="false" customHeight="true" outlineLevel="0" collapsed="false">
      <c r="A37" s="27"/>
      <c r="B37" s="27"/>
      <c r="C37" s="27"/>
      <c r="D37" s="27"/>
      <c r="E37" s="36" t="s">
        <v>184</v>
      </c>
      <c r="F37" s="31"/>
      <c r="G37" s="32"/>
      <c r="H37" s="33"/>
      <c r="I37" s="37"/>
      <c r="J37" s="35"/>
      <c r="K37" s="36" t="s">
        <v>185</v>
      </c>
    </row>
    <row r="38" customFormat="false" ht="14.25" hidden="false" customHeight="true" outlineLevel="0" collapsed="false">
      <c r="A38" s="27"/>
      <c r="B38" s="27"/>
      <c r="C38" s="27"/>
      <c r="D38" s="29" t="s">
        <v>186</v>
      </c>
      <c r="E38" s="36" t="s">
        <v>187</v>
      </c>
      <c r="F38" s="31" t="s">
        <v>188</v>
      </c>
      <c r="G38" s="32" t="s">
        <v>48</v>
      </c>
      <c r="H38" s="33" t="s">
        <v>189</v>
      </c>
      <c r="I38" s="34" t="s">
        <v>40</v>
      </c>
      <c r="J38" s="35" t="s">
        <v>190</v>
      </c>
      <c r="K38" s="36" t="s">
        <v>191</v>
      </c>
    </row>
    <row r="39" customFormat="false" ht="14.25" hidden="false" customHeight="true" outlineLevel="0" collapsed="false">
      <c r="A39" s="27"/>
      <c r="B39" s="27"/>
      <c r="C39" s="27"/>
      <c r="D39" s="27"/>
      <c r="E39" s="36" t="s">
        <v>192</v>
      </c>
      <c r="F39" s="31"/>
      <c r="G39" s="32"/>
      <c r="H39" s="33"/>
      <c r="I39" s="34"/>
      <c r="J39" s="35"/>
      <c r="K39" s="36" t="s">
        <v>193</v>
      </c>
    </row>
    <row r="40" customFormat="false" ht="14.25" hidden="false" customHeight="true" outlineLevel="0" collapsed="false">
      <c r="A40" s="27"/>
      <c r="B40" s="27"/>
      <c r="C40" s="27"/>
      <c r="D40" s="29" t="s">
        <v>194</v>
      </c>
      <c r="E40" s="36" t="s">
        <v>195</v>
      </c>
      <c r="F40" s="31" t="s">
        <v>196</v>
      </c>
      <c r="G40" s="32" t="s">
        <v>38</v>
      </c>
      <c r="H40" s="33" t="s">
        <v>197</v>
      </c>
      <c r="I40" s="39" t="s">
        <v>67</v>
      </c>
      <c r="J40" s="35" t="s">
        <v>197</v>
      </c>
      <c r="K40" s="36" t="s">
        <v>198</v>
      </c>
    </row>
    <row r="41" customFormat="false" ht="14.25" hidden="false" customHeight="true" outlineLevel="0" collapsed="false">
      <c r="A41" s="27"/>
      <c r="B41" s="27"/>
      <c r="C41" s="27"/>
      <c r="D41" s="27"/>
      <c r="E41" s="36" t="s">
        <v>199</v>
      </c>
      <c r="F41" s="31"/>
      <c r="G41" s="32"/>
      <c r="H41" s="33"/>
      <c r="I41" s="39"/>
      <c r="J41" s="35"/>
      <c r="K41" s="36" t="s">
        <v>200</v>
      </c>
    </row>
    <row r="42" customFormat="false" ht="14.25" hidden="false" customHeight="true" outlineLevel="0" collapsed="false">
      <c r="A42" s="27"/>
      <c r="B42" s="27"/>
      <c r="C42" s="27"/>
      <c r="D42" s="29" t="s">
        <v>201</v>
      </c>
      <c r="E42" s="36" t="s">
        <v>202</v>
      </c>
      <c r="F42" s="31" t="s">
        <v>203</v>
      </c>
      <c r="G42" s="32" t="s">
        <v>38</v>
      </c>
      <c r="H42" s="33" t="s">
        <v>204</v>
      </c>
      <c r="I42" s="34" t="s">
        <v>40</v>
      </c>
      <c r="J42" s="35" t="s">
        <v>204</v>
      </c>
      <c r="K42" s="36" t="s">
        <v>205</v>
      </c>
    </row>
    <row r="43" customFormat="false" ht="14.25" hidden="false" customHeight="true" outlineLevel="0" collapsed="false">
      <c r="A43" s="27"/>
      <c r="B43" s="27"/>
      <c r="C43" s="27"/>
      <c r="D43" s="27"/>
      <c r="E43" s="36" t="s">
        <v>206</v>
      </c>
      <c r="F43" s="31"/>
      <c r="G43" s="32"/>
      <c r="H43" s="33"/>
      <c r="I43" s="34"/>
      <c r="J43" s="35"/>
      <c r="K43" s="36" t="s">
        <v>207</v>
      </c>
    </row>
    <row r="44" customFormat="false" ht="14.25" hidden="false" customHeight="true" outlineLevel="0" collapsed="false">
      <c r="A44" s="27"/>
      <c r="B44" s="27"/>
      <c r="C44" s="27"/>
      <c r="D44" s="29" t="s">
        <v>208</v>
      </c>
      <c r="E44" s="36" t="s">
        <v>209</v>
      </c>
      <c r="F44" s="31" t="s">
        <v>210</v>
      </c>
      <c r="G44" s="32" t="s">
        <v>38</v>
      </c>
      <c r="H44" s="33" t="s">
        <v>211</v>
      </c>
      <c r="I44" s="37" t="s">
        <v>50</v>
      </c>
      <c r="J44" s="35" t="s">
        <v>211</v>
      </c>
      <c r="K44" s="36" t="s">
        <v>212</v>
      </c>
    </row>
    <row r="45" customFormat="false" ht="14.25" hidden="false" customHeight="true" outlineLevel="0" collapsed="false">
      <c r="A45" s="27"/>
      <c r="B45" s="27"/>
      <c r="C45" s="27"/>
      <c r="D45" s="27"/>
      <c r="E45" s="36" t="s">
        <v>213</v>
      </c>
      <c r="F45" s="31"/>
      <c r="G45" s="32"/>
      <c r="H45" s="33"/>
      <c r="I45" s="37"/>
      <c r="J45" s="35"/>
      <c r="K45" s="36" t="s">
        <v>214</v>
      </c>
    </row>
    <row r="46" customFormat="false" ht="14.25" hidden="false" customHeight="true" outlineLevel="0" collapsed="false">
      <c r="A46" s="27"/>
      <c r="B46" s="27"/>
      <c r="C46" s="29" t="s">
        <v>215</v>
      </c>
      <c r="D46" s="29" t="s">
        <v>216</v>
      </c>
      <c r="E46" s="36" t="s">
        <v>217</v>
      </c>
      <c r="F46" s="31" t="s">
        <v>218</v>
      </c>
      <c r="G46" s="32" t="s">
        <v>48</v>
      </c>
      <c r="H46" s="33" t="s">
        <v>219</v>
      </c>
      <c r="I46" s="34" t="s">
        <v>40</v>
      </c>
      <c r="J46" s="35" t="s">
        <v>219</v>
      </c>
      <c r="K46" s="36" t="s">
        <v>220</v>
      </c>
    </row>
    <row r="47" customFormat="false" ht="14.25" hidden="false" customHeight="true" outlineLevel="0" collapsed="false">
      <c r="A47" s="27"/>
      <c r="B47" s="27"/>
      <c r="C47" s="27"/>
      <c r="D47" s="27"/>
      <c r="E47" s="36" t="s">
        <v>221</v>
      </c>
      <c r="F47" s="31"/>
      <c r="G47" s="32"/>
      <c r="H47" s="33"/>
      <c r="I47" s="34"/>
      <c r="J47" s="35"/>
      <c r="K47" s="36" t="s">
        <v>222</v>
      </c>
    </row>
    <row r="48" customFormat="false" ht="14.25" hidden="false" customHeight="true" outlineLevel="0" collapsed="false">
      <c r="A48" s="27"/>
      <c r="B48" s="27"/>
      <c r="C48" s="27"/>
      <c r="D48" s="29" t="s">
        <v>223</v>
      </c>
      <c r="E48" s="36" t="s">
        <v>224</v>
      </c>
      <c r="F48" s="31" t="s">
        <v>225</v>
      </c>
      <c r="G48" s="32" t="s">
        <v>58</v>
      </c>
      <c r="H48" s="33" t="s">
        <v>226</v>
      </c>
      <c r="I48" s="39" t="s">
        <v>67</v>
      </c>
      <c r="J48" s="35" t="s">
        <v>226</v>
      </c>
      <c r="K48" s="36" t="s">
        <v>227</v>
      </c>
    </row>
    <row r="49" customFormat="false" ht="14.25" hidden="false" customHeight="true" outlineLevel="0" collapsed="false">
      <c r="A49" s="27"/>
      <c r="B49" s="27"/>
      <c r="C49" s="27"/>
      <c r="D49" s="27"/>
      <c r="E49" s="36" t="s">
        <v>228</v>
      </c>
      <c r="F49" s="31"/>
      <c r="G49" s="32"/>
      <c r="H49" s="33"/>
      <c r="I49" s="39"/>
      <c r="J49" s="35"/>
      <c r="K49" s="36" t="s">
        <v>229</v>
      </c>
    </row>
    <row r="50" customFormat="false" ht="14.25" hidden="false" customHeight="true" outlineLevel="0" collapsed="false">
      <c r="A50" s="27"/>
      <c r="B50" s="27"/>
      <c r="C50" s="27"/>
      <c r="D50" s="29" t="s">
        <v>230</v>
      </c>
      <c r="E50" s="36" t="s">
        <v>231</v>
      </c>
      <c r="F50" s="31" t="s">
        <v>232</v>
      </c>
      <c r="G50" s="32" t="s">
        <v>48</v>
      </c>
      <c r="H50" s="33" t="s">
        <v>233</v>
      </c>
      <c r="I50" s="34" t="s">
        <v>40</v>
      </c>
      <c r="J50" s="35" t="s">
        <v>233</v>
      </c>
      <c r="K50" s="36" t="s">
        <v>234</v>
      </c>
    </row>
    <row r="51" customFormat="false" ht="14.25" hidden="false" customHeight="true" outlineLevel="0" collapsed="false">
      <c r="A51" s="27"/>
      <c r="B51" s="27"/>
      <c r="C51" s="27"/>
      <c r="D51" s="27"/>
      <c r="E51" s="36" t="s">
        <v>235</v>
      </c>
      <c r="F51" s="31"/>
      <c r="G51" s="32"/>
      <c r="H51" s="33"/>
      <c r="I51" s="34"/>
      <c r="J51" s="35"/>
      <c r="K51" s="36" t="s">
        <v>236</v>
      </c>
    </row>
    <row r="52" customFormat="false" ht="14.25" hidden="false" customHeight="true" outlineLevel="0" collapsed="false">
      <c r="A52" s="27"/>
      <c r="B52" s="27"/>
      <c r="C52" s="27"/>
      <c r="D52" s="29" t="s">
        <v>237</v>
      </c>
      <c r="E52" s="36" t="s">
        <v>238</v>
      </c>
      <c r="F52" s="31" t="s">
        <v>239</v>
      </c>
      <c r="G52" s="32" t="s">
        <v>48</v>
      </c>
      <c r="H52" s="33" t="s">
        <v>240</v>
      </c>
      <c r="I52" s="37" t="s">
        <v>50</v>
      </c>
      <c r="J52" s="35" t="s">
        <v>240</v>
      </c>
      <c r="K52" s="36" t="s">
        <v>241</v>
      </c>
    </row>
    <row r="53" customFormat="false" ht="14.25" hidden="false" customHeight="true" outlineLevel="0" collapsed="false">
      <c r="A53" s="27"/>
      <c r="B53" s="27"/>
      <c r="C53" s="27"/>
      <c r="D53" s="27"/>
      <c r="E53" s="36" t="s">
        <v>242</v>
      </c>
      <c r="F53" s="31"/>
      <c r="G53" s="32"/>
      <c r="H53" s="33"/>
      <c r="I53" s="37"/>
      <c r="J53" s="35"/>
      <c r="K53" s="36" t="s">
        <v>243</v>
      </c>
    </row>
    <row r="54" customFormat="false" ht="14.25" hidden="false" customHeight="true" outlineLevel="0" collapsed="false">
      <c r="A54" s="27"/>
      <c r="B54" s="27"/>
      <c r="C54" s="27"/>
      <c r="D54" s="29" t="s">
        <v>244</v>
      </c>
      <c r="E54" s="36" t="s">
        <v>245</v>
      </c>
      <c r="F54" s="31" t="s">
        <v>246</v>
      </c>
      <c r="G54" s="32" t="s">
        <v>38</v>
      </c>
      <c r="H54" s="33" t="s">
        <v>247</v>
      </c>
      <c r="I54" s="34" t="s">
        <v>40</v>
      </c>
      <c r="J54" s="35" t="s">
        <v>247</v>
      </c>
      <c r="K54" s="36" t="s">
        <v>248</v>
      </c>
    </row>
    <row r="55" customFormat="false" ht="14.25" hidden="false" customHeight="true" outlineLevel="0" collapsed="false">
      <c r="A55" s="27"/>
      <c r="B55" s="27"/>
      <c r="C55" s="27"/>
      <c r="D55" s="27"/>
      <c r="E55" s="36" t="s">
        <v>249</v>
      </c>
      <c r="F55" s="31"/>
      <c r="G55" s="32"/>
      <c r="H55" s="33"/>
      <c r="I55" s="34"/>
      <c r="J55" s="35"/>
      <c r="K55" s="36" t="s">
        <v>250</v>
      </c>
    </row>
    <row r="56" customFormat="false" ht="14.25" hidden="false" customHeight="true" outlineLevel="0" collapsed="false">
      <c r="A56" s="27"/>
      <c r="B56" s="27"/>
      <c r="C56" s="29" t="s">
        <v>251</v>
      </c>
      <c r="D56" s="29" t="s">
        <v>252</v>
      </c>
      <c r="E56" s="36" t="s">
        <v>253</v>
      </c>
      <c r="F56" s="31" t="s">
        <v>252</v>
      </c>
      <c r="G56" s="32" t="s">
        <v>38</v>
      </c>
      <c r="H56" s="33" t="s">
        <v>254</v>
      </c>
      <c r="I56" s="39" t="s">
        <v>67</v>
      </c>
      <c r="J56" s="35" t="s">
        <v>254</v>
      </c>
      <c r="K56" s="36" t="s">
        <v>255</v>
      </c>
    </row>
    <row r="57" customFormat="false" ht="14.25" hidden="false" customHeight="true" outlineLevel="0" collapsed="false">
      <c r="A57" s="27"/>
      <c r="B57" s="27"/>
      <c r="C57" s="27"/>
      <c r="D57" s="27"/>
      <c r="E57" s="36" t="s">
        <v>256</v>
      </c>
      <c r="F57" s="31"/>
      <c r="G57" s="32"/>
      <c r="H57" s="33"/>
      <c r="I57" s="39"/>
      <c r="J57" s="35"/>
      <c r="K57" s="36" t="s">
        <v>257</v>
      </c>
    </row>
    <row r="58" customFormat="false" ht="14.25" hidden="false" customHeight="true" outlineLevel="0" collapsed="false">
      <c r="A58" s="27"/>
      <c r="B58" s="27"/>
      <c r="C58" s="27"/>
      <c r="D58" s="29" t="s">
        <v>258</v>
      </c>
      <c r="E58" s="36" t="s">
        <v>259</v>
      </c>
      <c r="F58" s="31" t="s">
        <v>260</v>
      </c>
      <c r="G58" s="32" t="s">
        <v>38</v>
      </c>
      <c r="H58" s="33" t="s">
        <v>261</v>
      </c>
      <c r="I58" s="34" t="s">
        <v>40</v>
      </c>
      <c r="J58" s="35" t="s">
        <v>261</v>
      </c>
      <c r="K58" s="36" t="s">
        <v>262</v>
      </c>
    </row>
    <row r="59" customFormat="false" ht="14.25" hidden="false" customHeight="true" outlineLevel="0" collapsed="false">
      <c r="A59" s="27"/>
      <c r="B59" s="27"/>
      <c r="C59" s="27"/>
      <c r="D59" s="27"/>
      <c r="E59" s="36" t="s">
        <v>263</v>
      </c>
      <c r="F59" s="31"/>
      <c r="G59" s="32"/>
      <c r="H59" s="33"/>
      <c r="I59" s="34"/>
      <c r="J59" s="35"/>
      <c r="K59" s="36" t="s">
        <v>264</v>
      </c>
    </row>
    <row r="60" customFormat="false" ht="14.25" hidden="false" customHeight="true" outlineLevel="0" collapsed="false">
      <c r="A60" s="27"/>
      <c r="B60" s="27"/>
      <c r="C60" s="27"/>
      <c r="D60" s="29" t="s">
        <v>265</v>
      </c>
      <c r="E60" s="36" t="s">
        <v>266</v>
      </c>
      <c r="F60" s="31" t="s">
        <v>265</v>
      </c>
      <c r="G60" s="32" t="s">
        <v>48</v>
      </c>
      <c r="H60" s="33" t="s">
        <v>267</v>
      </c>
      <c r="I60" s="37" t="s">
        <v>50</v>
      </c>
      <c r="J60" s="35" t="s">
        <v>267</v>
      </c>
      <c r="K60" s="36" t="s">
        <v>268</v>
      </c>
    </row>
    <row r="61" customFormat="false" ht="14.25" hidden="false" customHeight="true" outlineLevel="0" collapsed="false">
      <c r="A61" s="27"/>
      <c r="B61" s="27"/>
      <c r="C61" s="27"/>
      <c r="D61" s="27"/>
      <c r="E61" s="36" t="s">
        <v>269</v>
      </c>
      <c r="F61" s="31"/>
      <c r="G61" s="32"/>
      <c r="H61" s="33"/>
      <c r="I61" s="37"/>
      <c r="J61" s="35"/>
      <c r="K61" s="36" t="s">
        <v>193</v>
      </c>
    </row>
    <row r="62" customFormat="false" ht="14.25" hidden="false" customHeight="true" outlineLevel="0" collapsed="false">
      <c r="A62" s="27"/>
      <c r="B62" s="27"/>
      <c r="C62" s="27"/>
      <c r="D62" s="29" t="s">
        <v>270</v>
      </c>
      <c r="E62" s="36" t="s">
        <v>271</v>
      </c>
      <c r="F62" s="31" t="s">
        <v>270</v>
      </c>
      <c r="G62" s="32" t="s">
        <v>58</v>
      </c>
      <c r="H62" s="33" t="s">
        <v>272</v>
      </c>
      <c r="I62" s="34" t="s">
        <v>40</v>
      </c>
      <c r="J62" s="35" t="s">
        <v>272</v>
      </c>
      <c r="K62" s="36" t="s">
        <v>198</v>
      </c>
    </row>
    <row r="63" customFormat="false" ht="14.25" hidden="false" customHeight="true" outlineLevel="0" collapsed="false">
      <c r="A63" s="27"/>
      <c r="B63" s="27"/>
      <c r="C63" s="27"/>
      <c r="D63" s="27"/>
      <c r="E63" s="36" t="s">
        <v>273</v>
      </c>
      <c r="F63" s="31"/>
      <c r="G63" s="32"/>
      <c r="H63" s="33"/>
      <c r="I63" s="34"/>
      <c r="J63" s="35"/>
      <c r="K63" s="36" t="s">
        <v>200</v>
      </c>
    </row>
    <row r="64" customFormat="false" ht="14.25" hidden="false" customHeight="true" outlineLevel="0" collapsed="false">
      <c r="A64" s="27"/>
      <c r="B64" s="27"/>
      <c r="C64" s="27"/>
      <c r="D64" s="29" t="s">
        <v>274</v>
      </c>
      <c r="E64" s="36" t="s">
        <v>275</v>
      </c>
      <c r="F64" s="31" t="s">
        <v>274</v>
      </c>
      <c r="G64" s="32" t="s">
        <v>48</v>
      </c>
      <c r="H64" s="33" t="s">
        <v>276</v>
      </c>
      <c r="I64" s="39" t="s">
        <v>67</v>
      </c>
      <c r="J64" s="35" t="s">
        <v>277</v>
      </c>
      <c r="K64" s="36" t="s">
        <v>278</v>
      </c>
    </row>
    <row r="65" customFormat="false" ht="14.25" hidden="false" customHeight="true" outlineLevel="0" collapsed="false">
      <c r="A65" s="27"/>
      <c r="B65" s="27"/>
      <c r="C65" s="27"/>
      <c r="D65" s="27"/>
      <c r="E65" s="36" t="s">
        <v>279</v>
      </c>
      <c r="F65" s="31"/>
      <c r="G65" s="32"/>
      <c r="H65" s="33"/>
      <c r="I65" s="39"/>
      <c r="J65" s="35"/>
      <c r="K65" s="36" t="s">
        <v>280</v>
      </c>
    </row>
    <row r="66" customFormat="false" ht="14.25" hidden="false" customHeight="true" outlineLevel="0" collapsed="false">
      <c r="A66" s="27"/>
      <c r="B66" s="27"/>
      <c r="C66" s="29" t="s">
        <v>281</v>
      </c>
      <c r="D66" s="29" t="s">
        <v>282</v>
      </c>
      <c r="E66" s="36" t="s">
        <v>283</v>
      </c>
      <c r="F66" s="31" t="s">
        <v>284</v>
      </c>
      <c r="G66" s="32" t="s">
        <v>48</v>
      </c>
      <c r="H66" s="33" t="s">
        <v>285</v>
      </c>
      <c r="I66" s="34" t="s">
        <v>40</v>
      </c>
      <c r="J66" s="35" t="s">
        <v>286</v>
      </c>
      <c r="K66" s="36" t="s">
        <v>287</v>
      </c>
    </row>
    <row r="67" customFormat="false" ht="14.25" hidden="false" customHeight="true" outlineLevel="0" collapsed="false">
      <c r="A67" s="27"/>
      <c r="B67" s="27"/>
      <c r="C67" s="27"/>
      <c r="D67" s="27"/>
      <c r="E67" s="36" t="s">
        <v>288</v>
      </c>
      <c r="F67" s="31"/>
      <c r="G67" s="32"/>
      <c r="H67" s="33"/>
      <c r="I67" s="34"/>
      <c r="J67" s="35"/>
      <c r="K67" s="36" t="s">
        <v>289</v>
      </c>
    </row>
    <row r="68" customFormat="false" ht="14.25" hidden="false" customHeight="true" outlineLevel="0" collapsed="false">
      <c r="A68" s="27"/>
      <c r="B68" s="27"/>
      <c r="C68" s="27"/>
      <c r="D68" s="29" t="s">
        <v>290</v>
      </c>
      <c r="E68" s="36" t="s">
        <v>291</v>
      </c>
      <c r="F68" s="31" t="s">
        <v>292</v>
      </c>
      <c r="G68" s="32" t="s">
        <v>38</v>
      </c>
      <c r="H68" s="33" t="s">
        <v>293</v>
      </c>
      <c r="I68" s="37" t="s">
        <v>50</v>
      </c>
      <c r="J68" s="35" t="s">
        <v>294</v>
      </c>
      <c r="K68" s="36" t="s">
        <v>295</v>
      </c>
    </row>
    <row r="69" customFormat="false" ht="14.25" hidden="false" customHeight="true" outlineLevel="0" collapsed="false">
      <c r="A69" s="27"/>
      <c r="B69" s="27"/>
      <c r="C69" s="27"/>
      <c r="D69" s="27"/>
      <c r="E69" s="36" t="s">
        <v>296</v>
      </c>
      <c r="F69" s="31"/>
      <c r="G69" s="32"/>
      <c r="H69" s="33"/>
      <c r="I69" s="37"/>
      <c r="J69" s="35"/>
      <c r="K69" s="36" t="s">
        <v>297</v>
      </c>
    </row>
    <row r="70" customFormat="false" ht="14.25" hidden="false" customHeight="true" outlineLevel="0" collapsed="false">
      <c r="A70" s="27"/>
      <c r="B70" s="27"/>
      <c r="C70" s="27"/>
      <c r="D70" s="29" t="s">
        <v>298</v>
      </c>
      <c r="E70" s="36" t="s">
        <v>299</v>
      </c>
      <c r="F70" s="31" t="s">
        <v>300</v>
      </c>
      <c r="G70" s="32" t="s">
        <v>38</v>
      </c>
      <c r="H70" s="33" t="s">
        <v>301</v>
      </c>
      <c r="I70" s="34" t="s">
        <v>40</v>
      </c>
      <c r="J70" s="35" t="s">
        <v>302</v>
      </c>
      <c r="K70" s="36" t="s">
        <v>303</v>
      </c>
    </row>
    <row r="71" customFormat="false" ht="14.25" hidden="false" customHeight="true" outlineLevel="0" collapsed="false">
      <c r="A71" s="27"/>
      <c r="B71" s="27"/>
      <c r="C71" s="27"/>
      <c r="D71" s="27"/>
      <c r="E71" s="36" t="s">
        <v>304</v>
      </c>
      <c r="F71" s="31"/>
      <c r="G71" s="32"/>
      <c r="H71" s="33"/>
      <c r="I71" s="34"/>
      <c r="J71" s="35"/>
      <c r="K71" s="36" t="s">
        <v>305</v>
      </c>
    </row>
    <row r="72" customFormat="false" ht="14.25" hidden="false" customHeight="true" outlineLevel="0" collapsed="false">
      <c r="A72" s="27"/>
      <c r="B72" s="27"/>
      <c r="C72" s="27"/>
      <c r="D72" s="29" t="s">
        <v>306</v>
      </c>
      <c r="E72" s="36" t="s">
        <v>307</v>
      </c>
      <c r="F72" s="31" t="s">
        <v>308</v>
      </c>
      <c r="G72" s="32" t="s">
        <v>38</v>
      </c>
      <c r="H72" s="33" t="s">
        <v>309</v>
      </c>
      <c r="I72" s="39" t="s">
        <v>67</v>
      </c>
      <c r="J72" s="35" t="s">
        <v>286</v>
      </c>
      <c r="K72" s="36" t="s">
        <v>310</v>
      </c>
    </row>
    <row r="73" customFormat="false" ht="14.25" hidden="false" customHeight="true" outlineLevel="0" collapsed="false">
      <c r="A73" s="27"/>
      <c r="B73" s="27"/>
      <c r="C73" s="27"/>
      <c r="D73" s="27"/>
      <c r="E73" s="36" t="s">
        <v>311</v>
      </c>
      <c r="F73" s="31"/>
      <c r="G73" s="32"/>
      <c r="H73" s="33"/>
      <c r="I73" s="39"/>
      <c r="J73" s="35"/>
      <c r="K73" s="36" t="s">
        <v>312</v>
      </c>
    </row>
    <row r="74" customFormat="false" ht="14.25" hidden="false" customHeight="true" outlineLevel="0" collapsed="false">
      <c r="A74" s="27"/>
      <c r="B74" s="27"/>
      <c r="C74" s="27"/>
      <c r="D74" s="29" t="s">
        <v>313</v>
      </c>
      <c r="E74" s="36" t="s">
        <v>314</v>
      </c>
      <c r="F74" s="31" t="s">
        <v>315</v>
      </c>
      <c r="G74" s="32" t="s">
        <v>48</v>
      </c>
      <c r="H74" s="33" t="s">
        <v>316</v>
      </c>
      <c r="I74" s="34" t="s">
        <v>40</v>
      </c>
      <c r="J74" s="35" t="s">
        <v>317</v>
      </c>
      <c r="K74" s="36" t="s">
        <v>318</v>
      </c>
    </row>
    <row r="75" customFormat="false" ht="14.25" hidden="false" customHeight="true" outlineLevel="0" collapsed="false">
      <c r="A75" s="27"/>
      <c r="B75" s="27"/>
      <c r="C75" s="27"/>
      <c r="D75" s="27"/>
      <c r="E75" s="36" t="s">
        <v>319</v>
      </c>
      <c r="F75" s="31"/>
      <c r="G75" s="32"/>
      <c r="H75" s="33"/>
      <c r="I75" s="34"/>
      <c r="J75" s="35"/>
      <c r="K75" s="36" t="s">
        <v>320</v>
      </c>
    </row>
    <row r="76" customFormat="false" ht="14.25" hidden="false" customHeight="true" outlineLevel="0" collapsed="false">
      <c r="A76" s="27"/>
      <c r="B76" s="27"/>
      <c r="C76" s="27"/>
      <c r="D76" s="29" t="s">
        <v>321</v>
      </c>
      <c r="E76" s="36" t="s">
        <v>322</v>
      </c>
      <c r="F76" s="31" t="s">
        <v>323</v>
      </c>
      <c r="G76" s="32" t="s">
        <v>58</v>
      </c>
      <c r="H76" s="33" t="s">
        <v>324</v>
      </c>
      <c r="I76" s="37" t="s">
        <v>50</v>
      </c>
      <c r="J76" s="35" t="s">
        <v>325</v>
      </c>
      <c r="K76" s="36" t="s">
        <v>326</v>
      </c>
    </row>
    <row r="77" customFormat="false" ht="14.25" hidden="false" customHeight="true" outlineLevel="0" collapsed="false">
      <c r="A77" s="27"/>
      <c r="B77" s="27"/>
      <c r="C77" s="27"/>
      <c r="D77" s="27"/>
      <c r="E77" s="36" t="s">
        <v>327</v>
      </c>
      <c r="F77" s="31"/>
      <c r="G77" s="32"/>
      <c r="H77" s="33"/>
      <c r="I77" s="37"/>
      <c r="J77" s="35"/>
      <c r="K77" s="36" t="s">
        <v>328</v>
      </c>
    </row>
    <row r="78" customFormat="false" ht="14.25" hidden="false" customHeight="true" outlineLevel="0" collapsed="false">
      <c r="A78" s="27"/>
      <c r="B78" s="27"/>
      <c r="C78" s="29" t="s">
        <v>329</v>
      </c>
      <c r="D78" s="29" t="s">
        <v>330</v>
      </c>
      <c r="E78" s="36" t="s">
        <v>331</v>
      </c>
      <c r="F78" s="31" t="s">
        <v>332</v>
      </c>
      <c r="G78" s="32" t="s">
        <v>48</v>
      </c>
      <c r="H78" s="33" t="s">
        <v>333</v>
      </c>
      <c r="I78" s="34" t="s">
        <v>40</v>
      </c>
      <c r="J78" s="35" t="s">
        <v>334</v>
      </c>
      <c r="K78" s="36" t="s">
        <v>335</v>
      </c>
    </row>
    <row r="79" customFormat="false" ht="14.25" hidden="false" customHeight="true" outlineLevel="0" collapsed="false">
      <c r="A79" s="27"/>
      <c r="B79" s="27"/>
      <c r="C79" s="27"/>
      <c r="D79" s="27"/>
      <c r="E79" s="36" t="s">
        <v>336</v>
      </c>
      <c r="F79" s="31"/>
      <c r="G79" s="32"/>
      <c r="H79" s="33"/>
      <c r="I79" s="34"/>
      <c r="J79" s="35"/>
      <c r="K79" s="36" t="s">
        <v>337</v>
      </c>
    </row>
    <row r="80" customFormat="false" ht="14.25" hidden="false" customHeight="true" outlineLevel="0" collapsed="false">
      <c r="A80" s="27"/>
      <c r="B80" s="27"/>
      <c r="C80" s="27"/>
      <c r="D80" s="29" t="s">
        <v>338</v>
      </c>
      <c r="E80" s="36" t="s">
        <v>339</v>
      </c>
      <c r="F80" s="31" t="s">
        <v>340</v>
      </c>
      <c r="G80" s="32" t="s">
        <v>48</v>
      </c>
      <c r="H80" s="33" t="s">
        <v>341</v>
      </c>
      <c r="I80" s="39" t="s">
        <v>67</v>
      </c>
      <c r="J80" s="35" t="s">
        <v>342</v>
      </c>
      <c r="K80" s="36" t="s">
        <v>343</v>
      </c>
    </row>
    <row r="81" customFormat="false" ht="14.25" hidden="false" customHeight="true" outlineLevel="0" collapsed="false">
      <c r="A81" s="27"/>
      <c r="B81" s="27"/>
      <c r="C81" s="27"/>
      <c r="D81" s="27"/>
      <c r="E81" s="36" t="s">
        <v>344</v>
      </c>
      <c r="F81" s="31"/>
      <c r="G81" s="32"/>
      <c r="H81" s="33"/>
      <c r="I81" s="39"/>
      <c r="J81" s="35"/>
      <c r="K81" s="36" t="s">
        <v>345</v>
      </c>
    </row>
    <row r="82" customFormat="false" ht="14.25" hidden="false" customHeight="true" outlineLevel="0" collapsed="false">
      <c r="A82" s="27"/>
      <c r="B82" s="27"/>
      <c r="C82" s="27"/>
      <c r="D82" s="29" t="s">
        <v>346</v>
      </c>
      <c r="E82" s="36" t="s">
        <v>347</v>
      </c>
      <c r="F82" s="31" t="s">
        <v>348</v>
      </c>
      <c r="G82" s="32" t="s">
        <v>38</v>
      </c>
      <c r="H82" s="33" t="s">
        <v>349</v>
      </c>
      <c r="I82" s="34" t="s">
        <v>40</v>
      </c>
      <c r="J82" s="35" t="s">
        <v>350</v>
      </c>
      <c r="K82" s="36" t="s">
        <v>351</v>
      </c>
    </row>
    <row r="83" customFormat="false" ht="14.25" hidden="false" customHeight="true" outlineLevel="0" collapsed="false">
      <c r="A83" s="27"/>
      <c r="B83" s="27"/>
      <c r="C83" s="27"/>
      <c r="D83" s="27"/>
      <c r="E83" s="36" t="s">
        <v>352</v>
      </c>
      <c r="F83" s="31"/>
      <c r="G83" s="32"/>
      <c r="H83" s="33"/>
      <c r="I83" s="34"/>
      <c r="J83" s="35"/>
      <c r="K83" s="36" t="s">
        <v>353</v>
      </c>
    </row>
    <row r="84" customFormat="false" ht="14.25" hidden="false" customHeight="true" outlineLevel="0" collapsed="false">
      <c r="A84" s="27"/>
      <c r="B84" s="27"/>
      <c r="C84" s="27"/>
      <c r="D84" s="29" t="s">
        <v>354</v>
      </c>
      <c r="E84" s="36" t="s">
        <v>355</v>
      </c>
      <c r="F84" s="31" t="s">
        <v>356</v>
      </c>
      <c r="G84" s="32" t="s">
        <v>38</v>
      </c>
      <c r="H84" s="33" t="s">
        <v>357</v>
      </c>
      <c r="I84" s="37" t="s">
        <v>50</v>
      </c>
      <c r="J84" s="35" t="s">
        <v>358</v>
      </c>
      <c r="K84" s="36" t="s">
        <v>359</v>
      </c>
    </row>
    <row r="85" customFormat="false" ht="14.25" hidden="false" customHeight="true" outlineLevel="0" collapsed="false">
      <c r="A85" s="27"/>
      <c r="B85" s="27"/>
      <c r="C85" s="27"/>
      <c r="D85" s="27"/>
      <c r="E85" s="36" t="s">
        <v>360</v>
      </c>
      <c r="F85" s="31"/>
      <c r="G85" s="32"/>
      <c r="H85" s="33"/>
      <c r="I85" s="37"/>
      <c r="J85" s="35"/>
      <c r="K85" s="36" t="s">
        <v>361</v>
      </c>
    </row>
    <row r="86" customFormat="false" ht="14.25" hidden="false" customHeight="true" outlineLevel="0" collapsed="false">
      <c r="A86" s="27"/>
      <c r="B86" s="27"/>
      <c r="C86" s="27"/>
      <c r="D86" s="29" t="s">
        <v>362</v>
      </c>
      <c r="E86" s="36" t="s">
        <v>363</v>
      </c>
      <c r="F86" s="31" t="s">
        <v>364</v>
      </c>
      <c r="G86" s="32" t="s">
        <v>38</v>
      </c>
      <c r="H86" s="33" t="s">
        <v>365</v>
      </c>
      <c r="I86" s="34" t="s">
        <v>40</v>
      </c>
      <c r="J86" s="35" t="s">
        <v>350</v>
      </c>
      <c r="K86" s="36" t="s">
        <v>366</v>
      </c>
    </row>
    <row r="87" customFormat="false" ht="14.25" hidden="false" customHeight="true" outlineLevel="0" collapsed="false">
      <c r="A87" s="27"/>
      <c r="B87" s="27"/>
      <c r="C87" s="27"/>
      <c r="D87" s="27"/>
      <c r="E87" s="36" t="s">
        <v>367</v>
      </c>
      <c r="F87" s="31"/>
      <c r="G87" s="32"/>
      <c r="H87" s="33"/>
      <c r="I87" s="34"/>
      <c r="J87" s="35"/>
      <c r="K87" s="36" t="s">
        <v>368</v>
      </c>
    </row>
    <row r="88" customFormat="false" ht="14.25" hidden="false" customHeight="true" outlineLevel="0" collapsed="false">
      <c r="A88" s="27"/>
      <c r="B88" s="27"/>
      <c r="C88" s="29" t="s">
        <v>369</v>
      </c>
      <c r="D88" s="29" t="s">
        <v>370</v>
      </c>
      <c r="E88" s="36" t="s">
        <v>371</v>
      </c>
      <c r="F88" s="31" t="s">
        <v>372</v>
      </c>
      <c r="G88" s="32" t="s">
        <v>48</v>
      </c>
      <c r="H88" s="33" t="s">
        <v>373</v>
      </c>
      <c r="I88" s="39" t="s">
        <v>67</v>
      </c>
      <c r="J88" s="35" t="s">
        <v>374</v>
      </c>
      <c r="K88" s="36" t="s">
        <v>375</v>
      </c>
    </row>
    <row r="89" customFormat="false" ht="14.25" hidden="false" customHeight="true" outlineLevel="0" collapsed="false">
      <c r="A89" s="27"/>
      <c r="B89" s="27"/>
      <c r="C89" s="27"/>
      <c r="D89" s="27"/>
      <c r="E89" s="36" t="s">
        <v>376</v>
      </c>
      <c r="F89" s="31"/>
      <c r="G89" s="32"/>
      <c r="H89" s="33"/>
      <c r="I89" s="39"/>
      <c r="J89" s="35"/>
      <c r="K89" s="36" t="s">
        <v>377</v>
      </c>
    </row>
    <row r="90" customFormat="false" ht="14.25" hidden="false" customHeight="true" outlineLevel="0" collapsed="false">
      <c r="A90" s="27"/>
      <c r="B90" s="27"/>
      <c r="C90" s="27"/>
      <c r="D90" s="29" t="s">
        <v>378</v>
      </c>
      <c r="E90" s="36" t="s">
        <v>379</v>
      </c>
      <c r="F90" s="31" t="s">
        <v>380</v>
      </c>
      <c r="G90" s="32" t="s">
        <v>58</v>
      </c>
      <c r="H90" s="33" t="s">
        <v>381</v>
      </c>
      <c r="I90" s="34" t="s">
        <v>40</v>
      </c>
      <c r="J90" s="35" t="s">
        <v>382</v>
      </c>
      <c r="K90" s="36" t="s">
        <v>383</v>
      </c>
    </row>
    <row r="91" customFormat="false" ht="14.25" hidden="false" customHeight="true" outlineLevel="0" collapsed="false">
      <c r="A91" s="27"/>
      <c r="B91" s="27"/>
      <c r="C91" s="27"/>
      <c r="D91" s="27"/>
      <c r="E91" s="36" t="s">
        <v>384</v>
      </c>
      <c r="F91" s="31"/>
      <c r="G91" s="32"/>
      <c r="H91" s="33"/>
      <c r="I91" s="34"/>
      <c r="J91" s="35"/>
      <c r="K91" s="36" t="s">
        <v>385</v>
      </c>
    </row>
    <row r="92" customFormat="false" ht="14.25" hidden="false" customHeight="true" outlineLevel="0" collapsed="false">
      <c r="A92" s="27"/>
      <c r="B92" s="27"/>
      <c r="C92" s="27"/>
      <c r="D92" s="29" t="s">
        <v>386</v>
      </c>
      <c r="E92" s="36" t="s">
        <v>387</v>
      </c>
      <c r="F92" s="31" t="s">
        <v>388</v>
      </c>
      <c r="G92" s="32" t="s">
        <v>48</v>
      </c>
      <c r="H92" s="33" t="s">
        <v>389</v>
      </c>
      <c r="I92" s="37" t="s">
        <v>50</v>
      </c>
      <c r="J92" s="35" t="s">
        <v>390</v>
      </c>
      <c r="K92" s="36" t="s">
        <v>391</v>
      </c>
    </row>
    <row r="93" customFormat="false" ht="14.25" hidden="false" customHeight="true" outlineLevel="0" collapsed="false">
      <c r="A93" s="27"/>
      <c r="B93" s="27"/>
      <c r="C93" s="27"/>
      <c r="D93" s="27"/>
      <c r="E93" s="36" t="s">
        <v>392</v>
      </c>
      <c r="F93" s="31"/>
      <c r="G93" s="32"/>
      <c r="H93" s="33"/>
      <c r="I93" s="37"/>
      <c r="J93" s="35"/>
      <c r="K93" s="36" t="s">
        <v>393</v>
      </c>
    </row>
    <row r="94" customFormat="false" ht="14.25" hidden="false" customHeight="true" outlineLevel="0" collapsed="false">
      <c r="A94" s="27"/>
      <c r="B94" s="27"/>
      <c r="C94" s="27"/>
      <c r="D94" s="29" t="s">
        <v>394</v>
      </c>
      <c r="E94" s="36" t="s">
        <v>395</v>
      </c>
      <c r="F94" s="31" t="s">
        <v>396</v>
      </c>
      <c r="G94" s="32" t="s">
        <v>48</v>
      </c>
      <c r="H94" s="33" t="s">
        <v>397</v>
      </c>
      <c r="I94" s="34" t="s">
        <v>40</v>
      </c>
      <c r="J94" s="35" t="s">
        <v>398</v>
      </c>
      <c r="K94" s="36" t="s">
        <v>399</v>
      </c>
    </row>
    <row r="95" customFormat="false" ht="14.25" hidden="false" customHeight="true" outlineLevel="0" collapsed="false">
      <c r="A95" s="27"/>
      <c r="B95" s="27"/>
      <c r="C95" s="27"/>
      <c r="D95" s="27"/>
      <c r="E95" s="36" t="s">
        <v>400</v>
      </c>
      <c r="F95" s="31"/>
      <c r="G95" s="32"/>
      <c r="H95" s="33"/>
      <c r="I95" s="34"/>
      <c r="J95" s="35"/>
      <c r="K95" s="36" t="s">
        <v>401</v>
      </c>
    </row>
    <row r="96" customFormat="false" ht="14.25" hidden="false" customHeight="true" outlineLevel="0" collapsed="false">
      <c r="A96" s="27"/>
      <c r="B96" s="27"/>
      <c r="C96" s="27"/>
      <c r="D96" s="29" t="s">
        <v>402</v>
      </c>
      <c r="E96" s="36" t="s">
        <v>403</v>
      </c>
      <c r="F96" s="31" t="s">
        <v>404</v>
      </c>
      <c r="G96" s="32" t="s">
        <v>38</v>
      </c>
      <c r="H96" s="33" t="s">
        <v>405</v>
      </c>
      <c r="I96" s="39" t="s">
        <v>67</v>
      </c>
      <c r="J96" s="35" t="s">
        <v>406</v>
      </c>
      <c r="K96" s="36" t="s">
        <v>407</v>
      </c>
    </row>
    <row r="97" customFormat="false" ht="14.25" hidden="false" customHeight="true" outlineLevel="0" collapsed="false">
      <c r="A97" s="27"/>
      <c r="B97" s="27"/>
      <c r="C97" s="27"/>
      <c r="D97" s="27"/>
      <c r="E97" s="36" t="s">
        <v>408</v>
      </c>
      <c r="F97" s="31"/>
      <c r="G97" s="32"/>
      <c r="H97" s="33"/>
      <c r="I97" s="39"/>
      <c r="J97" s="35"/>
      <c r="K97" s="36" t="s">
        <v>409</v>
      </c>
    </row>
    <row r="98" customFormat="false" ht="14.25" hidden="false" customHeight="true" outlineLevel="0" collapsed="false">
      <c r="A98" s="27"/>
      <c r="B98" s="27"/>
      <c r="C98" s="40" t="s">
        <v>410</v>
      </c>
      <c r="D98" s="29" t="s">
        <v>411</v>
      </c>
      <c r="E98" s="36" t="s">
        <v>412</v>
      </c>
      <c r="F98" s="31" t="s">
        <v>413</v>
      </c>
      <c r="G98" s="32" t="s">
        <v>38</v>
      </c>
      <c r="H98" s="33" t="s">
        <v>414</v>
      </c>
      <c r="I98" s="34" t="s">
        <v>40</v>
      </c>
      <c r="J98" s="35" t="s">
        <v>415</v>
      </c>
      <c r="K98" s="36" t="s">
        <v>416</v>
      </c>
    </row>
    <row r="99" customFormat="false" ht="14.25" hidden="false" customHeight="true" outlineLevel="0" collapsed="false">
      <c r="A99" s="27"/>
      <c r="B99" s="27"/>
      <c r="C99" s="27"/>
      <c r="D99" s="27"/>
      <c r="E99" s="36" t="s">
        <v>417</v>
      </c>
      <c r="F99" s="31"/>
      <c r="G99" s="32"/>
      <c r="H99" s="33"/>
      <c r="I99" s="34"/>
      <c r="J99" s="35"/>
      <c r="K99" s="36" t="s">
        <v>418</v>
      </c>
    </row>
    <row r="100" customFormat="false" ht="14.25" hidden="false" customHeight="true" outlineLevel="0" collapsed="false">
      <c r="A100" s="27"/>
      <c r="B100" s="27"/>
      <c r="C100" s="27"/>
      <c r="D100" s="29" t="s">
        <v>419</v>
      </c>
      <c r="E100" s="36" t="s">
        <v>420</v>
      </c>
      <c r="F100" s="31" t="s">
        <v>421</v>
      </c>
      <c r="G100" s="32" t="s">
        <v>38</v>
      </c>
      <c r="H100" s="33" t="s">
        <v>422</v>
      </c>
      <c r="I100" s="37" t="s">
        <v>50</v>
      </c>
      <c r="J100" s="35" t="s">
        <v>423</v>
      </c>
      <c r="K100" s="36" t="s">
        <v>424</v>
      </c>
    </row>
    <row r="101" customFormat="false" ht="14.25" hidden="false" customHeight="true" outlineLevel="0" collapsed="false">
      <c r="A101" s="27"/>
      <c r="B101" s="27"/>
      <c r="C101" s="27"/>
      <c r="D101" s="27"/>
      <c r="E101" s="36" t="s">
        <v>425</v>
      </c>
      <c r="F101" s="31"/>
      <c r="G101" s="32"/>
      <c r="H101" s="33"/>
      <c r="I101" s="37"/>
      <c r="J101" s="35"/>
      <c r="K101" s="36" t="s">
        <v>426</v>
      </c>
    </row>
    <row r="102" customFormat="false" ht="14.25" hidden="false" customHeight="true" outlineLevel="0" collapsed="false">
      <c r="A102" s="27"/>
      <c r="B102" s="27"/>
      <c r="C102" s="27"/>
      <c r="D102" s="29" t="s">
        <v>290</v>
      </c>
      <c r="E102" s="36" t="s">
        <v>427</v>
      </c>
      <c r="F102" s="31" t="s">
        <v>428</v>
      </c>
      <c r="G102" s="32" t="s">
        <v>48</v>
      </c>
      <c r="H102" s="33" t="s">
        <v>429</v>
      </c>
      <c r="I102" s="34" t="s">
        <v>40</v>
      </c>
      <c r="J102" s="35" t="s">
        <v>430</v>
      </c>
      <c r="K102" s="36" t="s">
        <v>431</v>
      </c>
    </row>
    <row r="103" customFormat="false" ht="14.25" hidden="false" customHeight="true" outlineLevel="0" collapsed="false">
      <c r="A103" s="27"/>
      <c r="B103" s="27"/>
      <c r="C103" s="27"/>
      <c r="D103" s="27"/>
      <c r="E103" s="36" t="s">
        <v>432</v>
      </c>
      <c r="F103" s="31"/>
      <c r="G103" s="32"/>
      <c r="H103" s="33"/>
      <c r="I103" s="34"/>
      <c r="J103" s="35"/>
      <c r="K103" s="36" t="s">
        <v>433</v>
      </c>
    </row>
    <row r="104" customFormat="false" ht="14.25" hidden="false" customHeight="true" outlineLevel="0" collapsed="false">
      <c r="A104" s="27"/>
      <c r="B104" s="27"/>
      <c r="C104" s="27"/>
      <c r="D104" s="29" t="s">
        <v>298</v>
      </c>
      <c r="E104" s="36" t="s">
        <v>434</v>
      </c>
      <c r="F104" s="31" t="s">
        <v>435</v>
      </c>
      <c r="G104" s="32" t="s">
        <v>58</v>
      </c>
      <c r="H104" s="33" t="s">
        <v>436</v>
      </c>
      <c r="I104" s="39" t="s">
        <v>67</v>
      </c>
      <c r="J104" s="35" t="s">
        <v>437</v>
      </c>
      <c r="K104" s="36" t="s">
        <v>438</v>
      </c>
    </row>
    <row r="105" customFormat="false" ht="14.25" hidden="false" customHeight="true" outlineLevel="0" collapsed="false">
      <c r="A105" s="27"/>
      <c r="B105" s="27"/>
      <c r="C105" s="27"/>
      <c r="D105" s="27"/>
      <c r="E105" s="36" t="s">
        <v>439</v>
      </c>
      <c r="F105" s="31"/>
      <c r="G105" s="32"/>
      <c r="H105" s="33"/>
      <c r="I105" s="39"/>
      <c r="J105" s="35"/>
      <c r="K105" s="36" t="s">
        <v>440</v>
      </c>
    </row>
    <row r="106" customFormat="false" ht="14.25" hidden="false" customHeight="true" outlineLevel="0" collapsed="false">
      <c r="A106" s="27"/>
      <c r="B106" s="27"/>
      <c r="C106" s="27"/>
      <c r="D106" s="29" t="s">
        <v>441</v>
      </c>
      <c r="E106" s="36" t="s">
        <v>442</v>
      </c>
      <c r="F106" s="31" t="s">
        <v>443</v>
      </c>
      <c r="G106" s="32" t="s">
        <v>48</v>
      </c>
      <c r="H106" s="33" t="s">
        <v>444</v>
      </c>
      <c r="I106" s="34" t="s">
        <v>40</v>
      </c>
      <c r="J106" s="35" t="s">
        <v>445</v>
      </c>
      <c r="K106" s="36" t="s">
        <v>446</v>
      </c>
    </row>
    <row r="107" customFormat="false" ht="14.25" hidden="false" customHeight="true" outlineLevel="0" collapsed="false">
      <c r="A107" s="27"/>
      <c r="B107" s="27"/>
      <c r="C107" s="27"/>
      <c r="D107" s="27"/>
      <c r="E107" s="36" t="s">
        <v>447</v>
      </c>
      <c r="F107" s="31"/>
      <c r="G107" s="32"/>
      <c r="H107" s="33"/>
      <c r="I107" s="34"/>
      <c r="J107" s="35"/>
      <c r="K107" s="36" t="s">
        <v>448</v>
      </c>
    </row>
    <row r="108" customFormat="false" ht="14.25" hidden="false" customHeight="true" outlineLevel="0" collapsed="false">
      <c r="A108" s="27"/>
      <c r="B108" s="27"/>
      <c r="C108" s="27"/>
      <c r="D108" s="29" t="s">
        <v>449</v>
      </c>
      <c r="E108" s="36" t="s">
        <v>450</v>
      </c>
      <c r="F108" s="31" t="s">
        <v>451</v>
      </c>
      <c r="G108" s="32" t="s">
        <v>48</v>
      </c>
      <c r="H108" s="33" t="s">
        <v>452</v>
      </c>
      <c r="I108" s="37" t="s">
        <v>50</v>
      </c>
      <c r="J108" s="35" t="s">
        <v>453</v>
      </c>
      <c r="K108" s="36" t="s">
        <v>454</v>
      </c>
    </row>
    <row r="109" customFormat="false" ht="14.25" hidden="false" customHeight="true" outlineLevel="0" collapsed="false">
      <c r="A109" s="27"/>
      <c r="B109" s="27"/>
      <c r="C109" s="27"/>
      <c r="D109" s="27"/>
      <c r="E109" s="36" t="s">
        <v>455</v>
      </c>
      <c r="F109" s="31"/>
      <c r="G109" s="32"/>
      <c r="H109" s="33"/>
      <c r="I109" s="37"/>
      <c r="J109" s="35"/>
      <c r="K109" s="36" t="s">
        <v>456</v>
      </c>
    </row>
    <row r="110" customFormat="false" ht="14.25" hidden="false" customHeight="true" outlineLevel="0" collapsed="false">
      <c r="A110" s="27"/>
      <c r="B110" s="28" t="s">
        <v>457</v>
      </c>
      <c r="C110" s="29" t="s">
        <v>458</v>
      </c>
      <c r="D110" s="29" t="s">
        <v>459</v>
      </c>
      <c r="E110" s="30" t="s">
        <v>460</v>
      </c>
      <c r="F110" s="31" t="s">
        <v>461</v>
      </c>
      <c r="G110" s="32" t="s">
        <v>38</v>
      </c>
      <c r="H110" s="33" t="s">
        <v>462</v>
      </c>
      <c r="I110" s="34" t="s">
        <v>40</v>
      </c>
      <c r="J110" s="35" t="s">
        <v>463</v>
      </c>
      <c r="K110" s="36" t="s">
        <v>464</v>
      </c>
    </row>
    <row r="111" customFormat="false" ht="14.25" hidden="false" customHeight="true" outlineLevel="0" collapsed="false">
      <c r="A111" s="27"/>
      <c r="B111" s="27"/>
      <c r="C111" s="27"/>
      <c r="D111" s="27"/>
      <c r="E111" s="30" t="s">
        <v>465</v>
      </c>
      <c r="F111" s="31"/>
      <c r="G111" s="32"/>
      <c r="H111" s="33"/>
      <c r="I111" s="34"/>
      <c r="J111" s="35"/>
      <c r="K111" s="36" t="s">
        <v>466</v>
      </c>
    </row>
    <row r="112" customFormat="false" ht="14.25" hidden="false" customHeight="true" outlineLevel="0" collapsed="false">
      <c r="A112" s="27"/>
      <c r="B112" s="27"/>
      <c r="C112" s="27"/>
      <c r="D112" s="29" t="s">
        <v>467</v>
      </c>
      <c r="E112" s="30" t="s">
        <v>314</v>
      </c>
      <c r="F112" s="31" t="s">
        <v>468</v>
      </c>
      <c r="G112" s="32" t="s">
        <v>38</v>
      </c>
      <c r="H112" s="33" t="s">
        <v>469</v>
      </c>
      <c r="I112" s="39" t="s">
        <v>67</v>
      </c>
      <c r="J112" s="35" t="s">
        <v>470</v>
      </c>
      <c r="K112" s="36" t="s">
        <v>471</v>
      </c>
    </row>
    <row r="113" customFormat="false" ht="14.25" hidden="false" customHeight="true" outlineLevel="0" collapsed="false">
      <c r="A113" s="27"/>
      <c r="B113" s="27"/>
      <c r="C113" s="27"/>
      <c r="D113" s="27"/>
      <c r="E113" s="30" t="s">
        <v>455</v>
      </c>
      <c r="F113" s="31"/>
      <c r="G113" s="32"/>
      <c r="H113" s="33"/>
      <c r="I113" s="39"/>
      <c r="J113" s="35"/>
      <c r="K113" s="36" t="s">
        <v>472</v>
      </c>
    </row>
    <row r="114" customFormat="false" ht="14.25" hidden="false" customHeight="true" outlineLevel="0" collapsed="false">
      <c r="A114" s="27"/>
      <c r="B114" s="27"/>
      <c r="C114" s="27"/>
      <c r="D114" s="29" t="s">
        <v>473</v>
      </c>
      <c r="E114" s="30" t="s">
        <v>474</v>
      </c>
      <c r="F114" s="31" t="s">
        <v>475</v>
      </c>
      <c r="G114" s="32" t="s">
        <v>38</v>
      </c>
      <c r="H114" s="33" t="s">
        <v>476</v>
      </c>
      <c r="I114" s="34" t="s">
        <v>40</v>
      </c>
      <c r="J114" s="35" t="s">
        <v>477</v>
      </c>
      <c r="K114" s="36" t="s">
        <v>478</v>
      </c>
    </row>
    <row r="115" customFormat="false" ht="14.25" hidden="false" customHeight="true" outlineLevel="0" collapsed="false">
      <c r="A115" s="27"/>
      <c r="B115" s="27"/>
      <c r="C115" s="27"/>
      <c r="D115" s="27"/>
      <c r="E115" s="30" t="s">
        <v>479</v>
      </c>
      <c r="F115" s="31"/>
      <c r="G115" s="32"/>
      <c r="H115" s="33"/>
      <c r="I115" s="34"/>
      <c r="J115" s="35"/>
      <c r="K115" s="36" t="s">
        <v>480</v>
      </c>
    </row>
    <row r="116" customFormat="false" ht="14.25" hidden="false" customHeight="true" outlineLevel="0" collapsed="false">
      <c r="A116" s="27"/>
      <c r="B116" s="27"/>
      <c r="C116" s="27"/>
      <c r="D116" s="29" t="s">
        <v>481</v>
      </c>
      <c r="E116" s="30" t="s">
        <v>482</v>
      </c>
      <c r="F116" s="31" t="s">
        <v>483</v>
      </c>
      <c r="G116" s="32" t="s">
        <v>48</v>
      </c>
      <c r="H116" s="33" t="s">
        <v>484</v>
      </c>
      <c r="I116" s="37" t="s">
        <v>50</v>
      </c>
      <c r="J116" s="35" t="s">
        <v>485</v>
      </c>
      <c r="K116" s="36" t="s">
        <v>486</v>
      </c>
    </row>
    <row r="117" customFormat="false" ht="14.25" hidden="false" customHeight="true" outlineLevel="0" collapsed="false">
      <c r="A117" s="27"/>
      <c r="B117" s="27"/>
      <c r="C117" s="27"/>
      <c r="D117" s="27"/>
      <c r="E117" s="30" t="s">
        <v>487</v>
      </c>
      <c r="F117" s="31"/>
      <c r="G117" s="32"/>
      <c r="H117" s="33"/>
      <c r="I117" s="37"/>
      <c r="J117" s="35"/>
      <c r="K117" s="36" t="s">
        <v>488</v>
      </c>
    </row>
    <row r="118" customFormat="false" ht="14.25" hidden="false" customHeight="true" outlineLevel="0" collapsed="false">
      <c r="A118" s="27"/>
      <c r="B118" s="27"/>
      <c r="C118" s="27"/>
      <c r="D118" s="29" t="s">
        <v>489</v>
      </c>
      <c r="E118" s="24" t="s">
        <v>490</v>
      </c>
      <c r="F118" s="31" t="s">
        <v>491</v>
      </c>
      <c r="G118" s="32" t="s">
        <v>58</v>
      </c>
      <c r="H118" s="33" t="s">
        <v>492</v>
      </c>
      <c r="I118" s="34" t="s">
        <v>40</v>
      </c>
      <c r="J118" s="35" t="s">
        <v>437</v>
      </c>
      <c r="K118" s="36" t="s">
        <v>493</v>
      </c>
    </row>
    <row r="119" customFormat="false" ht="14.25" hidden="false" customHeight="true" outlineLevel="0" collapsed="false">
      <c r="A119" s="27"/>
      <c r="B119" s="27"/>
      <c r="C119" s="27"/>
      <c r="D119" s="27"/>
      <c r="E119" s="24" t="s">
        <v>494</v>
      </c>
      <c r="F119" s="31"/>
      <c r="G119" s="32"/>
      <c r="H119" s="33"/>
      <c r="I119" s="34"/>
      <c r="J119" s="35"/>
      <c r="K119" s="36" t="s">
        <v>495</v>
      </c>
    </row>
    <row r="120" customFormat="false" ht="14.25" hidden="false" customHeight="true" outlineLevel="0" collapsed="false">
      <c r="A120" s="27"/>
      <c r="B120" s="27"/>
      <c r="C120" s="29" t="s">
        <v>496</v>
      </c>
      <c r="D120" s="29" t="s">
        <v>497</v>
      </c>
      <c r="E120" s="41" t="s">
        <v>498</v>
      </c>
      <c r="F120" s="31" t="s">
        <v>499</v>
      </c>
      <c r="G120" s="32" t="s">
        <v>48</v>
      </c>
      <c r="H120" s="33" t="s">
        <v>500</v>
      </c>
      <c r="I120" s="39" t="s">
        <v>67</v>
      </c>
      <c r="J120" s="35" t="s">
        <v>501</v>
      </c>
      <c r="K120" s="36" t="s">
        <v>502</v>
      </c>
    </row>
    <row r="121" customFormat="false" ht="14.25" hidden="false" customHeight="true" outlineLevel="0" collapsed="false">
      <c r="A121" s="27"/>
      <c r="B121" s="27"/>
      <c r="C121" s="27"/>
      <c r="D121" s="27"/>
      <c r="E121" s="41" t="s">
        <v>503</v>
      </c>
      <c r="F121" s="31"/>
      <c r="G121" s="32"/>
      <c r="H121" s="33"/>
      <c r="I121" s="39"/>
      <c r="J121" s="35"/>
      <c r="K121" s="36" t="s">
        <v>504</v>
      </c>
    </row>
    <row r="122" customFormat="false" ht="14.25" hidden="false" customHeight="true" outlineLevel="0" collapsed="false">
      <c r="A122" s="27"/>
      <c r="B122" s="27"/>
      <c r="C122" s="27"/>
      <c r="D122" s="29" t="s">
        <v>505</v>
      </c>
      <c r="E122" s="41" t="s">
        <v>506</v>
      </c>
      <c r="F122" s="31" t="s">
        <v>507</v>
      </c>
      <c r="G122" s="32" t="s">
        <v>48</v>
      </c>
      <c r="H122" s="33" t="s">
        <v>508</v>
      </c>
      <c r="I122" s="34" t="s">
        <v>40</v>
      </c>
      <c r="J122" s="35" t="s">
        <v>509</v>
      </c>
      <c r="K122" s="36" t="s">
        <v>510</v>
      </c>
    </row>
    <row r="123" customFormat="false" ht="14.25" hidden="false" customHeight="true" outlineLevel="0" collapsed="false">
      <c r="A123" s="27"/>
      <c r="B123" s="27"/>
      <c r="C123" s="27"/>
      <c r="D123" s="27"/>
      <c r="E123" s="41" t="s">
        <v>511</v>
      </c>
      <c r="F123" s="31"/>
      <c r="G123" s="32"/>
      <c r="H123" s="33"/>
      <c r="I123" s="34"/>
      <c r="J123" s="35"/>
      <c r="K123" s="36" t="s">
        <v>512</v>
      </c>
    </row>
    <row r="124" customFormat="false" ht="14.25" hidden="false" customHeight="true" outlineLevel="0" collapsed="false">
      <c r="A124" s="27"/>
      <c r="B124" s="27"/>
      <c r="C124" s="27"/>
      <c r="D124" s="29" t="s">
        <v>513</v>
      </c>
      <c r="E124" s="30" t="s">
        <v>514</v>
      </c>
      <c r="F124" s="31" t="s">
        <v>515</v>
      </c>
      <c r="G124" s="32" t="s">
        <v>38</v>
      </c>
      <c r="H124" s="33" t="s">
        <v>516</v>
      </c>
      <c r="I124" s="37" t="s">
        <v>50</v>
      </c>
      <c r="J124" s="35" t="s">
        <v>517</v>
      </c>
      <c r="K124" s="36" t="s">
        <v>518</v>
      </c>
    </row>
    <row r="125" customFormat="false" ht="14.25" hidden="false" customHeight="true" outlineLevel="0" collapsed="false">
      <c r="A125" s="27"/>
      <c r="B125" s="27"/>
      <c r="C125" s="27"/>
      <c r="D125" s="27"/>
      <c r="E125" s="41" t="s">
        <v>519</v>
      </c>
      <c r="F125" s="31"/>
      <c r="G125" s="32"/>
      <c r="H125" s="33"/>
      <c r="I125" s="37"/>
      <c r="J125" s="35"/>
      <c r="K125" s="36" t="s">
        <v>520</v>
      </c>
    </row>
    <row r="126" customFormat="false" ht="14.25" hidden="false" customHeight="true" outlineLevel="0" collapsed="false">
      <c r="A126" s="27"/>
      <c r="B126" s="27"/>
      <c r="C126" s="27"/>
      <c r="D126" s="29" t="s">
        <v>521</v>
      </c>
      <c r="E126" s="36" t="s">
        <v>522</v>
      </c>
      <c r="F126" s="31" t="s">
        <v>523</v>
      </c>
      <c r="G126" s="32" t="s">
        <v>38</v>
      </c>
      <c r="H126" s="33" t="s">
        <v>524</v>
      </c>
      <c r="I126" s="34" t="s">
        <v>40</v>
      </c>
      <c r="J126" s="35" t="s">
        <v>525</v>
      </c>
      <c r="K126" s="36" t="s">
        <v>526</v>
      </c>
    </row>
    <row r="127" customFormat="false" ht="14.25" hidden="false" customHeight="true" outlineLevel="0" collapsed="false">
      <c r="A127" s="27"/>
      <c r="B127" s="27"/>
      <c r="C127" s="27"/>
      <c r="D127" s="27"/>
      <c r="E127" s="36" t="s">
        <v>527</v>
      </c>
      <c r="F127" s="31"/>
      <c r="G127" s="32"/>
      <c r="H127" s="33"/>
      <c r="I127" s="34"/>
      <c r="J127" s="35"/>
      <c r="K127" s="36" t="s">
        <v>528</v>
      </c>
    </row>
    <row r="128" customFormat="false" ht="14.25" hidden="false" customHeight="true" outlineLevel="0" collapsed="false">
      <c r="A128" s="27"/>
      <c r="B128" s="27"/>
      <c r="C128" s="27"/>
      <c r="D128" s="29" t="s">
        <v>529</v>
      </c>
      <c r="E128" s="36" t="s">
        <v>530</v>
      </c>
      <c r="F128" s="31" t="s">
        <v>531</v>
      </c>
      <c r="G128" s="32" t="s">
        <v>38</v>
      </c>
      <c r="H128" s="33" t="s">
        <v>532</v>
      </c>
      <c r="I128" s="39" t="s">
        <v>67</v>
      </c>
      <c r="J128" s="35" t="s">
        <v>533</v>
      </c>
      <c r="K128" s="36" t="s">
        <v>534</v>
      </c>
    </row>
    <row r="129" customFormat="false" ht="14.25" hidden="false" customHeight="true" outlineLevel="0" collapsed="false">
      <c r="A129" s="27"/>
      <c r="B129" s="27"/>
      <c r="C129" s="27"/>
      <c r="D129" s="27"/>
      <c r="E129" s="36" t="s">
        <v>535</v>
      </c>
      <c r="F129" s="31"/>
      <c r="G129" s="32"/>
      <c r="H129" s="33"/>
      <c r="I129" s="39"/>
      <c r="J129" s="35"/>
      <c r="K129" s="36" t="s">
        <v>536</v>
      </c>
    </row>
    <row r="130" customFormat="false" ht="14.25" hidden="false" customHeight="true" outlineLevel="0" collapsed="false">
      <c r="A130" s="27"/>
      <c r="B130" s="27"/>
      <c r="C130" s="29" t="s">
        <v>537</v>
      </c>
      <c r="D130" s="29" t="s">
        <v>538</v>
      </c>
      <c r="E130" s="36" t="s">
        <v>539</v>
      </c>
      <c r="F130" s="31" t="s">
        <v>540</v>
      </c>
      <c r="G130" s="32" t="s">
        <v>48</v>
      </c>
      <c r="H130" s="33" t="s">
        <v>541</v>
      </c>
      <c r="I130" s="34" t="s">
        <v>40</v>
      </c>
      <c r="J130" s="35" t="s">
        <v>542</v>
      </c>
      <c r="K130" s="36" t="s">
        <v>543</v>
      </c>
    </row>
    <row r="131" customFormat="false" ht="14.25" hidden="false" customHeight="true" outlineLevel="0" collapsed="false">
      <c r="A131" s="27"/>
      <c r="B131" s="27"/>
      <c r="C131" s="27"/>
      <c r="D131" s="27"/>
      <c r="E131" s="36" t="s">
        <v>544</v>
      </c>
      <c r="F131" s="31"/>
      <c r="G131" s="32"/>
      <c r="H131" s="33"/>
      <c r="I131" s="34"/>
      <c r="J131" s="35"/>
      <c r="K131" s="36" t="s">
        <v>545</v>
      </c>
    </row>
    <row r="132" customFormat="false" ht="14.25" hidden="false" customHeight="true" outlineLevel="0" collapsed="false">
      <c r="A132" s="27"/>
      <c r="B132" s="27"/>
      <c r="C132" s="27"/>
      <c r="D132" s="29" t="s">
        <v>546</v>
      </c>
      <c r="E132" s="36" t="s">
        <v>547</v>
      </c>
      <c r="F132" s="31" t="s">
        <v>548</v>
      </c>
      <c r="G132" s="32" t="s">
        <v>58</v>
      </c>
      <c r="H132" s="33" t="s">
        <v>549</v>
      </c>
      <c r="I132" s="37" t="s">
        <v>50</v>
      </c>
      <c r="J132" s="35" t="s">
        <v>550</v>
      </c>
      <c r="K132" s="36" t="s">
        <v>551</v>
      </c>
    </row>
    <row r="133" customFormat="false" ht="14.25" hidden="false" customHeight="true" outlineLevel="0" collapsed="false">
      <c r="A133" s="27"/>
      <c r="B133" s="27"/>
      <c r="C133" s="27"/>
      <c r="D133" s="27"/>
      <c r="E133" s="36" t="s">
        <v>552</v>
      </c>
      <c r="F133" s="31"/>
      <c r="G133" s="32"/>
      <c r="H133" s="33"/>
      <c r="I133" s="37"/>
      <c r="J133" s="35"/>
      <c r="K133" s="36" t="s">
        <v>553</v>
      </c>
    </row>
    <row r="134" customFormat="false" ht="14.25" hidden="false" customHeight="true" outlineLevel="0" collapsed="false">
      <c r="A134" s="27"/>
      <c r="B134" s="27"/>
      <c r="C134" s="27"/>
      <c r="D134" s="29" t="s">
        <v>554</v>
      </c>
      <c r="E134" s="36" t="s">
        <v>555</v>
      </c>
      <c r="F134" s="31" t="s">
        <v>556</v>
      </c>
      <c r="G134" s="32" t="s">
        <v>48</v>
      </c>
      <c r="H134" s="33" t="s">
        <v>557</v>
      </c>
      <c r="I134" s="34" t="s">
        <v>40</v>
      </c>
      <c r="J134" s="35" t="s">
        <v>558</v>
      </c>
      <c r="K134" s="36" t="s">
        <v>559</v>
      </c>
    </row>
    <row r="135" customFormat="false" ht="14.25" hidden="false" customHeight="true" outlineLevel="0" collapsed="false">
      <c r="A135" s="27"/>
      <c r="B135" s="27"/>
      <c r="C135" s="27"/>
      <c r="D135" s="27"/>
      <c r="E135" s="36" t="s">
        <v>560</v>
      </c>
      <c r="F135" s="31"/>
      <c r="G135" s="32"/>
      <c r="H135" s="33"/>
      <c r="I135" s="34"/>
      <c r="J135" s="35"/>
      <c r="K135" s="36" t="s">
        <v>561</v>
      </c>
    </row>
    <row r="136" customFormat="false" ht="14.25" hidden="false" customHeight="true" outlineLevel="0" collapsed="false">
      <c r="A136" s="27"/>
      <c r="B136" s="27"/>
      <c r="C136" s="27"/>
      <c r="D136" s="29" t="s">
        <v>562</v>
      </c>
      <c r="E136" s="36" t="s">
        <v>563</v>
      </c>
      <c r="F136" s="31" t="s">
        <v>564</v>
      </c>
      <c r="G136" s="32" t="s">
        <v>48</v>
      </c>
      <c r="H136" s="33" t="s">
        <v>565</v>
      </c>
      <c r="I136" s="39" t="s">
        <v>67</v>
      </c>
      <c r="J136" s="35" t="s">
        <v>566</v>
      </c>
      <c r="K136" s="36" t="s">
        <v>567</v>
      </c>
    </row>
    <row r="137" customFormat="false" ht="14.25" hidden="false" customHeight="true" outlineLevel="0" collapsed="false">
      <c r="A137" s="27"/>
      <c r="B137" s="27"/>
      <c r="C137" s="27"/>
      <c r="D137" s="27"/>
      <c r="E137" s="36" t="s">
        <v>568</v>
      </c>
      <c r="F137" s="31"/>
      <c r="G137" s="32"/>
      <c r="H137" s="33"/>
      <c r="I137" s="39"/>
      <c r="J137" s="35"/>
      <c r="K137" s="36" t="s">
        <v>569</v>
      </c>
    </row>
    <row r="138" customFormat="false" ht="14.25" hidden="false" customHeight="true" outlineLevel="0" collapsed="false">
      <c r="A138" s="27"/>
      <c r="B138" s="27"/>
      <c r="C138" s="27"/>
      <c r="D138" s="29" t="s">
        <v>570</v>
      </c>
      <c r="E138" s="36" t="s">
        <v>571</v>
      </c>
      <c r="F138" s="31" t="s">
        <v>572</v>
      </c>
      <c r="G138" s="32" t="s">
        <v>38</v>
      </c>
      <c r="H138" s="33" t="s">
        <v>573</v>
      </c>
      <c r="I138" s="34" t="s">
        <v>40</v>
      </c>
      <c r="J138" s="35" t="s">
        <v>574</v>
      </c>
      <c r="K138" s="36" t="s">
        <v>575</v>
      </c>
    </row>
    <row r="139" customFormat="false" ht="14.25" hidden="false" customHeight="true" outlineLevel="0" collapsed="false">
      <c r="A139" s="27"/>
      <c r="B139" s="27"/>
      <c r="C139" s="27"/>
      <c r="D139" s="27"/>
      <c r="E139" s="36" t="s">
        <v>576</v>
      </c>
      <c r="F139" s="31"/>
      <c r="G139" s="32"/>
      <c r="H139" s="33"/>
      <c r="I139" s="34"/>
      <c r="J139" s="35"/>
      <c r="K139" s="36" t="s">
        <v>488</v>
      </c>
    </row>
    <row r="140" customFormat="false" ht="14.25" hidden="false" customHeight="true" outlineLevel="0" collapsed="false">
      <c r="A140" s="27"/>
      <c r="B140" s="27"/>
      <c r="C140" s="29" t="s">
        <v>577</v>
      </c>
      <c r="D140" s="29" t="s">
        <v>578</v>
      </c>
      <c r="E140" s="36" t="s">
        <v>579</v>
      </c>
      <c r="F140" s="31" t="s">
        <v>580</v>
      </c>
      <c r="G140" s="32" t="s">
        <v>38</v>
      </c>
      <c r="H140" s="33" t="s">
        <v>581</v>
      </c>
      <c r="I140" s="37" t="s">
        <v>50</v>
      </c>
      <c r="J140" s="35" t="s">
        <v>582</v>
      </c>
      <c r="K140" s="36" t="s">
        <v>583</v>
      </c>
    </row>
    <row r="141" customFormat="false" ht="14.25" hidden="false" customHeight="true" outlineLevel="0" collapsed="false">
      <c r="A141" s="27"/>
      <c r="B141" s="27"/>
      <c r="C141" s="27"/>
      <c r="D141" s="27"/>
      <c r="E141" s="36" t="s">
        <v>584</v>
      </c>
      <c r="F141" s="31"/>
      <c r="G141" s="32"/>
      <c r="H141" s="33"/>
      <c r="I141" s="37"/>
      <c r="J141" s="35"/>
      <c r="K141" s="36" t="s">
        <v>585</v>
      </c>
    </row>
    <row r="142" customFormat="false" ht="14.25" hidden="false" customHeight="true" outlineLevel="0" collapsed="false">
      <c r="A142" s="27"/>
      <c r="B142" s="27"/>
      <c r="C142" s="27"/>
      <c r="D142" s="29" t="s">
        <v>586</v>
      </c>
      <c r="E142" s="36" t="s">
        <v>587</v>
      </c>
      <c r="F142" s="31" t="s">
        <v>588</v>
      </c>
      <c r="G142" s="32" t="s">
        <v>38</v>
      </c>
      <c r="H142" s="33" t="s">
        <v>589</v>
      </c>
      <c r="I142" s="34" t="s">
        <v>40</v>
      </c>
      <c r="J142" s="35" t="s">
        <v>590</v>
      </c>
      <c r="K142" s="36" t="s">
        <v>591</v>
      </c>
    </row>
    <row r="143" customFormat="false" ht="14.25" hidden="false" customHeight="true" outlineLevel="0" collapsed="false">
      <c r="A143" s="27"/>
      <c r="B143" s="27"/>
      <c r="C143" s="27"/>
      <c r="D143" s="27"/>
      <c r="E143" s="36" t="s">
        <v>592</v>
      </c>
      <c r="F143" s="31"/>
      <c r="G143" s="32"/>
      <c r="H143" s="33"/>
      <c r="I143" s="34"/>
      <c r="J143" s="35"/>
      <c r="K143" s="36" t="s">
        <v>593</v>
      </c>
    </row>
    <row r="144" customFormat="false" ht="14.25" hidden="false" customHeight="true" outlineLevel="0" collapsed="false">
      <c r="A144" s="27"/>
      <c r="B144" s="27"/>
      <c r="C144" s="27"/>
      <c r="D144" s="29" t="s">
        <v>594</v>
      </c>
      <c r="E144" s="36" t="s">
        <v>595</v>
      </c>
      <c r="F144" s="31" t="s">
        <v>596</v>
      </c>
      <c r="G144" s="32" t="s">
        <v>48</v>
      </c>
      <c r="H144" s="33" t="s">
        <v>597</v>
      </c>
      <c r="I144" s="39" t="s">
        <v>67</v>
      </c>
      <c r="J144" s="35" t="s">
        <v>598</v>
      </c>
      <c r="K144" s="36" t="s">
        <v>599</v>
      </c>
    </row>
    <row r="145" customFormat="false" ht="14.25" hidden="false" customHeight="true" outlineLevel="0" collapsed="false">
      <c r="A145" s="27"/>
      <c r="B145" s="27"/>
      <c r="C145" s="27"/>
      <c r="D145" s="27"/>
      <c r="E145" s="36" t="s">
        <v>600</v>
      </c>
      <c r="F145" s="31"/>
      <c r="G145" s="32"/>
      <c r="H145" s="33"/>
      <c r="I145" s="39"/>
      <c r="J145" s="35"/>
      <c r="K145" s="36" t="s">
        <v>601</v>
      </c>
    </row>
    <row r="146" customFormat="false" ht="14.25" hidden="false" customHeight="true" outlineLevel="0" collapsed="false">
      <c r="A146" s="27"/>
      <c r="B146" s="27"/>
      <c r="C146" s="27"/>
      <c r="D146" s="29" t="s">
        <v>602</v>
      </c>
      <c r="E146" s="36" t="s">
        <v>603</v>
      </c>
      <c r="F146" s="31" t="s">
        <v>604</v>
      </c>
      <c r="G146" s="32" t="s">
        <v>58</v>
      </c>
      <c r="H146" s="33" t="s">
        <v>605</v>
      </c>
      <c r="I146" s="34" t="s">
        <v>40</v>
      </c>
      <c r="J146" s="35" t="s">
        <v>606</v>
      </c>
      <c r="K146" s="36" t="s">
        <v>607</v>
      </c>
    </row>
    <row r="147" customFormat="false" ht="14.25" hidden="false" customHeight="true" outlineLevel="0" collapsed="false">
      <c r="A147" s="27"/>
      <c r="B147" s="27"/>
      <c r="C147" s="27"/>
      <c r="D147" s="27"/>
      <c r="E147" s="36" t="s">
        <v>608</v>
      </c>
      <c r="F147" s="31"/>
      <c r="G147" s="32"/>
      <c r="H147" s="33"/>
      <c r="I147" s="34"/>
      <c r="J147" s="35"/>
      <c r="K147" s="36" t="s">
        <v>609</v>
      </c>
    </row>
    <row r="148" customFormat="false" ht="14.25" hidden="false" customHeight="true" outlineLevel="0" collapsed="false">
      <c r="A148" s="27"/>
      <c r="B148" s="27"/>
      <c r="C148" s="27"/>
      <c r="D148" s="29" t="s">
        <v>610</v>
      </c>
      <c r="E148" s="36" t="s">
        <v>611</v>
      </c>
      <c r="F148" s="31" t="s">
        <v>612</v>
      </c>
      <c r="G148" s="32" t="s">
        <v>48</v>
      </c>
      <c r="H148" s="33" t="s">
        <v>613</v>
      </c>
      <c r="I148" s="37" t="s">
        <v>50</v>
      </c>
      <c r="J148" s="35" t="s">
        <v>614</v>
      </c>
      <c r="K148" s="36" t="s">
        <v>615</v>
      </c>
    </row>
    <row r="149" customFormat="false" ht="14.25" hidden="false" customHeight="true" outlineLevel="0" collapsed="false">
      <c r="A149" s="27"/>
      <c r="B149" s="27"/>
      <c r="C149" s="27"/>
      <c r="D149" s="27"/>
      <c r="E149" s="36" t="s">
        <v>616</v>
      </c>
      <c r="F149" s="31"/>
      <c r="G149" s="32"/>
      <c r="H149" s="33"/>
      <c r="I149" s="37"/>
      <c r="J149" s="35"/>
      <c r="K149" s="36" t="s">
        <v>617</v>
      </c>
    </row>
    <row r="150" customFormat="false" ht="14.25" hidden="false" customHeight="true" outlineLevel="0" collapsed="false">
      <c r="A150" s="27"/>
      <c r="B150" s="27"/>
      <c r="C150" s="29" t="s">
        <v>618</v>
      </c>
      <c r="D150" s="29" t="s">
        <v>619</v>
      </c>
      <c r="E150" s="36" t="s">
        <v>620</v>
      </c>
      <c r="F150" s="31" t="s">
        <v>621</v>
      </c>
      <c r="G150" s="32" t="s">
        <v>48</v>
      </c>
      <c r="H150" s="33" t="s">
        <v>622</v>
      </c>
      <c r="I150" s="34" t="s">
        <v>40</v>
      </c>
      <c r="J150" s="35" t="s">
        <v>623</v>
      </c>
      <c r="K150" s="36" t="s">
        <v>624</v>
      </c>
    </row>
    <row r="151" customFormat="false" ht="14.25" hidden="false" customHeight="true" outlineLevel="0" collapsed="false">
      <c r="A151" s="27"/>
      <c r="B151" s="27"/>
      <c r="C151" s="27"/>
      <c r="D151" s="27"/>
      <c r="E151" s="36" t="s">
        <v>625</v>
      </c>
      <c r="F151" s="31"/>
      <c r="G151" s="32"/>
      <c r="H151" s="33"/>
      <c r="I151" s="34"/>
      <c r="J151" s="35"/>
      <c r="K151" s="36" t="s">
        <v>626</v>
      </c>
    </row>
    <row r="152" customFormat="false" ht="14.25" hidden="false" customHeight="true" outlineLevel="0" collapsed="false">
      <c r="A152" s="27"/>
      <c r="B152" s="27"/>
      <c r="C152" s="27"/>
      <c r="D152" s="29" t="s">
        <v>627</v>
      </c>
      <c r="E152" s="36" t="s">
        <v>628</v>
      </c>
      <c r="F152" s="31" t="s">
        <v>629</v>
      </c>
      <c r="G152" s="32" t="s">
        <v>38</v>
      </c>
      <c r="H152" s="33" t="s">
        <v>630</v>
      </c>
      <c r="I152" s="39" t="s">
        <v>67</v>
      </c>
      <c r="J152" s="35" t="s">
        <v>485</v>
      </c>
      <c r="K152" s="36" t="s">
        <v>631</v>
      </c>
    </row>
    <row r="153" customFormat="false" ht="14.25" hidden="false" customHeight="true" outlineLevel="0" collapsed="false">
      <c r="A153" s="27"/>
      <c r="B153" s="27"/>
      <c r="C153" s="27"/>
      <c r="D153" s="27"/>
      <c r="E153" s="36" t="s">
        <v>632</v>
      </c>
      <c r="F153" s="31"/>
      <c r="G153" s="32"/>
      <c r="H153" s="33"/>
      <c r="I153" s="39"/>
      <c r="J153" s="35"/>
      <c r="K153" s="36" t="s">
        <v>633</v>
      </c>
    </row>
    <row r="154" customFormat="false" ht="14.25" hidden="false" customHeight="true" outlineLevel="0" collapsed="false">
      <c r="A154" s="27"/>
      <c r="B154" s="27"/>
      <c r="C154" s="27"/>
      <c r="D154" s="29" t="s">
        <v>634</v>
      </c>
      <c r="E154" s="36" t="s">
        <v>635</v>
      </c>
      <c r="F154" s="31" t="s">
        <v>636</v>
      </c>
      <c r="G154" s="32" t="s">
        <v>38</v>
      </c>
      <c r="H154" s="33" t="s">
        <v>637</v>
      </c>
      <c r="I154" s="34" t="s">
        <v>40</v>
      </c>
      <c r="J154" s="35" t="s">
        <v>638</v>
      </c>
      <c r="K154" s="36" t="s">
        <v>639</v>
      </c>
    </row>
    <row r="155" customFormat="false" ht="14.25" hidden="false" customHeight="true" outlineLevel="0" collapsed="false">
      <c r="A155" s="27"/>
      <c r="B155" s="27"/>
      <c r="C155" s="27"/>
      <c r="D155" s="27"/>
      <c r="E155" s="36" t="s">
        <v>640</v>
      </c>
      <c r="F155" s="31"/>
      <c r="G155" s="32"/>
      <c r="H155" s="33"/>
      <c r="I155" s="34"/>
      <c r="J155" s="35"/>
      <c r="K155" s="36" t="s">
        <v>641</v>
      </c>
    </row>
    <row r="156" customFormat="false" ht="14.25" hidden="false" customHeight="true" outlineLevel="0" collapsed="false">
      <c r="A156" s="27"/>
      <c r="B156" s="27"/>
      <c r="C156" s="27"/>
      <c r="D156" s="29" t="s">
        <v>642</v>
      </c>
      <c r="E156" s="36" t="s">
        <v>643</v>
      </c>
      <c r="F156" s="31" t="s">
        <v>644</v>
      </c>
      <c r="G156" s="32" t="s">
        <v>38</v>
      </c>
      <c r="H156" s="33" t="s">
        <v>645</v>
      </c>
      <c r="I156" s="34" t="s">
        <v>40</v>
      </c>
      <c r="J156" s="35" t="s">
        <v>646</v>
      </c>
      <c r="K156" s="36" t="s">
        <v>647</v>
      </c>
    </row>
    <row r="157" customFormat="false" ht="14.25" hidden="false" customHeight="true" outlineLevel="0" collapsed="false">
      <c r="A157" s="27"/>
      <c r="B157" s="27"/>
      <c r="C157" s="27"/>
      <c r="D157" s="27"/>
      <c r="E157" s="36" t="s">
        <v>648</v>
      </c>
      <c r="F157" s="31"/>
      <c r="G157" s="32"/>
      <c r="H157" s="33"/>
      <c r="I157" s="34"/>
      <c r="J157" s="35"/>
      <c r="K157" s="36" t="s">
        <v>649</v>
      </c>
    </row>
    <row r="158" customFormat="false" ht="14.25" hidden="false" customHeight="true" outlineLevel="0" collapsed="false">
      <c r="A158" s="27"/>
      <c r="B158" s="27"/>
      <c r="C158" s="27"/>
      <c r="D158" s="29" t="s">
        <v>650</v>
      </c>
      <c r="E158" s="36" t="s">
        <v>651</v>
      </c>
      <c r="F158" s="31" t="s">
        <v>652</v>
      </c>
      <c r="G158" s="32" t="s">
        <v>48</v>
      </c>
      <c r="H158" s="33" t="s">
        <v>653</v>
      </c>
      <c r="I158" s="39" t="s">
        <v>67</v>
      </c>
      <c r="J158" s="35" t="s">
        <v>654</v>
      </c>
      <c r="K158" s="36" t="s">
        <v>655</v>
      </c>
    </row>
    <row r="159" customFormat="false" ht="14.25" hidden="false" customHeight="true" outlineLevel="0" collapsed="false">
      <c r="A159" s="27"/>
      <c r="B159" s="27"/>
      <c r="C159" s="27"/>
      <c r="D159" s="27"/>
      <c r="E159" s="36" t="s">
        <v>656</v>
      </c>
      <c r="F159" s="31"/>
      <c r="G159" s="32"/>
      <c r="H159" s="33"/>
      <c r="I159" s="39"/>
      <c r="J159" s="35"/>
      <c r="K159" s="36" t="s">
        <v>657</v>
      </c>
    </row>
    <row r="160" customFormat="false" ht="14.25" hidden="false" customHeight="true" outlineLevel="0" collapsed="false">
      <c r="A160" s="27"/>
      <c r="B160" s="27"/>
      <c r="C160" s="29" t="s">
        <v>658</v>
      </c>
      <c r="D160" s="29" t="s">
        <v>659</v>
      </c>
      <c r="E160" s="36" t="s">
        <v>660</v>
      </c>
      <c r="F160" s="31" t="s">
        <v>661</v>
      </c>
      <c r="G160" s="32" t="s">
        <v>58</v>
      </c>
      <c r="H160" s="33" t="s">
        <v>662</v>
      </c>
      <c r="I160" s="37" t="s">
        <v>50</v>
      </c>
      <c r="J160" s="35" t="s">
        <v>663</v>
      </c>
      <c r="K160" s="36" t="s">
        <v>664</v>
      </c>
    </row>
    <row r="161" customFormat="false" ht="14.25" hidden="false" customHeight="true" outlineLevel="0" collapsed="false">
      <c r="A161" s="27"/>
      <c r="B161" s="27"/>
      <c r="C161" s="27"/>
      <c r="D161" s="27"/>
      <c r="E161" s="36" t="s">
        <v>665</v>
      </c>
      <c r="F161" s="31"/>
      <c r="G161" s="32"/>
      <c r="H161" s="33"/>
      <c r="I161" s="37"/>
      <c r="J161" s="35"/>
      <c r="K161" s="36" t="s">
        <v>666</v>
      </c>
    </row>
    <row r="162" customFormat="false" ht="14.25" hidden="false" customHeight="true" outlineLevel="0" collapsed="false">
      <c r="A162" s="27"/>
      <c r="B162" s="27"/>
      <c r="C162" s="27"/>
      <c r="D162" s="29" t="s">
        <v>667</v>
      </c>
      <c r="E162" s="36" t="s">
        <v>668</v>
      </c>
      <c r="F162" s="31" t="s">
        <v>669</v>
      </c>
      <c r="G162" s="32" t="s">
        <v>48</v>
      </c>
      <c r="H162" s="33" t="s">
        <v>670</v>
      </c>
      <c r="I162" s="37" t="s">
        <v>50</v>
      </c>
      <c r="J162" s="35" t="s">
        <v>671</v>
      </c>
      <c r="K162" s="36" t="s">
        <v>672</v>
      </c>
    </row>
    <row r="163" customFormat="false" ht="14.25" hidden="false" customHeight="true" outlineLevel="0" collapsed="false">
      <c r="A163" s="27"/>
      <c r="B163" s="27"/>
      <c r="C163" s="27"/>
      <c r="D163" s="27"/>
      <c r="E163" s="36" t="s">
        <v>673</v>
      </c>
      <c r="F163" s="31"/>
      <c r="G163" s="32"/>
      <c r="H163" s="33"/>
      <c r="I163" s="37"/>
      <c r="J163" s="35"/>
      <c r="K163" s="36" t="s">
        <v>674</v>
      </c>
    </row>
    <row r="164" customFormat="false" ht="14.25" hidden="false" customHeight="true" outlineLevel="0" collapsed="false">
      <c r="A164" s="27"/>
      <c r="B164" s="27"/>
      <c r="C164" s="27"/>
      <c r="D164" s="29" t="s">
        <v>675</v>
      </c>
      <c r="E164" s="36" t="s">
        <v>676</v>
      </c>
      <c r="F164" s="31" t="s">
        <v>677</v>
      </c>
      <c r="G164" s="32" t="s">
        <v>48</v>
      </c>
      <c r="H164" s="33" t="s">
        <v>678</v>
      </c>
      <c r="I164" s="39" t="s">
        <v>67</v>
      </c>
      <c r="J164" s="35" t="s">
        <v>679</v>
      </c>
      <c r="K164" s="36" t="s">
        <v>680</v>
      </c>
    </row>
    <row r="165" customFormat="false" ht="14.25" hidden="false" customHeight="true" outlineLevel="0" collapsed="false">
      <c r="A165" s="27"/>
      <c r="B165" s="27"/>
      <c r="C165" s="27"/>
      <c r="D165" s="27"/>
      <c r="E165" s="36" t="s">
        <v>681</v>
      </c>
      <c r="F165" s="31"/>
      <c r="G165" s="32"/>
      <c r="H165" s="33"/>
      <c r="I165" s="39"/>
      <c r="J165" s="35"/>
      <c r="K165" s="36" t="s">
        <v>682</v>
      </c>
    </row>
    <row r="166" customFormat="false" ht="14.25" hidden="false" customHeight="true" outlineLevel="0" collapsed="false">
      <c r="A166" s="27"/>
      <c r="B166" s="27"/>
      <c r="C166" s="27"/>
      <c r="D166" s="29" t="s">
        <v>683</v>
      </c>
      <c r="E166" s="36" t="s">
        <v>684</v>
      </c>
      <c r="F166" s="31" t="s">
        <v>685</v>
      </c>
      <c r="G166" s="32" t="s">
        <v>38</v>
      </c>
      <c r="H166" s="33" t="s">
        <v>686</v>
      </c>
      <c r="I166" s="34" t="s">
        <v>40</v>
      </c>
      <c r="J166" s="35" t="s">
        <v>687</v>
      </c>
      <c r="K166" s="36" t="s">
        <v>688</v>
      </c>
    </row>
    <row r="167" customFormat="false" ht="14.25" hidden="false" customHeight="true" outlineLevel="0" collapsed="false">
      <c r="A167" s="27"/>
      <c r="B167" s="27"/>
      <c r="C167" s="27"/>
      <c r="D167" s="27"/>
      <c r="E167" s="36" t="s">
        <v>689</v>
      </c>
      <c r="F167" s="31"/>
      <c r="G167" s="32"/>
      <c r="H167" s="33"/>
      <c r="I167" s="34"/>
      <c r="J167" s="35"/>
      <c r="K167" s="36" t="s">
        <v>690</v>
      </c>
    </row>
    <row r="168" customFormat="false" ht="14.25" hidden="false" customHeight="true" outlineLevel="0" collapsed="false">
      <c r="A168" s="27"/>
      <c r="B168" s="27"/>
      <c r="C168" s="27"/>
      <c r="D168" s="29" t="s">
        <v>691</v>
      </c>
      <c r="E168" s="36" t="s">
        <v>692</v>
      </c>
      <c r="F168" s="31" t="s">
        <v>693</v>
      </c>
      <c r="G168" s="32" t="s">
        <v>38</v>
      </c>
      <c r="H168" s="33" t="s">
        <v>694</v>
      </c>
      <c r="I168" s="39" t="s">
        <v>67</v>
      </c>
      <c r="J168" s="35" t="s">
        <v>695</v>
      </c>
      <c r="K168" s="36" t="s">
        <v>696</v>
      </c>
    </row>
    <row r="169" customFormat="false" ht="14.25" hidden="false" customHeight="true" outlineLevel="0" collapsed="false">
      <c r="A169" s="27"/>
      <c r="B169" s="27"/>
      <c r="C169" s="27"/>
      <c r="D169" s="27"/>
      <c r="E169" s="36" t="s">
        <v>697</v>
      </c>
      <c r="F169" s="31"/>
      <c r="G169" s="32"/>
      <c r="H169" s="33"/>
      <c r="I169" s="39"/>
      <c r="J169" s="35"/>
      <c r="K169" s="36" t="s">
        <v>698</v>
      </c>
    </row>
    <row r="170" customFormat="false" ht="14.25" hidden="false" customHeight="true" outlineLevel="0" collapsed="false">
      <c r="A170" s="27"/>
      <c r="B170" s="27"/>
      <c r="C170" s="29" t="s">
        <v>699</v>
      </c>
      <c r="D170" s="29" t="s">
        <v>700</v>
      </c>
      <c r="E170" s="36" t="s">
        <v>701</v>
      </c>
      <c r="F170" s="31" t="s">
        <v>702</v>
      </c>
      <c r="G170" s="32" t="s">
        <v>38</v>
      </c>
      <c r="H170" s="33" t="s">
        <v>703</v>
      </c>
      <c r="I170" s="37" t="s">
        <v>50</v>
      </c>
      <c r="J170" s="35" t="s">
        <v>704</v>
      </c>
      <c r="K170" s="36" t="s">
        <v>705</v>
      </c>
    </row>
    <row r="171" customFormat="false" ht="14.25" hidden="false" customHeight="true" outlineLevel="0" collapsed="false">
      <c r="A171" s="27"/>
      <c r="B171" s="27"/>
      <c r="C171" s="27"/>
      <c r="D171" s="27"/>
      <c r="E171" s="36" t="s">
        <v>706</v>
      </c>
      <c r="F171" s="31"/>
      <c r="G171" s="32"/>
      <c r="H171" s="33"/>
      <c r="I171" s="37"/>
      <c r="J171" s="35"/>
      <c r="K171" s="36" t="s">
        <v>707</v>
      </c>
    </row>
    <row r="172" customFormat="false" ht="14.25" hidden="false" customHeight="true" outlineLevel="0" collapsed="false">
      <c r="A172" s="27"/>
      <c r="B172" s="27"/>
      <c r="C172" s="27"/>
      <c r="D172" s="29" t="s">
        <v>708</v>
      </c>
      <c r="E172" s="36" t="s">
        <v>709</v>
      </c>
      <c r="F172" s="31" t="s">
        <v>710</v>
      </c>
      <c r="G172" s="32" t="s">
        <v>48</v>
      </c>
      <c r="H172" s="33" t="s">
        <v>711</v>
      </c>
      <c r="I172" s="37" t="s">
        <v>50</v>
      </c>
      <c r="J172" s="35" t="s">
        <v>712</v>
      </c>
      <c r="K172" s="30" t="s">
        <v>713</v>
      </c>
    </row>
    <row r="173" customFormat="false" ht="14.25" hidden="false" customHeight="true" outlineLevel="0" collapsed="false">
      <c r="A173" s="27"/>
      <c r="B173" s="27"/>
      <c r="C173" s="27"/>
      <c r="D173" s="27"/>
      <c r="E173" s="36" t="s">
        <v>714</v>
      </c>
      <c r="F173" s="31"/>
      <c r="G173" s="32"/>
      <c r="H173" s="33"/>
      <c r="I173" s="37"/>
      <c r="J173" s="35"/>
      <c r="K173" s="30" t="s">
        <v>715</v>
      </c>
    </row>
    <row r="174" customFormat="false" ht="14.25" hidden="false" customHeight="true" outlineLevel="0" collapsed="false">
      <c r="A174" s="27"/>
      <c r="B174" s="27"/>
      <c r="C174" s="27"/>
      <c r="D174" s="29" t="s">
        <v>716</v>
      </c>
      <c r="E174" s="36" t="s">
        <v>717</v>
      </c>
      <c r="F174" s="31" t="s">
        <v>718</v>
      </c>
      <c r="G174" s="32" t="s">
        <v>58</v>
      </c>
      <c r="H174" s="33" t="s">
        <v>719</v>
      </c>
      <c r="I174" s="39" t="s">
        <v>67</v>
      </c>
      <c r="J174" s="35" t="s">
        <v>720</v>
      </c>
      <c r="K174" s="30" t="s">
        <v>721</v>
      </c>
    </row>
    <row r="175" customFormat="false" ht="14.25" hidden="false" customHeight="true" outlineLevel="0" collapsed="false">
      <c r="A175" s="27"/>
      <c r="B175" s="27"/>
      <c r="C175" s="27"/>
      <c r="D175" s="27"/>
      <c r="E175" s="36" t="s">
        <v>722</v>
      </c>
      <c r="F175" s="31"/>
      <c r="G175" s="32"/>
      <c r="H175" s="33"/>
      <c r="I175" s="39"/>
      <c r="J175" s="35"/>
      <c r="K175" s="30" t="s">
        <v>723</v>
      </c>
    </row>
    <row r="176" customFormat="false" ht="14.25" hidden="false" customHeight="true" outlineLevel="0" collapsed="false">
      <c r="A176" s="27"/>
      <c r="B176" s="27"/>
      <c r="C176" s="27"/>
      <c r="D176" s="29" t="s">
        <v>724</v>
      </c>
      <c r="E176" s="36" t="s">
        <v>725</v>
      </c>
      <c r="F176" s="31" t="s">
        <v>726</v>
      </c>
      <c r="G176" s="32" t="s">
        <v>48</v>
      </c>
      <c r="H176" s="33" t="s">
        <v>727</v>
      </c>
      <c r="I176" s="34" t="s">
        <v>40</v>
      </c>
      <c r="J176" s="35" t="s">
        <v>728</v>
      </c>
      <c r="K176" s="30" t="s">
        <v>729</v>
      </c>
    </row>
    <row r="177" customFormat="false" ht="14.25" hidden="false" customHeight="true" outlineLevel="0" collapsed="false">
      <c r="A177" s="27"/>
      <c r="B177" s="27"/>
      <c r="C177" s="27"/>
      <c r="D177" s="27"/>
      <c r="E177" s="36" t="s">
        <v>730</v>
      </c>
      <c r="F177" s="31"/>
      <c r="G177" s="32"/>
      <c r="H177" s="33"/>
      <c r="I177" s="34"/>
      <c r="J177" s="35"/>
      <c r="K177" s="30" t="s">
        <v>731</v>
      </c>
    </row>
    <row r="178" customFormat="false" ht="14.25" hidden="false" customHeight="true" outlineLevel="0" collapsed="false">
      <c r="A178" s="27"/>
      <c r="B178" s="27"/>
      <c r="C178" s="27"/>
      <c r="D178" s="29" t="s">
        <v>732</v>
      </c>
      <c r="E178" s="36" t="s">
        <v>733</v>
      </c>
      <c r="F178" s="31" t="s">
        <v>734</v>
      </c>
      <c r="G178" s="32" t="s">
        <v>48</v>
      </c>
      <c r="H178" s="33" t="s">
        <v>735</v>
      </c>
      <c r="I178" s="39" t="s">
        <v>67</v>
      </c>
      <c r="J178" s="35" t="s">
        <v>736</v>
      </c>
      <c r="K178" s="30" t="s">
        <v>737</v>
      </c>
    </row>
    <row r="179" customFormat="false" ht="14.25" hidden="false" customHeight="true" outlineLevel="0" collapsed="false">
      <c r="A179" s="27"/>
      <c r="B179" s="27"/>
      <c r="C179" s="27"/>
      <c r="D179" s="27"/>
      <c r="E179" s="36" t="s">
        <v>709</v>
      </c>
      <c r="F179" s="31"/>
      <c r="G179" s="32"/>
      <c r="H179" s="33"/>
      <c r="I179" s="39"/>
      <c r="J179" s="35"/>
      <c r="K179" s="30" t="s">
        <v>738</v>
      </c>
    </row>
    <row r="180" customFormat="false" ht="14.25" hidden="false" customHeight="true" outlineLevel="0" collapsed="false">
      <c r="A180" s="27"/>
      <c r="B180" s="27"/>
      <c r="C180" s="29" t="s">
        <v>739</v>
      </c>
      <c r="D180" s="29" t="s">
        <v>740</v>
      </c>
      <c r="E180" s="36" t="s">
        <v>741</v>
      </c>
      <c r="F180" s="31" t="s">
        <v>742</v>
      </c>
      <c r="G180" s="32" t="s">
        <v>38</v>
      </c>
      <c r="H180" s="33" t="s">
        <v>743</v>
      </c>
      <c r="I180" s="37" t="s">
        <v>50</v>
      </c>
      <c r="J180" s="35" t="s">
        <v>744</v>
      </c>
      <c r="K180" s="30" t="s">
        <v>745</v>
      </c>
    </row>
    <row r="181" customFormat="false" ht="14.25" hidden="false" customHeight="true" outlineLevel="0" collapsed="false">
      <c r="A181" s="27"/>
      <c r="B181" s="27"/>
      <c r="C181" s="27"/>
      <c r="D181" s="27"/>
      <c r="E181" s="36" t="s">
        <v>746</v>
      </c>
      <c r="F181" s="31"/>
      <c r="G181" s="32"/>
      <c r="H181" s="33"/>
      <c r="I181" s="37"/>
      <c r="J181" s="35"/>
      <c r="K181" s="30" t="s">
        <v>747</v>
      </c>
    </row>
    <row r="182" customFormat="false" ht="14.25" hidden="false" customHeight="true" outlineLevel="0" collapsed="false">
      <c r="A182" s="27"/>
      <c r="B182" s="27"/>
      <c r="C182" s="27"/>
      <c r="D182" s="29" t="s">
        <v>748</v>
      </c>
      <c r="E182" s="36" t="s">
        <v>749</v>
      </c>
      <c r="F182" s="31" t="s">
        <v>750</v>
      </c>
      <c r="G182" s="32" t="s">
        <v>38</v>
      </c>
      <c r="H182" s="33" t="s">
        <v>751</v>
      </c>
      <c r="I182" s="37" t="s">
        <v>50</v>
      </c>
      <c r="J182" s="35" t="s">
        <v>752</v>
      </c>
      <c r="K182" s="30" t="s">
        <v>753</v>
      </c>
    </row>
    <row r="183" customFormat="false" ht="14.25" hidden="false" customHeight="true" outlineLevel="0" collapsed="false">
      <c r="A183" s="27"/>
      <c r="B183" s="27"/>
      <c r="C183" s="27"/>
      <c r="D183" s="27"/>
      <c r="E183" s="36" t="s">
        <v>754</v>
      </c>
      <c r="F183" s="31"/>
      <c r="G183" s="32"/>
      <c r="H183" s="33"/>
      <c r="I183" s="37"/>
      <c r="J183" s="35"/>
      <c r="K183" s="30" t="s">
        <v>755</v>
      </c>
    </row>
    <row r="184" customFormat="false" ht="14.25" hidden="false" customHeight="true" outlineLevel="0" collapsed="false">
      <c r="A184" s="27"/>
      <c r="B184" s="27"/>
      <c r="C184" s="27"/>
      <c r="D184" s="29" t="s">
        <v>756</v>
      </c>
      <c r="E184" s="36" t="s">
        <v>757</v>
      </c>
      <c r="F184" s="31" t="s">
        <v>758</v>
      </c>
      <c r="G184" s="32" t="s">
        <v>38</v>
      </c>
      <c r="H184" s="33" t="s">
        <v>759</v>
      </c>
      <c r="I184" s="39" t="s">
        <v>67</v>
      </c>
      <c r="J184" s="35" t="s">
        <v>760</v>
      </c>
      <c r="K184" s="30" t="s">
        <v>761</v>
      </c>
    </row>
    <row r="185" customFormat="false" ht="14.25" hidden="false" customHeight="true" outlineLevel="0" collapsed="false">
      <c r="A185" s="27"/>
      <c r="B185" s="27"/>
      <c r="C185" s="27"/>
      <c r="D185" s="27"/>
      <c r="E185" s="36" t="s">
        <v>762</v>
      </c>
      <c r="F185" s="31"/>
      <c r="G185" s="32"/>
      <c r="H185" s="33"/>
      <c r="I185" s="39"/>
      <c r="J185" s="35"/>
      <c r="K185" s="30" t="s">
        <v>763</v>
      </c>
    </row>
    <row r="186" customFormat="false" ht="14.25" hidden="false" customHeight="true" outlineLevel="0" collapsed="false">
      <c r="A186" s="27"/>
      <c r="B186" s="27"/>
      <c r="C186" s="27"/>
      <c r="D186" s="29" t="s">
        <v>764</v>
      </c>
      <c r="E186" s="36" t="s">
        <v>765</v>
      </c>
      <c r="F186" s="31" t="s">
        <v>766</v>
      </c>
      <c r="G186" s="32" t="s">
        <v>48</v>
      </c>
      <c r="H186" s="33" t="s">
        <v>767</v>
      </c>
      <c r="I186" s="34" t="s">
        <v>40</v>
      </c>
      <c r="J186" s="35" t="s">
        <v>768</v>
      </c>
      <c r="K186" s="30" t="s">
        <v>769</v>
      </c>
    </row>
    <row r="187" customFormat="false" ht="14.25" hidden="false" customHeight="true" outlineLevel="0" collapsed="false">
      <c r="A187" s="27"/>
      <c r="B187" s="27"/>
      <c r="C187" s="27"/>
      <c r="D187" s="27"/>
      <c r="E187" s="36" t="s">
        <v>770</v>
      </c>
      <c r="F187" s="31"/>
      <c r="G187" s="32"/>
      <c r="H187" s="33"/>
      <c r="I187" s="34"/>
      <c r="J187" s="35"/>
      <c r="K187" s="30" t="s">
        <v>771</v>
      </c>
    </row>
    <row r="188" customFormat="false" ht="14.25" hidden="false" customHeight="true" outlineLevel="0" collapsed="false">
      <c r="A188" s="27"/>
      <c r="B188" s="27"/>
      <c r="C188" s="27"/>
      <c r="D188" s="29" t="s">
        <v>772</v>
      </c>
      <c r="E188" s="36" t="s">
        <v>773</v>
      </c>
      <c r="F188" s="31" t="s">
        <v>774</v>
      </c>
      <c r="G188" s="32" t="s">
        <v>58</v>
      </c>
      <c r="H188" s="33" t="s">
        <v>775</v>
      </c>
      <c r="I188" s="39" t="s">
        <v>67</v>
      </c>
      <c r="J188" s="35" t="s">
        <v>776</v>
      </c>
      <c r="K188" s="30" t="s">
        <v>777</v>
      </c>
    </row>
    <row r="189" customFormat="false" ht="14.25" hidden="false" customHeight="true" outlineLevel="0" collapsed="false">
      <c r="A189" s="27"/>
      <c r="B189" s="27"/>
      <c r="C189" s="27"/>
      <c r="D189" s="27"/>
      <c r="E189" s="36" t="s">
        <v>778</v>
      </c>
      <c r="F189" s="31"/>
      <c r="G189" s="32"/>
      <c r="H189" s="33"/>
      <c r="I189" s="39"/>
      <c r="J189" s="35"/>
      <c r="K189" s="30" t="s">
        <v>779</v>
      </c>
    </row>
    <row r="190" customFormat="false" ht="14.25" hidden="false" customHeight="true" outlineLevel="0" collapsed="false">
      <c r="A190" s="27"/>
      <c r="B190" s="27"/>
      <c r="C190" s="29" t="s">
        <v>780</v>
      </c>
      <c r="D190" s="29" t="s">
        <v>781</v>
      </c>
      <c r="E190" s="36" t="s">
        <v>782</v>
      </c>
      <c r="F190" s="31" t="s">
        <v>783</v>
      </c>
      <c r="G190" s="32" t="s">
        <v>48</v>
      </c>
      <c r="H190" s="33" t="s">
        <v>784</v>
      </c>
      <c r="I190" s="37" t="s">
        <v>50</v>
      </c>
      <c r="J190" s="35" t="s">
        <v>785</v>
      </c>
      <c r="K190" s="30" t="s">
        <v>786</v>
      </c>
    </row>
    <row r="191" customFormat="false" ht="14.25" hidden="false" customHeight="true" outlineLevel="0" collapsed="false">
      <c r="A191" s="27"/>
      <c r="B191" s="27"/>
      <c r="C191" s="27"/>
      <c r="D191" s="27"/>
      <c r="E191" s="36" t="s">
        <v>787</v>
      </c>
      <c r="F191" s="31"/>
      <c r="G191" s="32"/>
      <c r="H191" s="33"/>
      <c r="I191" s="37"/>
      <c r="J191" s="35"/>
      <c r="K191" s="30" t="s">
        <v>788</v>
      </c>
    </row>
    <row r="192" customFormat="false" ht="14.25" hidden="false" customHeight="true" outlineLevel="0" collapsed="false">
      <c r="A192" s="27"/>
      <c r="B192" s="27"/>
      <c r="C192" s="27"/>
      <c r="D192" s="29" t="s">
        <v>789</v>
      </c>
      <c r="E192" s="36" t="s">
        <v>790</v>
      </c>
      <c r="F192" s="31" t="s">
        <v>791</v>
      </c>
      <c r="G192" s="32" t="s">
        <v>48</v>
      </c>
      <c r="H192" s="33" t="s">
        <v>792</v>
      </c>
      <c r="I192" s="37" t="s">
        <v>50</v>
      </c>
      <c r="J192" s="35" t="s">
        <v>793</v>
      </c>
      <c r="K192" s="30" t="s">
        <v>794</v>
      </c>
    </row>
    <row r="193" customFormat="false" ht="14.25" hidden="false" customHeight="true" outlineLevel="0" collapsed="false">
      <c r="A193" s="27"/>
      <c r="B193" s="27"/>
      <c r="C193" s="27"/>
      <c r="D193" s="27"/>
      <c r="E193" s="36" t="s">
        <v>795</v>
      </c>
      <c r="F193" s="31"/>
      <c r="G193" s="32"/>
      <c r="H193" s="33"/>
      <c r="I193" s="37"/>
      <c r="J193" s="35"/>
      <c r="K193" s="30" t="s">
        <v>796</v>
      </c>
    </row>
    <row r="194" customFormat="false" ht="14.25" hidden="false" customHeight="true" outlineLevel="0" collapsed="false">
      <c r="A194" s="27"/>
      <c r="B194" s="27"/>
      <c r="C194" s="27"/>
      <c r="D194" s="29" t="s">
        <v>797</v>
      </c>
      <c r="E194" s="36" t="s">
        <v>798</v>
      </c>
      <c r="F194" s="31" t="s">
        <v>799</v>
      </c>
      <c r="G194" s="32" t="s">
        <v>38</v>
      </c>
      <c r="H194" s="33" t="s">
        <v>800</v>
      </c>
      <c r="I194" s="39" t="s">
        <v>67</v>
      </c>
      <c r="J194" s="35" t="s">
        <v>801</v>
      </c>
      <c r="K194" s="30" t="s">
        <v>802</v>
      </c>
    </row>
    <row r="195" customFormat="false" ht="14.25" hidden="false" customHeight="true" outlineLevel="0" collapsed="false">
      <c r="A195" s="27"/>
      <c r="B195" s="27"/>
      <c r="C195" s="27"/>
      <c r="D195" s="27"/>
      <c r="E195" s="36" t="s">
        <v>803</v>
      </c>
      <c r="F195" s="31"/>
      <c r="G195" s="32"/>
      <c r="H195" s="33"/>
      <c r="I195" s="39"/>
      <c r="J195" s="35"/>
      <c r="K195" s="30" t="s">
        <v>804</v>
      </c>
    </row>
    <row r="196" customFormat="false" ht="14.25" hidden="false" customHeight="true" outlineLevel="0" collapsed="false">
      <c r="A196" s="27"/>
      <c r="B196" s="27"/>
      <c r="C196" s="27"/>
      <c r="D196" s="29" t="s">
        <v>805</v>
      </c>
      <c r="E196" s="36" t="s">
        <v>806</v>
      </c>
      <c r="F196" s="31" t="s">
        <v>807</v>
      </c>
      <c r="G196" s="32" t="s">
        <v>38</v>
      </c>
      <c r="H196" s="33" t="s">
        <v>808</v>
      </c>
      <c r="I196" s="34" t="s">
        <v>40</v>
      </c>
      <c r="J196" s="35" t="s">
        <v>809</v>
      </c>
      <c r="K196" s="30" t="s">
        <v>810</v>
      </c>
    </row>
    <row r="197" customFormat="false" ht="14.25" hidden="false" customHeight="true" outlineLevel="0" collapsed="false">
      <c r="A197" s="27"/>
      <c r="B197" s="27"/>
      <c r="C197" s="27"/>
      <c r="D197" s="27"/>
      <c r="E197" s="36" t="s">
        <v>811</v>
      </c>
      <c r="F197" s="31"/>
      <c r="G197" s="32"/>
      <c r="H197" s="33"/>
      <c r="I197" s="34"/>
      <c r="J197" s="35"/>
      <c r="K197" s="30" t="s">
        <v>812</v>
      </c>
    </row>
    <row r="198" customFormat="false" ht="14.25" hidden="false" customHeight="true" outlineLevel="0" collapsed="false">
      <c r="A198" s="27"/>
      <c r="B198" s="27"/>
      <c r="C198" s="27"/>
      <c r="D198" s="29" t="s">
        <v>813</v>
      </c>
      <c r="E198" s="36" t="s">
        <v>814</v>
      </c>
      <c r="F198" s="31" t="s">
        <v>815</v>
      </c>
      <c r="G198" s="32" t="s">
        <v>38</v>
      </c>
      <c r="H198" s="33" t="s">
        <v>816</v>
      </c>
      <c r="I198" s="39" t="s">
        <v>67</v>
      </c>
      <c r="J198" s="35" t="s">
        <v>817</v>
      </c>
      <c r="K198" s="30" t="s">
        <v>818</v>
      </c>
    </row>
    <row r="199" customFormat="false" ht="14.25" hidden="false" customHeight="true" outlineLevel="0" collapsed="false">
      <c r="A199" s="27"/>
      <c r="B199" s="27"/>
      <c r="C199" s="27"/>
      <c r="D199" s="27"/>
      <c r="E199" s="36" t="s">
        <v>819</v>
      </c>
      <c r="F199" s="31"/>
      <c r="G199" s="32"/>
      <c r="H199" s="33"/>
      <c r="I199" s="39"/>
      <c r="J199" s="35"/>
      <c r="K199" s="30" t="s">
        <v>820</v>
      </c>
    </row>
    <row r="200" customFormat="false" ht="14.25" hidden="false" customHeight="true" outlineLevel="0" collapsed="false">
      <c r="A200" s="27"/>
      <c r="B200" s="27"/>
      <c r="C200" s="29" t="s">
        <v>821</v>
      </c>
      <c r="D200" s="29" t="s">
        <v>822</v>
      </c>
      <c r="E200" s="36" t="s">
        <v>823</v>
      </c>
      <c r="F200" s="31" t="s">
        <v>824</v>
      </c>
      <c r="G200" s="32" t="s">
        <v>48</v>
      </c>
      <c r="H200" s="33" t="s">
        <v>825</v>
      </c>
      <c r="I200" s="37" t="s">
        <v>50</v>
      </c>
      <c r="J200" s="35" t="s">
        <v>826</v>
      </c>
      <c r="K200" s="30" t="s">
        <v>827</v>
      </c>
    </row>
    <row r="201" customFormat="false" ht="14.25" hidden="false" customHeight="true" outlineLevel="0" collapsed="false">
      <c r="A201" s="27"/>
      <c r="B201" s="27"/>
      <c r="C201" s="27"/>
      <c r="D201" s="27"/>
      <c r="E201" s="36" t="s">
        <v>828</v>
      </c>
      <c r="F201" s="31"/>
      <c r="G201" s="32"/>
      <c r="H201" s="33"/>
      <c r="I201" s="37"/>
      <c r="J201" s="35"/>
      <c r="K201" s="30" t="s">
        <v>829</v>
      </c>
    </row>
    <row r="202" customFormat="false" ht="14.25" hidden="false" customHeight="true" outlineLevel="0" collapsed="false">
      <c r="A202" s="27"/>
      <c r="B202" s="27"/>
      <c r="C202" s="27"/>
      <c r="D202" s="29" t="s">
        <v>830</v>
      </c>
      <c r="E202" s="36" t="s">
        <v>831</v>
      </c>
      <c r="F202" s="31" t="s">
        <v>832</v>
      </c>
      <c r="G202" s="32" t="s">
        <v>58</v>
      </c>
      <c r="H202" s="33" t="s">
        <v>833</v>
      </c>
      <c r="I202" s="37" t="s">
        <v>50</v>
      </c>
      <c r="J202" s="35" t="s">
        <v>834</v>
      </c>
      <c r="K202" s="30" t="s">
        <v>835</v>
      </c>
    </row>
    <row r="203" customFormat="false" ht="14.25" hidden="false" customHeight="true" outlineLevel="0" collapsed="false">
      <c r="A203" s="27"/>
      <c r="B203" s="27"/>
      <c r="C203" s="27"/>
      <c r="D203" s="27"/>
      <c r="E203" s="36" t="s">
        <v>836</v>
      </c>
      <c r="F203" s="31"/>
      <c r="G203" s="32"/>
      <c r="H203" s="33"/>
      <c r="I203" s="37"/>
      <c r="J203" s="35"/>
      <c r="K203" s="30" t="s">
        <v>837</v>
      </c>
    </row>
    <row r="204" customFormat="false" ht="14.25" hidden="false" customHeight="true" outlineLevel="0" collapsed="false">
      <c r="A204" s="27"/>
      <c r="B204" s="27"/>
      <c r="C204" s="27"/>
      <c r="D204" s="29" t="s">
        <v>838</v>
      </c>
      <c r="E204" s="36" t="s">
        <v>839</v>
      </c>
      <c r="F204" s="31" t="s">
        <v>840</v>
      </c>
      <c r="G204" s="32" t="s">
        <v>48</v>
      </c>
      <c r="H204" s="33" t="s">
        <v>841</v>
      </c>
      <c r="I204" s="39" t="s">
        <v>67</v>
      </c>
      <c r="J204" s="35" t="s">
        <v>842</v>
      </c>
      <c r="K204" s="30" t="s">
        <v>843</v>
      </c>
    </row>
    <row r="205" customFormat="false" ht="14.25" hidden="false" customHeight="true" outlineLevel="0" collapsed="false">
      <c r="A205" s="27"/>
      <c r="B205" s="27"/>
      <c r="C205" s="27"/>
      <c r="D205" s="27"/>
      <c r="E205" s="36" t="s">
        <v>844</v>
      </c>
      <c r="F205" s="31"/>
      <c r="G205" s="32"/>
      <c r="H205" s="33"/>
      <c r="I205" s="39"/>
      <c r="J205" s="35"/>
      <c r="K205" s="30" t="s">
        <v>845</v>
      </c>
    </row>
    <row r="206" customFormat="false" ht="14.25" hidden="false" customHeight="true" outlineLevel="0" collapsed="false">
      <c r="A206" s="27"/>
      <c r="B206" s="27"/>
      <c r="C206" s="27"/>
      <c r="D206" s="29" t="s">
        <v>846</v>
      </c>
      <c r="E206" s="36" t="s">
        <v>847</v>
      </c>
      <c r="F206" s="31" t="s">
        <v>848</v>
      </c>
      <c r="G206" s="32" t="s">
        <v>48</v>
      </c>
      <c r="H206" s="33" t="s">
        <v>849</v>
      </c>
      <c r="I206" s="34" t="s">
        <v>40</v>
      </c>
      <c r="J206" s="35" t="s">
        <v>850</v>
      </c>
      <c r="K206" s="30" t="s">
        <v>851</v>
      </c>
    </row>
    <row r="207" customFormat="false" ht="14.25" hidden="false" customHeight="true" outlineLevel="0" collapsed="false">
      <c r="A207" s="27"/>
      <c r="B207" s="27"/>
      <c r="C207" s="27"/>
      <c r="D207" s="27"/>
      <c r="E207" s="36" t="s">
        <v>852</v>
      </c>
      <c r="F207" s="31"/>
      <c r="G207" s="32"/>
      <c r="H207" s="33"/>
      <c r="I207" s="34"/>
      <c r="J207" s="35"/>
      <c r="K207" s="30" t="s">
        <v>853</v>
      </c>
    </row>
    <row r="208" customFormat="false" ht="14.25" hidden="false" customHeight="true" outlineLevel="0" collapsed="false">
      <c r="A208" s="27"/>
      <c r="B208" s="27"/>
      <c r="C208" s="27"/>
      <c r="D208" s="29" t="s">
        <v>854</v>
      </c>
      <c r="E208" s="36" t="s">
        <v>855</v>
      </c>
      <c r="F208" s="31" t="s">
        <v>856</v>
      </c>
      <c r="G208" s="32" t="s">
        <v>38</v>
      </c>
      <c r="H208" s="33" t="s">
        <v>857</v>
      </c>
      <c r="I208" s="39" t="s">
        <v>67</v>
      </c>
      <c r="J208" s="35" t="s">
        <v>858</v>
      </c>
      <c r="K208" s="30" t="s">
        <v>859</v>
      </c>
    </row>
    <row r="209" customFormat="false" ht="14.25" hidden="false" customHeight="true" outlineLevel="0" collapsed="false">
      <c r="A209" s="27"/>
      <c r="B209" s="27"/>
      <c r="C209" s="27"/>
      <c r="D209" s="27"/>
      <c r="E209" s="36" t="s">
        <v>860</v>
      </c>
      <c r="F209" s="31"/>
      <c r="G209" s="32"/>
      <c r="H209" s="33"/>
      <c r="I209" s="39"/>
      <c r="J209" s="35"/>
      <c r="K209" s="30" t="s">
        <v>861</v>
      </c>
    </row>
    <row r="210" customFormat="false" ht="14.25" hidden="false" customHeight="true" outlineLevel="0" collapsed="false">
      <c r="A210" s="27"/>
      <c r="B210" s="27"/>
      <c r="C210" s="29" t="s">
        <v>862</v>
      </c>
      <c r="D210" s="29" t="s">
        <v>863</v>
      </c>
      <c r="E210" s="36" t="s">
        <v>864</v>
      </c>
      <c r="F210" s="31" t="s">
        <v>865</v>
      </c>
      <c r="G210" s="32" t="s">
        <v>38</v>
      </c>
      <c r="H210" s="33" t="s">
        <v>866</v>
      </c>
      <c r="I210" s="37" t="s">
        <v>50</v>
      </c>
      <c r="J210" s="35" t="s">
        <v>867</v>
      </c>
      <c r="K210" s="30" t="s">
        <v>868</v>
      </c>
    </row>
    <row r="211" customFormat="false" ht="14.25" hidden="false" customHeight="true" outlineLevel="0" collapsed="false">
      <c r="A211" s="27"/>
      <c r="B211" s="27"/>
      <c r="C211" s="27"/>
      <c r="D211" s="27"/>
      <c r="E211" s="36" t="s">
        <v>869</v>
      </c>
      <c r="F211" s="31"/>
      <c r="G211" s="32"/>
      <c r="H211" s="33"/>
      <c r="I211" s="37"/>
      <c r="J211" s="35"/>
      <c r="K211" s="30" t="s">
        <v>870</v>
      </c>
    </row>
    <row r="212" customFormat="false" ht="14.25" hidden="false" customHeight="true" outlineLevel="0" collapsed="false">
      <c r="A212" s="27"/>
      <c r="B212" s="27"/>
      <c r="C212" s="27"/>
      <c r="D212" s="29" t="s">
        <v>871</v>
      </c>
      <c r="E212" s="36" t="s">
        <v>872</v>
      </c>
      <c r="F212" s="31" t="s">
        <v>873</v>
      </c>
      <c r="G212" s="32" t="s">
        <v>38</v>
      </c>
      <c r="H212" s="33" t="s">
        <v>874</v>
      </c>
      <c r="I212" s="37" t="s">
        <v>50</v>
      </c>
      <c r="J212" s="35" t="s">
        <v>875</v>
      </c>
      <c r="K212" s="30" t="s">
        <v>876</v>
      </c>
    </row>
    <row r="213" customFormat="false" ht="14.25" hidden="false" customHeight="true" outlineLevel="0" collapsed="false">
      <c r="A213" s="27"/>
      <c r="B213" s="27"/>
      <c r="C213" s="27"/>
      <c r="D213" s="27"/>
      <c r="E213" s="36" t="s">
        <v>877</v>
      </c>
      <c r="F213" s="31"/>
      <c r="G213" s="32"/>
      <c r="H213" s="33"/>
      <c r="I213" s="37"/>
      <c r="J213" s="35"/>
      <c r="K213" s="30" t="s">
        <v>878</v>
      </c>
    </row>
    <row r="214" customFormat="false" ht="14.25" hidden="false" customHeight="true" outlineLevel="0" collapsed="false">
      <c r="A214" s="27"/>
      <c r="B214" s="27"/>
      <c r="C214" s="27"/>
      <c r="D214" s="29" t="s">
        <v>879</v>
      </c>
      <c r="E214" s="36" t="s">
        <v>880</v>
      </c>
      <c r="F214" s="31" t="s">
        <v>881</v>
      </c>
      <c r="G214" s="32" t="s">
        <v>48</v>
      </c>
      <c r="H214" s="33" t="s">
        <v>882</v>
      </c>
      <c r="I214" s="39" t="s">
        <v>67</v>
      </c>
      <c r="J214" s="35" t="s">
        <v>883</v>
      </c>
      <c r="K214" s="30" t="s">
        <v>884</v>
      </c>
    </row>
    <row r="215" customFormat="false" ht="14.25" hidden="false" customHeight="true" outlineLevel="0" collapsed="false">
      <c r="A215" s="27"/>
      <c r="B215" s="27"/>
      <c r="C215" s="27"/>
      <c r="D215" s="27"/>
      <c r="E215" s="36" t="s">
        <v>885</v>
      </c>
      <c r="F215" s="31"/>
      <c r="G215" s="32"/>
      <c r="H215" s="33"/>
      <c r="I215" s="39"/>
      <c r="J215" s="35"/>
      <c r="K215" s="30" t="s">
        <v>886</v>
      </c>
    </row>
    <row r="216" customFormat="false" ht="14.25" hidden="false" customHeight="true" outlineLevel="0" collapsed="false">
      <c r="A216" s="27"/>
      <c r="B216" s="27"/>
      <c r="C216" s="27"/>
      <c r="D216" s="29" t="s">
        <v>887</v>
      </c>
      <c r="E216" s="36" t="s">
        <v>888</v>
      </c>
      <c r="F216" s="31" t="s">
        <v>889</v>
      </c>
      <c r="G216" s="32" t="s">
        <v>58</v>
      </c>
      <c r="H216" s="33" t="s">
        <v>890</v>
      </c>
      <c r="I216" s="34" t="s">
        <v>40</v>
      </c>
      <c r="J216" s="35" t="s">
        <v>891</v>
      </c>
      <c r="K216" s="30" t="s">
        <v>892</v>
      </c>
    </row>
    <row r="217" customFormat="false" ht="14.25" hidden="false" customHeight="true" outlineLevel="0" collapsed="false">
      <c r="A217" s="27"/>
      <c r="B217" s="27"/>
      <c r="C217" s="27"/>
      <c r="D217" s="27"/>
      <c r="E217" s="36" t="s">
        <v>893</v>
      </c>
      <c r="F217" s="31"/>
      <c r="G217" s="32"/>
      <c r="H217" s="33"/>
      <c r="I217" s="34"/>
      <c r="J217" s="35"/>
      <c r="K217" s="30" t="s">
        <v>894</v>
      </c>
    </row>
    <row r="218" customFormat="false" ht="14.25" hidden="false" customHeight="true" outlineLevel="0" collapsed="false">
      <c r="A218" s="27"/>
      <c r="B218" s="27"/>
      <c r="C218" s="27"/>
      <c r="D218" s="29" t="s">
        <v>895</v>
      </c>
      <c r="E218" s="36" t="s">
        <v>896</v>
      </c>
      <c r="F218" s="31" t="s">
        <v>897</v>
      </c>
      <c r="G218" s="32" t="s">
        <v>48</v>
      </c>
      <c r="H218" s="33" t="s">
        <v>898</v>
      </c>
      <c r="I218" s="39" t="s">
        <v>67</v>
      </c>
      <c r="J218" s="35" t="s">
        <v>899</v>
      </c>
      <c r="K218" s="30" t="s">
        <v>900</v>
      </c>
    </row>
    <row r="219" customFormat="false" ht="14.25" hidden="false" customHeight="true" outlineLevel="0" collapsed="false">
      <c r="A219" s="27"/>
      <c r="B219" s="27"/>
      <c r="C219" s="27"/>
      <c r="D219" s="27"/>
      <c r="E219" s="36" t="s">
        <v>901</v>
      </c>
      <c r="F219" s="31"/>
      <c r="G219" s="32"/>
      <c r="H219" s="33"/>
      <c r="I219" s="39"/>
      <c r="J219" s="35"/>
      <c r="K219" s="30" t="s">
        <v>902</v>
      </c>
    </row>
    <row r="220" customFormat="false" ht="14.25" hidden="false" customHeight="true" outlineLevel="0" collapsed="false">
      <c r="A220" s="27"/>
      <c r="B220" s="27"/>
      <c r="C220" s="29" t="s">
        <v>903</v>
      </c>
      <c r="D220" s="29" t="s">
        <v>904</v>
      </c>
      <c r="E220" s="36" t="s">
        <v>905</v>
      </c>
      <c r="F220" s="31" t="s">
        <v>906</v>
      </c>
      <c r="G220" s="32" t="s">
        <v>48</v>
      </c>
      <c r="H220" s="33" t="s">
        <v>907</v>
      </c>
      <c r="I220" s="37" t="s">
        <v>50</v>
      </c>
      <c r="J220" s="35" t="s">
        <v>908</v>
      </c>
      <c r="K220" s="30" t="s">
        <v>909</v>
      </c>
    </row>
    <row r="221" customFormat="false" ht="14.25" hidden="false" customHeight="true" outlineLevel="0" collapsed="false">
      <c r="A221" s="27"/>
      <c r="B221" s="27"/>
      <c r="C221" s="27"/>
      <c r="D221" s="27"/>
      <c r="E221" s="36" t="s">
        <v>910</v>
      </c>
      <c r="F221" s="31"/>
      <c r="G221" s="32"/>
      <c r="H221" s="33"/>
      <c r="I221" s="37"/>
      <c r="J221" s="35"/>
      <c r="K221" s="30" t="s">
        <v>911</v>
      </c>
    </row>
    <row r="222" customFormat="false" ht="14.25" hidden="false" customHeight="true" outlineLevel="0" collapsed="false">
      <c r="A222" s="27"/>
      <c r="B222" s="27"/>
      <c r="C222" s="27"/>
      <c r="D222" s="29" t="s">
        <v>912</v>
      </c>
      <c r="E222" s="36" t="s">
        <v>913</v>
      </c>
      <c r="F222" s="31" t="s">
        <v>914</v>
      </c>
      <c r="G222" s="32" t="s">
        <v>38</v>
      </c>
      <c r="H222" s="33" t="s">
        <v>915</v>
      </c>
      <c r="I222" s="37" t="s">
        <v>50</v>
      </c>
      <c r="J222" s="35" t="s">
        <v>916</v>
      </c>
      <c r="K222" s="30" t="s">
        <v>917</v>
      </c>
    </row>
    <row r="223" customFormat="false" ht="14.25" hidden="false" customHeight="true" outlineLevel="0" collapsed="false">
      <c r="A223" s="27"/>
      <c r="B223" s="27"/>
      <c r="C223" s="27"/>
      <c r="D223" s="27"/>
      <c r="E223" s="36" t="s">
        <v>918</v>
      </c>
      <c r="F223" s="31"/>
      <c r="G223" s="32"/>
      <c r="H223" s="33"/>
      <c r="I223" s="37"/>
      <c r="J223" s="35"/>
      <c r="K223" s="30" t="s">
        <v>919</v>
      </c>
    </row>
    <row r="224" customFormat="false" ht="14.25" hidden="false" customHeight="true" outlineLevel="0" collapsed="false">
      <c r="A224" s="27"/>
      <c r="B224" s="27"/>
      <c r="C224" s="27"/>
      <c r="D224" s="29" t="s">
        <v>920</v>
      </c>
      <c r="E224" s="36" t="s">
        <v>921</v>
      </c>
      <c r="F224" s="31" t="s">
        <v>922</v>
      </c>
      <c r="G224" s="32" t="s">
        <v>38</v>
      </c>
      <c r="H224" s="33" t="s">
        <v>923</v>
      </c>
      <c r="I224" s="39" t="s">
        <v>67</v>
      </c>
      <c r="J224" s="35" t="s">
        <v>924</v>
      </c>
      <c r="K224" s="30" t="s">
        <v>925</v>
      </c>
    </row>
    <row r="225" customFormat="false" ht="14.25" hidden="false" customHeight="true" outlineLevel="0" collapsed="false">
      <c r="A225" s="27"/>
      <c r="B225" s="27"/>
      <c r="C225" s="27"/>
      <c r="D225" s="27"/>
      <c r="E225" s="36" t="s">
        <v>926</v>
      </c>
      <c r="F225" s="31"/>
      <c r="G225" s="32"/>
      <c r="H225" s="33"/>
      <c r="I225" s="39"/>
      <c r="J225" s="35"/>
      <c r="K225" s="30" t="s">
        <v>927</v>
      </c>
    </row>
    <row r="226" customFormat="false" ht="14.25" hidden="false" customHeight="true" outlineLevel="0" collapsed="false">
      <c r="A226" s="27"/>
      <c r="B226" s="27"/>
      <c r="C226" s="27"/>
      <c r="D226" s="29" t="s">
        <v>928</v>
      </c>
      <c r="E226" s="36" t="s">
        <v>929</v>
      </c>
      <c r="F226" s="31" t="s">
        <v>930</v>
      </c>
      <c r="G226" s="32" t="s">
        <v>38</v>
      </c>
      <c r="H226" s="33" t="s">
        <v>931</v>
      </c>
      <c r="I226" s="34" t="s">
        <v>40</v>
      </c>
      <c r="J226" s="35" t="s">
        <v>932</v>
      </c>
      <c r="K226" s="30" t="s">
        <v>933</v>
      </c>
    </row>
    <row r="227" customFormat="false" ht="14.25" hidden="false" customHeight="true" outlineLevel="0" collapsed="false">
      <c r="A227" s="27"/>
      <c r="B227" s="27"/>
      <c r="C227" s="27"/>
      <c r="D227" s="27"/>
      <c r="E227" s="36" t="s">
        <v>934</v>
      </c>
      <c r="F227" s="31"/>
      <c r="G227" s="32"/>
      <c r="H227" s="33"/>
      <c r="I227" s="34"/>
      <c r="J227" s="35"/>
      <c r="K227" s="30" t="s">
        <v>935</v>
      </c>
    </row>
    <row r="228" customFormat="false" ht="14.25" hidden="false" customHeight="true" outlineLevel="0" collapsed="false">
      <c r="A228" s="27"/>
      <c r="B228" s="27"/>
      <c r="C228" s="27"/>
      <c r="D228" s="29" t="s">
        <v>936</v>
      </c>
      <c r="E228" s="36" t="s">
        <v>937</v>
      </c>
      <c r="F228" s="31" t="s">
        <v>938</v>
      </c>
      <c r="G228" s="32" t="s">
        <v>48</v>
      </c>
      <c r="H228" s="33" t="s">
        <v>939</v>
      </c>
      <c r="I228" s="39" t="s">
        <v>67</v>
      </c>
      <c r="J228" s="35" t="s">
        <v>940</v>
      </c>
      <c r="K228" s="30" t="s">
        <v>941</v>
      </c>
    </row>
    <row r="229" customFormat="false" ht="14.25" hidden="false" customHeight="true" outlineLevel="0" collapsed="false">
      <c r="A229" s="27"/>
      <c r="B229" s="27"/>
      <c r="C229" s="27"/>
      <c r="D229" s="27"/>
      <c r="E229" s="36" t="s">
        <v>942</v>
      </c>
      <c r="F229" s="31"/>
      <c r="G229" s="32"/>
      <c r="H229" s="33"/>
      <c r="I229" s="39"/>
      <c r="J229" s="35"/>
      <c r="K229" s="30" t="s">
        <v>943</v>
      </c>
    </row>
    <row r="230" customFormat="false" ht="14.25" hidden="false" customHeight="true" outlineLevel="0" collapsed="false">
      <c r="A230" s="27"/>
      <c r="B230" s="27"/>
      <c r="C230" s="29" t="s">
        <v>944</v>
      </c>
      <c r="D230" s="29" t="s">
        <v>945</v>
      </c>
      <c r="E230" s="36" t="s">
        <v>946</v>
      </c>
      <c r="F230" s="31" t="s">
        <v>947</v>
      </c>
      <c r="G230" s="32" t="s">
        <v>58</v>
      </c>
      <c r="H230" s="33" t="s">
        <v>948</v>
      </c>
      <c r="I230" s="37" t="s">
        <v>50</v>
      </c>
      <c r="J230" s="35" t="s">
        <v>949</v>
      </c>
      <c r="K230" s="30" t="s">
        <v>950</v>
      </c>
    </row>
    <row r="231" customFormat="false" ht="14.25" hidden="false" customHeight="true" outlineLevel="0" collapsed="false">
      <c r="A231" s="27"/>
      <c r="B231" s="27"/>
      <c r="C231" s="27"/>
      <c r="D231" s="27"/>
      <c r="E231" s="36" t="s">
        <v>951</v>
      </c>
      <c r="F231" s="31"/>
      <c r="G231" s="32"/>
      <c r="H231" s="33"/>
      <c r="I231" s="37"/>
      <c r="J231" s="35"/>
      <c r="K231" s="30" t="s">
        <v>952</v>
      </c>
    </row>
    <row r="232" customFormat="false" ht="14.25" hidden="false" customHeight="true" outlineLevel="0" collapsed="false">
      <c r="A232" s="27"/>
      <c r="B232" s="27"/>
      <c r="C232" s="27"/>
      <c r="D232" s="29" t="s">
        <v>953</v>
      </c>
      <c r="E232" s="36" t="s">
        <v>954</v>
      </c>
      <c r="F232" s="31" t="s">
        <v>955</v>
      </c>
      <c r="G232" s="32" t="s">
        <v>48</v>
      </c>
      <c r="H232" s="33" t="s">
        <v>956</v>
      </c>
      <c r="I232" s="37" t="s">
        <v>50</v>
      </c>
      <c r="J232" s="35" t="s">
        <v>957</v>
      </c>
      <c r="K232" s="30" t="s">
        <v>958</v>
      </c>
    </row>
    <row r="233" customFormat="false" ht="14.25" hidden="false" customHeight="true" outlineLevel="0" collapsed="false">
      <c r="A233" s="27"/>
      <c r="B233" s="27"/>
      <c r="C233" s="27"/>
      <c r="D233" s="27"/>
      <c r="E233" s="36" t="s">
        <v>959</v>
      </c>
      <c r="F233" s="31"/>
      <c r="G233" s="32"/>
      <c r="H233" s="33"/>
      <c r="I233" s="37"/>
      <c r="J233" s="35"/>
      <c r="K233" s="30" t="s">
        <v>960</v>
      </c>
    </row>
    <row r="234" customFormat="false" ht="14.25" hidden="false" customHeight="true" outlineLevel="0" collapsed="false">
      <c r="A234" s="27"/>
      <c r="B234" s="27"/>
      <c r="C234" s="27"/>
      <c r="D234" s="29" t="s">
        <v>961</v>
      </c>
      <c r="E234" s="36" t="s">
        <v>962</v>
      </c>
      <c r="F234" s="42" t="s">
        <v>963</v>
      </c>
      <c r="G234" s="32" t="s">
        <v>48</v>
      </c>
      <c r="H234" s="33" t="s">
        <v>964</v>
      </c>
      <c r="I234" s="39" t="s">
        <v>67</v>
      </c>
      <c r="J234" s="35" t="s">
        <v>965</v>
      </c>
      <c r="K234" s="30" t="s">
        <v>966</v>
      </c>
    </row>
    <row r="235" customFormat="false" ht="14.25" hidden="false" customHeight="true" outlineLevel="0" collapsed="false">
      <c r="A235" s="27"/>
      <c r="B235" s="27"/>
      <c r="C235" s="27"/>
      <c r="D235" s="27"/>
      <c r="E235" s="36" t="s">
        <v>967</v>
      </c>
      <c r="F235" s="42"/>
      <c r="G235" s="32"/>
      <c r="H235" s="33"/>
      <c r="I235" s="39"/>
      <c r="J235" s="35"/>
      <c r="K235" s="30" t="s">
        <v>968</v>
      </c>
    </row>
    <row r="236" customFormat="false" ht="14.25" hidden="false" customHeight="true" outlineLevel="0" collapsed="false">
      <c r="A236" s="27"/>
      <c r="B236" s="27"/>
      <c r="C236" s="27"/>
      <c r="D236" s="29" t="s">
        <v>969</v>
      </c>
      <c r="E236" s="36" t="s">
        <v>970</v>
      </c>
      <c r="F236" s="31" t="s">
        <v>971</v>
      </c>
      <c r="G236" s="32" t="s">
        <v>38</v>
      </c>
      <c r="H236" s="33" t="s">
        <v>972</v>
      </c>
      <c r="I236" s="34" t="s">
        <v>40</v>
      </c>
      <c r="J236" s="35" t="s">
        <v>973</v>
      </c>
      <c r="K236" s="30" t="s">
        <v>974</v>
      </c>
    </row>
    <row r="237" customFormat="false" ht="14.25" hidden="false" customHeight="true" outlineLevel="0" collapsed="false">
      <c r="A237" s="27"/>
      <c r="B237" s="27"/>
      <c r="C237" s="27"/>
      <c r="D237" s="27"/>
      <c r="E237" s="36" t="s">
        <v>975</v>
      </c>
      <c r="F237" s="31"/>
      <c r="G237" s="32"/>
      <c r="H237" s="33"/>
      <c r="I237" s="34"/>
      <c r="J237" s="35"/>
      <c r="K237" s="30" t="s">
        <v>976</v>
      </c>
    </row>
    <row r="238" customFormat="false" ht="14.25" hidden="false" customHeight="true" outlineLevel="0" collapsed="false">
      <c r="A238" s="27"/>
      <c r="B238" s="27"/>
      <c r="C238" s="27"/>
      <c r="D238" s="29" t="s">
        <v>977</v>
      </c>
      <c r="E238" s="36" t="s">
        <v>978</v>
      </c>
      <c r="F238" s="31" t="s">
        <v>979</v>
      </c>
      <c r="G238" s="32" t="s">
        <v>38</v>
      </c>
      <c r="H238" s="33" t="s">
        <v>980</v>
      </c>
      <c r="I238" s="39" t="s">
        <v>67</v>
      </c>
      <c r="J238" s="35" t="s">
        <v>981</v>
      </c>
      <c r="K238" s="30" t="s">
        <v>982</v>
      </c>
    </row>
    <row r="239" customFormat="false" ht="14.25" hidden="false" customHeight="true" outlineLevel="0" collapsed="false">
      <c r="A239" s="27"/>
      <c r="B239" s="27"/>
      <c r="C239" s="27"/>
      <c r="D239" s="27"/>
      <c r="E239" s="36" t="s">
        <v>983</v>
      </c>
      <c r="F239" s="31"/>
      <c r="G239" s="32"/>
      <c r="H239" s="33"/>
      <c r="I239" s="39"/>
      <c r="J239" s="35"/>
      <c r="K239" s="30" t="s">
        <v>984</v>
      </c>
    </row>
    <row r="240" customFormat="false" ht="14.25" hidden="false" customHeight="true" outlineLevel="0" collapsed="false">
      <c r="A240" s="27"/>
      <c r="B240" s="27"/>
      <c r="C240" s="40" t="s">
        <v>985</v>
      </c>
      <c r="D240" s="29" t="s">
        <v>986</v>
      </c>
      <c r="E240" s="36" t="s">
        <v>987</v>
      </c>
      <c r="F240" s="42" t="s">
        <v>988</v>
      </c>
      <c r="G240" s="32" t="s">
        <v>38</v>
      </c>
      <c r="H240" s="33" t="s">
        <v>989</v>
      </c>
      <c r="I240" s="37" t="s">
        <v>50</v>
      </c>
      <c r="J240" s="35" t="s">
        <v>981</v>
      </c>
      <c r="K240" s="30" t="s">
        <v>990</v>
      </c>
    </row>
    <row r="241" customFormat="false" ht="14.25" hidden="false" customHeight="true" outlineLevel="0" collapsed="false">
      <c r="A241" s="27"/>
      <c r="B241" s="27"/>
      <c r="C241" s="27"/>
      <c r="D241" s="27"/>
      <c r="E241" s="36" t="s">
        <v>991</v>
      </c>
      <c r="F241" s="42"/>
      <c r="G241" s="32"/>
      <c r="H241" s="33"/>
      <c r="I241" s="37"/>
      <c r="J241" s="35"/>
      <c r="K241" s="30" t="s">
        <v>992</v>
      </c>
    </row>
    <row r="242" customFormat="false" ht="14.25" hidden="false" customHeight="true" outlineLevel="0" collapsed="false">
      <c r="A242" s="27"/>
      <c r="B242" s="27"/>
      <c r="C242" s="27"/>
      <c r="D242" s="29" t="s">
        <v>993</v>
      </c>
      <c r="E242" s="36" t="s">
        <v>994</v>
      </c>
      <c r="F242" s="42" t="s">
        <v>995</v>
      </c>
      <c r="G242" s="32" t="s">
        <v>48</v>
      </c>
      <c r="H242" s="33" t="s">
        <v>996</v>
      </c>
      <c r="I242" s="37" t="s">
        <v>50</v>
      </c>
      <c r="J242" s="35" t="s">
        <v>997</v>
      </c>
      <c r="K242" s="30" t="s">
        <v>900</v>
      </c>
    </row>
    <row r="243" customFormat="false" ht="14.25" hidden="false" customHeight="true" outlineLevel="0" collapsed="false">
      <c r="A243" s="27"/>
      <c r="B243" s="27"/>
      <c r="C243" s="27"/>
      <c r="D243" s="27"/>
      <c r="E243" s="36" t="s">
        <v>998</v>
      </c>
      <c r="F243" s="42"/>
      <c r="G243" s="32"/>
      <c r="H243" s="33"/>
      <c r="I243" s="37"/>
      <c r="J243" s="35"/>
      <c r="K243" s="30" t="s">
        <v>999</v>
      </c>
    </row>
    <row r="244" customFormat="false" ht="14.25" hidden="false" customHeight="true" outlineLevel="0" collapsed="false">
      <c r="A244" s="27"/>
      <c r="B244" s="27"/>
      <c r="C244" s="27"/>
      <c r="D244" s="29" t="s">
        <v>1000</v>
      </c>
      <c r="E244" s="36" t="s">
        <v>1001</v>
      </c>
      <c r="F244" s="42" t="s">
        <v>1002</v>
      </c>
      <c r="G244" s="32" t="s">
        <v>58</v>
      </c>
      <c r="H244" s="33" t="s">
        <v>1003</v>
      </c>
      <c r="I244" s="39" t="s">
        <v>67</v>
      </c>
      <c r="J244" s="35" t="s">
        <v>1004</v>
      </c>
      <c r="K244" s="30" t="s">
        <v>1005</v>
      </c>
    </row>
    <row r="245" customFormat="false" ht="14.25" hidden="false" customHeight="true" outlineLevel="0" collapsed="false">
      <c r="A245" s="27"/>
      <c r="B245" s="27"/>
      <c r="C245" s="27"/>
      <c r="D245" s="27"/>
      <c r="E245" s="36" t="s">
        <v>1006</v>
      </c>
      <c r="F245" s="42"/>
      <c r="G245" s="32"/>
      <c r="H245" s="33"/>
      <c r="I245" s="39"/>
      <c r="J245" s="35"/>
      <c r="K245" s="30" t="s">
        <v>1007</v>
      </c>
    </row>
    <row r="246" customFormat="false" ht="14.25" hidden="false" customHeight="true" outlineLevel="0" collapsed="false">
      <c r="A246" s="27"/>
      <c r="B246" s="27"/>
      <c r="C246" s="27"/>
      <c r="D246" s="29" t="s">
        <v>1008</v>
      </c>
      <c r="E246" s="36" t="s">
        <v>1009</v>
      </c>
      <c r="F246" s="42" t="s">
        <v>1010</v>
      </c>
      <c r="G246" s="32" t="s">
        <v>48</v>
      </c>
      <c r="H246" s="33" t="s">
        <v>1011</v>
      </c>
      <c r="I246" s="34" t="s">
        <v>40</v>
      </c>
      <c r="J246" s="35" t="s">
        <v>1012</v>
      </c>
      <c r="K246" s="30" t="s">
        <v>1013</v>
      </c>
    </row>
    <row r="247" customFormat="false" ht="14.25" hidden="false" customHeight="true" outlineLevel="0" collapsed="false">
      <c r="A247" s="27"/>
      <c r="B247" s="27"/>
      <c r="C247" s="27"/>
      <c r="D247" s="27"/>
      <c r="E247" s="36" t="s">
        <v>1014</v>
      </c>
      <c r="F247" s="42"/>
      <c r="G247" s="32"/>
      <c r="H247" s="33"/>
      <c r="I247" s="34"/>
      <c r="J247" s="35"/>
      <c r="K247" s="30" t="s">
        <v>1015</v>
      </c>
    </row>
    <row r="248" customFormat="false" ht="14.25" hidden="false" customHeight="true" outlineLevel="0" collapsed="false">
      <c r="A248" s="27"/>
      <c r="B248" s="27"/>
      <c r="C248" s="27"/>
      <c r="D248" s="29" t="s">
        <v>1016</v>
      </c>
      <c r="E248" s="36" t="s">
        <v>1017</v>
      </c>
      <c r="F248" s="42" t="s">
        <v>1018</v>
      </c>
      <c r="G248" s="32" t="s">
        <v>48</v>
      </c>
      <c r="H248" s="33" t="s">
        <v>1019</v>
      </c>
      <c r="I248" s="39" t="s">
        <v>67</v>
      </c>
      <c r="J248" s="35" t="s">
        <v>1020</v>
      </c>
      <c r="K248" s="30" t="s">
        <v>1021</v>
      </c>
    </row>
    <row r="249" customFormat="false" ht="14.25" hidden="false" customHeight="true" outlineLevel="0" collapsed="false">
      <c r="A249" s="27"/>
      <c r="B249" s="27"/>
      <c r="C249" s="27"/>
      <c r="D249" s="27"/>
      <c r="E249" s="36" t="s">
        <v>1022</v>
      </c>
      <c r="F249" s="42"/>
      <c r="G249" s="32"/>
      <c r="H249" s="33"/>
      <c r="I249" s="39"/>
      <c r="J249" s="35"/>
      <c r="K249" s="30" t="s">
        <v>1023</v>
      </c>
    </row>
    <row r="250" customFormat="false" ht="14.25" hidden="false" customHeight="true" outlineLevel="0" collapsed="false">
      <c r="A250" s="27"/>
      <c r="B250" s="27"/>
      <c r="C250" s="29" t="s">
        <v>1024</v>
      </c>
      <c r="D250" s="29" t="s">
        <v>1025</v>
      </c>
      <c r="E250" s="36" t="s">
        <v>1026</v>
      </c>
      <c r="F250" s="42" t="s">
        <v>1027</v>
      </c>
      <c r="G250" s="32" t="s">
        <v>38</v>
      </c>
      <c r="H250" s="33" t="s">
        <v>1028</v>
      </c>
      <c r="I250" s="37" t="s">
        <v>50</v>
      </c>
      <c r="J250" s="35" t="s">
        <v>1029</v>
      </c>
      <c r="K250" s="30" t="s">
        <v>1030</v>
      </c>
    </row>
    <row r="251" customFormat="false" ht="14.25" hidden="false" customHeight="true" outlineLevel="0" collapsed="false">
      <c r="A251" s="27"/>
      <c r="B251" s="27"/>
      <c r="C251" s="27"/>
      <c r="D251" s="27"/>
      <c r="E251" s="36" t="s">
        <v>1031</v>
      </c>
      <c r="F251" s="42"/>
      <c r="G251" s="32"/>
      <c r="H251" s="33"/>
      <c r="I251" s="37"/>
      <c r="J251" s="35"/>
      <c r="K251" s="30" t="s">
        <v>1032</v>
      </c>
    </row>
    <row r="252" customFormat="false" ht="14.25" hidden="false" customHeight="true" outlineLevel="0" collapsed="false">
      <c r="A252" s="27"/>
      <c r="B252" s="27"/>
      <c r="C252" s="27"/>
      <c r="D252" s="29" t="s">
        <v>1033</v>
      </c>
      <c r="E252" s="36" t="s">
        <v>1034</v>
      </c>
      <c r="F252" s="42" t="s">
        <v>1035</v>
      </c>
      <c r="G252" s="32" t="s">
        <v>38</v>
      </c>
      <c r="H252" s="33" t="s">
        <v>1036</v>
      </c>
      <c r="I252" s="37" t="s">
        <v>50</v>
      </c>
      <c r="J252" s="35" t="s">
        <v>1037</v>
      </c>
      <c r="K252" s="30" t="s">
        <v>1038</v>
      </c>
    </row>
    <row r="253" customFormat="false" ht="14.25" hidden="false" customHeight="true" outlineLevel="0" collapsed="false">
      <c r="A253" s="27"/>
      <c r="B253" s="27"/>
      <c r="C253" s="27"/>
      <c r="D253" s="27"/>
      <c r="E253" s="36" t="s">
        <v>1039</v>
      </c>
      <c r="F253" s="42"/>
      <c r="G253" s="32"/>
      <c r="H253" s="33"/>
      <c r="I253" s="37"/>
      <c r="J253" s="35"/>
      <c r="K253" s="30" t="s">
        <v>1040</v>
      </c>
    </row>
    <row r="254" customFormat="false" ht="14.25" hidden="false" customHeight="true" outlineLevel="0" collapsed="false">
      <c r="A254" s="27"/>
      <c r="B254" s="27"/>
      <c r="C254" s="27"/>
      <c r="D254" s="29" t="s">
        <v>1041</v>
      </c>
      <c r="E254" s="36" t="s">
        <v>1042</v>
      </c>
      <c r="F254" s="42" t="s">
        <v>1043</v>
      </c>
      <c r="G254" s="32" t="s">
        <v>38</v>
      </c>
      <c r="H254" s="33" t="s">
        <v>516</v>
      </c>
      <c r="I254" s="39" t="s">
        <v>67</v>
      </c>
      <c r="J254" s="35" t="s">
        <v>1044</v>
      </c>
      <c r="K254" s="30" t="s">
        <v>1045</v>
      </c>
    </row>
    <row r="255" customFormat="false" ht="14.25" hidden="false" customHeight="true" outlineLevel="0" collapsed="false">
      <c r="A255" s="27"/>
      <c r="B255" s="27"/>
      <c r="C255" s="27"/>
      <c r="D255" s="27"/>
      <c r="E255" s="36" t="s">
        <v>1046</v>
      </c>
      <c r="F255" s="42"/>
      <c r="G255" s="32"/>
      <c r="H255" s="33"/>
      <c r="I255" s="39"/>
      <c r="J255" s="35"/>
      <c r="K255" s="30" t="s">
        <v>1047</v>
      </c>
    </row>
    <row r="256" customFormat="false" ht="14.25" hidden="false" customHeight="true" outlineLevel="0" collapsed="false">
      <c r="A256" s="27"/>
      <c r="B256" s="27"/>
      <c r="C256" s="27"/>
      <c r="D256" s="29" t="s">
        <v>1048</v>
      </c>
      <c r="E256" s="36" t="s">
        <v>1049</v>
      </c>
      <c r="F256" s="42" t="s">
        <v>1050</v>
      </c>
      <c r="G256" s="32" t="s">
        <v>48</v>
      </c>
      <c r="H256" s="33" t="s">
        <v>1051</v>
      </c>
      <c r="I256" s="34" t="s">
        <v>40</v>
      </c>
      <c r="J256" s="35" t="s">
        <v>1052</v>
      </c>
      <c r="K256" s="30" t="s">
        <v>1053</v>
      </c>
    </row>
    <row r="257" customFormat="false" ht="14.25" hidden="false" customHeight="true" outlineLevel="0" collapsed="false">
      <c r="A257" s="27"/>
      <c r="B257" s="27"/>
      <c r="C257" s="27"/>
      <c r="D257" s="27"/>
      <c r="E257" s="36" t="s">
        <v>1054</v>
      </c>
      <c r="F257" s="42"/>
      <c r="G257" s="32"/>
      <c r="H257" s="33"/>
      <c r="I257" s="34"/>
      <c r="J257" s="35"/>
      <c r="K257" s="30" t="s">
        <v>1055</v>
      </c>
    </row>
    <row r="258" customFormat="false" ht="14.25" hidden="false" customHeight="true" outlineLevel="0" collapsed="false">
      <c r="A258" s="27"/>
      <c r="B258" s="27"/>
      <c r="C258" s="27"/>
      <c r="D258" s="29" t="s">
        <v>1056</v>
      </c>
      <c r="E258" s="36" t="s">
        <v>1057</v>
      </c>
      <c r="F258" s="42" t="s">
        <v>1058</v>
      </c>
      <c r="G258" s="32" t="s">
        <v>58</v>
      </c>
      <c r="H258" s="33" t="s">
        <v>1059</v>
      </c>
      <c r="I258" s="39" t="s">
        <v>67</v>
      </c>
      <c r="J258" s="35" t="s">
        <v>1060</v>
      </c>
      <c r="K258" s="30" t="s">
        <v>1061</v>
      </c>
    </row>
    <row r="259" customFormat="false" ht="14.25" hidden="false" customHeight="true" outlineLevel="0" collapsed="false">
      <c r="A259" s="27"/>
      <c r="B259" s="27"/>
      <c r="C259" s="27"/>
      <c r="D259" s="27"/>
      <c r="E259" s="36" t="s">
        <v>1062</v>
      </c>
      <c r="F259" s="42"/>
      <c r="G259" s="32"/>
      <c r="H259" s="33"/>
      <c r="I259" s="39"/>
      <c r="J259" s="35"/>
      <c r="K259" s="30" t="s">
        <v>1063</v>
      </c>
    </row>
    <row r="260" customFormat="false" ht="14.25" hidden="false" customHeight="true" outlineLevel="0" collapsed="false">
      <c r="A260" s="27"/>
      <c r="B260" s="27"/>
      <c r="C260" s="40" t="s">
        <v>1064</v>
      </c>
      <c r="D260" s="29" t="s">
        <v>1065</v>
      </c>
      <c r="E260" s="36" t="s">
        <v>1065</v>
      </c>
      <c r="F260" s="42" t="s">
        <v>1066</v>
      </c>
      <c r="G260" s="32" t="s">
        <v>48</v>
      </c>
      <c r="H260" s="33" t="s">
        <v>1067</v>
      </c>
      <c r="I260" s="37" t="s">
        <v>50</v>
      </c>
      <c r="J260" s="35" t="s">
        <v>1068</v>
      </c>
      <c r="K260" s="30" t="s">
        <v>1069</v>
      </c>
    </row>
    <row r="261" customFormat="false" ht="14.25" hidden="false" customHeight="true" outlineLevel="0" collapsed="false">
      <c r="A261" s="27"/>
      <c r="B261" s="27"/>
      <c r="C261" s="27"/>
      <c r="D261" s="27"/>
      <c r="E261" s="36" t="s">
        <v>1070</v>
      </c>
      <c r="F261" s="42"/>
      <c r="G261" s="32"/>
      <c r="H261" s="33"/>
      <c r="I261" s="37"/>
      <c r="J261" s="35"/>
      <c r="K261" s="30" t="s">
        <v>1071</v>
      </c>
    </row>
    <row r="262" customFormat="false" ht="14.25" hidden="false" customHeight="true" outlineLevel="0" collapsed="false">
      <c r="A262" s="27"/>
      <c r="B262" s="27"/>
      <c r="C262" s="27"/>
      <c r="D262" s="29" t="s">
        <v>1072</v>
      </c>
      <c r="E262" s="36" t="s">
        <v>1072</v>
      </c>
      <c r="F262" s="42" t="s">
        <v>1073</v>
      </c>
      <c r="G262" s="32" t="s">
        <v>48</v>
      </c>
      <c r="H262" s="33" t="s">
        <v>1074</v>
      </c>
      <c r="I262" s="37" t="s">
        <v>50</v>
      </c>
      <c r="J262" s="35" t="s">
        <v>1075</v>
      </c>
      <c r="K262" s="30" t="s">
        <v>1076</v>
      </c>
    </row>
    <row r="263" customFormat="false" ht="14.25" hidden="false" customHeight="true" outlineLevel="0" collapsed="false">
      <c r="A263" s="27"/>
      <c r="B263" s="27"/>
      <c r="C263" s="27"/>
      <c r="D263" s="27"/>
      <c r="E263" s="36" t="s">
        <v>1077</v>
      </c>
      <c r="F263" s="42"/>
      <c r="G263" s="32"/>
      <c r="H263" s="33"/>
      <c r="I263" s="37"/>
      <c r="J263" s="35"/>
      <c r="K263" s="30" t="s">
        <v>1078</v>
      </c>
    </row>
    <row r="264" customFormat="false" ht="14.25" hidden="false" customHeight="true" outlineLevel="0" collapsed="false">
      <c r="A264" s="27"/>
      <c r="B264" s="27"/>
      <c r="C264" s="27"/>
      <c r="D264" s="29" t="s">
        <v>1079</v>
      </c>
      <c r="E264" s="36" t="s">
        <v>1080</v>
      </c>
      <c r="F264" s="42" t="s">
        <v>1081</v>
      </c>
      <c r="G264" s="32" t="s">
        <v>38</v>
      </c>
      <c r="H264" s="33" t="s">
        <v>1082</v>
      </c>
      <c r="I264" s="39" t="s">
        <v>67</v>
      </c>
      <c r="J264" s="35" t="s">
        <v>1083</v>
      </c>
      <c r="K264" s="30" t="s">
        <v>1084</v>
      </c>
    </row>
    <row r="265" customFormat="false" ht="14.25" hidden="false" customHeight="true" outlineLevel="0" collapsed="false">
      <c r="A265" s="27"/>
      <c r="B265" s="27"/>
      <c r="C265" s="27"/>
      <c r="D265" s="27"/>
      <c r="E265" s="36" t="s">
        <v>1085</v>
      </c>
      <c r="F265" s="42"/>
      <c r="G265" s="32"/>
      <c r="H265" s="33"/>
      <c r="I265" s="39"/>
      <c r="J265" s="35"/>
      <c r="K265" s="30" t="s">
        <v>1086</v>
      </c>
    </row>
    <row r="266" customFormat="false" ht="14.25" hidden="false" customHeight="true" outlineLevel="0" collapsed="false">
      <c r="A266" s="27"/>
      <c r="B266" s="27"/>
      <c r="C266" s="27"/>
      <c r="D266" s="29" t="s">
        <v>1087</v>
      </c>
      <c r="E266" s="36" t="s">
        <v>1088</v>
      </c>
      <c r="F266" s="42" t="s">
        <v>1089</v>
      </c>
      <c r="G266" s="32" t="s">
        <v>38</v>
      </c>
      <c r="H266" s="33" t="s">
        <v>1090</v>
      </c>
      <c r="I266" s="34" t="s">
        <v>40</v>
      </c>
      <c r="J266" s="35" t="s">
        <v>1091</v>
      </c>
      <c r="K266" s="30" t="s">
        <v>1092</v>
      </c>
    </row>
    <row r="267" customFormat="false" ht="14.25" hidden="false" customHeight="true" outlineLevel="0" collapsed="false">
      <c r="A267" s="27"/>
      <c r="B267" s="27"/>
      <c r="C267" s="27"/>
      <c r="D267" s="27"/>
      <c r="E267" s="36" t="s">
        <v>1093</v>
      </c>
      <c r="F267" s="42"/>
      <c r="G267" s="32"/>
      <c r="H267" s="33"/>
      <c r="I267" s="34"/>
      <c r="J267" s="35"/>
      <c r="K267" s="30" t="s">
        <v>1094</v>
      </c>
    </row>
    <row r="268" customFormat="false" ht="14.25" hidden="false" customHeight="true" outlineLevel="0" collapsed="false">
      <c r="A268" s="27"/>
      <c r="B268" s="27"/>
      <c r="C268" s="27"/>
      <c r="D268" s="29" t="s">
        <v>1095</v>
      </c>
      <c r="E268" s="36" t="s">
        <v>1096</v>
      </c>
      <c r="F268" s="42" t="s">
        <v>1097</v>
      </c>
      <c r="G268" s="32" t="s">
        <v>38</v>
      </c>
      <c r="H268" s="33" t="s">
        <v>1098</v>
      </c>
      <c r="I268" s="39" t="s">
        <v>67</v>
      </c>
      <c r="J268" s="35" t="s">
        <v>1099</v>
      </c>
      <c r="K268" s="30" t="s">
        <v>1100</v>
      </c>
    </row>
    <row r="269" customFormat="false" ht="14.25" hidden="false" customHeight="true" outlineLevel="0" collapsed="false">
      <c r="A269" s="27"/>
      <c r="B269" s="27"/>
      <c r="C269" s="27"/>
      <c r="D269" s="27"/>
      <c r="E269" s="36" t="s">
        <v>1101</v>
      </c>
      <c r="F269" s="42"/>
      <c r="G269" s="32"/>
      <c r="H269" s="33"/>
      <c r="I269" s="39"/>
      <c r="J269" s="35"/>
      <c r="K269" s="30" t="s">
        <v>1102</v>
      </c>
    </row>
    <row r="270" customFormat="false" ht="14.25" hidden="false" customHeight="true" outlineLevel="0" collapsed="false">
      <c r="A270" s="27"/>
      <c r="B270" s="27"/>
      <c r="C270" s="40" t="s">
        <v>1103</v>
      </c>
      <c r="D270" s="29" t="s">
        <v>1104</v>
      </c>
      <c r="E270" s="36" t="s">
        <v>1105</v>
      </c>
      <c r="F270" s="42" t="s">
        <v>1106</v>
      </c>
      <c r="G270" s="32" t="s">
        <v>48</v>
      </c>
      <c r="H270" s="33" t="s">
        <v>1107</v>
      </c>
      <c r="I270" s="37" t="s">
        <v>50</v>
      </c>
      <c r="J270" s="35" t="s">
        <v>1108</v>
      </c>
      <c r="K270" s="30" t="s">
        <v>1109</v>
      </c>
    </row>
    <row r="271" customFormat="false" ht="14.25" hidden="false" customHeight="true" outlineLevel="0" collapsed="false">
      <c r="A271" s="27"/>
      <c r="B271" s="27"/>
      <c r="C271" s="27"/>
      <c r="D271" s="27"/>
      <c r="E271" s="36" t="s">
        <v>1110</v>
      </c>
      <c r="F271" s="42"/>
      <c r="G271" s="32"/>
      <c r="H271" s="33"/>
      <c r="I271" s="37"/>
      <c r="J271" s="35"/>
      <c r="K271" s="30" t="s">
        <v>1111</v>
      </c>
    </row>
    <row r="272" customFormat="false" ht="14.25" hidden="false" customHeight="true" outlineLevel="0" collapsed="false">
      <c r="A272" s="27"/>
      <c r="B272" s="27"/>
      <c r="C272" s="27"/>
      <c r="D272" s="29" t="s">
        <v>1112</v>
      </c>
      <c r="E272" s="36" t="s">
        <v>1113</v>
      </c>
      <c r="F272" s="42" t="s">
        <v>1114</v>
      </c>
      <c r="G272" s="32" t="s">
        <v>58</v>
      </c>
      <c r="H272" s="33" t="s">
        <v>1115</v>
      </c>
      <c r="I272" s="37" t="s">
        <v>50</v>
      </c>
      <c r="J272" s="35" t="s">
        <v>1116</v>
      </c>
      <c r="K272" s="30" t="s">
        <v>1117</v>
      </c>
    </row>
    <row r="273" customFormat="false" ht="14.25" hidden="false" customHeight="true" outlineLevel="0" collapsed="false">
      <c r="A273" s="27"/>
      <c r="B273" s="27"/>
      <c r="C273" s="27"/>
      <c r="D273" s="27"/>
      <c r="E273" s="36" t="s">
        <v>1118</v>
      </c>
      <c r="F273" s="42"/>
      <c r="G273" s="32"/>
      <c r="H273" s="33"/>
      <c r="I273" s="37"/>
      <c r="J273" s="35"/>
      <c r="K273" s="30" t="s">
        <v>1007</v>
      </c>
    </row>
    <row r="274" customFormat="false" ht="14.25" hidden="false" customHeight="true" outlineLevel="0" collapsed="false">
      <c r="A274" s="27"/>
      <c r="B274" s="27"/>
      <c r="C274" s="27"/>
      <c r="D274" s="29" t="s">
        <v>1119</v>
      </c>
      <c r="E274" s="36" t="s">
        <v>1120</v>
      </c>
      <c r="F274" s="42" t="s">
        <v>1121</v>
      </c>
      <c r="G274" s="32" t="s">
        <v>48</v>
      </c>
      <c r="H274" s="33" t="s">
        <v>1122</v>
      </c>
      <c r="I274" s="39" t="s">
        <v>67</v>
      </c>
      <c r="J274" s="35" t="s">
        <v>1123</v>
      </c>
      <c r="K274" s="30" t="s">
        <v>1124</v>
      </c>
    </row>
    <row r="275" customFormat="false" ht="14.25" hidden="false" customHeight="true" outlineLevel="0" collapsed="false">
      <c r="A275" s="27"/>
      <c r="B275" s="27"/>
      <c r="C275" s="27"/>
      <c r="D275" s="27"/>
      <c r="E275" s="36" t="s">
        <v>1125</v>
      </c>
      <c r="F275" s="42"/>
      <c r="G275" s="32"/>
      <c r="H275" s="33"/>
      <c r="I275" s="39"/>
      <c r="J275" s="35"/>
      <c r="K275" s="30" t="s">
        <v>1126</v>
      </c>
    </row>
    <row r="276" customFormat="false" ht="14.25" hidden="false" customHeight="true" outlineLevel="0" collapsed="false">
      <c r="A276" s="27"/>
      <c r="B276" s="27"/>
      <c r="C276" s="27"/>
      <c r="D276" s="29" t="s">
        <v>1127</v>
      </c>
      <c r="E276" s="36" t="s">
        <v>1128</v>
      </c>
      <c r="F276" s="42" t="s">
        <v>1129</v>
      </c>
      <c r="G276" s="32" t="s">
        <v>48</v>
      </c>
      <c r="H276" s="33" t="s">
        <v>1130</v>
      </c>
      <c r="I276" s="34" t="s">
        <v>40</v>
      </c>
      <c r="J276" s="35" t="s">
        <v>1131</v>
      </c>
      <c r="K276" s="30" t="s">
        <v>1132</v>
      </c>
    </row>
    <row r="277" customFormat="false" ht="14.25" hidden="false" customHeight="true" outlineLevel="0" collapsed="false">
      <c r="A277" s="27"/>
      <c r="B277" s="27"/>
      <c r="C277" s="27"/>
      <c r="D277" s="27"/>
      <c r="E277" s="36" t="s">
        <v>1133</v>
      </c>
      <c r="F277" s="42"/>
      <c r="G277" s="32"/>
      <c r="H277" s="33"/>
      <c r="I277" s="34"/>
      <c r="J277" s="35"/>
      <c r="K277" s="30" t="s">
        <v>1021</v>
      </c>
    </row>
    <row r="278" customFormat="false" ht="14.25" hidden="false" customHeight="true" outlineLevel="0" collapsed="false">
      <c r="A278" s="27"/>
      <c r="B278" s="27"/>
      <c r="C278" s="27"/>
      <c r="D278" s="29" t="s">
        <v>1134</v>
      </c>
      <c r="E278" s="36" t="s">
        <v>1134</v>
      </c>
      <c r="F278" s="42" t="s">
        <v>1135</v>
      </c>
      <c r="G278" s="32" t="s">
        <v>38</v>
      </c>
      <c r="H278" s="33" t="s">
        <v>613</v>
      </c>
      <c r="I278" s="39" t="s">
        <v>67</v>
      </c>
      <c r="J278" s="35" t="s">
        <v>1136</v>
      </c>
      <c r="K278" s="30" t="s">
        <v>1023</v>
      </c>
    </row>
    <row r="279" customFormat="false" ht="14.25" hidden="false" customHeight="true" outlineLevel="0" collapsed="false">
      <c r="A279" s="27"/>
      <c r="B279" s="27"/>
      <c r="C279" s="27"/>
      <c r="D279" s="27"/>
      <c r="E279" s="36" t="s">
        <v>1137</v>
      </c>
      <c r="F279" s="42"/>
      <c r="G279" s="32"/>
      <c r="H279" s="33"/>
      <c r="I279" s="39"/>
      <c r="J279" s="35"/>
      <c r="K279" s="30" t="s">
        <v>1138</v>
      </c>
    </row>
    <row r="280" customFormat="false" ht="14.25" hidden="false" customHeight="true" outlineLevel="0" collapsed="false">
      <c r="A280" s="27"/>
      <c r="B280" s="27"/>
      <c r="C280" s="29" t="s">
        <v>1139</v>
      </c>
      <c r="D280" s="29" t="s">
        <v>1140</v>
      </c>
      <c r="E280" s="36" t="s">
        <v>1141</v>
      </c>
      <c r="F280" s="42" t="s">
        <v>1142</v>
      </c>
      <c r="G280" s="32" t="s">
        <v>38</v>
      </c>
      <c r="H280" s="33" t="s">
        <v>1143</v>
      </c>
      <c r="I280" s="37" t="s">
        <v>50</v>
      </c>
      <c r="J280" s="35" t="s">
        <v>1144</v>
      </c>
      <c r="K280" s="30" t="s">
        <v>1032</v>
      </c>
    </row>
    <row r="281" customFormat="false" ht="14.25" hidden="false" customHeight="true" outlineLevel="0" collapsed="false">
      <c r="A281" s="27"/>
      <c r="B281" s="27"/>
      <c r="C281" s="27"/>
      <c r="D281" s="27"/>
      <c r="E281" s="36" t="s">
        <v>1145</v>
      </c>
      <c r="F281" s="42"/>
      <c r="G281" s="32"/>
      <c r="H281" s="33"/>
      <c r="I281" s="37"/>
      <c r="J281" s="35"/>
      <c r="K281" s="30" t="s">
        <v>1038</v>
      </c>
    </row>
    <row r="282" customFormat="false" ht="14.25" hidden="false" customHeight="true" outlineLevel="0" collapsed="false">
      <c r="A282" s="27"/>
      <c r="B282" s="27"/>
      <c r="C282" s="27"/>
      <c r="D282" s="29" t="s">
        <v>1146</v>
      </c>
      <c r="E282" s="36" t="s">
        <v>1147</v>
      </c>
      <c r="F282" s="42" t="s">
        <v>1148</v>
      </c>
      <c r="G282" s="32" t="s">
        <v>38</v>
      </c>
      <c r="H282" s="33" t="s">
        <v>1149</v>
      </c>
      <c r="I282" s="37" t="s">
        <v>50</v>
      </c>
      <c r="J282" s="35" t="s">
        <v>1150</v>
      </c>
      <c r="K282" s="30" t="s">
        <v>1040</v>
      </c>
    </row>
    <row r="283" customFormat="false" ht="14.25" hidden="false" customHeight="true" outlineLevel="0" collapsed="false">
      <c r="A283" s="27"/>
      <c r="B283" s="27"/>
      <c r="C283" s="27"/>
      <c r="D283" s="27"/>
      <c r="E283" s="36" t="s">
        <v>1151</v>
      </c>
      <c r="F283" s="42"/>
      <c r="G283" s="32"/>
      <c r="H283" s="33"/>
      <c r="I283" s="37"/>
      <c r="J283" s="35"/>
      <c r="K283" s="30" t="s">
        <v>1045</v>
      </c>
    </row>
    <row r="284" customFormat="false" ht="14.25" hidden="false" customHeight="true" outlineLevel="0" collapsed="false">
      <c r="A284" s="27"/>
      <c r="B284" s="27"/>
      <c r="C284" s="27"/>
      <c r="D284" s="29" t="s">
        <v>1152</v>
      </c>
      <c r="E284" s="36" t="s">
        <v>1153</v>
      </c>
      <c r="F284" s="42" t="s">
        <v>1154</v>
      </c>
      <c r="G284" s="32" t="s">
        <v>48</v>
      </c>
      <c r="H284" s="33" t="s">
        <v>1155</v>
      </c>
      <c r="I284" s="39" t="s">
        <v>67</v>
      </c>
      <c r="J284" s="35" t="s">
        <v>1156</v>
      </c>
      <c r="K284" s="30" t="s">
        <v>1047</v>
      </c>
    </row>
    <row r="285" customFormat="false" ht="14.25" hidden="false" customHeight="true" outlineLevel="0" collapsed="false">
      <c r="A285" s="27"/>
      <c r="B285" s="27"/>
      <c r="C285" s="27"/>
      <c r="D285" s="27"/>
      <c r="E285" s="36" t="s">
        <v>1157</v>
      </c>
      <c r="F285" s="42"/>
      <c r="G285" s="32"/>
      <c r="H285" s="33"/>
      <c r="I285" s="39"/>
      <c r="J285" s="35"/>
      <c r="K285" s="30" t="s">
        <v>1053</v>
      </c>
    </row>
    <row r="286" customFormat="false" ht="14.25" hidden="false" customHeight="true" outlineLevel="0" collapsed="false">
      <c r="A286" s="27"/>
      <c r="B286" s="27"/>
      <c r="C286" s="27"/>
      <c r="D286" s="29" t="s">
        <v>1158</v>
      </c>
      <c r="E286" s="36" t="s">
        <v>1159</v>
      </c>
      <c r="F286" s="42" t="s">
        <v>1160</v>
      </c>
      <c r="G286" s="32" t="s">
        <v>58</v>
      </c>
      <c r="H286" s="33" t="s">
        <v>1161</v>
      </c>
      <c r="I286" s="34" t="s">
        <v>40</v>
      </c>
      <c r="J286" s="35" t="s">
        <v>1162</v>
      </c>
      <c r="K286" s="30" t="s">
        <v>1055</v>
      </c>
    </row>
    <row r="287" customFormat="false" ht="14.25" hidden="false" customHeight="true" outlineLevel="0" collapsed="false">
      <c r="A287" s="27"/>
      <c r="B287" s="27"/>
      <c r="C287" s="27"/>
      <c r="D287" s="27"/>
      <c r="E287" s="36" t="s">
        <v>1163</v>
      </c>
      <c r="F287" s="42"/>
      <c r="G287" s="32"/>
      <c r="H287" s="33"/>
      <c r="I287" s="34"/>
      <c r="J287" s="35"/>
      <c r="K287" s="30" t="s">
        <v>1164</v>
      </c>
    </row>
    <row r="288" customFormat="false" ht="14.25" hidden="false" customHeight="true" outlineLevel="0" collapsed="false">
      <c r="A288" s="27"/>
      <c r="B288" s="27"/>
      <c r="C288" s="27"/>
      <c r="D288" s="29" t="s">
        <v>1165</v>
      </c>
      <c r="E288" s="36" t="s">
        <v>1166</v>
      </c>
      <c r="F288" s="42" t="s">
        <v>1167</v>
      </c>
      <c r="G288" s="32" t="s">
        <v>48</v>
      </c>
      <c r="H288" s="33" t="s">
        <v>1168</v>
      </c>
      <c r="I288" s="39" t="s">
        <v>67</v>
      </c>
      <c r="J288" s="35" t="s">
        <v>1169</v>
      </c>
      <c r="K288" s="30" t="s">
        <v>1063</v>
      </c>
    </row>
    <row r="289" customFormat="false" ht="14.25" hidden="false" customHeight="true" outlineLevel="0" collapsed="false">
      <c r="A289" s="27"/>
      <c r="B289" s="27"/>
      <c r="C289" s="27"/>
      <c r="D289" s="27"/>
      <c r="E289" s="36" t="s">
        <v>1170</v>
      </c>
      <c r="F289" s="42"/>
      <c r="G289" s="32"/>
      <c r="H289" s="33"/>
      <c r="I289" s="39"/>
      <c r="J289" s="35"/>
      <c r="K289" s="30" t="s">
        <v>1069</v>
      </c>
    </row>
    <row r="290" customFormat="false" ht="14.25" hidden="false" customHeight="true" outlineLevel="0" collapsed="false">
      <c r="A290" s="27"/>
      <c r="B290" s="27"/>
      <c r="C290" s="29" t="s">
        <v>1171</v>
      </c>
      <c r="D290" s="29" t="s">
        <v>1172</v>
      </c>
      <c r="E290" s="36" t="s">
        <v>1173</v>
      </c>
      <c r="F290" s="42" t="s">
        <v>1174</v>
      </c>
      <c r="G290" s="32" t="s">
        <v>48</v>
      </c>
      <c r="H290" s="33" t="s">
        <v>1175</v>
      </c>
      <c r="I290" s="37" t="s">
        <v>50</v>
      </c>
      <c r="J290" s="35" t="s">
        <v>1176</v>
      </c>
      <c r="K290" s="30" t="s">
        <v>1071</v>
      </c>
    </row>
    <row r="291" customFormat="false" ht="14.25" hidden="false" customHeight="true" outlineLevel="0" collapsed="false">
      <c r="A291" s="27"/>
      <c r="B291" s="27"/>
      <c r="C291" s="27"/>
      <c r="D291" s="27"/>
      <c r="E291" s="36" t="s">
        <v>1177</v>
      </c>
      <c r="F291" s="42"/>
      <c r="G291" s="32"/>
      <c r="H291" s="33"/>
      <c r="I291" s="37"/>
      <c r="J291" s="35"/>
      <c r="K291" s="30" t="s">
        <v>1076</v>
      </c>
    </row>
    <row r="292" customFormat="false" ht="14.25" hidden="false" customHeight="true" outlineLevel="0" collapsed="false">
      <c r="A292" s="27"/>
      <c r="B292" s="27"/>
      <c r="C292" s="27"/>
      <c r="D292" s="29" t="s">
        <v>1178</v>
      </c>
      <c r="E292" s="36" t="s">
        <v>1179</v>
      </c>
      <c r="F292" s="42" t="s">
        <v>1180</v>
      </c>
      <c r="G292" s="32" t="s">
        <v>38</v>
      </c>
      <c r="H292" s="33" t="s">
        <v>1181</v>
      </c>
      <c r="I292" s="37" t="s">
        <v>50</v>
      </c>
      <c r="J292" s="35" t="s">
        <v>1182</v>
      </c>
      <c r="K292" s="30" t="s">
        <v>1084</v>
      </c>
    </row>
    <row r="293" customFormat="false" ht="14.25" hidden="false" customHeight="true" outlineLevel="0" collapsed="false">
      <c r="A293" s="27"/>
      <c r="B293" s="27"/>
      <c r="C293" s="27"/>
      <c r="D293" s="27"/>
      <c r="E293" s="36" t="s">
        <v>1183</v>
      </c>
      <c r="F293" s="42"/>
      <c r="G293" s="32"/>
      <c r="H293" s="33"/>
      <c r="I293" s="37"/>
      <c r="J293" s="35"/>
      <c r="K293" s="30" t="s">
        <v>1086</v>
      </c>
    </row>
    <row r="294" customFormat="false" ht="14.25" hidden="false" customHeight="true" outlineLevel="0" collapsed="false">
      <c r="A294" s="27"/>
      <c r="B294" s="27"/>
      <c r="C294" s="27"/>
      <c r="D294" s="29" t="s">
        <v>1184</v>
      </c>
      <c r="E294" s="36" t="s">
        <v>1185</v>
      </c>
      <c r="F294" s="42" t="s">
        <v>1186</v>
      </c>
      <c r="G294" s="32" t="s">
        <v>38</v>
      </c>
      <c r="H294" s="33" t="s">
        <v>1187</v>
      </c>
      <c r="I294" s="39" t="s">
        <v>67</v>
      </c>
      <c r="J294" s="35" t="s">
        <v>1188</v>
      </c>
      <c r="K294" s="30" t="s">
        <v>1092</v>
      </c>
    </row>
    <row r="295" customFormat="false" ht="14.25" hidden="false" customHeight="true" outlineLevel="0" collapsed="false">
      <c r="A295" s="27"/>
      <c r="B295" s="27"/>
      <c r="C295" s="27"/>
      <c r="D295" s="27"/>
      <c r="E295" s="36" t="s">
        <v>1189</v>
      </c>
      <c r="F295" s="42"/>
      <c r="G295" s="32"/>
      <c r="H295" s="33"/>
      <c r="I295" s="39"/>
      <c r="J295" s="35"/>
      <c r="K295" s="30" t="s">
        <v>1094</v>
      </c>
    </row>
    <row r="296" customFormat="false" ht="14.25" hidden="false" customHeight="true" outlineLevel="0" collapsed="false">
      <c r="A296" s="27"/>
      <c r="B296" s="27"/>
      <c r="C296" s="27"/>
      <c r="D296" s="29" t="s">
        <v>1190</v>
      </c>
      <c r="E296" s="36" t="s">
        <v>1191</v>
      </c>
      <c r="F296" s="42" t="s">
        <v>1192</v>
      </c>
      <c r="G296" s="32" t="s">
        <v>38</v>
      </c>
      <c r="H296" s="33" t="s">
        <v>1193</v>
      </c>
      <c r="I296" s="34" t="s">
        <v>40</v>
      </c>
      <c r="J296" s="35" t="s">
        <v>1194</v>
      </c>
      <c r="K296" s="30" t="s">
        <v>1195</v>
      </c>
    </row>
    <row r="297" customFormat="false" ht="14.25" hidden="false" customHeight="true" outlineLevel="0" collapsed="false">
      <c r="A297" s="27"/>
      <c r="B297" s="27"/>
      <c r="C297" s="27"/>
      <c r="D297" s="27"/>
      <c r="E297" s="36" t="s">
        <v>1196</v>
      </c>
      <c r="F297" s="42"/>
      <c r="G297" s="32"/>
      <c r="H297" s="33"/>
      <c r="I297" s="34"/>
      <c r="J297" s="35"/>
      <c r="K297" s="30" t="s">
        <v>1197</v>
      </c>
    </row>
    <row r="298" customFormat="false" ht="14.25" hidden="false" customHeight="true" outlineLevel="0" collapsed="false">
      <c r="A298" s="27"/>
      <c r="B298" s="27"/>
      <c r="C298" s="27"/>
      <c r="D298" s="29" t="s">
        <v>1198</v>
      </c>
      <c r="E298" s="36" t="s">
        <v>1199</v>
      </c>
      <c r="F298" s="42" t="s">
        <v>1200</v>
      </c>
      <c r="G298" s="32" t="s">
        <v>48</v>
      </c>
      <c r="H298" s="33" t="s">
        <v>1201</v>
      </c>
      <c r="I298" s="39" t="s">
        <v>67</v>
      </c>
      <c r="J298" s="35" t="s">
        <v>1202</v>
      </c>
      <c r="K298" s="30" t="s">
        <v>1109</v>
      </c>
    </row>
    <row r="299" customFormat="false" ht="14.25" hidden="false" customHeight="true" outlineLevel="0" collapsed="false">
      <c r="A299" s="27"/>
      <c r="B299" s="27"/>
      <c r="C299" s="27"/>
      <c r="D299" s="27"/>
      <c r="E299" s="36" t="s">
        <v>1203</v>
      </c>
      <c r="F299" s="42"/>
      <c r="G299" s="32"/>
      <c r="H299" s="33"/>
      <c r="I299" s="39"/>
      <c r="J299" s="35"/>
      <c r="K299" s="30" t="s">
        <v>1111</v>
      </c>
    </row>
    <row r="300" customFormat="false" ht="14.25" hidden="false" customHeight="true" outlineLevel="0" collapsed="false">
      <c r="A300" s="27"/>
      <c r="B300" s="27"/>
      <c r="C300" s="29" t="s">
        <v>1204</v>
      </c>
      <c r="D300" s="29" t="s">
        <v>1205</v>
      </c>
      <c r="E300" s="36" t="s">
        <v>1206</v>
      </c>
      <c r="F300" s="42" t="s">
        <v>1207</v>
      </c>
      <c r="G300" s="32" t="s">
        <v>58</v>
      </c>
      <c r="H300" s="33" t="s">
        <v>1208</v>
      </c>
      <c r="I300" s="37" t="s">
        <v>50</v>
      </c>
      <c r="J300" s="35" t="s">
        <v>1209</v>
      </c>
      <c r="K300" s="30" t="s">
        <v>1210</v>
      </c>
    </row>
    <row r="301" customFormat="false" ht="14.25" hidden="false" customHeight="true" outlineLevel="0" collapsed="false">
      <c r="A301" s="27"/>
      <c r="B301" s="27"/>
      <c r="C301" s="27"/>
      <c r="D301" s="27"/>
      <c r="E301" s="36" t="s">
        <v>1211</v>
      </c>
      <c r="F301" s="42"/>
      <c r="G301" s="32"/>
      <c r="H301" s="33"/>
      <c r="I301" s="37"/>
      <c r="J301" s="35"/>
      <c r="K301" s="30" t="s">
        <v>1212</v>
      </c>
    </row>
    <row r="302" customFormat="false" ht="14.25" hidden="false" customHeight="true" outlineLevel="0" collapsed="false">
      <c r="A302" s="27"/>
      <c r="B302" s="27"/>
      <c r="C302" s="27"/>
      <c r="D302" s="29" t="s">
        <v>1213</v>
      </c>
      <c r="E302" s="36" t="s">
        <v>1214</v>
      </c>
      <c r="F302" s="42" t="s">
        <v>1215</v>
      </c>
      <c r="G302" s="32" t="s">
        <v>48</v>
      </c>
      <c r="H302" s="33" t="s">
        <v>1216</v>
      </c>
      <c r="I302" s="37" t="s">
        <v>50</v>
      </c>
      <c r="J302" s="35" t="s">
        <v>1217</v>
      </c>
      <c r="K302" s="30" t="s">
        <v>1218</v>
      </c>
    </row>
    <row r="303" customFormat="false" ht="14.25" hidden="false" customHeight="true" outlineLevel="0" collapsed="false">
      <c r="A303" s="27"/>
      <c r="B303" s="27"/>
      <c r="C303" s="27"/>
      <c r="D303" s="27"/>
      <c r="E303" s="36" t="s">
        <v>1219</v>
      </c>
      <c r="F303" s="42"/>
      <c r="G303" s="32"/>
      <c r="H303" s="33"/>
      <c r="I303" s="37"/>
      <c r="J303" s="35"/>
      <c r="K303" s="30" t="s">
        <v>1220</v>
      </c>
    </row>
    <row r="304" customFormat="false" ht="14.25" hidden="false" customHeight="true" outlineLevel="0" collapsed="false">
      <c r="A304" s="27"/>
      <c r="B304" s="27"/>
      <c r="C304" s="27"/>
      <c r="D304" s="29" t="s">
        <v>1221</v>
      </c>
      <c r="E304" s="36" t="s">
        <v>1222</v>
      </c>
      <c r="F304" s="42" t="s">
        <v>1223</v>
      </c>
      <c r="G304" s="32" t="s">
        <v>48</v>
      </c>
      <c r="H304" s="33" t="s">
        <v>1116</v>
      </c>
      <c r="I304" s="39" t="s">
        <v>67</v>
      </c>
      <c r="J304" s="35" t="s">
        <v>1224</v>
      </c>
      <c r="K304" s="30" t="s">
        <v>1225</v>
      </c>
    </row>
    <row r="305" customFormat="false" ht="14.25" hidden="false" customHeight="true" outlineLevel="0" collapsed="false">
      <c r="A305" s="27"/>
      <c r="B305" s="27"/>
      <c r="C305" s="27"/>
      <c r="D305" s="27"/>
      <c r="E305" s="36" t="s">
        <v>1226</v>
      </c>
      <c r="F305" s="42"/>
      <c r="G305" s="32"/>
      <c r="H305" s="33"/>
      <c r="I305" s="39"/>
      <c r="J305" s="35"/>
      <c r="K305" s="30" t="s">
        <v>1227</v>
      </c>
    </row>
    <row r="306" customFormat="false" ht="14.25" hidden="false" customHeight="true" outlineLevel="0" collapsed="false">
      <c r="A306" s="27"/>
      <c r="B306" s="27"/>
      <c r="C306" s="27"/>
      <c r="D306" s="29" t="s">
        <v>1228</v>
      </c>
      <c r="E306" s="36" t="s">
        <v>1229</v>
      </c>
      <c r="F306" s="42" t="s">
        <v>1230</v>
      </c>
      <c r="G306" s="32" t="s">
        <v>38</v>
      </c>
      <c r="H306" s="33" t="s">
        <v>1231</v>
      </c>
      <c r="I306" s="34" t="s">
        <v>40</v>
      </c>
      <c r="J306" s="35" t="s">
        <v>1232</v>
      </c>
      <c r="K306" s="30" t="s">
        <v>1233</v>
      </c>
    </row>
    <row r="307" customFormat="false" ht="14.25" hidden="false" customHeight="true" outlineLevel="0" collapsed="false">
      <c r="A307" s="27"/>
      <c r="B307" s="27"/>
      <c r="C307" s="27"/>
      <c r="D307" s="27"/>
      <c r="E307" s="36" t="s">
        <v>1234</v>
      </c>
      <c r="F307" s="42"/>
      <c r="G307" s="32"/>
      <c r="H307" s="33"/>
      <c r="I307" s="34"/>
      <c r="J307" s="35"/>
      <c r="K307" s="30" t="s">
        <v>1235</v>
      </c>
    </row>
    <row r="308" customFormat="false" ht="14.25" hidden="false" customHeight="true" outlineLevel="0" collapsed="false">
      <c r="A308" s="27"/>
      <c r="B308" s="27"/>
      <c r="C308" s="27"/>
      <c r="D308" s="29" t="s">
        <v>1236</v>
      </c>
      <c r="E308" s="36" t="s">
        <v>1237</v>
      </c>
      <c r="F308" s="42" t="s">
        <v>1238</v>
      </c>
      <c r="G308" s="32" t="s">
        <v>38</v>
      </c>
      <c r="H308" s="33" t="s">
        <v>1239</v>
      </c>
      <c r="I308" s="39" t="s">
        <v>67</v>
      </c>
      <c r="J308" s="35" t="s">
        <v>1240</v>
      </c>
      <c r="K308" s="30" t="s">
        <v>1241</v>
      </c>
    </row>
    <row r="309" customFormat="false" ht="14.25" hidden="false" customHeight="true" outlineLevel="0" collapsed="false">
      <c r="A309" s="27"/>
      <c r="B309" s="27"/>
      <c r="C309" s="27"/>
      <c r="D309" s="27"/>
      <c r="E309" s="36" t="s">
        <v>1242</v>
      </c>
      <c r="F309" s="42"/>
      <c r="G309" s="32"/>
      <c r="H309" s="33"/>
      <c r="I309" s="39"/>
      <c r="J309" s="35"/>
      <c r="K309" s="30" t="s">
        <v>1243</v>
      </c>
    </row>
    <row r="310" customFormat="false" ht="14.25" hidden="false" customHeight="true" outlineLevel="0" collapsed="false">
      <c r="A310" s="27"/>
      <c r="B310" s="27"/>
      <c r="C310" s="40" t="s">
        <v>1244</v>
      </c>
      <c r="D310" s="29" t="s">
        <v>1245</v>
      </c>
      <c r="E310" s="36" t="s">
        <v>1246</v>
      </c>
      <c r="F310" s="42" t="s">
        <v>1247</v>
      </c>
      <c r="G310" s="32" t="s">
        <v>38</v>
      </c>
      <c r="H310" s="33" t="s">
        <v>1248</v>
      </c>
      <c r="I310" s="37" t="s">
        <v>50</v>
      </c>
      <c r="J310" s="35" t="s">
        <v>1249</v>
      </c>
      <c r="K310" s="30" t="s">
        <v>1250</v>
      </c>
    </row>
    <row r="311" customFormat="false" ht="14.25" hidden="false" customHeight="true" outlineLevel="0" collapsed="false">
      <c r="A311" s="27"/>
      <c r="B311" s="27"/>
      <c r="C311" s="27"/>
      <c r="D311" s="27"/>
      <c r="E311" s="36" t="s">
        <v>1251</v>
      </c>
      <c r="F311" s="42"/>
      <c r="G311" s="32"/>
      <c r="H311" s="33"/>
      <c r="I311" s="37"/>
      <c r="J311" s="35"/>
      <c r="K311" s="30" t="s">
        <v>1252</v>
      </c>
    </row>
    <row r="312" customFormat="false" ht="14.25" hidden="false" customHeight="true" outlineLevel="0" collapsed="false">
      <c r="A312" s="27"/>
      <c r="B312" s="27"/>
      <c r="C312" s="27"/>
      <c r="D312" s="29" t="s">
        <v>1253</v>
      </c>
      <c r="E312" s="36" t="s">
        <v>1254</v>
      </c>
      <c r="F312" s="42" t="s">
        <v>1255</v>
      </c>
      <c r="G312" s="32" t="s">
        <v>48</v>
      </c>
      <c r="H312" s="33" t="s">
        <v>1256</v>
      </c>
      <c r="I312" s="37" t="s">
        <v>50</v>
      </c>
      <c r="J312" s="35" t="s">
        <v>1194</v>
      </c>
      <c r="K312" s="30" t="s">
        <v>1257</v>
      </c>
    </row>
    <row r="313" customFormat="false" ht="14.25" hidden="false" customHeight="true" outlineLevel="0" collapsed="false">
      <c r="A313" s="27"/>
      <c r="B313" s="27"/>
      <c r="C313" s="27"/>
      <c r="D313" s="27"/>
      <c r="E313" s="36" t="s">
        <v>1151</v>
      </c>
      <c r="F313" s="42"/>
      <c r="G313" s="32"/>
      <c r="H313" s="33"/>
      <c r="I313" s="37"/>
      <c r="J313" s="35"/>
      <c r="K313" s="30" t="s">
        <v>1258</v>
      </c>
    </row>
    <row r="314" customFormat="false" ht="14.25" hidden="false" customHeight="true" outlineLevel="0" collapsed="false">
      <c r="A314" s="27"/>
      <c r="B314" s="27"/>
      <c r="C314" s="27"/>
      <c r="D314" s="29" t="s">
        <v>1259</v>
      </c>
      <c r="E314" s="36" t="s">
        <v>1260</v>
      </c>
      <c r="F314" s="42" t="s">
        <v>1261</v>
      </c>
      <c r="G314" s="32" t="s">
        <v>58</v>
      </c>
      <c r="H314" s="33" t="s">
        <v>1262</v>
      </c>
      <c r="I314" s="39" t="s">
        <v>67</v>
      </c>
      <c r="J314" s="35" t="s">
        <v>1263</v>
      </c>
      <c r="K314" s="30" t="s">
        <v>1264</v>
      </c>
    </row>
    <row r="315" customFormat="false" ht="14.25" hidden="false" customHeight="true" outlineLevel="0" collapsed="false">
      <c r="A315" s="27"/>
      <c r="B315" s="27"/>
      <c r="C315" s="27"/>
      <c r="D315" s="27"/>
      <c r="E315" s="36" t="s">
        <v>1265</v>
      </c>
      <c r="F315" s="42"/>
      <c r="G315" s="32"/>
      <c r="H315" s="33"/>
      <c r="I315" s="39"/>
      <c r="J315" s="35"/>
      <c r="K315" s="30" t="s">
        <v>1266</v>
      </c>
    </row>
    <row r="316" customFormat="false" ht="14.25" hidden="false" customHeight="true" outlineLevel="0" collapsed="false">
      <c r="A316" s="27"/>
      <c r="B316" s="27"/>
      <c r="C316" s="27"/>
      <c r="D316" s="29" t="s">
        <v>1267</v>
      </c>
      <c r="E316" s="36" t="s">
        <v>1268</v>
      </c>
      <c r="F316" s="42" t="s">
        <v>1269</v>
      </c>
      <c r="G316" s="32" t="s">
        <v>48</v>
      </c>
      <c r="H316" s="33" t="s">
        <v>1270</v>
      </c>
      <c r="I316" s="34" t="s">
        <v>40</v>
      </c>
      <c r="J316" s="35" t="s">
        <v>1271</v>
      </c>
      <c r="K316" s="30" t="s">
        <v>1272</v>
      </c>
    </row>
    <row r="317" customFormat="false" ht="14.25" hidden="false" customHeight="true" outlineLevel="0" collapsed="false">
      <c r="A317" s="27"/>
      <c r="B317" s="27"/>
      <c r="C317" s="27"/>
      <c r="D317" s="27"/>
      <c r="E317" s="36" t="s">
        <v>1273</v>
      </c>
      <c r="F317" s="42"/>
      <c r="G317" s="32"/>
      <c r="H317" s="33"/>
      <c r="I317" s="34"/>
      <c r="J317" s="35"/>
      <c r="K317" s="30" t="s">
        <v>1274</v>
      </c>
    </row>
    <row r="318" customFormat="false" ht="14.25" hidden="false" customHeight="true" outlineLevel="0" collapsed="false">
      <c r="A318" s="27"/>
      <c r="B318" s="27"/>
      <c r="C318" s="27"/>
      <c r="D318" s="29" t="s">
        <v>1275</v>
      </c>
      <c r="E318" s="36" t="s">
        <v>1276</v>
      </c>
      <c r="F318" s="42" t="s">
        <v>1277</v>
      </c>
      <c r="G318" s="32" t="s">
        <v>48</v>
      </c>
      <c r="H318" s="33" t="s">
        <v>1278</v>
      </c>
      <c r="I318" s="39" t="s">
        <v>67</v>
      </c>
      <c r="J318" s="35" t="s">
        <v>1279</v>
      </c>
      <c r="K318" s="30" t="s">
        <v>1280</v>
      </c>
    </row>
    <row r="319" customFormat="false" ht="14.25" hidden="false" customHeight="true" outlineLevel="0" collapsed="false">
      <c r="A319" s="27"/>
      <c r="B319" s="27"/>
      <c r="C319" s="27"/>
      <c r="D319" s="27"/>
      <c r="E319" s="36" t="s">
        <v>1281</v>
      </c>
      <c r="F319" s="42"/>
      <c r="G319" s="32"/>
      <c r="H319" s="33"/>
      <c r="I319" s="39"/>
      <c r="J319" s="35"/>
      <c r="K319" s="30" t="s">
        <v>1282</v>
      </c>
    </row>
    <row r="320" customFormat="false" ht="14.25" hidden="false" customHeight="true" outlineLevel="0" collapsed="false">
      <c r="A320" s="27"/>
      <c r="B320" s="27"/>
      <c r="C320" s="40" t="s">
        <v>1283</v>
      </c>
      <c r="D320" s="29" t="s">
        <v>1284</v>
      </c>
      <c r="E320" s="36" t="s">
        <v>1285</v>
      </c>
      <c r="F320" s="42" t="s">
        <v>1286</v>
      </c>
      <c r="G320" s="32" t="s">
        <v>38</v>
      </c>
      <c r="H320" s="33" t="s">
        <v>1287</v>
      </c>
      <c r="I320" s="37" t="s">
        <v>50</v>
      </c>
      <c r="J320" s="35" t="s">
        <v>1288</v>
      </c>
      <c r="K320" s="30" t="s">
        <v>1289</v>
      </c>
    </row>
    <row r="321" customFormat="false" ht="14.25" hidden="false" customHeight="true" outlineLevel="0" collapsed="false">
      <c r="A321" s="27"/>
      <c r="B321" s="27"/>
      <c r="C321" s="27"/>
      <c r="D321" s="27"/>
      <c r="E321" s="36" t="s">
        <v>1290</v>
      </c>
      <c r="F321" s="42"/>
      <c r="G321" s="32"/>
      <c r="H321" s="33"/>
      <c r="I321" s="37"/>
      <c r="J321" s="35"/>
      <c r="K321" s="30" t="s">
        <v>1291</v>
      </c>
    </row>
    <row r="322" customFormat="false" ht="14.25" hidden="false" customHeight="true" outlineLevel="0" collapsed="false">
      <c r="A322" s="27"/>
      <c r="B322" s="27"/>
      <c r="C322" s="27"/>
      <c r="D322" s="29" t="s">
        <v>1292</v>
      </c>
      <c r="E322" s="36" t="s">
        <v>1293</v>
      </c>
      <c r="F322" s="42" t="s">
        <v>1294</v>
      </c>
      <c r="G322" s="32" t="s">
        <v>38</v>
      </c>
      <c r="H322" s="33" t="s">
        <v>1295</v>
      </c>
      <c r="I322" s="37" t="s">
        <v>50</v>
      </c>
      <c r="J322" s="35" t="s">
        <v>1296</v>
      </c>
      <c r="K322" s="30" t="s">
        <v>1297</v>
      </c>
    </row>
    <row r="323" customFormat="false" ht="14.25" hidden="false" customHeight="true" outlineLevel="0" collapsed="false">
      <c r="A323" s="27"/>
      <c r="B323" s="27"/>
      <c r="C323" s="27"/>
      <c r="D323" s="27"/>
      <c r="E323" s="36" t="s">
        <v>1298</v>
      </c>
      <c r="F323" s="42"/>
      <c r="G323" s="32"/>
      <c r="H323" s="33"/>
      <c r="I323" s="37"/>
      <c r="J323" s="35"/>
      <c r="K323" s="30" t="s">
        <v>1299</v>
      </c>
    </row>
    <row r="324" customFormat="false" ht="14.25" hidden="false" customHeight="true" outlineLevel="0" collapsed="false">
      <c r="A324" s="27"/>
      <c r="B324" s="27"/>
      <c r="C324" s="27"/>
      <c r="D324" s="29" t="s">
        <v>1300</v>
      </c>
      <c r="E324" s="36" t="s">
        <v>1301</v>
      </c>
      <c r="F324" s="42" t="s">
        <v>1302</v>
      </c>
      <c r="G324" s="32" t="s">
        <v>38</v>
      </c>
      <c r="H324" s="33" t="s">
        <v>1116</v>
      </c>
      <c r="I324" s="39" t="s">
        <v>67</v>
      </c>
      <c r="J324" s="35" t="s">
        <v>1303</v>
      </c>
      <c r="K324" s="30" t="s">
        <v>1304</v>
      </c>
    </row>
    <row r="325" customFormat="false" ht="14.25" hidden="false" customHeight="true" outlineLevel="0" collapsed="false">
      <c r="A325" s="27"/>
      <c r="B325" s="27"/>
      <c r="C325" s="27"/>
      <c r="D325" s="27"/>
      <c r="E325" s="36" t="s">
        <v>1305</v>
      </c>
      <c r="F325" s="42"/>
      <c r="G325" s="32"/>
      <c r="H325" s="33"/>
      <c r="I325" s="39"/>
      <c r="J325" s="35"/>
      <c r="K325" s="30" t="s">
        <v>1306</v>
      </c>
    </row>
    <row r="326" customFormat="false" ht="14.25" hidden="false" customHeight="true" outlineLevel="0" collapsed="false">
      <c r="A326" s="27"/>
      <c r="B326" s="27"/>
      <c r="C326" s="27"/>
      <c r="D326" s="29" t="s">
        <v>1307</v>
      </c>
      <c r="E326" s="36" t="s">
        <v>1308</v>
      </c>
      <c r="F326" s="42" t="s">
        <v>1309</v>
      </c>
      <c r="G326" s="32" t="s">
        <v>48</v>
      </c>
      <c r="H326" s="33" t="s">
        <v>1310</v>
      </c>
      <c r="I326" s="34" t="s">
        <v>40</v>
      </c>
      <c r="J326" s="35" t="s">
        <v>1311</v>
      </c>
      <c r="K326" s="30" t="s">
        <v>1312</v>
      </c>
    </row>
    <row r="327" customFormat="false" ht="14.25" hidden="false" customHeight="true" outlineLevel="0" collapsed="false">
      <c r="A327" s="27"/>
      <c r="B327" s="27"/>
      <c r="C327" s="27"/>
      <c r="D327" s="27"/>
      <c r="E327" s="36" t="s">
        <v>1313</v>
      </c>
      <c r="F327" s="42"/>
      <c r="G327" s="32"/>
      <c r="H327" s="33"/>
      <c r="I327" s="34"/>
      <c r="J327" s="35"/>
      <c r="K327" s="30" t="s">
        <v>1314</v>
      </c>
    </row>
    <row r="328" customFormat="false" ht="14.25" hidden="false" customHeight="true" outlineLevel="0" collapsed="false">
      <c r="A328" s="27"/>
      <c r="B328" s="27"/>
      <c r="C328" s="27"/>
      <c r="D328" s="29" t="s">
        <v>1315</v>
      </c>
      <c r="E328" s="36" t="s">
        <v>1316</v>
      </c>
      <c r="F328" s="42" t="s">
        <v>1317</v>
      </c>
      <c r="G328" s="32" t="s">
        <v>58</v>
      </c>
      <c r="H328" s="33" t="s">
        <v>1318</v>
      </c>
      <c r="I328" s="39" t="s">
        <v>67</v>
      </c>
      <c r="J328" s="35" t="s">
        <v>1319</v>
      </c>
      <c r="K328" s="30" t="s">
        <v>1320</v>
      </c>
    </row>
    <row r="329" customFormat="false" ht="14.25" hidden="false" customHeight="true" outlineLevel="0" collapsed="false">
      <c r="A329" s="27"/>
      <c r="B329" s="27"/>
      <c r="C329" s="27"/>
      <c r="D329" s="27"/>
      <c r="E329" s="36" t="s">
        <v>1321</v>
      </c>
      <c r="F329" s="42"/>
      <c r="G329" s="32"/>
      <c r="H329" s="33"/>
      <c r="I329" s="39"/>
      <c r="J329" s="35"/>
      <c r="K329" s="30" t="s">
        <v>1322</v>
      </c>
    </row>
    <row r="330" customFormat="false" ht="14.25" hidden="false" customHeight="true" outlineLevel="0" collapsed="false">
      <c r="A330" s="27"/>
      <c r="B330" s="27"/>
      <c r="C330" s="40" t="s">
        <v>1323</v>
      </c>
      <c r="D330" s="29" t="s">
        <v>1324</v>
      </c>
      <c r="E330" s="36" t="s">
        <v>1325</v>
      </c>
      <c r="F330" s="42" t="s">
        <v>1326</v>
      </c>
      <c r="G330" s="32" t="s">
        <v>48</v>
      </c>
      <c r="H330" s="33" t="s">
        <v>1327</v>
      </c>
      <c r="I330" s="37" t="s">
        <v>50</v>
      </c>
      <c r="J330" s="35" t="s">
        <v>1328</v>
      </c>
      <c r="K330" s="30" t="s">
        <v>1329</v>
      </c>
    </row>
    <row r="331" customFormat="false" ht="14.25" hidden="false" customHeight="true" outlineLevel="0" collapsed="false">
      <c r="A331" s="27"/>
      <c r="B331" s="27"/>
      <c r="C331" s="27"/>
      <c r="D331" s="27"/>
      <c r="E331" s="36" t="s">
        <v>1330</v>
      </c>
      <c r="F331" s="42"/>
      <c r="G331" s="32"/>
      <c r="H331" s="33"/>
      <c r="I331" s="37"/>
      <c r="J331" s="35"/>
      <c r="K331" s="30" t="s">
        <v>1331</v>
      </c>
    </row>
    <row r="332" customFormat="false" ht="14.25" hidden="false" customHeight="true" outlineLevel="0" collapsed="false">
      <c r="A332" s="27"/>
      <c r="B332" s="27"/>
      <c r="C332" s="27"/>
      <c r="D332" s="29" t="s">
        <v>1332</v>
      </c>
      <c r="E332" s="36" t="s">
        <v>1333</v>
      </c>
      <c r="F332" s="42" t="s">
        <v>1334</v>
      </c>
      <c r="G332" s="32" t="s">
        <v>48</v>
      </c>
      <c r="H332" s="33" t="s">
        <v>1335</v>
      </c>
      <c r="I332" s="37" t="s">
        <v>50</v>
      </c>
      <c r="J332" s="35" t="s">
        <v>1336</v>
      </c>
      <c r="K332" s="30" t="s">
        <v>1337</v>
      </c>
    </row>
    <row r="333" customFormat="false" ht="14.25" hidden="false" customHeight="true" outlineLevel="0" collapsed="false">
      <c r="A333" s="27"/>
      <c r="B333" s="27"/>
      <c r="C333" s="27"/>
      <c r="D333" s="27"/>
      <c r="E333" s="36" t="s">
        <v>1338</v>
      </c>
      <c r="F333" s="42"/>
      <c r="G333" s="32"/>
      <c r="H333" s="33"/>
      <c r="I333" s="37"/>
      <c r="J333" s="35"/>
      <c r="K333" s="30" t="s">
        <v>1339</v>
      </c>
    </row>
    <row r="334" customFormat="false" ht="14.25" hidden="false" customHeight="true" outlineLevel="0" collapsed="false">
      <c r="A334" s="27"/>
      <c r="B334" s="27"/>
      <c r="C334" s="27"/>
      <c r="D334" s="29" t="s">
        <v>1340</v>
      </c>
      <c r="E334" s="36" t="s">
        <v>1341</v>
      </c>
      <c r="F334" s="42" t="s">
        <v>1342</v>
      </c>
      <c r="G334" s="32" t="s">
        <v>38</v>
      </c>
      <c r="H334" s="33" t="s">
        <v>1343</v>
      </c>
      <c r="I334" s="39" t="s">
        <v>67</v>
      </c>
      <c r="J334" s="35" t="s">
        <v>1344</v>
      </c>
      <c r="K334" s="30" t="s">
        <v>1345</v>
      </c>
    </row>
    <row r="335" customFormat="false" ht="14.25" hidden="false" customHeight="true" outlineLevel="0" collapsed="false">
      <c r="A335" s="27"/>
      <c r="B335" s="27"/>
      <c r="C335" s="27"/>
      <c r="D335" s="27"/>
      <c r="E335" s="36" t="s">
        <v>1346</v>
      </c>
      <c r="F335" s="42"/>
      <c r="G335" s="32"/>
      <c r="H335" s="33"/>
      <c r="I335" s="39"/>
      <c r="J335" s="35"/>
      <c r="K335" s="30" t="s">
        <v>1347</v>
      </c>
    </row>
    <row r="336" customFormat="false" ht="14.25" hidden="false" customHeight="true" outlineLevel="0" collapsed="false">
      <c r="A336" s="27"/>
      <c r="B336" s="27"/>
      <c r="C336" s="27"/>
      <c r="D336" s="29" t="s">
        <v>1348</v>
      </c>
      <c r="E336" s="36" t="s">
        <v>1349</v>
      </c>
      <c r="F336" s="42" t="s">
        <v>1350</v>
      </c>
      <c r="G336" s="32" t="s">
        <v>38</v>
      </c>
      <c r="H336" s="33" t="s">
        <v>1351</v>
      </c>
      <c r="I336" s="34" t="s">
        <v>40</v>
      </c>
      <c r="J336" s="35" t="s">
        <v>1352</v>
      </c>
      <c r="K336" s="30" t="s">
        <v>1353</v>
      </c>
    </row>
    <row r="337" customFormat="false" ht="14.25" hidden="false" customHeight="true" outlineLevel="0" collapsed="false">
      <c r="A337" s="27"/>
      <c r="B337" s="27"/>
      <c r="C337" s="27"/>
      <c r="D337" s="27"/>
      <c r="E337" s="36" t="s">
        <v>1354</v>
      </c>
      <c r="F337" s="42"/>
      <c r="G337" s="32"/>
      <c r="H337" s="33"/>
      <c r="I337" s="34"/>
      <c r="J337" s="35"/>
      <c r="K337" s="30" t="s">
        <v>1355</v>
      </c>
    </row>
    <row r="338" customFormat="false" ht="14.25" hidden="false" customHeight="true" outlineLevel="0" collapsed="false">
      <c r="A338" s="27"/>
      <c r="B338" s="27"/>
      <c r="C338" s="27"/>
      <c r="D338" s="29" t="s">
        <v>1356</v>
      </c>
      <c r="E338" s="36" t="s">
        <v>1357</v>
      </c>
      <c r="F338" s="42" t="s">
        <v>1358</v>
      </c>
      <c r="G338" s="32" t="s">
        <v>38</v>
      </c>
      <c r="H338" s="33" t="s">
        <v>1359</v>
      </c>
      <c r="I338" s="39" t="s">
        <v>67</v>
      </c>
      <c r="J338" s="35" t="s">
        <v>1360</v>
      </c>
      <c r="K338" s="30" t="s">
        <v>1361</v>
      </c>
    </row>
    <row r="339" customFormat="false" ht="14.25" hidden="false" customHeight="true" outlineLevel="0" collapsed="false">
      <c r="A339" s="27"/>
      <c r="B339" s="27"/>
      <c r="C339" s="27"/>
      <c r="D339" s="27"/>
      <c r="E339" s="36" t="s">
        <v>1362</v>
      </c>
      <c r="F339" s="42"/>
      <c r="G339" s="32"/>
      <c r="H339" s="33"/>
      <c r="I339" s="39"/>
      <c r="J339" s="35"/>
      <c r="K339" s="30" t="s">
        <v>1363</v>
      </c>
    </row>
    <row r="340" customFormat="false" ht="14.25" hidden="false" customHeight="true" outlineLevel="0" collapsed="false">
      <c r="A340" s="27"/>
      <c r="B340" s="27"/>
      <c r="C340" s="29" t="s">
        <v>1364</v>
      </c>
      <c r="D340" s="29" t="s">
        <v>1365</v>
      </c>
      <c r="E340" s="36" t="s">
        <v>1366</v>
      </c>
      <c r="F340" s="42" t="s">
        <v>1367</v>
      </c>
      <c r="G340" s="32" t="s">
        <v>48</v>
      </c>
      <c r="H340" s="33" t="s">
        <v>1368</v>
      </c>
      <c r="I340" s="37" t="s">
        <v>50</v>
      </c>
      <c r="J340" s="35" t="s">
        <v>1369</v>
      </c>
      <c r="K340" s="30" t="s">
        <v>1370</v>
      </c>
    </row>
    <row r="341" customFormat="false" ht="14.25" hidden="false" customHeight="true" outlineLevel="0" collapsed="false">
      <c r="A341" s="27"/>
      <c r="B341" s="27"/>
      <c r="C341" s="27"/>
      <c r="D341" s="27"/>
      <c r="E341" s="36" t="s">
        <v>1371</v>
      </c>
      <c r="F341" s="42"/>
      <c r="G341" s="32"/>
      <c r="H341" s="33"/>
      <c r="I341" s="37"/>
      <c r="J341" s="35"/>
      <c r="K341" s="30" t="s">
        <v>1372</v>
      </c>
    </row>
    <row r="342" customFormat="false" ht="14.25" hidden="false" customHeight="true" outlineLevel="0" collapsed="false">
      <c r="A342" s="27"/>
      <c r="B342" s="27"/>
      <c r="C342" s="27"/>
      <c r="D342" s="29" t="s">
        <v>1373</v>
      </c>
      <c r="E342" s="36" t="s">
        <v>1374</v>
      </c>
      <c r="F342" s="42" t="s">
        <v>1375</v>
      </c>
      <c r="G342" s="32" t="s">
        <v>58</v>
      </c>
      <c r="H342" s="33" t="s">
        <v>1376</v>
      </c>
      <c r="I342" s="37" t="s">
        <v>50</v>
      </c>
      <c r="J342" s="35" t="s">
        <v>1377</v>
      </c>
      <c r="K342" s="30" t="s">
        <v>1378</v>
      </c>
    </row>
    <row r="343" customFormat="false" ht="14.25" hidden="false" customHeight="true" outlineLevel="0" collapsed="false">
      <c r="A343" s="27"/>
      <c r="B343" s="27"/>
      <c r="C343" s="27"/>
      <c r="D343" s="27"/>
      <c r="E343" s="36" t="s">
        <v>1379</v>
      </c>
      <c r="F343" s="42"/>
      <c r="G343" s="32"/>
      <c r="H343" s="33"/>
      <c r="I343" s="37"/>
      <c r="J343" s="35"/>
      <c r="K343" s="30" t="s">
        <v>1380</v>
      </c>
    </row>
    <row r="344" customFormat="false" ht="14.25" hidden="false" customHeight="true" outlineLevel="0" collapsed="false">
      <c r="A344" s="27"/>
      <c r="B344" s="27"/>
      <c r="C344" s="27"/>
      <c r="D344" s="29" t="s">
        <v>1381</v>
      </c>
      <c r="E344" s="36" t="s">
        <v>1382</v>
      </c>
      <c r="F344" s="42" t="s">
        <v>1383</v>
      </c>
      <c r="G344" s="32" t="s">
        <v>48</v>
      </c>
      <c r="H344" s="33" t="s">
        <v>1384</v>
      </c>
      <c r="I344" s="39" t="s">
        <v>67</v>
      </c>
      <c r="J344" s="35" t="s">
        <v>1385</v>
      </c>
      <c r="K344" s="30" t="s">
        <v>1386</v>
      </c>
    </row>
    <row r="345" customFormat="false" ht="14.25" hidden="false" customHeight="true" outlineLevel="0" collapsed="false">
      <c r="A345" s="27"/>
      <c r="B345" s="27"/>
      <c r="C345" s="27"/>
      <c r="D345" s="27"/>
      <c r="E345" s="36" t="s">
        <v>1387</v>
      </c>
      <c r="F345" s="42"/>
      <c r="G345" s="32"/>
      <c r="H345" s="33"/>
      <c r="I345" s="39"/>
      <c r="J345" s="35"/>
      <c r="K345" s="30" t="s">
        <v>1388</v>
      </c>
    </row>
    <row r="346" customFormat="false" ht="14.25" hidden="false" customHeight="true" outlineLevel="0" collapsed="false">
      <c r="A346" s="27"/>
      <c r="B346" s="27"/>
      <c r="C346" s="27"/>
      <c r="D346" s="29" t="s">
        <v>1389</v>
      </c>
      <c r="E346" s="36" t="s">
        <v>1390</v>
      </c>
      <c r="F346" s="42" t="s">
        <v>1391</v>
      </c>
      <c r="G346" s="32" t="s">
        <v>48</v>
      </c>
      <c r="H346" s="33" t="s">
        <v>1392</v>
      </c>
      <c r="I346" s="34" t="s">
        <v>40</v>
      </c>
      <c r="J346" s="35" t="s">
        <v>1393</v>
      </c>
      <c r="K346" s="30" t="s">
        <v>1394</v>
      </c>
    </row>
    <row r="347" customFormat="false" ht="14.25" hidden="false" customHeight="true" outlineLevel="0" collapsed="false">
      <c r="A347" s="27"/>
      <c r="B347" s="27"/>
      <c r="C347" s="27"/>
      <c r="D347" s="27"/>
      <c r="E347" s="36" t="s">
        <v>1395</v>
      </c>
      <c r="F347" s="42"/>
      <c r="G347" s="32"/>
      <c r="H347" s="33"/>
      <c r="I347" s="34"/>
      <c r="J347" s="35"/>
      <c r="K347" s="30" t="s">
        <v>1396</v>
      </c>
    </row>
    <row r="348" customFormat="false" ht="14.25" hidden="false" customHeight="true" outlineLevel="0" collapsed="false">
      <c r="A348" s="27"/>
      <c r="B348" s="27"/>
      <c r="C348" s="27"/>
      <c r="D348" s="29" t="s">
        <v>1397</v>
      </c>
      <c r="E348" s="36" t="s">
        <v>1397</v>
      </c>
      <c r="F348" s="42" t="s">
        <v>1398</v>
      </c>
      <c r="G348" s="32" t="s">
        <v>38</v>
      </c>
      <c r="H348" s="33" t="s">
        <v>1399</v>
      </c>
      <c r="I348" s="39" t="s">
        <v>67</v>
      </c>
      <c r="J348" s="35" t="s">
        <v>1400</v>
      </c>
      <c r="K348" s="30" t="s">
        <v>1401</v>
      </c>
    </row>
    <row r="349" customFormat="false" ht="14.25" hidden="false" customHeight="true" outlineLevel="0" collapsed="false">
      <c r="A349" s="27"/>
      <c r="B349" s="27"/>
      <c r="C349" s="27"/>
      <c r="D349" s="27"/>
      <c r="E349" s="36" t="s">
        <v>1402</v>
      </c>
      <c r="F349" s="42"/>
      <c r="G349" s="32"/>
      <c r="H349" s="33"/>
      <c r="I349" s="39"/>
      <c r="J349" s="35"/>
      <c r="K349" s="30" t="s">
        <v>1403</v>
      </c>
    </row>
    <row r="350" customFormat="false" ht="14.25" hidden="false" customHeight="true" outlineLevel="0" collapsed="false">
      <c r="A350" s="27"/>
      <c r="B350" s="27"/>
      <c r="C350" s="40" t="s">
        <v>1404</v>
      </c>
      <c r="D350" s="29" t="s">
        <v>1405</v>
      </c>
      <c r="E350" s="36" t="s">
        <v>1405</v>
      </c>
      <c r="F350" s="42" t="s">
        <v>1406</v>
      </c>
      <c r="G350" s="32" t="s">
        <v>38</v>
      </c>
      <c r="H350" s="33" t="s">
        <v>1407</v>
      </c>
      <c r="I350" s="37" t="s">
        <v>50</v>
      </c>
      <c r="J350" s="35" t="s">
        <v>1408</v>
      </c>
      <c r="K350" s="30" t="s">
        <v>1409</v>
      </c>
    </row>
    <row r="351" customFormat="false" ht="14.25" hidden="false" customHeight="true" outlineLevel="0" collapsed="false">
      <c r="A351" s="27"/>
      <c r="B351" s="27"/>
      <c r="C351" s="27"/>
      <c r="D351" s="27"/>
      <c r="E351" s="36" t="s">
        <v>1410</v>
      </c>
      <c r="F351" s="42"/>
      <c r="G351" s="32"/>
      <c r="H351" s="33"/>
      <c r="I351" s="37"/>
      <c r="J351" s="35"/>
      <c r="K351" s="30" t="s">
        <v>1411</v>
      </c>
    </row>
    <row r="352" customFormat="false" ht="14.25" hidden="false" customHeight="true" outlineLevel="0" collapsed="false">
      <c r="A352" s="27"/>
      <c r="B352" s="27"/>
      <c r="C352" s="27"/>
      <c r="D352" s="29" t="s">
        <v>1412</v>
      </c>
      <c r="E352" s="36" t="s">
        <v>1413</v>
      </c>
      <c r="F352" s="42" t="s">
        <v>1414</v>
      </c>
      <c r="G352" s="32" t="s">
        <v>38</v>
      </c>
      <c r="H352" s="33" t="s">
        <v>1415</v>
      </c>
      <c r="I352" s="37" t="s">
        <v>50</v>
      </c>
      <c r="J352" s="35" t="s">
        <v>1416</v>
      </c>
      <c r="K352" s="30" t="s">
        <v>1417</v>
      </c>
    </row>
    <row r="353" customFormat="false" ht="14.25" hidden="false" customHeight="true" outlineLevel="0" collapsed="false">
      <c r="A353" s="27"/>
      <c r="B353" s="27"/>
      <c r="C353" s="27"/>
      <c r="D353" s="27"/>
      <c r="E353" s="36" t="s">
        <v>1418</v>
      </c>
      <c r="F353" s="42"/>
      <c r="G353" s="32"/>
      <c r="H353" s="33"/>
      <c r="I353" s="37"/>
      <c r="J353" s="35"/>
      <c r="K353" s="30" t="s">
        <v>1419</v>
      </c>
    </row>
    <row r="354" customFormat="false" ht="14.25" hidden="false" customHeight="true" outlineLevel="0" collapsed="false">
      <c r="A354" s="27"/>
      <c r="B354" s="27"/>
      <c r="C354" s="27"/>
      <c r="D354" s="29" t="s">
        <v>1420</v>
      </c>
      <c r="E354" s="36" t="s">
        <v>1420</v>
      </c>
      <c r="F354" s="42" t="s">
        <v>1421</v>
      </c>
      <c r="G354" s="32" t="s">
        <v>48</v>
      </c>
      <c r="H354" s="33" t="s">
        <v>1422</v>
      </c>
      <c r="I354" s="39" t="s">
        <v>67</v>
      </c>
      <c r="J354" s="35" t="s">
        <v>1423</v>
      </c>
      <c r="K354" s="30" t="s">
        <v>1424</v>
      </c>
    </row>
    <row r="355" customFormat="false" ht="14.25" hidden="false" customHeight="true" outlineLevel="0" collapsed="false">
      <c r="A355" s="27"/>
      <c r="B355" s="27"/>
      <c r="C355" s="27"/>
      <c r="D355" s="27"/>
      <c r="E355" s="36" t="s">
        <v>1425</v>
      </c>
      <c r="F355" s="42"/>
      <c r="G355" s="32"/>
      <c r="H355" s="33"/>
      <c r="I355" s="39"/>
      <c r="J355" s="35"/>
      <c r="K355" s="30" t="s">
        <v>1426</v>
      </c>
    </row>
    <row r="356" customFormat="false" ht="14.25" hidden="false" customHeight="true" outlineLevel="0" collapsed="false">
      <c r="A356" s="27"/>
      <c r="B356" s="27"/>
      <c r="C356" s="27"/>
      <c r="D356" s="29" t="s">
        <v>1427</v>
      </c>
      <c r="E356" s="36" t="s">
        <v>1428</v>
      </c>
      <c r="F356" s="42" t="s">
        <v>1429</v>
      </c>
      <c r="G356" s="32" t="s">
        <v>58</v>
      </c>
      <c r="H356" s="33" t="s">
        <v>1430</v>
      </c>
      <c r="I356" s="34" t="s">
        <v>40</v>
      </c>
      <c r="J356" s="35" t="s">
        <v>1431</v>
      </c>
      <c r="K356" s="30" t="s">
        <v>1432</v>
      </c>
    </row>
    <row r="357" customFormat="false" ht="14.25" hidden="false" customHeight="true" outlineLevel="0" collapsed="false">
      <c r="A357" s="27"/>
      <c r="B357" s="27"/>
      <c r="C357" s="27"/>
      <c r="D357" s="27"/>
      <c r="E357" s="36" t="s">
        <v>1433</v>
      </c>
      <c r="F357" s="42"/>
      <c r="G357" s="32"/>
      <c r="H357" s="33"/>
      <c r="I357" s="34"/>
      <c r="J357" s="35"/>
      <c r="K357" s="30" t="s">
        <v>1434</v>
      </c>
    </row>
    <row r="358" customFormat="false" ht="14.25" hidden="false" customHeight="true" outlineLevel="0" collapsed="false">
      <c r="A358" s="27"/>
      <c r="B358" s="27"/>
      <c r="C358" s="27"/>
      <c r="D358" s="29" t="s">
        <v>1435</v>
      </c>
      <c r="E358" s="36" t="s">
        <v>1436</v>
      </c>
      <c r="F358" s="42" t="s">
        <v>1437</v>
      </c>
      <c r="G358" s="32" t="s">
        <v>48</v>
      </c>
      <c r="H358" s="33" t="s">
        <v>1438</v>
      </c>
      <c r="I358" s="39" t="s">
        <v>67</v>
      </c>
      <c r="J358" s="35" t="s">
        <v>1439</v>
      </c>
      <c r="K358" s="30" t="s">
        <v>1274</v>
      </c>
    </row>
    <row r="359" customFormat="false" ht="14.25" hidden="false" customHeight="true" outlineLevel="0" collapsed="false">
      <c r="A359" s="27"/>
      <c r="B359" s="27"/>
      <c r="C359" s="27"/>
      <c r="D359" s="27"/>
      <c r="E359" s="36" t="s">
        <v>1440</v>
      </c>
      <c r="F359" s="42"/>
      <c r="G359" s="32"/>
      <c r="H359" s="33"/>
      <c r="I359" s="39"/>
      <c r="J359" s="35"/>
      <c r="K359" s="30" t="s">
        <v>1441</v>
      </c>
    </row>
    <row r="360" customFormat="false" ht="14.25" hidden="false" customHeight="true" outlineLevel="0" collapsed="false">
      <c r="A360" s="27"/>
      <c r="B360" s="27"/>
      <c r="C360" s="40" t="s">
        <v>1442</v>
      </c>
      <c r="D360" s="29" t="s">
        <v>1443</v>
      </c>
      <c r="E360" s="36" t="s">
        <v>1444</v>
      </c>
      <c r="F360" s="42" t="s">
        <v>1445</v>
      </c>
      <c r="G360" s="32" t="s">
        <v>48</v>
      </c>
      <c r="H360" s="33" t="s">
        <v>1446</v>
      </c>
      <c r="I360" s="37" t="s">
        <v>50</v>
      </c>
      <c r="J360" s="35" t="s">
        <v>1447</v>
      </c>
      <c r="K360" s="30" t="s">
        <v>1448</v>
      </c>
    </row>
    <row r="361" customFormat="false" ht="14.25" hidden="false" customHeight="true" outlineLevel="0" collapsed="false">
      <c r="A361" s="27"/>
      <c r="B361" s="27"/>
      <c r="C361" s="27"/>
      <c r="D361" s="27"/>
      <c r="E361" s="36" t="s">
        <v>1449</v>
      </c>
      <c r="F361" s="42"/>
      <c r="G361" s="32"/>
      <c r="H361" s="33"/>
      <c r="I361" s="37"/>
      <c r="J361" s="35"/>
      <c r="K361" s="30" t="s">
        <v>1450</v>
      </c>
    </row>
    <row r="362" customFormat="false" ht="14.25" hidden="false" customHeight="true" outlineLevel="0" collapsed="false">
      <c r="A362" s="27"/>
      <c r="B362" s="27"/>
      <c r="C362" s="27"/>
      <c r="D362" s="29" t="s">
        <v>1451</v>
      </c>
      <c r="E362" s="36" t="s">
        <v>1452</v>
      </c>
      <c r="F362" s="42" t="s">
        <v>1453</v>
      </c>
      <c r="G362" s="32" t="s">
        <v>38</v>
      </c>
      <c r="H362" s="33" t="s">
        <v>1454</v>
      </c>
      <c r="I362" s="37" t="s">
        <v>50</v>
      </c>
      <c r="J362" s="35" t="s">
        <v>1455</v>
      </c>
      <c r="K362" s="30" t="s">
        <v>1456</v>
      </c>
    </row>
    <row r="363" customFormat="false" ht="14.25" hidden="false" customHeight="true" outlineLevel="0" collapsed="false">
      <c r="A363" s="27"/>
      <c r="B363" s="27"/>
      <c r="C363" s="27"/>
      <c r="D363" s="27"/>
      <c r="E363" s="36" t="s">
        <v>1457</v>
      </c>
      <c r="F363" s="42"/>
      <c r="G363" s="32"/>
      <c r="H363" s="33"/>
      <c r="I363" s="37"/>
      <c r="J363" s="35"/>
      <c r="K363" s="30" t="s">
        <v>1458</v>
      </c>
    </row>
    <row r="364" customFormat="false" ht="14.25" hidden="false" customHeight="true" outlineLevel="0" collapsed="false">
      <c r="A364" s="27"/>
      <c r="B364" s="27"/>
      <c r="C364" s="27"/>
      <c r="D364" s="29" t="s">
        <v>1459</v>
      </c>
      <c r="E364" s="36" t="s">
        <v>1460</v>
      </c>
      <c r="F364" s="42" t="s">
        <v>1461</v>
      </c>
      <c r="G364" s="32" t="s">
        <v>38</v>
      </c>
      <c r="H364" s="33" t="s">
        <v>1462</v>
      </c>
      <c r="I364" s="39" t="s">
        <v>67</v>
      </c>
      <c r="J364" s="35" t="s">
        <v>1463</v>
      </c>
      <c r="K364" s="30" t="s">
        <v>1464</v>
      </c>
    </row>
    <row r="365" customFormat="false" ht="14.25" hidden="false" customHeight="true" outlineLevel="0" collapsed="false">
      <c r="A365" s="27"/>
      <c r="B365" s="27"/>
      <c r="C365" s="27"/>
      <c r="D365" s="27"/>
      <c r="E365" s="36" t="s">
        <v>1465</v>
      </c>
      <c r="F365" s="42"/>
      <c r="G365" s="32"/>
      <c r="H365" s="33"/>
      <c r="I365" s="39"/>
      <c r="J365" s="35"/>
      <c r="K365" s="30" t="s">
        <v>1466</v>
      </c>
    </row>
    <row r="366" customFormat="false" ht="14.25" hidden="false" customHeight="true" outlineLevel="0" collapsed="false">
      <c r="A366" s="27"/>
      <c r="B366" s="27"/>
      <c r="C366" s="27"/>
      <c r="D366" s="29" t="s">
        <v>1467</v>
      </c>
      <c r="E366" s="36" t="s">
        <v>1468</v>
      </c>
      <c r="F366" s="42" t="s">
        <v>1469</v>
      </c>
      <c r="G366" s="32" t="s">
        <v>38</v>
      </c>
      <c r="H366" s="33" t="s">
        <v>1470</v>
      </c>
      <c r="I366" s="34" t="s">
        <v>40</v>
      </c>
      <c r="J366" s="35" t="s">
        <v>1471</v>
      </c>
      <c r="K366" s="30" t="s">
        <v>1472</v>
      </c>
    </row>
    <row r="367" customFormat="false" ht="14.25" hidden="false" customHeight="true" outlineLevel="0" collapsed="false">
      <c r="A367" s="27"/>
      <c r="B367" s="27"/>
      <c r="C367" s="27"/>
      <c r="D367" s="27"/>
      <c r="E367" s="36" t="s">
        <v>1473</v>
      </c>
      <c r="F367" s="42"/>
      <c r="G367" s="32"/>
      <c r="H367" s="33"/>
      <c r="I367" s="34"/>
      <c r="J367" s="35"/>
      <c r="K367" s="30" t="s">
        <v>1474</v>
      </c>
    </row>
    <row r="368" customFormat="false" ht="14.25" hidden="false" customHeight="true" outlineLevel="0" collapsed="false">
      <c r="A368" s="27"/>
      <c r="B368" s="27"/>
      <c r="C368" s="27"/>
      <c r="D368" s="29" t="s">
        <v>1475</v>
      </c>
      <c r="E368" s="36" t="s">
        <v>1476</v>
      </c>
      <c r="F368" s="31" t="s">
        <v>1477</v>
      </c>
      <c r="G368" s="32" t="s">
        <v>48</v>
      </c>
      <c r="H368" s="33" t="s">
        <v>1478</v>
      </c>
      <c r="I368" s="39" t="s">
        <v>67</v>
      </c>
      <c r="J368" s="35" t="s">
        <v>1479</v>
      </c>
      <c r="K368" s="30" t="s">
        <v>1480</v>
      </c>
    </row>
    <row r="369" customFormat="false" ht="14.25" hidden="false" customHeight="true" outlineLevel="0" collapsed="false">
      <c r="A369" s="27"/>
      <c r="B369" s="27"/>
      <c r="C369" s="27"/>
      <c r="D369" s="27"/>
      <c r="E369" s="36" t="s">
        <v>1481</v>
      </c>
      <c r="F369" s="31"/>
      <c r="G369" s="32"/>
      <c r="H369" s="33"/>
      <c r="I369" s="39"/>
      <c r="J369" s="35"/>
      <c r="K369" s="30" t="s">
        <v>1482</v>
      </c>
    </row>
    <row r="370" customFormat="false" ht="14.25" hidden="false" customHeight="true" outlineLevel="0" collapsed="false">
      <c r="A370" s="27"/>
      <c r="B370" s="27"/>
      <c r="C370" s="40" t="s">
        <v>1483</v>
      </c>
      <c r="D370" s="29" t="s">
        <v>1484</v>
      </c>
      <c r="E370" s="36" t="s">
        <v>1485</v>
      </c>
      <c r="F370" s="31" t="s">
        <v>1486</v>
      </c>
      <c r="G370" s="32" t="s">
        <v>58</v>
      </c>
      <c r="H370" s="33" t="s">
        <v>1487</v>
      </c>
      <c r="I370" s="37" t="s">
        <v>50</v>
      </c>
      <c r="J370" s="35" t="s">
        <v>1488</v>
      </c>
      <c r="K370" s="30" t="s">
        <v>1489</v>
      </c>
    </row>
    <row r="371" customFormat="false" ht="14.25" hidden="false" customHeight="true" outlineLevel="0" collapsed="false">
      <c r="A371" s="27"/>
      <c r="B371" s="27"/>
      <c r="C371" s="27"/>
      <c r="D371" s="27"/>
      <c r="E371" s="36" t="s">
        <v>1490</v>
      </c>
      <c r="F371" s="31"/>
      <c r="G371" s="32"/>
      <c r="H371" s="33"/>
      <c r="I371" s="37"/>
      <c r="J371" s="35"/>
      <c r="K371" s="30" t="s">
        <v>1491</v>
      </c>
    </row>
    <row r="372" customFormat="false" ht="14.25" hidden="false" customHeight="true" outlineLevel="0" collapsed="false">
      <c r="A372" s="27"/>
      <c r="B372" s="27"/>
      <c r="C372" s="27"/>
      <c r="D372" s="29" t="s">
        <v>1492</v>
      </c>
      <c r="E372" s="36" t="s">
        <v>1493</v>
      </c>
      <c r="F372" s="31" t="s">
        <v>1494</v>
      </c>
      <c r="G372" s="32" t="s">
        <v>48</v>
      </c>
      <c r="H372" s="33" t="s">
        <v>1495</v>
      </c>
      <c r="I372" s="37" t="s">
        <v>50</v>
      </c>
      <c r="J372" s="35" t="s">
        <v>1496</v>
      </c>
      <c r="K372" s="30" t="s">
        <v>1497</v>
      </c>
    </row>
    <row r="373" customFormat="false" ht="14.25" hidden="false" customHeight="true" outlineLevel="0" collapsed="false">
      <c r="A373" s="27"/>
      <c r="B373" s="27"/>
      <c r="C373" s="27"/>
      <c r="D373" s="27"/>
      <c r="E373" s="36" t="s">
        <v>1498</v>
      </c>
      <c r="F373" s="31"/>
      <c r="G373" s="32"/>
      <c r="H373" s="33"/>
      <c r="I373" s="37"/>
      <c r="J373" s="35"/>
      <c r="K373" s="30" t="s">
        <v>1499</v>
      </c>
    </row>
    <row r="374" customFormat="false" ht="14.25" hidden="false" customHeight="true" outlineLevel="0" collapsed="false">
      <c r="A374" s="27"/>
      <c r="B374" s="27"/>
      <c r="C374" s="27"/>
      <c r="D374" s="29" t="s">
        <v>1500</v>
      </c>
      <c r="E374" s="36" t="s">
        <v>1501</v>
      </c>
      <c r="F374" s="31" t="s">
        <v>1502</v>
      </c>
      <c r="G374" s="32" t="s">
        <v>48</v>
      </c>
      <c r="H374" s="33" t="s">
        <v>1503</v>
      </c>
      <c r="I374" s="39" t="s">
        <v>67</v>
      </c>
      <c r="J374" s="35" t="s">
        <v>1504</v>
      </c>
      <c r="K374" s="30" t="s">
        <v>1505</v>
      </c>
    </row>
    <row r="375" customFormat="false" ht="14.25" hidden="false" customHeight="true" outlineLevel="0" collapsed="false">
      <c r="A375" s="27"/>
      <c r="B375" s="27"/>
      <c r="C375" s="27"/>
      <c r="D375" s="27"/>
      <c r="E375" s="36" t="s">
        <v>1506</v>
      </c>
      <c r="F375" s="31"/>
      <c r="G375" s="32"/>
      <c r="H375" s="33"/>
      <c r="I375" s="39"/>
      <c r="J375" s="35"/>
      <c r="K375" s="30" t="s">
        <v>1507</v>
      </c>
    </row>
    <row r="376" customFormat="false" ht="14.25" hidden="false" customHeight="true" outlineLevel="0" collapsed="false">
      <c r="A376" s="27"/>
      <c r="B376" s="27"/>
      <c r="C376" s="27"/>
      <c r="D376" s="29" t="s">
        <v>1508</v>
      </c>
      <c r="E376" s="36" t="s">
        <v>1509</v>
      </c>
      <c r="F376" s="31" t="s">
        <v>1510</v>
      </c>
      <c r="G376" s="32" t="s">
        <v>38</v>
      </c>
      <c r="H376" s="33" t="s">
        <v>1511</v>
      </c>
      <c r="I376" s="34" t="s">
        <v>40</v>
      </c>
      <c r="J376" s="35" t="s">
        <v>1512</v>
      </c>
      <c r="K376" s="30" t="s">
        <v>1513</v>
      </c>
    </row>
    <row r="377" customFormat="false" ht="14.25" hidden="false" customHeight="true" outlineLevel="0" collapsed="false">
      <c r="A377" s="27"/>
      <c r="B377" s="27"/>
      <c r="C377" s="27"/>
      <c r="D377" s="27"/>
      <c r="E377" s="36" t="s">
        <v>1514</v>
      </c>
      <c r="F377" s="31"/>
      <c r="G377" s="32"/>
      <c r="H377" s="33"/>
      <c r="I377" s="34"/>
      <c r="J377" s="35"/>
      <c r="K377" s="30" t="s">
        <v>1515</v>
      </c>
    </row>
    <row r="378" customFormat="false" ht="14.25" hidden="false" customHeight="true" outlineLevel="0" collapsed="false">
      <c r="A378" s="27"/>
      <c r="B378" s="27"/>
      <c r="C378" s="27"/>
      <c r="D378" s="29" t="s">
        <v>1516</v>
      </c>
      <c r="E378" s="36" t="s">
        <v>1516</v>
      </c>
      <c r="F378" s="42" t="s">
        <v>1517</v>
      </c>
      <c r="G378" s="32" t="s">
        <v>38</v>
      </c>
      <c r="H378" s="33" t="s">
        <v>1518</v>
      </c>
      <c r="I378" s="39" t="s">
        <v>67</v>
      </c>
      <c r="J378" s="35" t="s">
        <v>1518</v>
      </c>
      <c r="K378" s="43" t="s">
        <v>1519</v>
      </c>
    </row>
    <row r="379" customFormat="false" ht="14.25" hidden="false" customHeight="true" outlineLevel="0" collapsed="false">
      <c r="A379" s="27"/>
      <c r="B379" s="27"/>
      <c r="C379" s="27"/>
      <c r="D379" s="27"/>
      <c r="E379" s="36" t="s">
        <v>1520</v>
      </c>
      <c r="F379" s="42"/>
      <c r="G379" s="32"/>
      <c r="H379" s="33"/>
      <c r="I379" s="39"/>
      <c r="J379" s="35"/>
      <c r="K379" s="43" t="s">
        <v>1521</v>
      </c>
    </row>
    <row r="380" customFormat="false" ht="14.25" hidden="false" customHeight="true" outlineLevel="0" collapsed="false">
      <c r="A380" s="27"/>
      <c r="B380" s="27"/>
      <c r="C380" s="40" t="s">
        <v>1522</v>
      </c>
      <c r="D380" s="29" t="s">
        <v>1523</v>
      </c>
      <c r="E380" s="36" t="s">
        <v>1524</v>
      </c>
      <c r="F380" s="42" t="s">
        <v>1525</v>
      </c>
      <c r="G380" s="32" t="s">
        <v>38</v>
      </c>
      <c r="H380" s="33" t="s">
        <v>1526</v>
      </c>
      <c r="I380" s="37" t="s">
        <v>50</v>
      </c>
      <c r="J380" s="35" t="s">
        <v>1526</v>
      </c>
      <c r="K380" s="43" t="s">
        <v>1527</v>
      </c>
    </row>
    <row r="381" customFormat="false" ht="14.25" hidden="false" customHeight="true" outlineLevel="0" collapsed="false">
      <c r="A381" s="27"/>
      <c r="B381" s="27"/>
      <c r="C381" s="27"/>
      <c r="D381" s="27"/>
      <c r="E381" s="36" t="s">
        <v>1528</v>
      </c>
      <c r="F381" s="42"/>
      <c r="G381" s="32"/>
      <c r="H381" s="33"/>
      <c r="I381" s="37"/>
      <c r="J381" s="35"/>
      <c r="K381" s="43" t="s">
        <v>1529</v>
      </c>
    </row>
    <row r="382" customFormat="false" ht="14.25" hidden="false" customHeight="true" outlineLevel="0" collapsed="false">
      <c r="A382" s="27"/>
      <c r="B382" s="27"/>
      <c r="C382" s="27"/>
      <c r="D382" s="29" t="s">
        <v>1530</v>
      </c>
      <c r="E382" s="36" t="s">
        <v>1531</v>
      </c>
      <c r="F382" s="42" t="s">
        <v>1532</v>
      </c>
      <c r="G382" s="32" t="s">
        <v>48</v>
      </c>
      <c r="H382" s="33" t="s">
        <v>1533</v>
      </c>
      <c r="I382" s="37" t="s">
        <v>50</v>
      </c>
      <c r="J382" s="35" t="s">
        <v>1533</v>
      </c>
      <c r="K382" s="43" t="s">
        <v>1534</v>
      </c>
    </row>
    <row r="383" customFormat="false" ht="14.25" hidden="false" customHeight="true" outlineLevel="0" collapsed="false">
      <c r="A383" s="27"/>
      <c r="B383" s="27"/>
      <c r="C383" s="27"/>
      <c r="D383" s="27"/>
      <c r="E383" s="36" t="s">
        <v>1535</v>
      </c>
      <c r="F383" s="42"/>
      <c r="G383" s="32"/>
      <c r="H383" s="33"/>
      <c r="I383" s="37"/>
      <c r="J383" s="35"/>
      <c r="K383" s="43" t="s">
        <v>1536</v>
      </c>
    </row>
    <row r="384" customFormat="false" ht="14.25" hidden="false" customHeight="true" outlineLevel="0" collapsed="false">
      <c r="A384" s="27"/>
      <c r="B384" s="27"/>
      <c r="C384" s="27"/>
      <c r="D384" s="29" t="s">
        <v>1537</v>
      </c>
      <c r="E384" s="36" t="s">
        <v>1538</v>
      </c>
      <c r="F384" s="42" t="s">
        <v>1539</v>
      </c>
      <c r="G384" s="32" t="s">
        <v>58</v>
      </c>
      <c r="H384" s="33" t="s">
        <v>1540</v>
      </c>
      <c r="I384" s="39" t="s">
        <v>67</v>
      </c>
      <c r="J384" s="35" t="s">
        <v>1541</v>
      </c>
      <c r="K384" s="30" t="s">
        <v>1542</v>
      </c>
    </row>
    <row r="385" customFormat="false" ht="14.25" hidden="false" customHeight="true" outlineLevel="0" collapsed="false">
      <c r="A385" s="27"/>
      <c r="B385" s="27"/>
      <c r="C385" s="27"/>
      <c r="D385" s="27"/>
      <c r="E385" s="36" t="s">
        <v>1543</v>
      </c>
      <c r="F385" s="42"/>
      <c r="G385" s="32"/>
      <c r="H385" s="33"/>
      <c r="I385" s="39"/>
      <c r="J385" s="35"/>
      <c r="K385" s="30" t="s">
        <v>1544</v>
      </c>
    </row>
    <row r="386" customFormat="false" ht="14.25" hidden="false" customHeight="true" outlineLevel="0" collapsed="false">
      <c r="A386" s="27"/>
      <c r="B386" s="27"/>
      <c r="C386" s="27"/>
      <c r="D386" s="29" t="s">
        <v>1545</v>
      </c>
      <c r="E386" s="36" t="s">
        <v>1546</v>
      </c>
      <c r="F386" s="42" t="s">
        <v>1547</v>
      </c>
      <c r="G386" s="32" t="s">
        <v>48</v>
      </c>
      <c r="H386" s="33" t="s">
        <v>1548</v>
      </c>
      <c r="I386" s="34" t="s">
        <v>40</v>
      </c>
      <c r="J386" s="35" t="s">
        <v>1549</v>
      </c>
      <c r="K386" s="30" t="s">
        <v>1550</v>
      </c>
    </row>
    <row r="387" customFormat="false" ht="14.25" hidden="false" customHeight="true" outlineLevel="0" collapsed="false">
      <c r="A387" s="27"/>
      <c r="B387" s="27"/>
      <c r="C387" s="27"/>
      <c r="D387" s="27"/>
      <c r="E387" s="36" t="s">
        <v>1551</v>
      </c>
      <c r="F387" s="42"/>
      <c r="G387" s="32"/>
      <c r="H387" s="33"/>
      <c r="I387" s="34"/>
      <c r="J387" s="35"/>
      <c r="K387" s="30" t="s">
        <v>1552</v>
      </c>
    </row>
    <row r="388" customFormat="false" ht="14.25" hidden="false" customHeight="true" outlineLevel="0" collapsed="false">
      <c r="A388" s="27"/>
      <c r="B388" s="27"/>
      <c r="C388" s="27"/>
      <c r="D388" s="29" t="s">
        <v>1553</v>
      </c>
      <c r="E388" s="36" t="s">
        <v>1554</v>
      </c>
      <c r="F388" s="42" t="s">
        <v>1555</v>
      </c>
      <c r="G388" s="32" t="s">
        <v>48</v>
      </c>
      <c r="H388" s="33" t="s">
        <v>1556</v>
      </c>
      <c r="I388" s="39" t="s">
        <v>67</v>
      </c>
      <c r="J388" s="35" t="s">
        <v>1557</v>
      </c>
      <c r="K388" s="30" t="s">
        <v>1558</v>
      </c>
    </row>
    <row r="389" customFormat="false" ht="14.25" hidden="false" customHeight="true" outlineLevel="0" collapsed="false">
      <c r="A389" s="27"/>
      <c r="B389" s="27"/>
      <c r="C389" s="27"/>
      <c r="D389" s="27"/>
      <c r="E389" s="36" t="s">
        <v>1559</v>
      </c>
      <c r="F389" s="42"/>
      <c r="G389" s="32"/>
      <c r="H389" s="33"/>
      <c r="I389" s="39"/>
      <c r="J389" s="35"/>
      <c r="K389" s="30" t="s">
        <v>1560</v>
      </c>
    </row>
    <row r="390" customFormat="false" ht="14.25" hidden="false" customHeight="true" outlineLevel="0" collapsed="false">
      <c r="A390" s="27"/>
      <c r="B390" s="28" t="s">
        <v>1561</v>
      </c>
      <c r="C390" s="40" t="s">
        <v>1562</v>
      </c>
      <c r="D390" s="29" t="s">
        <v>1523</v>
      </c>
      <c r="E390" s="36" t="s">
        <v>1563</v>
      </c>
      <c r="F390" s="42" t="s">
        <v>1564</v>
      </c>
      <c r="G390" s="32" t="s">
        <v>38</v>
      </c>
      <c r="H390" s="33" t="s">
        <v>1565</v>
      </c>
      <c r="I390" s="37" t="s">
        <v>50</v>
      </c>
      <c r="J390" s="35" t="s">
        <v>1566</v>
      </c>
      <c r="K390" s="30" t="s">
        <v>1567</v>
      </c>
    </row>
    <row r="391" customFormat="false" ht="14.25" hidden="false" customHeight="true" outlineLevel="0" collapsed="false">
      <c r="A391" s="27"/>
      <c r="B391" s="27"/>
      <c r="C391" s="27"/>
      <c r="D391" s="27"/>
      <c r="E391" s="36" t="s">
        <v>1568</v>
      </c>
      <c r="F391" s="42"/>
      <c r="G391" s="32"/>
      <c r="H391" s="33"/>
      <c r="I391" s="37"/>
      <c r="J391" s="35"/>
      <c r="K391" s="30" t="s">
        <v>1322</v>
      </c>
    </row>
    <row r="392" customFormat="false" ht="14.25" hidden="false" customHeight="true" outlineLevel="0" collapsed="false">
      <c r="A392" s="27"/>
      <c r="B392" s="27"/>
      <c r="C392" s="27"/>
      <c r="D392" s="29" t="s">
        <v>1530</v>
      </c>
      <c r="E392" s="36" t="s">
        <v>1569</v>
      </c>
      <c r="F392" s="42" t="s">
        <v>1570</v>
      </c>
      <c r="G392" s="32" t="s">
        <v>38</v>
      </c>
      <c r="H392" s="33" t="s">
        <v>1571</v>
      </c>
      <c r="I392" s="37" t="s">
        <v>50</v>
      </c>
      <c r="J392" s="35" t="s">
        <v>1572</v>
      </c>
      <c r="K392" s="30" t="s">
        <v>1573</v>
      </c>
    </row>
    <row r="393" customFormat="false" ht="14.25" hidden="false" customHeight="true" outlineLevel="0" collapsed="false">
      <c r="A393" s="27"/>
      <c r="B393" s="27"/>
      <c r="C393" s="27"/>
      <c r="D393" s="27"/>
      <c r="E393" s="36" t="s">
        <v>1574</v>
      </c>
      <c r="F393" s="42"/>
      <c r="G393" s="32"/>
      <c r="H393" s="33"/>
      <c r="I393" s="37"/>
      <c r="J393" s="35"/>
      <c r="K393" s="30" t="s">
        <v>1575</v>
      </c>
    </row>
    <row r="394" customFormat="false" ht="14.25" hidden="false" customHeight="true" outlineLevel="0" collapsed="false">
      <c r="A394" s="27"/>
      <c r="B394" s="27"/>
      <c r="C394" s="27"/>
      <c r="D394" s="29" t="s">
        <v>1537</v>
      </c>
      <c r="E394" s="36" t="s">
        <v>1524</v>
      </c>
      <c r="F394" s="42" t="s">
        <v>1576</v>
      </c>
      <c r="G394" s="32" t="s">
        <v>38</v>
      </c>
      <c r="H394" s="33" t="s">
        <v>1577</v>
      </c>
      <c r="I394" s="39" t="s">
        <v>67</v>
      </c>
      <c r="J394" s="35" t="s">
        <v>1578</v>
      </c>
      <c r="K394" s="30" t="s">
        <v>1579</v>
      </c>
    </row>
    <row r="395" customFormat="false" ht="14.25" hidden="false" customHeight="true" outlineLevel="0" collapsed="false">
      <c r="A395" s="27"/>
      <c r="B395" s="27"/>
      <c r="C395" s="27"/>
      <c r="D395" s="27"/>
      <c r="E395" s="36" t="s">
        <v>1528</v>
      </c>
      <c r="F395" s="42"/>
      <c r="G395" s="32"/>
      <c r="H395" s="33"/>
      <c r="I395" s="39"/>
      <c r="J395" s="35"/>
      <c r="K395" s="30" t="s">
        <v>1580</v>
      </c>
    </row>
    <row r="396" customFormat="false" ht="14.25" hidden="false" customHeight="true" outlineLevel="0" collapsed="false">
      <c r="A396" s="27"/>
      <c r="B396" s="27"/>
      <c r="C396" s="27"/>
      <c r="D396" s="29" t="s">
        <v>1545</v>
      </c>
      <c r="E396" s="36" t="s">
        <v>1531</v>
      </c>
      <c r="F396" s="42" t="s">
        <v>1581</v>
      </c>
      <c r="G396" s="32" t="s">
        <v>48</v>
      </c>
      <c r="H396" s="33" t="s">
        <v>1582</v>
      </c>
      <c r="I396" s="34" t="s">
        <v>40</v>
      </c>
      <c r="J396" s="35" t="s">
        <v>1583</v>
      </c>
      <c r="K396" s="30" t="s">
        <v>1584</v>
      </c>
    </row>
    <row r="397" customFormat="false" ht="14.25" hidden="false" customHeight="true" outlineLevel="0" collapsed="false">
      <c r="A397" s="27"/>
      <c r="B397" s="27"/>
      <c r="C397" s="27"/>
      <c r="D397" s="27"/>
      <c r="E397" s="36" t="s">
        <v>1535</v>
      </c>
      <c r="F397" s="42"/>
      <c r="G397" s="32"/>
      <c r="H397" s="33"/>
      <c r="I397" s="34"/>
      <c r="J397" s="35"/>
      <c r="K397" s="30" t="s">
        <v>1585</v>
      </c>
    </row>
    <row r="398" customFormat="false" ht="14.25" hidden="false" customHeight="true" outlineLevel="0" collapsed="false">
      <c r="A398" s="27"/>
      <c r="B398" s="27"/>
      <c r="C398" s="27"/>
      <c r="D398" s="29" t="s">
        <v>1553</v>
      </c>
      <c r="E398" s="36" t="s">
        <v>1538</v>
      </c>
      <c r="F398" s="42" t="s">
        <v>1586</v>
      </c>
      <c r="G398" s="32" t="s">
        <v>58</v>
      </c>
      <c r="H398" s="33" t="s">
        <v>1587</v>
      </c>
      <c r="I398" s="39" t="s">
        <v>67</v>
      </c>
      <c r="J398" s="35" t="s">
        <v>1588</v>
      </c>
      <c r="K398" s="30" t="s">
        <v>1589</v>
      </c>
    </row>
    <row r="399" customFormat="false" ht="14.25" hidden="false" customHeight="true" outlineLevel="0" collapsed="false">
      <c r="A399" s="27"/>
      <c r="B399" s="27"/>
      <c r="C399" s="27"/>
      <c r="D399" s="27"/>
      <c r="E399" s="36" t="s">
        <v>1543</v>
      </c>
      <c r="F399" s="42"/>
      <c r="G399" s="32"/>
      <c r="H399" s="33"/>
      <c r="I399" s="39"/>
      <c r="J399" s="35"/>
      <c r="K399" s="30" t="s">
        <v>1590</v>
      </c>
    </row>
    <row r="400" customFormat="false" ht="14.25" hidden="false" customHeight="true" outlineLevel="0" collapsed="false">
      <c r="A400" s="27"/>
      <c r="B400" s="27"/>
      <c r="C400" s="40" t="s">
        <v>1591</v>
      </c>
      <c r="D400" s="29" t="s">
        <v>1592</v>
      </c>
      <c r="E400" s="36" t="s">
        <v>1546</v>
      </c>
      <c r="F400" s="42" t="s">
        <v>1593</v>
      </c>
      <c r="G400" s="32" t="s">
        <v>48</v>
      </c>
      <c r="H400" s="33" t="s">
        <v>1594</v>
      </c>
      <c r="I400" s="37" t="s">
        <v>50</v>
      </c>
      <c r="J400" s="35" t="s">
        <v>1595</v>
      </c>
      <c r="K400" s="30" t="s">
        <v>1596</v>
      </c>
    </row>
    <row r="401" customFormat="false" ht="14.25" hidden="false" customHeight="true" outlineLevel="0" collapsed="false">
      <c r="A401" s="27"/>
      <c r="B401" s="27"/>
      <c r="C401" s="27"/>
      <c r="D401" s="27"/>
      <c r="E401" s="36" t="s">
        <v>1551</v>
      </c>
      <c r="F401" s="42"/>
      <c r="G401" s="32"/>
      <c r="H401" s="33"/>
      <c r="I401" s="37"/>
      <c r="J401" s="35"/>
      <c r="K401" s="30" t="s">
        <v>1597</v>
      </c>
    </row>
    <row r="402" customFormat="false" ht="14.25" hidden="false" customHeight="true" outlineLevel="0" collapsed="false">
      <c r="A402" s="27"/>
      <c r="B402" s="27"/>
      <c r="C402" s="27"/>
      <c r="D402" s="29" t="s">
        <v>1598</v>
      </c>
      <c r="E402" s="36" t="s">
        <v>1554</v>
      </c>
      <c r="F402" s="42" t="s">
        <v>1599</v>
      </c>
      <c r="G402" s="32" t="s">
        <v>48</v>
      </c>
      <c r="H402" s="33" t="s">
        <v>1600</v>
      </c>
      <c r="I402" s="37" t="s">
        <v>50</v>
      </c>
      <c r="J402" s="35" t="s">
        <v>1601</v>
      </c>
      <c r="K402" s="30" t="s">
        <v>1602</v>
      </c>
    </row>
    <row r="403" customFormat="false" ht="14.25" hidden="false" customHeight="true" outlineLevel="0" collapsed="false">
      <c r="A403" s="27"/>
      <c r="B403" s="27"/>
      <c r="C403" s="27"/>
      <c r="D403" s="27"/>
      <c r="E403" s="36" t="s">
        <v>1559</v>
      </c>
      <c r="F403" s="42"/>
      <c r="G403" s="32"/>
      <c r="H403" s="33"/>
      <c r="I403" s="37"/>
      <c r="J403" s="35"/>
      <c r="K403" s="30" t="s">
        <v>1603</v>
      </c>
    </row>
    <row r="404" customFormat="false" ht="14.25" hidden="false" customHeight="true" outlineLevel="0" collapsed="false">
      <c r="A404" s="27"/>
      <c r="B404" s="27"/>
      <c r="C404" s="27"/>
      <c r="D404" s="29" t="s">
        <v>1604</v>
      </c>
      <c r="E404" s="36" t="s">
        <v>1563</v>
      </c>
      <c r="F404" s="42" t="s">
        <v>1605</v>
      </c>
      <c r="G404" s="32" t="s">
        <v>38</v>
      </c>
      <c r="H404" s="33" t="s">
        <v>1606</v>
      </c>
      <c r="I404" s="39" t="s">
        <v>67</v>
      </c>
      <c r="J404" s="35" t="s">
        <v>1607</v>
      </c>
      <c r="K404" s="30" t="s">
        <v>1608</v>
      </c>
    </row>
    <row r="405" customFormat="false" ht="14.25" hidden="false" customHeight="true" outlineLevel="0" collapsed="false">
      <c r="A405" s="27"/>
      <c r="B405" s="27"/>
      <c r="C405" s="27"/>
      <c r="D405" s="27"/>
      <c r="E405" s="36" t="s">
        <v>1568</v>
      </c>
      <c r="F405" s="42"/>
      <c r="G405" s="32"/>
      <c r="H405" s="33"/>
      <c r="I405" s="39"/>
      <c r="J405" s="35"/>
      <c r="K405" s="30" t="s">
        <v>1609</v>
      </c>
    </row>
    <row r="406" customFormat="false" ht="14.25" hidden="false" customHeight="true" outlineLevel="0" collapsed="false">
      <c r="A406" s="27"/>
      <c r="B406" s="27"/>
      <c r="C406" s="27"/>
      <c r="D406" s="29" t="s">
        <v>1610</v>
      </c>
      <c r="E406" s="36" t="s">
        <v>1569</v>
      </c>
      <c r="F406" s="42" t="s">
        <v>1611</v>
      </c>
      <c r="G406" s="32" t="s">
        <v>38</v>
      </c>
      <c r="H406" s="33" t="s">
        <v>1612</v>
      </c>
      <c r="I406" s="34" t="s">
        <v>40</v>
      </c>
      <c r="J406" s="35" t="s">
        <v>1613</v>
      </c>
      <c r="K406" s="30" t="s">
        <v>1614</v>
      </c>
    </row>
    <row r="407" customFormat="false" ht="14.25" hidden="false" customHeight="true" outlineLevel="0" collapsed="false">
      <c r="A407" s="27"/>
      <c r="B407" s="27"/>
      <c r="C407" s="27"/>
      <c r="D407" s="27"/>
      <c r="E407" s="36" t="s">
        <v>1574</v>
      </c>
      <c r="F407" s="42"/>
      <c r="G407" s="32"/>
      <c r="H407" s="33"/>
      <c r="I407" s="34"/>
      <c r="J407" s="35"/>
      <c r="K407" s="30" t="s">
        <v>1615</v>
      </c>
    </row>
    <row r="408" customFormat="false" ht="14.25" hidden="false" customHeight="true" outlineLevel="0" collapsed="false">
      <c r="A408" s="27"/>
      <c r="B408" s="27"/>
      <c r="C408" s="27"/>
      <c r="D408" s="29" t="s">
        <v>1616</v>
      </c>
      <c r="E408" s="36" t="s">
        <v>1592</v>
      </c>
      <c r="F408" s="42" t="s">
        <v>1617</v>
      </c>
      <c r="G408" s="32" t="s">
        <v>38</v>
      </c>
      <c r="H408" s="33" t="s">
        <v>1618</v>
      </c>
      <c r="I408" s="39" t="s">
        <v>67</v>
      </c>
      <c r="J408" s="35" t="s">
        <v>1619</v>
      </c>
      <c r="K408" s="30" t="s">
        <v>1620</v>
      </c>
    </row>
    <row r="409" customFormat="false" ht="14.25" hidden="false" customHeight="true" outlineLevel="0" collapsed="false">
      <c r="A409" s="27"/>
      <c r="B409" s="27"/>
      <c r="C409" s="27"/>
      <c r="D409" s="27"/>
      <c r="E409" s="36" t="s">
        <v>1621</v>
      </c>
      <c r="F409" s="42"/>
      <c r="G409" s="32"/>
      <c r="H409" s="33"/>
      <c r="I409" s="39"/>
      <c r="J409" s="35"/>
      <c r="K409" s="30" t="s">
        <v>1622</v>
      </c>
    </row>
    <row r="410" customFormat="false" ht="14.25" hidden="false" customHeight="true" outlineLevel="0" collapsed="false">
      <c r="A410" s="27"/>
      <c r="B410" s="27"/>
      <c r="C410" s="40" t="s">
        <v>1623</v>
      </c>
      <c r="D410" s="29" t="s">
        <v>1624</v>
      </c>
      <c r="E410" s="36" t="s">
        <v>1598</v>
      </c>
      <c r="F410" s="42" t="s">
        <v>1625</v>
      </c>
      <c r="G410" s="32" t="s">
        <v>48</v>
      </c>
      <c r="H410" s="33" t="s">
        <v>1626</v>
      </c>
      <c r="I410" s="37" t="s">
        <v>50</v>
      </c>
      <c r="J410" s="35" t="s">
        <v>1627</v>
      </c>
      <c r="K410" s="30" t="s">
        <v>1628</v>
      </c>
    </row>
    <row r="411" customFormat="false" ht="14.25" hidden="false" customHeight="true" outlineLevel="0" collapsed="false">
      <c r="A411" s="27"/>
      <c r="B411" s="27"/>
      <c r="C411" s="27"/>
      <c r="D411" s="27"/>
      <c r="E411" s="36" t="s">
        <v>1629</v>
      </c>
      <c r="F411" s="42"/>
      <c r="G411" s="32"/>
      <c r="H411" s="33"/>
      <c r="I411" s="37"/>
      <c r="J411" s="35"/>
      <c r="K411" s="30" t="s">
        <v>1630</v>
      </c>
    </row>
    <row r="412" customFormat="false" ht="14.25" hidden="false" customHeight="true" outlineLevel="0" collapsed="false">
      <c r="A412" s="27"/>
      <c r="B412" s="27"/>
      <c r="C412" s="27"/>
      <c r="D412" s="29" t="s">
        <v>1631</v>
      </c>
      <c r="E412" s="36" t="s">
        <v>1632</v>
      </c>
      <c r="F412" s="42" t="s">
        <v>1633</v>
      </c>
      <c r="G412" s="32" t="s">
        <v>58</v>
      </c>
      <c r="H412" s="33" t="s">
        <v>1634</v>
      </c>
      <c r="I412" s="37" t="s">
        <v>50</v>
      </c>
      <c r="J412" s="35" t="s">
        <v>1635</v>
      </c>
      <c r="K412" s="30" t="s">
        <v>1636</v>
      </c>
    </row>
    <row r="413" customFormat="false" ht="14.25" hidden="false" customHeight="true" outlineLevel="0" collapsed="false">
      <c r="A413" s="27"/>
      <c r="B413" s="27"/>
      <c r="C413" s="27"/>
      <c r="D413" s="27"/>
      <c r="E413" s="36" t="s">
        <v>1637</v>
      </c>
      <c r="F413" s="42"/>
      <c r="G413" s="32"/>
      <c r="H413" s="33"/>
      <c r="I413" s="37"/>
      <c r="J413" s="35"/>
      <c r="K413" s="30" t="s">
        <v>1638</v>
      </c>
    </row>
    <row r="414" customFormat="false" ht="14.25" hidden="false" customHeight="true" outlineLevel="0" collapsed="false">
      <c r="A414" s="27"/>
      <c r="B414" s="27"/>
      <c r="C414" s="27"/>
      <c r="D414" s="29" t="s">
        <v>1639</v>
      </c>
      <c r="E414" s="36" t="s">
        <v>1640</v>
      </c>
      <c r="F414" s="42" t="s">
        <v>1641</v>
      </c>
      <c r="G414" s="32" t="s">
        <v>48</v>
      </c>
      <c r="H414" s="33" t="s">
        <v>1642</v>
      </c>
      <c r="I414" s="39" t="s">
        <v>67</v>
      </c>
      <c r="J414" s="35" t="s">
        <v>1643</v>
      </c>
      <c r="K414" s="30" t="s">
        <v>1644</v>
      </c>
    </row>
    <row r="415" customFormat="false" ht="14.25" hidden="false" customHeight="true" outlineLevel="0" collapsed="false">
      <c r="A415" s="27"/>
      <c r="B415" s="27"/>
      <c r="C415" s="27"/>
      <c r="D415" s="27"/>
      <c r="E415" s="36" t="s">
        <v>1645</v>
      </c>
      <c r="F415" s="42"/>
      <c r="G415" s="32"/>
      <c r="H415" s="33"/>
      <c r="I415" s="39"/>
      <c r="J415" s="35"/>
      <c r="K415" s="30" t="s">
        <v>1646</v>
      </c>
    </row>
    <row r="416" customFormat="false" ht="14.25" hidden="false" customHeight="true" outlineLevel="0" collapsed="false">
      <c r="A416" s="27"/>
      <c r="B416" s="27"/>
      <c r="C416" s="27"/>
      <c r="D416" s="29" t="s">
        <v>1647</v>
      </c>
      <c r="E416" s="36" t="s">
        <v>1648</v>
      </c>
      <c r="F416" s="42" t="s">
        <v>1649</v>
      </c>
      <c r="G416" s="32" t="s">
        <v>48</v>
      </c>
      <c r="H416" s="33" t="s">
        <v>1650</v>
      </c>
      <c r="I416" s="34" t="s">
        <v>40</v>
      </c>
      <c r="J416" s="35" t="s">
        <v>1651</v>
      </c>
      <c r="K416" s="30" t="s">
        <v>1652</v>
      </c>
    </row>
    <row r="417" customFormat="false" ht="14.25" hidden="false" customHeight="true" outlineLevel="0" collapsed="false">
      <c r="A417" s="27"/>
      <c r="B417" s="27"/>
      <c r="C417" s="27"/>
      <c r="D417" s="27"/>
      <c r="E417" s="36" t="s">
        <v>1653</v>
      </c>
      <c r="F417" s="42"/>
      <c r="G417" s="32"/>
      <c r="H417" s="33"/>
      <c r="I417" s="34"/>
      <c r="J417" s="35"/>
      <c r="K417" s="30" t="s">
        <v>1654</v>
      </c>
    </row>
    <row r="418" customFormat="false" ht="14.25" hidden="false" customHeight="true" outlineLevel="0" collapsed="false">
      <c r="A418" s="27"/>
      <c r="B418" s="27"/>
      <c r="C418" s="27"/>
      <c r="D418" s="29" t="s">
        <v>1655</v>
      </c>
      <c r="E418" s="36" t="s">
        <v>1655</v>
      </c>
      <c r="F418" s="42" t="s">
        <v>1656</v>
      </c>
      <c r="G418" s="32" t="s">
        <v>38</v>
      </c>
      <c r="H418" s="33" t="s">
        <v>1657</v>
      </c>
      <c r="I418" s="39" t="s">
        <v>67</v>
      </c>
      <c r="J418" s="35" t="s">
        <v>1658</v>
      </c>
      <c r="K418" s="30" t="s">
        <v>1659</v>
      </c>
    </row>
    <row r="419" customFormat="false" ht="14.25" hidden="false" customHeight="true" outlineLevel="0" collapsed="false">
      <c r="A419" s="27"/>
      <c r="B419" s="27"/>
      <c r="C419" s="27"/>
      <c r="D419" s="27"/>
      <c r="E419" s="36" t="s">
        <v>1660</v>
      </c>
      <c r="F419" s="42"/>
      <c r="G419" s="32"/>
      <c r="H419" s="33"/>
      <c r="I419" s="39"/>
      <c r="J419" s="35"/>
      <c r="K419" s="30" t="s">
        <v>1661</v>
      </c>
    </row>
    <row r="420" customFormat="false" ht="14.25" hidden="false" customHeight="true" outlineLevel="0" collapsed="false">
      <c r="A420" s="27"/>
      <c r="B420" s="27"/>
      <c r="C420" s="40" t="s">
        <v>1662</v>
      </c>
      <c r="D420" s="29" t="s">
        <v>1663</v>
      </c>
      <c r="E420" s="36" t="s">
        <v>1664</v>
      </c>
      <c r="F420" s="42" t="s">
        <v>1665</v>
      </c>
      <c r="G420" s="32" t="s">
        <v>38</v>
      </c>
      <c r="H420" s="33" t="s">
        <v>1658</v>
      </c>
      <c r="I420" s="37" t="s">
        <v>50</v>
      </c>
      <c r="J420" s="35" t="s">
        <v>1642</v>
      </c>
      <c r="K420" s="30" t="s">
        <v>1666</v>
      </c>
    </row>
    <row r="421" customFormat="false" ht="14.25" hidden="false" customHeight="true" outlineLevel="0" collapsed="false">
      <c r="A421" s="27"/>
      <c r="B421" s="27"/>
      <c r="C421" s="27"/>
      <c r="D421" s="27"/>
      <c r="E421" s="36" t="s">
        <v>1667</v>
      </c>
      <c r="F421" s="42"/>
      <c r="G421" s="32"/>
      <c r="H421" s="33"/>
      <c r="I421" s="37"/>
      <c r="J421" s="35"/>
      <c r="K421" s="30" t="s">
        <v>1668</v>
      </c>
    </row>
    <row r="422" customFormat="false" ht="14.25" hidden="false" customHeight="true" outlineLevel="0" collapsed="false">
      <c r="A422" s="27"/>
      <c r="B422" s="27"/>
      <c r="C422" s="27"/>
      <c r="D422" s="29" t="s">
        <v>1669</v>
      </c>
      <c r="E422" s="36" t="s">
        <v>1670</v>
      </c>
      <c r="F422" s="42" t="s">
        <v>1671</v>
      </c>
      <c r="G422" s="32" t="s">
        <v>38</v>
      </c>
      <c r="H422" s="33" t="s">
        <v>1672</v>
      </c>
      <c r="I422" s="37" t="s">
        <v>50</v>
      </c>
      <c r="J422" s="35" t="s">
        <v>1673</v>
      </c>
      <c r="K422" s="30" t="s">
        <v>1674</v>
      </c>
    </row>
    <row r="423" customFormat="false" ht="14.25" hidden="false" customHeight="true" outlineLevel="0" collapsed="false">
      <c r="A423" s="27"/>
      <c r="B423" s="27"/>
      <c r="C423" s="27"/>
      <c r="D423" s="27"/>
      <c r="E423" s="36" t="s">
        <v>1675</v>
      </c>
      <c r="F423" s="42"/>
      <c r="G423" s="32"/>
      <c r="H423" s="33"/>
      <c r="I423" s="37"/>
      <c r="J423" s="35"/>
      <c r="K423" s="30" t="s">
        <v>1676</v>
      </c>
    </row>
    <row r="424" customFormat="false" ht="14.25" hidden="false" customHeight="true" outlineLevel="0" collapsed="false">
      <c r="A424" s="27"/>
      <c r="B424" s="27"/>
      <c r="C424" s="27"/>
      <c r="D424" s="29" t="s">
        <v>1677</v>
      </c>
      <c r="E424" s="36" t="s">
        <v>1678</v>
      </c>
      <c r="F424" s="42" t="s">
        <v>1677</v>
      </c>
      <c r="G424" s="32" t="s">
        <v>48</v>
      </c>
      <c r="H424" s="33" t="s">
        <v>1679</v>
      </c>
      <c r="I424" s="39" t="s">
        <v>67</v>
      </c>
      <c r="J424" s="35" t="s">
        <v>1680</v>
      </c>
      <c r="K424" s="30" t="s">
        <v>1681</v>
      </c>
    </row>
    <row r="425" customFormat="false" ht="14.25" hidden="false" customHeight="true" outlineLevel="0" collapsed="false">
      <c r="A425" s="27"/>
      <c r="B425" s="27"/>
      <c r="C425" s="27"/>
      <c r="D425" s="27"/>
      <c r="E425" s="36" t="s">
        <v>1682</v>
      </c>
      <c r="F425" s="42"/>
      <c r="G425" s="32"/>
      <c r="H425" s="33"/>
      <c r="I425" s="39"/>
      <c r="J425" s="35"/>
      <c r="K425" s="30" t="s">
        <v>1683</v>
      </c>
    </row>
    <row r="426" customFormat="false" ht="14.25" hidden="false" customHeight="true" outlineLevel="0" collapsed="false">
      <c r="A426" s="27"/>
      <c r="B426" s="27"/>
      <c r="C426" s="27"/>
      <c r="D426" s="29" t="s">
        <v>1684</v>
      </c>
      <c r="E426" s="36" t="s">
        <v>1685</v>
      </c>
      <c r="F426" s="42" t="s">
        <v>1686</v>
      </c>
      <c r="G426" s="32" t="s">
        <v>58</v>
      </c>
      <c r="H426" s="33" t="s">
        <v>1672</v>
      </c>
      <c r="I426" s="34" t="s">
        <v>40</v>
      </c>
      <c r="J426" s="35" t="s">
        <v>1687</v>
      </c>
      <c r="K426" s="30" t="s">
        <v>1688</v>
      </c>
    </row>
    <row r="427" customFormat="false" ht="14.25" hidden="false" customHeight="true" outlineLevel="0" collapsed="false">
      <c r="A427" s="27"/>
      <c r="B427" s="27"/>
      <c r="C427" s="27"/>
      <c r="D427" s="27"/>
      <c r="E427" s="36" t="s">
        <v>1689</v>
      </c>
      <c r="F427" s="42"/>
      <c r="G427" s="32"/>
      <c r="H427" s="33"/>
      <c r="I427" s="34"/>
      <c r="J427" s="35"/>
      <c r="K427" s="30" t="s">
        <v>1690</v>
      </c>
    </row>
    <row r="428" customFormat="false" ht="14.25" hidden="false" customHeight="true" outlineLevel="0" collapsed="false">
      <c r="A428" s="27"/>
      <c r="B428" s="27"/>
      <c r="C428" s="27"/>
      <c r="D428" s="29" t="s">
        <v>1691</v>
      </c>
      <c r="E428" s="36" t="s">
        <v>1692</v>
      </c>
      <c r="F428" s="42" t="s">
        <v>1691</v>
      </c>
      <c r="G428" s="32" t="s">
        <v>48</v>
      </c>
      <c r="H428" s="33" t="s">
        <v>1693</v>
      </c>
      <c r="I428" s="39" t="s">
        <v>67</v>
      </c>
      <c r="J428" s="35" t="s">
        <v>1694</v>
      </c>
      <c r="K428" s="30" t="s">
        <v>1695</v>
      </c>
    </row>
    <row r="429" customFormat="false" ht="14.25" hidden="false" customHeight="true" outlineLevel="0" collapsed="false">
      <c r="A429" s="27"/>
      <c r="B429" s="27"/>
      <c r="C429" s="27"/>
      <c r="D429" s="27"/>
      <c r="E429" s="36" t="s">
        <v>1696</v>
      </c>
      <c r="F429" s="42"/>
      <c r="G429" s="32"/>
      <c r="H429" s="33"/>
      <c r="I429" s="39"/>
      <c r="J429" s="35"/>
      <c r="K429" s="30" t="s">
        <v>1697</v>
      </c>
    </row>
    <row r="430" customFormat="false" ht="14.25" hidden="false" customHeight="true" outlineLevel="0" collapsed="false">
      <c r="A430" s="27"/>
      <c r="B430" s="27"/>
      <c r="C430" s="40" t="s">
        <v>1698</v>
      </c>
      <c r="D430" s="29" t="s">
        <v>1699</v>
      </c>
      <c r="E430" s="36" t="s">
        <v>1700</v>
      </c>
      <c r="F430" s="42" t="s">
        <v>1701</v>
      </c>
      <c r="G430" s="32" t="s">
        <v>48</v>
      </c>
      <c r="H430" s="33" t="s">
        <v>1702</v>
      </c>
      <c r="I430" s="37" t="s">
        <v>50</v>
      </c>
      <c r="J430" s="35" t="s">
        <v>1703</v>
      </c>
      <c r="K430" s="30" t="s">
        <v>1704</v>
      </c>
    </row>
    <row r="431" customFormat="false" ht="14.25" hidden="false" customHeight="true" outlineLevel="0" collapsed="false">
      <c r="A431" s="27"/>
      <c r="B431" s="27"/>
      <c r="C431" s="27"/>
      <c r="D431" s="27"/>
      <c r="E431" s="36" t="s">
        <v>1705</v>
      </c>
      <c r="F431" s="42"/>
      <c r="G431" s="32"/>
      <c r="H431" s="33"/>
      <c r="I431" s="37"/>
      <c r="J431" s="35"/>
      <c r="K431" s="30" t="s">
        <v>1706</v>
      </c>
    </row>
    <row r="432" customFormat="false" ht="14.25" hidden="false" customHeight="true" outlineLevel="0" collapsed="false">
      <c r="A432" s="27"/>
      <c r="B432" s="27"/>
      <c r="C432" s="27"/>
      <c r="D432" s="29" t="s">
        <v>1707</v>
      </c>
      <c r="E432" s="36" t="s">
        <v>1708</v>
      </c>
      <c r="F432" s="42" t="s">
        <v>1707</v>
      </c>
      <c r="G432" s="32" t="s">
        <v>38</v>
      </c>
      <c r="H432" s="33" t="s">
        <v>1709</v>
      </c>
      <c r="I432" s="37" t="s">
        <v>50</v>
      </c>
      <c r="J432" s="35" t="s">
        <v>1710</v>
      </c>
      <c r="K432" s="30" t="s">
        <v>1711</v>
      </c>
    </row>
    <row r="433" customFormat="false" ht="14.25" hidden="false" customHeight="true" outlineLevel="0" collapsed="false">
      <c r="A433" s="27"/>
      <c r="B433" s="27"/>
      <c r="C433" s="27"/>
      <c r="D433" s="27"/>
      <c r="E433" s="36" t="s">
        <v>1712</v>
      </c>
      <c r="F433" s="42"/>
      <c r="G433" s="32"/>
      <c r="H433" s="33"/>
      <c r="I433" s="37"/>
      <c r="J433" s="35"/>
      <c r="K433" s="30" t="s">
        <v>1713</v>
      </c>
    </row>
    <row r="434" customFormat="false" ht="14.25" hidden="false" customHeight="true" outlineLevel="0" collapsed="false">
      <c r="A434" s="27"/>
      <c r="B434" s="27"/>
      <c r="C434" s="27"/>
      <c r="D434" s="29" t="s">
        <v>1714</v>
      </c>
      <c r="E434" s="36" t="s">
        <v>1715</v>
      </c>
      <c r="F434" s="42" t="s">
        <v>1716</v>
      </c>
      <c r="G434" s="32" t="s">
        <v>38</v>
      </c>
      <c r="H434" s="33" t="s">
        <v>1717</v>
      </c>
      <c r="I434" s="39" t="s">
        <v>67</v>
      </c>
      <c r="J434" s="35" t="s">
        <v>1718</v>
      </c>
      <c r="K434" s="30" t="s">
        <v>1719</v>
      </c>
    </row>
    <row r="435" customFormat="false" ht="14.25" hidden="false" customHeight="true" outlineLevel="0" collapsed="false">
      <c r="A435" s="27"/>
      <c r="B435" s="27"/>
      <c r="C435" s="27"/>
      <c r="D435" s="27"/>
      <c r="E435" s="36" t="s">
        <v>1720</v>
      </c>
      <c r="F435" s="42"/>
      <c r="G435" s="32"/>
      <c r="H435" s="33"/>
      <c r="I435" s="39"/>
      <c r="J435" s="35"/>
      <c r="K435" s="30" t="s">
        <v>1721</v>
      </c>
    </row>
    <row r="436" customFormat="false" ht="14.25" hidden="false" customHeight="true" outlineLevel="0" collapsed="false">
      <c r="A436" s="27"/>
      <c r="B436" s="27"/>
      <c r="C436" s="27"/>
      <c r="D436" s="29" t="s">
        <v>1647</v>
      </c>
      <c r="E436" s="36" t="s">
        <v>1722</v>
      </c>
      <c r="F436" s="42" t="s">
        <v>1647</v>
      </c>
      <c r="G436" s="32" t="s">
        <v>38</v>
      </c>
      <c r="H436" s="33" t="s">
        <v>1723</v>
      </c>
      <c r="I436" s="34" t="s">
        <v>40</v>
      </c>
      <c r="J436" s="35" t="s">
        <v>1724</v>
      </c>
      <c r="K436" s="30" t="s">
        <v>1725</v>
      </c>
    </row>
    <row r="437" customFormat="false" ht="14.25" hidden="false" customHeight="true" outlineLevel="0" collapsed="false">
      <c r="A437" s="27"/>
      <c r="B437" s="27"/>
      <c r="C437" s="27"/>
      <c r="D437" s="27"/>
      <c r="E437" s="36" t="s">
        <v>1726</v>
      </c>
      <c r="F437" s="42"/>
      <c r="G437" s="32"/>
      <c r="H437" s="33"/>
      <c r="I437" s="34"/>
      <c r="J437" s="35"/>
      <c r="K437" s="30" t="s">
        <v>1727</v>
      </c>
    </row>
    <row r="438" customFormat="false" ht="14.25" hidden="false" customHeight="true" outlineLevel="0" collapsed="false">
      <c r="A438" s="27"/>
      <c r="B438" s="27"/>
      <c r="C438" s="27"/>
      <c r="D438" s="29" t="s">
        <v>1728</v>
      </c>
      <c r="E438" s="36" t="s">
        <v>1729</v>
      </c>
      <c r="F438" s="42" t="s">
        <v>1730</v>
      </c>
      <c r="G438" s="32" t="s">
        <v>48</v>
      </c>
      <c r="H438" s="33" t="s">
        <v>1731</v>
      </c>
      <c r="I438" s="39" t="s">
        <v>67</v>
      </c>
      <c r="J438" s="35" t="s">
        <v>1732</v>
      </c>
      <c r="K438" s="30" t="s">
        <v>1733</v>
      </c>
    </row>
    <row r="439" customFormat="false" ht="14.25" hidden="false" customHeight="true" outlineLevel="0" collapsed="false">
      <c r="A439" s="27"/>
      <c r="B439" s="27"/>
      <c r="C439" s="27"/>
      <c r="D439" s="27"/>
      <c r="E439" s="36" t="s">
        <v>1734</v>
      </c>
      <c r="F439" s="42"/>
      <c r="G439" s="32"/>
      <c r="H439" s="33"/>
      <c r="I439" s="39"/>
      <c r="J439" s="35"/>
      <c r="K439" s="30" t="s">
        <v>1735</v>
      </c>
    </row>
    <row r="440" customFormat="false" ht="14.25" hidden="false" customHeight="true" outlineLevel="0" collapsed="false">
      <c r="A440" s="27"/>
      <c r="B440" s="27"/>
      <c r="C440" s="40" t="s">
        <v>1736</v>
      </c>
      <c r="D440" s="29" t="s">
        <v>1737</v>
      </c>
      <c r="E440" s="36" t="s">
        <v>1738</v>
      </c>
      <c r="F440" s="42" t="s">
        <v>1739</v>
      </c>
      <c r="G440" s="32" t="s">
        <v>58</v>
      </c>
      <c r="H440" s="33" t="s">
        <v>1740</v>
      </c>
      <c r="I440" s="37" t="s">
        <v>50</v>
      </c>
      <c r="J440" s="35" t="s">
        <v>1741</v>
      </c>
      <c r="K440" s="30" t="s">
        <v>1742</v>
      </c>
    </row>
    <row r="441" customFormat="false" ht="14.25" hidden="false" customHeight="true" outlineLevel="0" collapsed="false">
      <c r="A441" s="27"/>
      <c r="B441" s="27"/>
      <c r="C441" s="27"/>
      <c r="D441" s="27"/>
      <c r="E441" s="36" t="s">
        <v>1743</v>
      </c>
      <c r="F441" s="42"/>
      <c r="G441" s="32"/>
      <c r="H441" s="33"/>
      <c r="I441" s="37"/>
      <c r="J441" s="35"/>
      <c r="K441" s="30" t="s">
        <v>1744</v>
      </c>
    </row>
    <row r="442" customFormat="false" ht="14.25" hidden="false" customHeight="true" outlineLevel="0" collapsed="false">
      <c r="A442" s="27"/>
      <c r="B442" s="27"/>
      <c r="C442" s="27"/>
      <c r="D442" s="29" t="s">
        <v>1745</v>
      </c>
      <c r="E442" s="36" t="s">
        <v>1746</v>
      </c>
      <c r="F442" s="42" t="s">
        <v>1747</v>
      </c>
      <c r="G442" s="32" t="s">
        <v>48</v>
      </c>
      <c r="H442" s="33" t="s">
        <v>1748</v>
      </c>
      <c r="I442" s="37" t="s">
        <v>50</v>
      </c>
      <c r="J442" s="35" t="s">
        <v>1749</v>
      </c>
      <c r="K442" s="30" t="s">
        <v>1750</v>
      </c>
    </row>
    <row r="443" customFormat="false" ht="14.25" hidden="false" customHeight="true" outlineLevel="0" collapsed="false">
      <c r="A443" s="27"/>
      <c r="B443" s="27"/>
      <c r="C443" s="27"/>
      <c r="D443" s="27"/>
      <c r="E443" s="36" t="s">
        <v>1751</v>
      </c>
      <c r="F443" s="42"/>
      <c r="G443" s="32"/>
      <c r="H443" s="33"/>
      <c r="I443" s="37"/>
      <c r="J443" s="35"/>
      <c r="K443" s="30" t="s">
        <v>1752</v>
      </c>
    </row>
    <row r="444" customFormat="false" ht="14.25" hidden="false" customHeight="true" outlineLevel="0" collapsed="false">
      <c r="A444" s="27"/>
      <c r="B444" s="27"/>
      <c r="C444" s="27"/>
      <c r="D444" s="29" t="s">
        <v>1753</v>
      </c>
      <c r="E444" s="36" t="s">
        <v>1754</v>
      </c>
      <c r="F444" s="42" t="s">
        <v>1755</v>
      </c>
      <c r="G444" s="32" t="s">
        <v>48</v>
      </c>
      <c r="H444" s="33" t="s">
        <v>1756</v>
      </c>
      <c r="I444" s="39" t="s">
        <v>67</v>
      </c>
      <c r="J444" s="35" t="s">
        <v>1757</v>
      </c>
      <c r="K444" s="30" t="s">
        <v>1758</v>
      </c>
    </row>
    <row r="445" customFormat="false" ht="14.25" hidden="false" customHeight="true" outlineLevel="0" collapsed="false">
      <c r="A445" s="27"/>
      <c r="B445" s="27"/>
      <c r="C445" s="27"/>
      <c r="D445" s="27"/>
      <c r="E445" s="36" t="s">
        <v>1759</v>
      </c>
      <c r="F445" s="42"/>
      <c r="G445" s="32"/>
      <c r="H445" s="33"/>
      <c r="I445" s="39"/>
      <c r="J445" s="35"/>
      <c r="K445" s="30" t="s">
        <v>1760</v>
      </c>
    </row>
    <row r="446" customFormat="false" ht="14.25" hidden="false" customHeight="true" outlineLevel="0" collapsed="false">
      <c r="A446" s="27"/>
      <c r="B446" s="27"/>
      <c r="C446" s="27"/>
      <c r="D446" s="29" t="s">
        <v>1761</v>
      </c>
      <c r="E446" s="36" t="s">
        <v>1762</v>
      </c>
      <c r="F446" s="42" t="s">
        <v>1763</v>
      </c>
      <c r="G446" s="32" t="s">
        <v>38</v>
      </c>
      <c r="H446" s="33" t="s">
        <v>1764</v>
      </c>
      <c r="I446" s="34" t="s">
        <v>40</v>
      </c>
      <c r="J446" s="35" t="s">
        <v>1765</v>
      </c>
      <c r="K446" s="30" t="s">
        <v>1766</v>
      </c>
    </row>
    <row r="447" customFormat="false" ht="14.25" hidden="false" customHeight="true" outlineLevel="0" collapsed="false">
      <c r="A447" s="27"/>
      <c r="B447" s="27"/>
      <c r="C447" s="27"/>
      <c r="D447" s="27"/>
      <c r="E447" s="36" t="s">
        <v>1767</v>
      </c>
      <c r="F447" s="42"/>
      <c r="G447" s="32"/>
      <c r="H447" s="33"/>
      <c r="I447" s="34"/>
      <c r="J447" s="35"/>
      <c r="K447" s="30" t="s">
        <v>1609</v>
      </c>
    </row>
    <row r="448" customFormat="false" ht="14.25" hidden="false" customHeight="true" outlineLevel="0" collapsed="false">
      <c r="A448" s="27"/>
      <c r="B448" s="27"/>
      <c r="C448" s="27"/>
      <c r="D448" s="29" t="s">
        <v>1768</v>
      </c>
      <c r="E448" s="36" t="s">
        <v>1769</v>
      </c>
      <c r="F448" s="42" t="s">
        <v>1770</v>
      </c>
      <c r="G448" s="32" t="s">
        <v>38</v>
      </c>
      <c r="H448" s="33" t="s">
        <v>1771</v>
      </c>
      <c r="I448" s="39" t="s">
        <v>67</v>
      </c>
      <c r="J448" s="35" t="s">
        <v>1772</v>
      </c>
      <c r="K448" s="30" t="s">
        <v>1773</v>
      </c>
    </row>
    <row r="449" customFormat="false" ht="14.25" hidden="false" customHeight="true" outlineLevel="0" collapsed="false">
      <c r="A449" s="27"/>
      <c r="B449" s="27"/>
      <c r="C449" s="27"/>
      <c r="D449" s="27"/>
      <c r="E449" s="36" t="s">
        <v>1514</v>
      </c>
      <c r="F449" s="42"/>
      <c r="G449" s="32"/>
      <c r="H449" s="33"/>
      <c r="I449" s="39"/>
      <c r="J449" s="35"/>
      <c r="K449" s="30" t="s">
        <v>1774</v>
      </c>
    </row>
    <row r="450" customFormat="false" ht="14.25" hidden="false" customHeight="true" outlineLevel="0" collapsed="false">
      <c r="A450" s="27"/>
      <c r="B450" s="27"/>
      <c r="C450" s="40" t="s">
        <v>1775</v>
      </c>
      <c r="D450" s="29" t="s">
        <v>1776</v>
      </c>
      <c r="E450" s="36" t="s">
        <v>1777</v>
      </c>
      <c r="F450" s="42" t="s">
        <v>1778</v>
      </c>
      <c r="G450" s="32" t="s">
        <v>38</v>
      </c>
      <c r="H450" s="33" t="s">
        <v>1779</v>
      </c>
      <c r="I450" s="37" t="s">
        <v>50</v>
      </c>
      <c r="J450" s="35" t="s">
        <v>1780</v>
      </c>
      <c r="K450" s="30" t="s">
        <v>1781</v>
      </c>
    </row>
    <row r="451" customFormat="false" ht="14.25" hidden="false" customHeight="true" outlineLevel="0" collapsed="false">
      <c r="A451" s="27"/>
      <c r="B451" s="27"/>
      <c r="C451" s="27"/>
      <c r="D451" s="27"/>
      <c r="E451" s="36" t="s">
        <v>1782</v>
      </c>
      <c r="F451" s="42"/>
      <c r="G451" s="32"/>
      <c r="H451" s="33"/>
      <c r="I451" s="37"/>
      <c r="J451" s="35"/>
      <c r="K451" s="30" t="s">
        <v>1783</v>
      </c>
    </row>
    <row r="452" customFormat="false" ht="14.25" hidden="false" customHeight="true" outlineLevel="0" collapsed="false">
      <c r="A452" s="27"/>
      <c r="B452" s="27"/>
      <c r="C452" s="27"/>
      <c r="D452" s="29" t="s">
        <v>1784</v>
      </c>
      <c r="E452" s="36" t="s">
        <v>1785</v>
      </c>
      <c r="F452" s="42" t="s">
        <v>1786</v>
      </c>
      <c r="G452" s="32" t="s">
        <v>48</v>
      </c>
      <c r="H452" s="33" t="s">
        <v>1787</v>
      </c>
      <c r="I452" s="37" t="s">
        <v>50</v>
      </c>
      <c r="J452" s="35" t="s">
        <v>1788</v>
      </c>
      <c r="K452" s="30" t="s">
        <v>1789</v>
      </c>
    </row>
    <row r="453" customFormat="false" ht="14.25" hidden="false" customHeight="true" outlineLevel="0" collapsed="false">
      <c r="A453" s="27"/>
      <c r="B453" s="27"/>
      <c r="C453" s="27"/>
      <c r="D453" s="27"/>
      <c r="E453" s="36" t="s">
        <v>1790</v>
      </c>
      <c r="F453" s="42"/>
      <c r="G453" s="32"/>
      <c r="H453" s="33"/>
      <c r="I453" s="37"/>
      <c r="J453" s="35"/>
      <c r="K453" s="30" t="s">
        <v>1791</v>
      </c>
    </row>
    <row r="454" customFormat="false" ht="14.25" hidden="false" customHeight="true" outlineLevel="0" collapsed="false">
      <c r="A454" s="27"/>
      <c r="B454" s="27"/>
      <c r="C454" s="27"/>
      <c r="D454" s="29" t="s">
        <v>1792</v>
      </c>
      <c r="E454" s="36" t="s">
        <v>1793</v>
      </c>
      <c r="F454" s="42" t="s">
        <v>1794</v>
      </c>
      <c r="G454" s="32" t="s">
        <v>58</v>
      </c>
      <c r="H454" s="33" t="s">
        <v>1795</v>
      </c>
      <c r="I454" s="39" t="s">
        <v>67</v>
      </c>
      <c r="J454" s="35" t="s">
        <v>1796</v>
      </c>
      <c r="K454" s="30" t="s">
        <v>1797</v>
      </c>
    </row>
    <row r="455" customFormat="false" ht="14.25" hidden="false" customHeight="true" outlineLevel="0" collapsed="false">
      <c r="A455" s="27"/>
      <c r="B455" s="27"/>
      <c r="C455" s="27"/>
      <c r="D455" s="27"/>
      <c r="E455" s="36" t="s">
        <v>1798</v>
      </c>
      <c r="F455" s="42"/>
      <c r="G455" s="32"/>
      <c r="H455" s="33"/>
      <c r="I455" s="39"/>
      <c r="J455" s="35"/>
      <c r="K455" s="30" t="s">
        <v>1799</v>
      </c>
    </row>
    <row r="456" customFormat="false" ht="14.25" hidden="false" customHeight="true" outlineLevel="0" collapsed="false">
      <c r="A456" s="27"/>
      <c r="B456" s="27"/>
      <c r="C456" s="27"/>
      <c r="D456" s="29" t="s">
        <v>1800</v>
      </c>
      <c r="E456" s="36" t="s">
        <v>1801</v>
      </c>
      <c r="F456" s="42" t="s">
        <v>1802</v>
      </c>
      <c r="G456" s="32" t="s">
        <v>48</v>
      </c>
      <c r="H456" s="33" t="s">
        <v>719</v>
      </c>
      <c r="I456" s="34" t="s">
        <v>40</v>
      </c>
      <c r="J456" s="35" t="s">
        <v>1803</v>
      </c>
      <c r="K456" s="30" t="s">
        <v>1804</v>
      </c>
    </row>
    <row r="457" customFormat="false" ht="14.25" hidden="false" customHeight="true" outlineLevel="0" collapsed="false">
      <c r="A457" s="27"/>
      <c r="B457" s="27"/>
      <c r="C457" s="27"/>
      <c r="D457" s="27"/>
      <c r="E457" s="36" t="s">
        <v>1805</v>
      </c>
      <c r="F457" s="42"/>
      <c r="G457" s="32"/>
      <c r="H457" s="33"/>
      <c r="I457" s="34"/>
      <c r="J457" s="35"/>
      <c r="K457" s="30" t="s">
        <v>1806</v>
      </c>
    </row>
    <row r="458" customFormat="false" ht="14.25" hidden="false" customHeight="true" outlineLevel="0" collapsed="false">
      <c r="A458" s="27"/>
      <c r="B458" s="27"/>
      <c r="C458" s="27"/>
      <c r="D458" s="29" t="s">
        <v>1807</v>
      </c>
      <c r="E458" s="36" t="s">
        <v>1808</v>
      </c>
      <c r="F458" s="42" t="s">
        <v>1809</v>
      </c>
      <c r="G458" s="32" t="s">
        <v>48</v>
      </c>
      <c r="H458" s="33" t="s">
        <v>1731</v>
      </c>
      <c r="I458" s="39" t="s">
        <v>67</v>
      </c>
      <c r="J458" s="35" t="s">
        <v>1810</v>
      </c>
      <c r="K458" s="30" t="s">
        <v>1811</v>
      </c>
    </row>
    <row r="459" customFormat="false" ht="14.25" hidden="false" customHeight="true" outlineLevel="0" collapsed="false">
      <c r="A459" s="27"/>
      <c r="B459" s="27"/>
      <c r="C459" s="27"/>
      <c r="D459" s="27"/>
      <c r="E459" s="36" t="s">
        <v>1734</v>
      </c>
      <c r="F459" s="42"/>
      <c r="G459" s="32"/>
      <c r="H459" s="33"/>
      <c r="I459" s="39"/>
      <c r="J459" s="35"/>
      <c r="K459" s="30" t="s">
        <v>1812</v>
      </c>
    </row>
    <row r="460" customFormat="false" ht="14.25" hidden="false" customHeight="true" outlineLevel="0" collapsed="false">
      <c r="A460" s="27"/>
      <c r="B460" s="27"/>
      <c r="C460" s="29" t="s">
        <v>1813</v>
      </c>
      <c r="D460" s="29" t="s">
        <v>1814</v>
      </c>
      <c r="E460" s="36" t="s">
        <v>1815</v>
      </c>
      <c r="F460" s="42" t="s">
        <v>1816</v>
      </c>
      <c r="G460" s="32" t="s">
        <v>38</v>
      </c>
      <c r="H460" s="33" t="s">
        <v>1817</v>
      </c>
      <c r="I460" s="37" t="s">
        <v>50</v>
      </c>
      <c r="J460" s="35" t="s">
        <v>1818</v>
      </c>
      <c r="K460" s="30" t="s">
        <v>1819</v>
      </c>
    </row>
    <row r="461" customFormat="false" ht="14.25" hidden="false" customHeight="true" outlineLevel="0" collapsed="false">
      <c r="A461" s="27"/>
      <c r="B461" s="27"/>
      <c r="C461" s="27"/>
      <c r="D461" s="27"/>
      <c r="E461" s="36" t="s">
        <v>1820</v>
      </c>
      <c r="F461" s="42"/>
      <c r="G461" s="32"/>
      <c r="H461" s="33"/>
      <c r="I461" s="37"/>
      <c r="J461" s="35"/>
      <c r="K461" s="30" t="s">
        <v>1821</v>
      </c>
    </row>
    <row r="462" customFormat="false" ht="14.25" hidden="false" customHeight="true" outlineLevel="0" collapsed="false">
      <c r="A462" s="27"/>
      <c r="B462" s="27"/>
      <c r="C462" s="27"/>
      <c r="D462" s="29" t="s">
        <v>1822</v>
      </c>
      <c r="E462" s="36" t="s">
        <v>1823</v>
      </c>
      <c r="F462" s="42" t="s">
        <v>1824</v>
      </c>
      <c r="G462" s="32" t="s">
        <v>38</v>
      </c>
      <c r="H462" s="33" t="s">
        <v>1825</v>
      </c>
      <c r="I462" s="37" t="s">
        <v>50</v>
      </c>
      <c r="J462" s="35" t="s">
        <v>1826</v>
      </c>
      <c r="K462" s="30" t="s">
        <v>1827</v>
      </c>
    </row>
    <row r="463" customFormat="false" ht="14.25" hidden="false" customHeight="true" outlineLevel="0" collapsed="false">
      <c r="A463" s="27"/>
      <c r="B463" s="27"/>
      <c r="C463" s="27"/>
      <c r="D463" s="27"/>
      <c r="E463" s="36" t="s">
        <v>1828</v>
      </c>
      <c r="F463" s="42"/>
      <c r="G463" s="32"/>
      <c r="H463" s="33"/>
      <c r="I463" s="37"/>
      <c r="J463" s="35"/>
      <c r="K463" s="30" t="s">
        <v>1829</v>
      </c>
    </row>
    <row r="464" customFormat="false" ht="14.25" hidden="false" customHeight="true" outlineLevel="0" collapsed="false">
      <c r="A464" s="27"/>
      <c r="B464" s="27"/>
      <c r="C464" s="27"/>
      <c r="D464" s="29" t="s">
        <v>1830</v>
      </c>
      <c r="E464" s="36" t="s">
        <v>1831</v>
      </c>
      <c r="F464" s="42" t="s">
        <v>1832</v>
      </c>
      <c r="G464" s="32" t="s">
        <v>38</v>
      </c>
      <c r="H464" s="33" t="s">
        <v>1833</v>
      </c>
      <c r="I464" s="39" t="s">
        <v>67</v>
      </c>
      <c r="J464" s="35" t="s">
        <v>1834</v>
      </c>
      <c r="K464" s="30" t="s">
        <v>1835</v>
      </c>
    </row>
    <row r="465" customFormat="false" ht="14.25" hidden="false" customHeight="true" outlineLevel="0" collapsed="false">
      <c r="A465" s="27"/>
      <c r="B465" s="27"/>
      <c r="C465" s="27"/>
      <c r="D465" s="27"/>
      <c r="E465" s="36" t="s">
        <v>1836</v>
      </c>
      <c r="F465" s="42"/>
      <c r="G465" s="32"/>
      <c r="H465" s="33"/>
      <c r="I465" s="39"/>
      <c r="J465" s="35"/>
      <c r="K465" s="30" t="s">
        <v>1837</v>
      </c>
    </row>
    <row r="466" customFormat="false" ht="14.25" hidden="false" customHeight="true" outlineLevel="0" collapsed="false">
      <c r="A466" s="27"/>
      <c r="B466" s="27"/>
      <c r="C466" s="27"/>
      <c r="D466" s="29" t="s">
        <v>1838</v>
      </c>
      <c r="E466" s="36" t="s">
        <v>1839</v>
      </c>
      <c r="F466" s="42" t="s">
        <v>1840</v>
      </c>
      <c r="G466" s="32" t="s">
        <v>48</v>
      </c>
      <c r="H466" s="33" t="s">
        <v>1626</v>
      </c>
      <c r="I466" s="34" t="s">
        <v>40</v>
      </c>
      <c r="J466" s="35" t="s">
        <v>1841</v>
      </c>
      <c r="K466" s="30" t="s">
        <v>1842</v>
      </c>
    </row>
    <row r="467" customFormat="false" ht="14.25" hidden="false" customHeight="true" outlineLevel="0" collapsed="false">
      <c r="A467" s="27"/>
      <c r="B467" s="27"/>
      <c r="C467" s="27"/>
      <c r="D467" s="27"/>
      <c r="E467" s="36" t="s">
        <v>1843</v>
      </c>
      <c r="F467" s="42"/>
      <c r="G467" s="32"/>
      <c r="H467" s="33"/>
      <c r="I467" s="34"/>
      <c r="J467" s="35"/>
      <c r="K467" s="30" t="s">
        <v>1844</v>
      </c>
    </row>
    <row r="468" customFormat="false" ht="14.25" hidden="false" customHeight="true" outlineLevel="0" collapsed="false">
      <c r="A468" s="27"/>
      <c r="B468" s="27"/>
      <c r="C468" s="27"/>
      <c r="D468" s="29" t="s">
        <v>1845</v>
      </c>
      <c r="E468" s="36" t="s">
        <v>1846</v>
      </c>
      <c r="F468" s="42" t="s">
        <v>1847</v>
      </c>
      <c r="G468" s="32" t="s">
        <v>58</v>
      </c>
      <c r="H468" s="33" t="s">
        <v>1848</v>
      </c>
      <c r="I468" s="39" t="s">
        <v>67</v>
      </c>
      <c r="J468" s="35" t="s">
        <v>1849</v>
      </c>
      <c r="K468" s="30" t="s">
        <v>1850</v>
      </c>
    </row>
    <row r="469" customFormat="false" ht="14.25" hidden="false" customHeight="true" outlineLevel="0" collapsed="false">
      <c r="A469" s="27"/>
      <c r="B469" s="27"/>
      <c r="C469" s="27"/>
      <c r="D469" s="27"/>
      <c r="E469" s="36" t="s">
        <v>1851</v>
      </c>
      <c r="F469" s="42"/>
      <c r="G469" s="32"/>
      <c r="H469" s="33"/>
      <c r="I469" s="39"/>
      <c r="J469" s="35"/>
      <c r="K469" s="30" t="s">
        <v>1852</v>
      </c>
    </row>
    <row r="470" customFormat="false" ht="14.25" hidden="false" customHeight="true" outlineLevel="0" collapsed="false">
      <c r="A470" s="27"/>
      <c r="B470" s="27"/>
      <c r="C470" s="40" t="s">
        <v>1853</v>
      </c>
      <c r="D470" s="29" t="s">
        <v>1854</v>
      </c>
      <c r="E470" s="36" t="s">
        <v>1855</v>
      </c>
      <c r="F470" s="42" t="s">
        <v>1856</v>
      </c>
      <c r="G470" s="32" t="s">
        <v>48</v>
      </c>
      <c r="H470" s="33" t="s">
        <v>1857</v>
      </c>
      <c r="I470" s="37" t="s">
        <v>50</v>
      </c>
      <c r="J470" s="35" t="s">
        <v>1858</v>
      </c>
      <c r="K470" s="30" t="s">
        <v>1859</v>
      </c>
    </row>
    <row r="471" customFormat="false" ht="14.25" hidden="false" customHeight="true" outlineLevel="0" collapsed="false">
      <c r="A471" s="27"/>
      <c r="B471" s="27"/>
      <c r="C471" s="27"/>
      <c r="D471" s="27"/>
      <c r="E471" s="36" t="s">
        <v>1860</v>
      </c>
      <c r="F471" s="42"/>
      <c r="G471" s="32"/>
      <c r="H471" s="33"/>
      <c r="I471" s="37"/>
      <c r="J471" s="35"/>
      <c r="K471" s="30" t="s">
        <v>1861</v>
      </c>
    </row>
    <row r="472" customFormat="false" ht="14.25" hidden="false" customHeight="true" outlineLevel="0" collapsed="false">
      <c r="A472" s="27"/>
      <c r="B472" s="27"/>
      <c r="C472" s="27"/>
      <c r="D472" s="29" t="s">
        <v>1862</v>
      </c>
      <c r="E472" s="36" t="s">
        <v>1863</v>
      </c>
      <c r="F472" s="42" t="s">
        <v>1864</v>
      </c>
      <c r="G472" s="32" t="s">
        <v>48</v>
      </c>
      <c r="H472" s="33" t="s">
        <v>1865</v>
      </c>
      <c r="I472" s="37" t="s">
        <v>50</v>
      </c>
      <c r="J472" s="35" t="s">
        <v>1866</v>
      </c>
      <c r="K472" s="30" t="s">
        <v>1867</v>
      </c>
    </row>
    <row r="473" customFormat="false" ht="14.25" hidden="false" customHeight="true" outlineLevel="0" collapsed="false">
      <c r="A473" s="27"/>
      <c r="B473" s="27"/>
      <c r="C473" s="27"/>
      <c r="D473" s="27"/>
      <c r="E473" s="36" t="s">
        <v>1868</v>
      </c>
      <c r="F473" s="42"/>
      <c r="G473" s="32"/>
      <c r="H473" s="33"/>
      <c r="I473" s="37"/>
      <c r="J473" s="35"/>
      <c r="K473" s="30" t="s">
        <v>1869</v>
      </c>
    </row>
    <row r="474" customFormat="false" ht="14.25" hidden="false" customHeight="true" outlineLevel="0" collapsed="false">
      <c r="A474" s="27"/>
      <c r="B474" s="27"/>
      <c r="C474" s="27"/>
      <c r="D474" s="29" t="s">
        <v>1870</v>
      </c>
      <c r="E474" s="36" t="s">
        <v>1871</v>
      </c>
      <c r="F474" s="42" t="s">
        <v>1872</v>
      </c>
      <c r="G474" s="32" t="s">
        <v>38</v>
      </c>
      <c r="H474" s="33" t="s">
        <v>1873</v>
      </c>
      <c r="I474" s="39" t="s">
        <v>67</v>
      </c>
      <c r="J474" s="35" t="s">
        <v>1874</v>
      </c>
      <c r="K474" s="30" t="s">
        <v>1875</v>
      </c>
    </row>
    <row r="475" customFormat="false" ht="14.25" hidden="false" customHeight="true" outlineLevel="0" collapsed="false">
      <c r="A475" s="27"/>
      <c r="B475" s="27"/>
      <c r="C475" s="27"/>
      <c r="D475" s="27"/>
      <c r="E475" s="36" t="s">
        <v>1876</v>
      </c>
      <c r="F475" s="42"/>
      <c r="G475" s="32"/>
      <c r="H475" s="33"/>
      <c r="I475" s="39"/>
      <c r="J475" s="35"/>
      <c r="K475" s="30" t="s">
        <v>1877</v>
      </c>
    </row>
    <row r="476" customFormat="false" ht="14.25" hidden="false" customHeight="true" outlineLevel="0" collapsed="false">
      <c r="A476" s="27"/>
      <c r="B476" s="27"/>
      <c r="C476" s="27"/>
      <c r="D476" s="29" t="s">
        <v>1878</v>
      </c>
      <c r="E476" s="36" t="s">
        <v>1879</v>
      </c>
      <c r="F476" s="42" t="s">
        <v>1880</v>
      </c>
      <c r="G476" s="32" t="s">
        <v>38</v>
      </c>
      <c r="H476" s="33" t="s">
        <v>1881</v>
      </c>
      <c r="I476" s="34" t="s">
        <v>40</v>
      </c>
      <c r="J476" s="35" t="s">
        <v>1882</v>
      </c>
      <c r="K476" s="30" t="s">
        <v>1875</v>
      </c>
    </row>
    <row r="477" customFormat="false" ht="14.25" hidden="false" customHeight="true" outlineLevel="0" collapsed="false">
      <c r="A477" s="27"/>
      <c r="B477" s="27"/>
      <c r="C477" s="27"/>
      <c r="D477" s="27"/>
      <c r="E477" s="36" t="s">
        <v>1883</v>
      </c>
      <c r="F477" s="42"/>
      <c r="G477" s="32"/>
      <c r="H477" s="33"/>
      <c r="I477" s="34"/>
      <c r="J477" s="35"/>
      <c r="K477" s="30" t="s">
        <v>1877</v>
      </c>
    </row>
    <row r="478" customFormat="false" ht="14.25" hidden="false" customHeight="true" outlineLevel="0" collapsed="false">
      <c r="A478" s="27"/>
      <c r="B478" s="27"/>
      <c r="C478" s="27"/>
      <c r="D478" s="29" t="s">
        <v>1884</v>
      </c>
      <c r="E478" s="36" t="s">
        <v>1885</v>
      </c>
      <c r="F478" s="42" t="s">
        <v>1886</v>
      </c>
      <c r="G478" s="32" t="s">
        <v>38</v>
      </c>
      <c r="H478" s="33" t="s">
        <v>1887</v>
      </c>
      <c r="I478" s="39" t="s">
        <v>67</v>
      </c>
      <c r="J478" s="35" t="s">
        <v>1888</v>
      </c>
      <c r="K478" s="30" t="s">
        <v>1889</v>
      </c>
    </row>
    <row r="479" customFormat="false" ht="14.25" hidden="false" customHeight="true" outlineLevel="0" collapsed="false">
      <c r="A479" s="27"/>
      <c r="B479" s="27"/>
      <c r="C479" s="27"/>
      <c r="D479" s="27"/>
      <c r="E479" s="36" t="s">
        <v>1890</v>
      </c>
      <c r="F479" s="42"/>
      <c r="G479" s="32"/>
      <c r="H479" s="33"/>
      <c r="I479" s="39"/>
      <c r="J479" s="35"/>
      <c r="K479" s="30" t="s">
        <v>1891</v>
      </c>
    </row>
    <row r="480" customFormat="false" ht="14.25" hidden="false" customHeight="true" outlineLevel="0" collapsed="false">
      <c r="A480" s="27"/>
      <c r="B480" s="27"/>
      <c r="C480" s="40" t="s">
        <v>1892</v>
      </c>
      <c r="D480" s="29" t="s">
        <v>1893</v>
      </c>
      <c r="E480" s="36" t="s">
        <v>1894</v>
      </c>
      <c r="F480" s="42" t="s">
        <v>1895</v>
      </c>
      <c r="G480" s="32" t="s">
        <v>48</v>
      </c>
      <c r="H480" s="33" t="s">
        <v>1896</v>
      </c>
      <c r="I480" s="37" t="s">
        <v>50</v>
      </c>
      <c r="J480" s="35" t="s">
        <v>1897</v>
      </c>
      <c r="K480" s="30" t="s">
        <v>1898</v>
      </c>
    </row>
    <row r="481" customFormat="false" ht="14.25" hidden="false" customHeight="true" outlineLevel="0" collapsed="false">
      <c r="A481" s="27"/>
      <c r="B481" s="27"/>
      <c r="C481" s="27"/>
      <c r="D481" s="27"/>
      <c r="E481" s="36" t="s">
        <v>1899</v>
      </c>
      <c r="F481" s="42"/>
      <c r="G481" s="32"/>
      <c r="H481" s="33"/>
      <c r="I481" s="37"/>
      <c r="J481" s="35"/>
      <c r="K481" s="30" t="s">
        <v>1900</v>
      </c>
    </row>
    <row r="482" customFormat="false" ht="14.25" hidden="false" customHeight="true" outlineLevel="0" collapsed="false">
      <c r="A482" s="27"/>
      <c r="B482" s="27"/>
      <c r="C482" s="27"/>
      <c r="D482" s="29" t="s">
        <v>1901</v>
      </c>
      <c r="E482" s="36" t="s">
        <v>1902</v>
      </c>
      <c r="F482" s="42" t="s">
        <v>1903</v>
      </c>
      <c r="G482" s="32" t="s">
        <v>58</v>
      </c>
      <c r="H482" s="33" t="s">
        <v>1904</v>
      </c>
      <c r="I482" s="37" t="s">
        <v>50</v>
      </c>
      <c r="J482" s="35" t="s">
        <v>1905</v>
      </c>
      <c r="K482" s="30" t="s">
        <v>1906</v>
      </c>
    </row>
    <row r="483" customFormat="false" ht="14.25" hidden="false" customHeight="true" outlineLevel="0" collapsed="false">
      <c r="A483" s="27"/>
      <c r="B483" s="27"/>
      <c r="C483" s="27"/>
      <c r="D483" s="27"/>
      <c r="E483" s="36" t="s">
        <v>1907</v>
      </c>
      <c r="F483" s="42"/>
      <c r="G483" s="32"/>
      <c r="H483" s="33"/>
      <c r="I483" s="37"/>
      <c r="J483" s="35"/>
      <c r="K483" s="30" t="s">
        <v>1908</v>
      </c>
    </row>
    <row r="484" customFormat="false" ht="14.25" hidden="false" customHeight="true" outlineLevel="0" collapsed="false">
      <c r="A484" s="27"/>
      <c r="B484" s="27"/>
      <c r="C484" s="27"/>
      <c r="D484" s="29" t="s">
        <v>1909</v>
      </c>
      <c r="E484" s="36" t="s">
        <v>1910</v>
      </c>
      <c r="F484" s="42" t="s">
        <v>1911</v>
      </c>
      <c r="G484" s="32" t="s">
        <v>48</v>
      </c>
      <c r="H484" s="33" t="s">
        <v>1912</v>
      </c>
      <c r="I484" s="39" t="s">
        <v>67</v>
      </c>
      <c r="J484" s="35" t="s">
        <v>1913</v>
      </c>
      <c r="K484" s="30" t="s">
        <v>1914</v>
      </c>
    </row>
    <row r="485" customFormat="false" ht="14.25" hidden="false" customHeight="true" outlineLevel="0" collapsed="false">
      <c r="A485" s="27"/>
      <c r="B485" s="27"/>
      <c r="C485" s="27"/>
      <c r="D485" s="27"/>
      <c r="E485" s="36" t="s">
        <v>1915</v>
      </c>
      <c r="F485" s="42"/>
      <c r="G485" s="32"/>
      <c r="H485" s="33"/>
      <c r="I485" s="39"/>
      <c r="J485" s="35"/>
      <c r="K485" s="30" t="s">
        <v>1916</v>
      </c>
    </row>
    <row r="486" customFormat="false" ht="14.25" hidden="false" customHeight="true" outlineLevel="0" collapsed="false">
      <c r="A486" s="27"/>
      <c r="B486" s="27"/>
      <c r="C486" s="27"/>
      <c r="D486" s="29" t="s">
        <v>1917</v>
      </c>
      <c r="E486" s="36" t="s">
        <v>1918</v>
      </c>
      <c r="F486" s="42" t="s">
        <v>1919</v>
      </c>
      <c r="G486" s="32" t="s">
        <v>48</v>
      </c>
      <c r="H486" s="33" t="s">
        <v>1920</v>
      </c>
      <c r="I486" s="34" t="s">
        <v>40</v>
      </c>
      <c r="J486" s="35" t="s">
        <v>1921</v>
      </c>
      <c r="K486" s="30" t="s">
        <v>1922</v>
      </c>
    </row>
    <row r="487" customFormat="false" ht="14.25" hidden="false" customHeight="true" outlineLevel="0" collapsed="false">
      <c r="A487" s="27"/>
      <c r="B487" s="27"/>
      <c r="C487" s="27"/>
      <c r="D487" s="27"/>
      <c r="E487" s="36" t="s">
        <v>681</v>
      </c>
      <c r="F487" s="42"/>
      <c r="G487" s="32"/>
      <c r="H487" s="33"/>
      <c r="I487" s="34"/>
      <c r="J487" s="35"/>
      <c r="K487" s="30" t="s">
        <v>1923</v>
      </c>
    </row>
    <row r="488" customFormat="false" ht="14.25" hidden="false" customHeight="true" outlineLevel="0" collapsed="false">
      <c r="A488" s="27"/>
      <c r="B488" s="27"/>
      <c r="C488" s="27"/>
      <c r="D488" s="29" t="s">
        <v>1924</v>
      </c>
      <c r="E488" s="36" t="s">
        <v>778</v>
      </c>
      <c r="F488" s="42" t="s">
        <v>1925</v>
      </c>
      <c r="G488" s="32" t="s">
        <v>38</v>
      </c>
      <c r="H488" s="33" t="s">
        <v>1926</v>
      </c>
      <c r="I488" s="39" t="s">
        <v>67</v>
      </c>
      <c r="J488" s="35" t="s">
        <v>1927</v>
      </c>
      <c r="K488" s="30" t="s">
        <v>1928</v>
      </c>
    </row>
    <row r="489" customFormat="false" ht="14.25" hidden="false" customHeight="true" outlineLevel="0" collapsed="false">
      <c r="A489" s="27"/>
      <c r="B489" s="27"/>
      <c r="C489" s="27"/>
      <c r="D489" s="27"/>
      <c r="E489" s="36" t="s">
        <v>1929</v>
      </c>
      <c r="F489" s="42"/>
      <c r="G489" s="32"/>
      <c r="H489" s="33"/>
      <c r="I489" s="39"/>
      <c r="J489" s="35"/>
      <c r="K489" s="30" t="s">
        <v>1930</v>
      </c>
    </row>
    <row r="490" customFormat="false" ht="14.25" hidden="false" customHeight="true" outlineLevel="0" collapsed="false">
      <c r="A490" s="27"/>
      <c r="B490" s="27"/>
      <c r="C490" s="40" t="s">
        <v>1931</v>
      </c>
      <c r="D490" s="29" t="s">
        <v>1932</v>
      </c>
      <c r="E490" s="36" t="s">
        <v>1933</v>
      </c>
      <c r="F490" s="42" t="s">
        <v>1934</v>
      </c>
      <c r="G490" s="32" t="s">
        <v>38</v>
      </c>
      <c r="H490" s="33" t="s">
        <v>1935</v>
      </c>
      <c r="I490" s="37" t="s">
        <v>50</v>
      </c>
      <c r="J490" s="35" t="s">
        <v>1936</v>
      </c>
      <c r="K490" s="30" t="s">
        <v>1937</v>
      </c>
    </row>
    <row r="491" customFormat="false" ht="14.25" hidden="false" customHeight="true" outlineLevel="0" collapsed="false">
      <c r="A491" s="27"/>
      <c r="B491" s="27"/>
      <c r="C491" s="27"/>
      <c r="D491" s="27"/>
      <c r="E491" s="36" t="s">
        <v>1938</v>
      </c>
      <c r="F491" s="42"/>
      <c r="G491" s="32"/>
      <c r="H491" s="33"/>
      <c r="I491" s="37"/>
      <c r="J491" s="35"/>
      <c r="K491" s="30" t="s">
        <v>1939</v>
      </c>
    </row>
    <row r="492" customFormat="false" ht="14.25" hidden="false" customHeight="true" outlineLevel="0" collapsed="false">
      <c r="A492" s="27"/>
      <c r="B492" s="27"/>
      <c r="C492" s="27"/>
      <c r="D492" s="29" t="s">
        <v>1940</v>
      </c>
      <c r="E492" s="36" t="s">
        <v>1941</v>
      </c>
      <c r="F492" s="42" t="s">
        <v>1942</v>
      </c>
      <c r="G492" s="32" t="s">
        <v>38</v>
      </c>
      <c r="H492" s="33" t="s">
        <v>1943</v>
      </c>
      <c r="I492" s="37" t="s">
        <v>50</v>
      </c>
      <c r="J492" s="35" t="s">
        <v>1944</v>
      </c>
      <c r="K492" s="30" t="s">
        <v>1945</v>
      </c>
    </row>
    <row r="493" customFormat="false" ht="14.25" hidden="false" customHeight="true" outlineLevel="0" collapsed="false">
      <c r="A493" s="27"/>
      <c r="B493" s="27"/>
      <c r="C493" s="27"/>
      <c r="D493" s="27"/>
      <c r="E493" s="36" t="s">
        <v>1946</v>
      </c>
      <c r="F493" s="42"/>
      <c r="G493" s="32"/>
      <c r="H493" s="33"/>
      <c r="I493" s="37"/>
      <c r="J493" s="35"/>
      <c r="K493" s="30" t="s">
        <v>1947</v>
      </c>
    </row>
    <row r="494" customFormat="false" ht="14.25" hidden="false" customHeight="true" outlineLevel="0" collapsed="false">
      <c r="A494" s="27"/>
      <c r="B494" s="27"/>
      <c r="C494" s="27"/>
      <c r="D494" s="29" t="s">
        <v>1948</v>
      </c>
      <c r="E494" s="36" t="s">
        <v>1949</v>
      </c>
      <c r="F494" s="42" t="s">
        <v>1950</v>
      </c>
      <c r="G494" s="32" t="s">
        <v>48</v>
      </c>
      <c r="H494" s="33" t="s">
        <v>1951</v>
      </c>
      <c r="I494" s="39" t="s">
        <v>67</v>
      </c>
      <c r="J494" s="35" t="s">
        <v>1952</v>
      </c>
      <c r="K494" s="30" t="s">
        <v>1953</v>
      </c>
    </row>
    <row r="495" customFormat="false" ht="14.25" hidden="false" customHeight="true" outlineLevel="0" collapsed="false">
      <c r="A495" s="27"/>
      <c r="B495" s="27"/>
      <c r="C495" s="27"/>
      <c r="D495" s="27"/>
      <c r="E495" s="36" t="s">
        <v>1954</v>
      </c>
      <c r="F495" s="42"/>
      <c r="G495" s="32"/>
      <c r="H495" s="33"/>
      <c r="I495" s="39"/>
      <c r="J495" s="35"/>
      <c r="K495" s="30" t="s">
        <v>1955</v>
      </c>
    </row>
    <row r="496" customFormat="false" ht="14.25" hidden="false" customHeight="true" outlineLevel="0" collapsed="false">
      <c r="A496" s="27"/>
      <c r="B496" s="27"/>
      <c r="C496" s="27"/>
      <c r="D496" s="29" t="s">
        <v>1956</v>
      </c>
      <c r="E496" s="36" t="s">
        <v>1957</v>
      </c>
      <c r="F496" s="42" t="s">
        <v>1958</v>
      </c>
      <c r="G496" s="32" t="s">
        <v>58</v>
      </c>
      <c r="H496" s="33" t="s">
        <v>1959</v>
      </c>
      <c r="I496" s="34" t="s">
        <v>40</v>
      </c>
      <c r="J496" s="35" t="s">
        <v>1960</v>
      </c>
      <c r="K496" s="30" t="s">
        <v>1961</v>
      </c>
    </row>
    <row r="497" customFormat="false" ht="14.25" hidden="false" customHeight="true" outlineLevel="0" collapsed="false">
      <c r="A497" s="27"/>
      <c r="B497" s="27"/>
      <c r="C497" s="27"/>
      <c r="D497" s="27"/>
      <c r="E497" s="36" t="s">
        <v>1962</v>
      </c>
      <c r="F497" s="42"/>
      <c r="G497" s="32"/>
      <c r="H497" s="33"/>
      <c r="I497" s="34"/>
      <c r="J497" s="35"/>
      <c r="K497" s="30" t="s">
        <v>1963</v>
      </c>
    </row>
    <row r="498" customFormat="false" ht="14.25" hidden="false" customHeight="true" outlineLevel="0" collapsed="false">
      <c r="A498" s="27"/>
      <c r="B498" s="27"/>
      <c r="C498" s="27"/>
      <c r="D498" s="29" t="s">
        <v>1964</v>
      </c>
      <c r="E498" s="36" t="s">
        <v>1965</v>
      </c>
      <c r="F498" s="42" t="s">
        <v>1966</v>
      </c>
      <c r="G498" s="32" t="s">
        <v>48</v>
      </c>
      <c r="H498" s="33" t="s">
        <v>1626</v>
      </c>
      <c r="I498" s="39" t="s">
        <v>67</v>
      </c>
      <c r="J498" s="35" t="s">
        <v>1967</v>
      </c>
      <c r="K498" s="30" t="s">
        <v>1968</v>
      </c>
    </row>
    <row r="499" customFormat="false" ht="14.25" hidden="false" customHeight="true" outlineLevel="0" collapsed="false">
      <c r="A499" s="27"/>
      <c r="B499" s="27"/>
      <c r="C499" s="27"/>
      <c r="D499" s="27"/>
      <c r="E499" s="36" t="s">
        <v>1969</v>
      </c>
      <c r="F499" s="42"/>
      <c r="G499" s="32"/>
      <c r="H499" s="33"/>
      <c r="I499" s="39"/>
      <c r="J499" s="35"/>
      <c r="K499" s="30" t="s">
        <v>1970</v>
      </c>
    </row>
    <row r="500" customFormat="false" ht="14.25" hidden="false" customHeight="true" outlineLevel="0" collapsed="false">
      <c r="A500" s="27"/>
      <c r="B500" s="27"/>
      <c r="C500" s="40" t="s">
        <v>1971</v>
      </c>
      <c r="D500" s="29" t="s">
        <v>1972</v>
      </c>
      <c r="E500" s="36" t="s">
        <v>1973</v>
      </c>
      <c r="F500" s="42" t="s">
        <v>1974</v>
      </c>
      <c r="G500" s="32" t="s">
        <v>48</v>
      </c>
      <c r="H500" s="33" t="s">
        <v>1975</v>
      </c>
      <c r="I500" s="37" t="s">
        <v>50</v>
      </c>
      <c r="J500" s="35" t="s">
        <v>1976</v>
      </c>
      <c r="K500" s="30" t="s">
        <v>1977</v>
      </c>
    </row>
    <row r="501" customFormat="false" ht="14.25" hidden="false" customHeight="true" outlineLevel="0" collapsed="false">
      <c r="A501" s="27"/>
      <c r="B501" s="27"/>
      <c r="C501" s="27"/>
      <c r="D501" s="27"/>
      <c r="E501" s="36" t="s">
        <v>1978</v>
      </c>
      <c r="F501" s="42"/>
      <c r="G501" s="32"/>
      <c r="H501" s="33"/>
      <c r="I501" s="37"/>
      <c r="J501" s="35"/>
      <c r="K501" s="30" t="s">
        <v>1979</v>
      </c>
    </row>
    <row r="502" customFormat="false" ht="14.25" hidden="false" customHeight="true" outlineLevel="0" collapsed="false">
      <c r="A502" s="27"/>
      <c r="B502" s="27"/>
      <c r="C502" s="27"/>
      <c r="D502" s="29" t="s">
        <v>1980</v>
      </c>
      <c r="E502" s="36" t="s">
        <v>1981</v>
      </c>
      <c r="F502" s="42" t="s">
        <v>1982</v>
      </c>
      <c r="G502" s="32" t="s">
        <v>38</v>
      </c>
      <c r="H502" s="33" t="s">
        <v>1983</v>
      </c>
      <c r="I502" s="37" t="s">
        <v>50</v>
      </c>
      <c r="J502" s="35" t="s">
        <v>1984</v>
      </c>
      <c r="K502" s="30" t="s">
        <v>1985</v>
      </c>
    </row>
    <row r="503" customFormat="false" ht="14.25" hidden="false" customHeight="true" outlineLevel="0" collapsed="false">
      <c r="A503" s="27"/>
      <c r="B503" s="27"/>
      <c r="C503" s="27"/>
      <c r="D503" s="27"/>
      <c r="E503" s="36" t="s">
        <v>1986</v>
      </c>
      <c r="F503" s="42"/>
      <c r="G503" s="32"/>
      <c r="H503" s="33"/>
      <c r="I503" s="37"/>
      <c r="J503" s="35"/>
      <c r="K503" s="30" t="s">
        <v>1987</v>
      </c>
    </row>
    <row r="504" customFormat="false" ht="14.25" hidden="false" customHeight="true" outlineLevel="0" collapsed="false">
      <c r="A504" s="27"/>
      <c r="B504" s="27"/>
      <c r="C504" s="27"/>
      <c r="D504" s="29" t="s">
        <v>1988</v>
      </c>
      <c r="E504" s="36" t="s">
        <v>1989</v>
      </c>
      <c r="F504" s="42" t="s">
        <v>1990</v>
      </c>
      <c r="G504" s="32" t="s">
        <v>38</v>
      </c>
      <c r="H504" s="33" t="s">
        <v>1991</v>
      </c>
      <c r="I504" s="39" t="s">
        <v>67</v>
      </c>
      <c r="J504" s="35" t="s">
        <v>1992</v>
      </c>
      <c r="K504" s="30" t="s">
        <v>1993</v>
      </c>
    </row>
    <row r="505" customFormat="false" ht="14.25" hidden="false" customHeight="true" outlineLevel="0" collapsed="false">
      <c r="A505" s="27"/>
      <c r="B505" s="27"/>
      <c r="C505" s="27"/>
      <c r="D505" s="27"/>
      <c r="E505" s="36" t="s">
        <v>1994</v>
      </c>
      <c r="F505" s="42"/>
      <c r="G505" s="32"/>
      <c r="H505" s="33"/>
      <c r="I505" s="39"/>
      <c r="J505" s="35"/>
      <c r="K505" s="30" t="s">
        <v>1995</v>
      </c>
    </row>
    <row r="506" customFormat="false" ht="14.25" hidden="false" customHeight="true" outlineLevel="0" collapsed="false">
      <c r="A506" s="27"/>
      <c r="B506" s="27"/>
      <c r="C506" s="27"/>
      <c r="D506" s="29" t="s">
        <v>1996</v>
      </c>
      <c r="E506" s="36" t="s">
        <v>1997</v>
      </c>
      <c r="F506" s="42" t="s">
        <v>1998</v>
      </c>
      <c r="G506" s="32" t="s">
        <v>38</v>
      </c>
      <c r="H506" s="33" t="s">
        <v>1999</v>
      </c>
      <c r="I506" s="34" t="s">
        <v>40</v>
      </c>
      <c r="J506" s="35" t="s">
        <v>2000</v>
      </c>
      <c r="K506" s="30" t="s">
        <v>2001</v>
      </c>
    </row>
    <row r="507" customFormat="false" ht="14.25" hidden="false" customHeight="true" outlineLevel="0" collapsed="false">
      <c r="A507" s="27"/>
      <c r="B507" s="27"/>
      <c r="C507" s="27"/>
      <c r="D507" s="27"/>
      <c r="E507" s="36" t="s">
        <v>2002</v>
      </c>
      <c r="F507" s="42"/>
      <c r="G507" s="32"/>
      <c r="H507" s="33"/>
      <c r="I507" s="34"/>
      <c r="J507" s="35"/>
      <c r="K507" s="30" t="s">
        <v>2003</v>
      </c>
    </row>
    <row r="508" customFormat="false" ht="14.25" hidden="false" customHeight="true" outlineLevel="0" collapsed="false">
      <c r="A508" s="27"/>
      <c r="B508" s="27"/>
      <c r="C508" s="27"/>
      <c r="D508" s="29" t="s">
        <v>2004</v>
      </c>
      <c r="E508" s="36" t="s">
        <v>2005</v>
      </c>
      <c r="F508" s="42" t="s">
        <v>2006</v>
      </c>
      <c r="G508" s="32" t="s">
        <v>48</v>
      </c>
      <c r="H508" s="33" t="s">
        <v>2007</v>
      </c>
      <c r="I508" s="39" t="s">
        <v>67</v>
      </c>
      <c r="J508" s="35" t="s">
        <v>2008</v>
      </c>
      <c r="K508" s="30" t="s">
        <v>2009</v>
      </c>
    </row>
    <row r="509" customFormat="false" ht="14.25" hidden="false" customHeight="true" outlineLevel="0" collapsed="false">
      <c r="A509" s="27"/>
      <c r="B509" s="27"/>
      <c r="C509" s="27"/>
      <c r="D509" s="27"/>
      <c r="E509" s="36" t="s">
        <v>2010</v>
      </c>
      <c r="F509" s="42"/>
      <c r="G509" s="32"/>
      <c r="H509" s="33"/>
      <c r="I509" s="39"/>
      <c r="J509" s="35"/>
      <c r="K509" s="30" t="s">
        <v>2011</v>
      </c>
    </row>
    <row r="510" customFormat="false" ht="14.25" hidden="false" customHeight="true" outlineLevel="0" collapsed="false">
      <c r="A510" s="27"/>
      <c r="B510" s="27"/>
      <c r="C510" s="40" t="s">
        <v>2012</v>
      </c>
      <c r="D510" s="29" t="s">
        <v>2013</v>
      </c>
      <c r="E510" s="36" t="s">
        <v>2014</v>
      </c>
      <c r="F510" s="42" t="s">
        <v>2015</v>
      </c>
      <c r="G510" s="32" t="s">
        <v>58</v>
      </c>
      <c r="H510" s="33" t="s">
        <v>1959</v>
      </c>
      <c r="I510" s="37" t="s">
        <v>50</v>
      </c>
      <c r="J510" s="35" t="s">
        <v>2016</v>
      </c>
      <c r="K510" s="30" t="s">
        <v>2017</v>
      </c>
    </row>
    <row r="511" customFormat="false" ht="14.25" hidden="false" customHeight="true" outlineLevel="0" collapsed="false">
      <c r="A511" s="27"/>
      <c r="B511" s="27"/>
      <c r="C511" s="27"/>
      <c r="D511" s="27"/>
      <c r="E511" s="36" t="s">
        <v>2018</v>
      </c>
      <c r="F511" s="42"/>
      <c r="G511" s="32"/>
      <c r="H511" s="33"/>
      <c r="I511" s="37"/>
      <c r="J511" s="35"/>
      <c r="K511" s="30" t="s">
        <v>2019</v>
      </c>
    </row>
    <row r="512" customFormat="false" ht="14.25" hidden="false" customHeight="true" outlineLevel="0" collapsed="false">
      <c r="A512" s="27"/>
      <c r="B512" s="27"/>
      <c r="C512" s="27"/>
      <c r="D512" s="29" t="s">
        <v>2020</v>
      </c>
      <c r="E512" s="36" t="s">
        <v>2021</v>
      </c>
      <c r="F512" s="42" t="s">
        <v>2022</v>
      </c>
      <c r="G512" s="32" t="s">
        <v>48</v>
      </c>
      <c r="H512" s="33" t="s">
        <v>2023</v>
      </c>
      <c r="I512" s="37" t="s">
        <v>50</v>
      </c>
      <c r="J512" s="35" t="s">
        <v>2024</v>
      </c>
      <c r="K512" s="30" t="s">
        <v>2025</v>
      </c>
    </row>
    <row r="513" customFormat="false" ht="14.25" hidden="false" customHeight="true" outlineLevel="0" collapsed="false">
      <c r="A513" s="27"/>
      <c r="B513" s="27"/>
      <c r="C513" s="27"/>
      <c r="D513" s="27"/>
      <c r="E513" s="36" t="s">
        <v>2026</v>
      </c>
      <c r="F513" s="42"/>
      <c r="G513" s="32"/>
      <c r="H513" s="33"/>
      <c r="I513" s="37"/>
      <c r="J513" s="35"/>
      <c r="K513" s="30" t="s">
        <v>2027</v>
      </c>
    </row>
    <row r="514" customFormat="false" ht="14.25" hidden="false" customHeight="true" outlineLevel="0" collapsed="false">
      <c r="A514" s="27"/>
      <c r="B514" s="27"/>
      <c r="C514" s="27"/>
      <c r="D514" s="29" t="s">
        <v>2028</v>
      </c>
      <c r="E514" s="36" t="s">
        <v>2029</v>
      </c>
      <c r="F514" s="42" t="s">
        <v>2030</v>
      </c>
      <c r="G514" s="32" t="s">
        <v>48</v>
      </c>
      <c r="H514" s="33" t="s">
        <v>2031</v>
      </c>
      <c r="I514" s="39" t="s">
        <v>67</v>
      </c>
      <c r="J514" s="35" t="s">
        <v>2032</v>
      </c>
      <c r="K514" s="30" t="s">
        <v>2033</v>
      </c>
    </row>
    <row r="515" customFormat="false" ht="14.25" hidden="false" customHeight="true" outlineLevel="0" collapsed="false">
      <c r="A515" s="27"/>
      <c r="B515" s="27"/>
      <c r="C515" s="27"/>
      <c r="D515" s="27"/>
      <c r="E515" s="36" t="s">
        <v>2034</v>
      </c>
      <c r="F515" s="42"/>
      <c r="G515" s="32"/>
      <c r="H515" s="33"/>
      <c r="I515" s="39"/>
      <c r="J515" s="35"/>
      <c r="K515" s="30" t="s">
        <v>2035</v>
      </c>
    </row>
    <row r="516" customFormat="false" ht="14.25" hidden="false" customHeight="true" outlineLevel="0" collapsed="false">
      <c r="A516" s="27"/>
      <c r="B516" s="27"/>
      <c r="C516" s="27"/>
      <c r="D516" s="29" t="s">
        <v>2036</v>
      </c>
      <c r="E516" s="36" t="s">
        <v>2037</v>
      </c>
      <c r="F516" s="42" t="s">
        <v>2038</v>
      </c>
      <c r="G516" s="32" t="s">
        <v>38</v>
      </c>
      <c r="H516" s="33" t="s">
        <v>2039</v>
      </c>
      <c r="I516" s="34" t="s">
        <v>40</v>
      </c>
      <c r="J516" s="35" t="s">
        <v>2040</v>
      </c>
      <c r="K516" s="30" t="s">
        <v>2041</v>
      </c>
    </row>
    <row r="517" customFormat="false" ht="14.25" hidden="false" customHeight="true" outlineLevel="0" collapsed="false">
      <c r="A517" s="27"/>
      <c r="B517" s="27"/>
      <c r="C517" s="27"/>
      <c r="D517" s="27"/>
      <c r="E517" s="36" t="s">
        <v>2042</v>
      </c>
      <c r="F517" s="42"/>
      <c r="G517" s="32"/>
      <c r="H517" s="33"/>
      <c r="I517" s="34"/>
      <c r="J517" s="35"/>
      <c r="K517" s="30" t="s">
        <v>2043</v>
      </c>
    </row>
    <row r="518" customFormat="false" ht="14.25" hidden="false" customHeight="true" outlineLevel="0" collapsed="false">
      <c r="A518" s="27"/>
      <c r="B518" s="27"/>
      <c r="C518" s="27"/>
      <c r="D518" s="29" t="s">
        <v>2044</v>
      </c>
      <c r="E518" s="36" t="s">
        <v>2044</v>
      </c>
      <c r="F518" s="42" t="s">
        <v>2045</v>
      </c>
      <c r="G518" s="32" t="s">
        <v>38</v>
      </c>
      <c r="H518" s="33" t="s">
        <v>2046</v>
      </c>
      <c r="I518" s="39" t="s">
        <v>67</v>
      </c>
      <c r="J518" s="35" t="s">
        <v>2047</v>
      </c>
      <c r="K518" s="30" t="s">
        <v>2048</v>
      </c>
    </row>
    <row r="519" customFormat="false" ht="14.25" hidden="false" customHeight="true" outlineLevel="0" collapsed="false">
      <c r="A519" s="27"/>
      <c r="B519" s="27"/>
      <c r="C519" s="27"/>
      <c r="D519" s="27"/>
      <c r="E519" s="36" t="s">
        <v>2049</v>
      </c>
      <c r="F519" s="42"/>
      <c r="G519" s="32"/>
      <c r="H519" s="33"/>
      <c r="I519" s="39"/>
      <c r="J519" s="35"/>
      <c r="K519" s="30" t="s">
        <v>2050</v>
      </c>
    </row>
    <row r="520" customFormat="false" ht="14.25" hidden="false" customHeight="true" outlineLevel="0" collapsed="false">
      <c r="A520" s="27"/>
      <c r="B520" s="27"/>
      <c r="C520" s="29" t="s">
        <v>2051</v>
      </c>
      <c r="D520" s="29" t="s">
        <v>2052</v>
      </c>
      <c r="E520" s="36" t="s">
        <v>2052</v>
      </c>
      <c r="F520" s="42" t="s">
        <v>2053</v>
      </c>
      <c r="G520" s="32" t="s">
        <v>38</v>
      </c>
      <c r="H520" s="33" t="s">
        <v>2054</v>
      </c>
      <c r="I520" s="37" t="s">
        <v>50</v>
      </c>
      <c r="J520" s="35" t="s">
        <v>2055</v>
      </c>
      <c r="K520" s="30" t="s">
        <v>2056</v>
      </c>
    </row>
    <row r="521" customFormat="false" ht="14.25" hidden="false" customHeight="true" outlineLevel="0" collapsed="false">
      <c r="A521" s="27"/>
      <c r="B521" s="27"/>
      <c r="C521" s="27"/>
      <c r="D521" s="27"/>
      <c r="E521" s="36" t="s">
        <v>2057</v>
      </c>
      <c r="F521" s="42"/>
      <c r="G521" s="32"/>
      <c r="H521" s="33"/>
      <c r="I521" s="37"/>
      <c r="J521" s="35"/>
      <c r="K521" s="30" t="s">
        <v>2058</v>
      </c>
    </row>
    <row r="522" customFormat="false" ht="14.25" hidden="false" customHeight="true" outlineLevel="0" collapsed="false">
      <c r="A522" s="27"/>
      <c r="B522" s="27"/>
      <c r="C522" s="27"/>
      <c r="D522" s="29" t="s">
        <v>2059</v>
      </c>
      <c r="E522" s="36" t="s">
        <v>2060</v>
      </c>
      <c r="F522" s="42" t="s">
        <v>2061</v>
      </c>
      <c r="G522" s="32" t="s">
        <v>48</v>
      </c>
      <c r="H522" s="33" t="s">
        <v>2062</v>
      </c>
      <c r="I522" s="37" t="s">
        <v>50</v>
      </c>
      <c r="J522" s="35" t="s">
        <v>2063</v>
      </c>
      <c r="K522" s="30" t="s">
        <v>2064</v>
      </c>
    </row>
    <row r="523" customFormat="false" ht="14.25" hidden="false" customHeight="true" outlineLevel="0" collapsed="false">
      <c r="A523" s="27"/>
      <c r="B523" s="27"/>
      <c r="C523" s="27"/>
      <c r="D523" s="27"/>
      <c r="E523" s="36" t="s">
        <v>2065</v>
      </c>
      <c r="F523" s="42"/>
      <c r="G523" s="32"/>
      <c r="H523" s="33"/>
      <c r="I523" s="37"/>
      <c r="J523" s="35"/>
      <c r="K523" s="30" t="s">
        <v>2066</v>
      </c>
    </row>
    <row r="524" customFormat="false" ht="14.25" hidden="false" customHeight="true" outlineLevel="0" collapsed="false">
      <c r="A524" s="27"/>
      <c r="B524" s="27"/>
      <c r="C524" s="27"/>
      <c r="D524" s="29" t="s">
        <v>2067</v>
      </c>
      <c r="E524" s="36" t="s">
        <v>2068</v>
      </c>
      <c r="F524" s="42" t="s">
        <v>2069</v>
      </c>
      <c r="G524" s="32" t="s">
        <v>58</v>
      </c>
      <c r="H524" s="33" t="s">
        <v>2070</v>
      </c>
      <c r="I524" s="39" t="s">
        <v>67</v>
      </c>
      <c r="J524" s="35" t="s">
        <v>2071</v>
      </c>
      <c r="K524" s="30" t="s">
        <v>2072</v>
      </c>
    </row>
    <row r="525" customFormat="false" ht="14.25" hidden="false" customHeight="true" outlineLevel="0" collapsed="false">
      <c r="A525" s="27"/>
      <c r="B525" s="27"/>
      <c r="C525" s="27"/>
      <c r="D525" s="27"/>
      <c r="E525" s="36" t="s">
        <v>1855</v>
      </c>
      <c r="F525" s="42"/>
      <c r="G525" s="32"/>
      <c r="H525" s="33"/>
      <c r="I525" s="39"/>
      <c r="J525" s="35"/>
      <c r="K525" s="30" t="s">
        <v>2073</v>
      </c>
    </row>
    <row r="526" customFormat="false" ht="14.25" hidden="false" customHeight="true" outlineLevel="0" collapsed="false">
      <c r="A526" s="27"/>
      <c r="B526" s="27"/>
      <c r="C526" s="27"/>
      <c r="D526" s="29" t="s">
        <v>2074</v>
      </c>
      <c r="E526" s="36" t="s">
        <v>2075</v>
      </c>
      <c r="F526" s="42" t="s">
        <v>2076</v>
      </c>
      <c r="G526" s="32" t="s">
        <v>48</v>
      </c>
      <c r="H526" s="33" t="s">
        <v>2077</v>
      </c>
      <c r="I526" s="34" t="s">
        <v>40</v>
      </c>
      <c r="J526" s="35" t="s">
        <v>2078</v>
      </c>
      <c r="K526" s="30" t="s">
        <v>2079</v>
      </c>
    </row>
    <row r="527" customFormat="false" ht="14.25" hidden="false" customHeight="true" outlineLevel="0" collapsed="false">
      <c r="A527" s="27"/>
      <c r="B527" s="27"/>
      <c r="C527" s="27"/>
      <c r="D527" s="27"/>
      <c r="E527" s="36" t="s">
        <v>2080</v>
      </c>
      <c r="F527" s="42"/>
      <c r="G527" s="32"/>
      <c r="H527" s="33"/>
      <c r="I527" s="34"/>
      <c r="J527" s="35"/>
      <c r="K527" s="30" t="s">
        <v>2081</v>
      </c>
    </row>
    <row r="528" customFormat="false" ht="14.25" hidden="false" customHeight="true" outlineLevel="0" collapsed="false">
      <c r="A528" s="27"/>
      <c r="B528" s="27"/>
      <c r="C528" s="27"/>
      <c r="D528" s="29" t="s">
        <v>2082</v>
      </c>
      <c r="E528" s="36" t="s">
        <v>2083</v>
      </c>
      <c r="F528" s="42" t="s">
        <v>2084</v>
      </c>
      <c r="G528" s="32" t="s">
        <v>48</v>
      </c>
      <c r="H528" s="33" t="s">
        <v>2085</v>
      </c>
      <c r="I528" s="39" t="s">
        <v>67</v>
      </c>
      <c r="J528" s="35" t="s">
        <v>2086</v>
      </c>
      <c r="K528" s="30" t="s">
        <v>2087</v>
      </c>
    </row>
    <row r="529" customFormat="false" ht="14.25" hidden="false" customHeight="true" outlineLevel="0" collapsed="false">
      <c r="A529" s="27"/>
      <c r="B529" s="27"/>
      <c r="C529" s="27"/>
      <c r="D529" s="27"/>
      <c r="E529" s="36" t="s">
        <v>2088</v>
      </c>
      <c r="F529" s="42"/>
      <c r="G529" s="32"/>
      <c r="H529" s="33"/>
      <c r="I529" s="39"/>
      <c r="J529" s="35"/>
      <c r="K529" s="30" t="s">
        <v>2089</v>
      </c>
    </row>
    <row r="530" customFormat="false" ht="14.25" hidden="false" customHeight="true" outlineLevel="0" collapsed="false">
      <c r="A530" s="27"/>
      <c r="B530" s="27"/>
      <c r="C530" s="29" t="s">
        <v>2090</v>
      </c>
      <c r="D530" s="29" t="s">
        <v>2091</v>
      </c>
      <c r="E530" s="36" t="s">
        <v>2092</v>
      </c>
      <c r="F530" s="42" t="s">
        <v>2093</v>
      </c>
      <c r="G530" s="32" t="s">
        <v>38</v>
      </c>
      <c r="H530" s="33" t="s">
        <v>2094</v>
      </c>
      <c r="I530" s="37" t="s">
        <v>50</v>
      </c>
      <c r="J530" s="35" t="s">
        <v>2095</v>
      </c>
      <c r="K530" s="30" t="s">
        <v>2096</v>
      </c>
    </row>
    <row r="531" customFormat="false" ht="14.25" hidden="false" customHeight="true" outlineLevel="0" collapsed="false">
      <c r="A531" s="27"/>
      <c r="B531" s="27"/>
      <c r="C531" s="27"/>
      <c r="D531" s="27"/>
      <c r="E531" s="36" t="s">
        <v>2097</v>
      </c>
      <c r="F531" s="42"/>
      <c r="G531" s="32"/>
      <c r="H531" s="33"/>
      <c r="I531" s="37"/>
      <c r="J531" s="35"/>
      <c r="K531" s="30" t="s">
        <v>2098</v>
      </c>
    </row>
    <row r="532" customFormat="false" ht="14.25" hidden="false" customHeight="true" outlineLevel="0" collapsed="false">
      <c r="A532" s="27"/>
      <c r="B532" s="27"/>
      <c r="C532" s="27"/>
      <c r="D532" s="29" t="s">
        <v>2099</v>
      </c>
      <c r="E532" s="36" t="s">
        <v>2100</v>
      </c>
      <c r="F532" s="42" t="s">
        <v>2101</v>
      </c>
      <c r="G532" s="32" t="s">
        <v>38</v>
      </c>
      <c r="H532" s="33" t="s">
        <v>2102</v>
      </c>
      <c r="I532" s="37" t="s">
        <v>50</v>
      </c>
      <c r="J532" s="35" t="s">
        <v>2103</v>
      </c>
      <c r="K532" s="30" t="s">
        <v>2104</v>
      </c>
    </row>
    <row r="533" customFormat="false" ht="14.25" hidden="false" customHeight="true" outlineLevel="0" collapsed="false">
      <c r="A533" s="27"/>
      <c r="B533" s="27"/>
      <c r="C533" s="27"/>
      <c r="D533" s="27"/>
      <c r="E533" s="36" t="s">
        <v>2105</v>
      </c>
      <c r="F533" s="42"/>
      <c r="G533" s="32"/>
      <c r="H533" s="33"/>
      <c r="I533" s="37"/>
      <c r="J533" s="35"/>
      <c r="K533" s="30" t="s">
        <v>2106</v>
      </c>
    </row>
    <row r="534" customFormat="false" ht="14.25" hidden="false" customHeight="true" outlineLevel="0" collapsed="false">
      <c r="A534" s="27"/>
      <c r="B534" s="27"/>
      <c r="C534" s="27"/>
      <c r="D534" s="29" t="s">
        <v>2107</v>
      </c>
      <c r="E534" s="36" t="s">
        <v>2108</v>
      </c>
      <c r="F534" s="42" t="s">
        <v>2109</v>
      </c>
      <c r="G534" s="32" t="s">
        <v>38</v>
      </c>
      <c r="H534" s="33" t="s">
        <v>2110</v>
      </c>
      <c r="I534" s="39" t="s">
        <v>67</v>
      </c>
      <c r="J534" s="35" t="s">
        <v>2111</v>
      </c>
      <c r="K534" s="30" t="s">
        <v>2112</v>
      </c>
    </row>
    <row r="535" customFormat="false" ht="14.25" hidden="false" customHeight="true" outlineLevel="0" collapsed="false">
      <c r="A535" s="27"/>
      <c r="B535" s="27"/>
      <c r="C535" s="27"/>
      <c r="D535" s="27"/>
      <c r="E535" s="36" t="s">
        <v>2113</v>
      </c>
      <c r="F535" s="42"/>
      <c r="G535" s="32"/>
      <c r="H535" s="33"/>
      <c r="I535" s="39"/>
      <c r="J535" s="35"/>
      <c r="K535" s="30" t="s">
        <v>1521</v>
      </c>
    </row>
    <row r="536" customFormat="false" ht="14.25" hidden="false" customHeight="true" outlineLevel="0" collapsed="false">
      <c r="A536" s="27"/>
      <c r="B536" s="27"/>
      <c r="C536" s="27"/>
      <c r="D536" s="29" t="s">
        <v>2114</v>
      </c>
      <c r="E536" s="36" t="s">
        <v>2115</v>
      </c>
      <c r="F536" s="42" t="s">
        <v>2116</v>
      </c>
      <c r="G536" s="32" t="s">
        <v>48</v>
      </c>
      <c r="H536" s="33" t="s">
        <v>2117</v>
      </c>
      <c r="I536" s="34" t="s">
        <v>40</v>
      </c>
      <c r="J536" s="35" t="s">
        <v>2118</v>
      </c>
      <c r="K536" s="30" t="s">
        <v>2119</v>
      </c>
    </row>
    <row r="537" customFormat="false" ht="14.25" hidden="false" customHeight="true" outlineLevel="0" collapsed="false">
      <c r="A537" s="27"/>
      <c r="B537" s="27"/>
      <c r="C537" s="27"/>
      <c r="D537" s="27"/>
      <c r="E537" s="36" t="s">
        <v>2120</v>
      </c>
      <c r="F537" s="42"/>
      <c r="G537" s="32"/>
      <c r="H537" s="33"/>
      <c r="I537" s="34"/>
      <c r="J537" s="35"/>
      <c r="K537" s="30" t="s">
        <v>2121</v>
      </c>
    </row>
    <row r="538" customFormat="false" ht="14.25" hidden="false" customHeight="true" outlineLevel="0" collapsed="false">
      <c r="A538" s="27"/>
      <c r="B538" s="27"/>
      <c r="C538" s="27"/>
      <c r="D538" s="29" t="s">
        <v>2122</v>
      </c>
      <c r="E538" s="36" t="s">
        <v>2123</v>
      </c>
      <c r="F538" s="42" t="s">
        <v>2124</v>
      </c>
      <c r="G538" s="32" t="s">
        <v>58</v>
      </c>
      <c r="H538" s="33" t="s">
        <v>2125</v>
      </c>
      <c r="I538" s="39" t="s">
        <v>67</v>
      </c>
      <c r="J538" s="35" t="s">
        <v>2126</v>
      </c>
      <c r="K538" s="30" t="s">
        <v>2127</v>
      </c>
    </row>
    <row r="539" customFormat="false" ht="14.25" hidden="false" customHeight="true" outlineLevel="0" collapsed="false">
      <c r="A539" s="27"/>
      <c r="B539" s="27"/>
      <c r="C539" s="27"/>
      <c r="D539" s="27"/>
      <c r="E539" s="36" t="s">
        <v>2128</v>
      </c>
      <c r="F539" s="42"/>
      <c r="G539" s="32"/>
      <c r="H539" s="33"/>
      <c r="I539" s="39"/>
      <c r="J539" s="35"/>
      <c r="K539" s="30" t="s">
        <v>2129</v>
      </c>
    </row>
    <row r="540" customFormat="false" ht="14.25" hidden="false" customHeight="true" outlineLevel="0" collapsed="false">
      <c r="A540" s="27"/>
      <c r="B540" s="27"/>
      <c r="C540" s="40" t="s">
        <v>2130</v>
      </c>
      <c r="D540" s="29" t="s">
        <v>2131</v>
      </c>
      <c r="E540" s="36" t="s">
        <v>2132</v>
      </c>
      <c r="F540" s="42" t="s">
        <v>2133</v>
      </c>
      <c r="G540" s="32" t="s">
        <v>48</v>
      </c>
      <c r="H540" s="33" t="s">
        <v>2134</v>
      </c>
      <c r="I540" s="37" t="s">
        <v>50</v>
      </c>
      <c r="J540" s="35" t="s">
        <v>2135</v>
      </c>
      <c r="K540" s="30" t="s">
        <v>2136</v>
      </c>
    </row>
    <row r="541" customFormat="false" ht="14.25" hidden="false" customHeight="true" outlineLevel="0" collapsed="false">
      <c r="A541" s="27"/>
      <c r="B541" s="27"/>
      <c r="C541" s="27"/>
      <c r="D541" s="27"/>
      <c r="E541" s="36" t="s">
        <v>2137</v>
      </c>
      <c r="F541" s="42"/>
      <c r="G541" s="32"/>
      <c r="H541" s="33"/>
      <c r="I541" s="37"/>
      <c r="J541" s="35"/>
      <c r="K541" s="30" t="s">
        <v>2138</v>
      </c>
    </row>
    <row r="542" customFormat="false" ht="14.25" hidden="false" customHeight="true" outlineLevel="0" collapsed="false">
      <c r="A542" s="27"/>
      <c r="B542" s="27"/>
      <c r="C542" s="27"/>
      <c r="D542" s="29" t="s">
        <v>2139</v>
      </c>
      <c r="E542" s="36" t="s">
        <v>2140</v>
      </c>
      <c r="F542" s="42" t="s">
        <v>2141</v>
      </c>
      <c r="G542" s="32" t="s">
        <v>48</v>
      </c>
      <c r="H542" s="33" t="s">
        <v>2142</v>
      </c>
      <c r="I542" s="37" t="s">
        <v>50</v>
      </c>
      <c r="J542" s="35" t="s">
        <v>2143</v>
      </c>
      <c r="K542" s="30" t="s">
        <v>2144</v>
      </c>
    </row>
    <row r="543" customFormat="false" ht="14.25" hidden="false" customHeight="true" outlineLevel="0" collapsed="false">
      <c r="A543" s="27"/>
      <c r="B543" s="27"/>
      <c r="C543" s="27"/>
      <c r="D543" s="27"/>
      <c r="E543" s="36" t="s">
        <v>2145</v>
      </c>
      <c r="F543" s="42"/>
      <c r="G543" s="32"/>
      <c r="H543" s="33"/>
      <c r="I543" s="37"/>
      <c r="J543" s="35"/>
      <c r="K543" s="30" t="s">
        <v>2072</v>
      </c>
    </row>
    <row r="544" customFormat="false" ht="14.25" hidden="false" customHeight="true" outlineLevel="0" collapsed="false">
      <c r="A544" s="27"/>
      <c r="B544" s="27"/>
      <c r="C544" s="27"/>
      <c r="D544" s="29" t="s">
        <v>2146</v>
      </c>
      <c r="E544" s="36" t="s">
        <v>2147</v>
      </c>
      <c r="F544" s="42" t="s">
        <v>2148</v>
      </c>
      <c r="G544" s="32" t="s">
        <v>38</v>
      </c>
      <c r="H544" s="33" t="s">
        <v>2149</v>
      </c>
      <c r="I544" s="39" t="s">
        <v>67</v>
      </c>
      <c r="J544" s="35" t="s">
        <v>2150</v>
      </c>
      <c r="K544" s="30" t="s">
        <v>2041</v>
      </c>
    </row>
    <row r="545" customFormat="false" ht="14.25" hidden="false" customHeight="true" outlineLevel="0" collapsed="false">
      <c r="A545" s="27"/>
      <c r="B545" s="27"/>
      <c r="C545" s="27"/>
      <c r="D545" s="27"/>
      <c r="E545" s="36" t="s">
        <v>2151</v>
      </c>
      <c r="F545" s="42"/>
      <c r="G545" s="32"/>
      <c r="H545" s="33"/>
      <c r="I545" s="39"/>
      <c r="J545" s="35"/>
      <c r="K545" s="30" t="s">
        <v>2043</v>
      </c>
    </row>
    <row r="546" customFormat="false" ht="14.25" hidden="false" customHeight="true" outlineLevel="0" collapsed="false">
      <c r="A546" s="27"/>
      <c r="B546" s="27"/>
      <c r="C546" s="27"/>
      <c r="D546" s="29" t="s">
        <v>2152</v>
      </c>
      <c r="E546" s="36" t="s">
        <v>2153</v>
      </c>
      <c r="F546" s="42" t="s">
        <v>2154</v>
      </c>
      <c r="G546" s="32" t="s">
        <v>38</v>
      </c>
      <c r="H546" s="33" t="s">
        <v>2155</v>
      </c>
      <c r="I546" s="34" t="s">
        <v>40</v>
      </c>
      <c r="J546" s="35" t="s">
        <v>2156</v>
      </c>
      <c r="K546" s="30" t="s">
        <v>2048</v>
      </c>
    </row>
    <row r="547" customFormat="false" ht="14.25" hidden="false" customHeight="true" outlineLevel="0" collapsed="false">
      <c r="A547" s="27"/>
      <c r="B547" s="27"/>
      <c r="C547" s="27"/>
      <c r="D547" s="27"/>
      <c r="E547" s="36" t="s">
        <v>2157</v>
      </c>
      <c r="F547" s="42"/>
      <c r="G547" s="32"/>
      <c r="H547" s="33"/>
      <c r="I547" s="34"/>
      <c r="J547" s="35"/>
      <c r="K547" s="30" t="s">
        <v>2050</v>
      </c>
    </row>
    <row r="548" customFormat="false" ht="14.25" hidden="false" customHeight="true" outlineLevel="0" collapsed="false">
      <c r="A548" s="27"/>
      <c r="B548" s="27"/>
      <c r="C548" s="27"/>
      <c r="D548" s="29" t="s">
        <v>2158</v>
      </c>
      <c r="E548" s="36" t="s">
        <v>2159</v>
      </c>
      <c r="F548" s="42" t="s">
        <v>2160</v>
      </c>
      <c r="G548" s="32" t="s">
        <v>38</v>
      </c>
      <c r="H548" s="33" t="s">
        <v>2161</v>
      </c>
      <c r="I548" s="39" t="s">
        <v>67</v>
      </c>
      <c r="J548" s="35" t="s">
        <v>2162</v>
      </c>
      <c r="K548" s="30" t="s">
        <v>2056</v>
      </c>
    </row>
    <row r="549" customFormat="false" ht="14.25" hidden="false" customHeight="true" outlineLevel="0" collapsed="false">
      <c r="A549" s="27"/>
      <c r="B549" s="27"/>
      <c r="C549" s="27"/>
      <c r="D549" s="27"/>
      <c r="E549" s="36" t="s">
        <v>2163</v>
      </c>
      <c r="F549" s="42"/>
      <c r="G549" s="32"/>
      <c r="H549" s="33"/>
      <c r="I549" s="39"/>
      <c r="J549" s="35"/>
      <c r="K549" s="30" t="s">
        <v>2058</v>
      </c>
    </row>
    <row r="550" customFormat="false" ht="14.25" hidden="false" customHeight="true" outlineLevel="0" collapsed="false">
      <c r="A550" s="27"/>
      <c r="B550" s="27"/>
      <c r="C550" s="40" t="s">
        <v>2164</v>
      </c>
      <c r="D550" s="29" t="s">
        <v>2165</v>
      </c>
      <c r="E550" s="36" t="s">
        <v>2166</v>
      </c>
      <c r="F550" s="42" t="s">
        <v>2167</v>
      </c>
      <c r="G550" s="32" t="s">
        <v>48</v>
      </c>
      <c r="H550" s="33" t="s">
        <v>2168</v>
      </c>
      <c r="I550" s="37" t="s">
        <v>50</v>
      </c>
      <c r="J550" s="35" t="s">
        <v>2169</v>
      </c>
      <c r="K550" s="30" t="s">
        <v>2064</v>
      </c>
    </row>
    <row r="551" customFormat="false" ht="14.25" hidden="false" customHeight="true" outlineLevel="0" collapsed="false">
      <c r="A551" s="27"/>
      <c r="B551" s="27"/>
      <c r="C551" s="27"/>
      <c r="D551" s="27"/>
      <c r="E551" s="36" t="s">
        <v>2170</v>
      </c>
      <c r="F551" s="42"/>
      <c r="G551" s="32"/>
      <c r="H551" s="33"/>
      <c r="I551" s="37"/>
      <c r="J551" s="35"/>
      <c r="K551" s="30" t="s">
        <v>2066</v>
      </c>
    </row>
    <row r="552" customFormat="false" ht="14.25" hidden="false" customHeight="true" outlineLevel="0" collapsed="false">
      <c r="A552" s="27"/>
      <c r="B552" s="27"/>
      <c r="C552" s="27"/>
      <c r="D552" s="29" t="s">
        <v>2171</v>
      </c>
      <c r="E552" s="36" t="s">
        <v>2172</v>
      </c>
      <c r="F552" s="42" t="s">
        <v>2173</v>
      </c>
      <c r="G552" s="32" t="s">
        <v>58</v>
      </c>
      <c r="H552" s="33" t="s">
        <v>2174</v>
      </c>
      <c r="I552" s="37" t="s">
        <v>50</v>
      </c>
      <c r="J552" s="35" t="s">
        <v>2175</v>
      </c>
      <c r="K552" s="30" t="s">
        <v>2072</v>
      </c>
    </row>
    <row r="553" customFormat="false" ht="14.25" hidden="false" customHeight="true" outlineLevel="0" collapsed="false">
      <c r="A553" s="27"/>
      <c r="B553" s="27"/>
      <c r="C553" s="27"/>
      <c r="D553" s="27"/>
      <c r="E553" s="36" t="s">
        <v>1514</v>
      </c>
      <c r="F553" s="42"/>
      <c r="G553" s="32"/>
      <c r="H553" s="33"/>
      <c r="I553" s="37"/>
      <c r="J553" s="35"/>
      <c r="K553" s="30" t="s">
        <v>2073</v>
      </c>
    </row>
    <row r="554" customFormat="false" ht="14.25" hidden="false" customHeight="true" outlineLevel="0" collapsed="false">
      <c r="A554" s="27"/>
      <c r="B554" s="27"/>
      <c r="C554" s="27"/>
      <c r="D554" s="29" t="s">
        <v>2176</v>
      </c>
      <c r="E554" s="36" t="s">
        <v>2177</v>
      </c>
      <c r="F554" s="42" t="s">
        <v>2178</v>
      </c>
      <c r="G554" s="32" t="s">
        <v>48</v>
      </c>
      <c r="H554" s="33" t="s">
        <v>2179</v>
      </c>
      <c r="I554" s="39" t="s">
        <v>67</v>
      </c>
      <c r="J554" s="35" t="s">
        <v>2180</v>
      </c>
      <c r="K554" s="30" t="s">
        <v>2079</v>
      </c>
    </row>
    <row r="555" customFormat="false" ht="14.25" hidden="false" customHeight="true" outlineLevel="0" collapsed="false">
      <c r="A555" s="27"/>
      <c r="B555" s="27"/>
      <c r="C555" s="27"/>
      <c r="D555" s="27"/>
      <c r="E555" s="36" t="s">
        <v>2181</v>
      </c>
      <c r="F555" s="42"/>
      <c r="G555" s="32"/>
      <c r="H555" s="33"/>
      <c r="I555" s="39"/>
      <c r="J555" s="35"/>
      <c r="K555" s="30" t="s">
        <v>2081</v>
      </c>
    </row>
    <row r="556" customFormat="false" ht="14.25" hidden="false" customHeight="true" outlineLevel="0" collapsed="false">
      <c r="A556" s="27"/>
      <c r="B556" s="27"/>
      <c r="C556" s="27"/>
      <c r="D556" s="29" t="s">
        <v>2182</v>
      </c>
      <c r="E556" s="36" t="s">
        <v>2147</v>
      </c>
      <c r="F556" s="42" t="s">
        <v>2183</v>
      </c>
      <c r="G556" s="32" t="s">
        <v>48</v>
      </c>
      <c r="H556" s="33" t="s">
        <v>2184</v>
      </c>
      <c r="I556" s="34" t="s">
        <v>40</v>
      </c>
      <c r="J556" s="35" t="s">
        <v>2185</v>
      </c>
      <c r="K556" s="30" t="s">
        <v>2087</v>
      </c>
    </row>
    <row r="557" customFormat="false" ht="14.25" hidden="false" customHeight="true" outlineLevel="0" collapsed="false">
      <c r="A557" s="27"/>
      <c r="B557" s="27"/>
      <c r="C557" s="27"/>
      <c r="D557" s="27"/>
      <c r="E557" s="36" t="s">
        <v>2186</v>
      </c>
      <c r="F557" s="42"/>
      <c r="G557" s="32"/>
      <c r="H557" s="33"/>
      <c r="I557" s="34"/>
      <c r="J557" s="35"/>
      <c r="K557" s="30" t="s">
        <v>2089</v>
      </c>
    </row>
    <row r="558" customFormat="false" ht="14.25" hidden="false" customHeight="true" outlineLevel="0" collapsed="false">
      <c r="A558" s="27"/>
      <c r="B558" s="27"/>
      <c r="C558" s="27"/>
      <c r="D558" s="29" t="s">
        <v>2187</v>
      </c>
      <c r="E558" s="36" t="s">
        <v>2151</v>
      </c>
      <c r="F558" s="42" t="s">
        <v>2188</v>
      </c>
      <c r="G558" s="32" t="s">
        <v>38</v>
      </c>
      <c r="H558" s="33" t="s">
        <v>2189</v>
      </c>
      <c r="I558" s="39" t="s">
        <v>67</v>
      </c>
      <c r="J558" s="35" t="s">
        <v>2190</v>
      </c>
      <c r="K558" s="30" t="s">
        <v>2096</v>
      </c>
    </row>
    <row r="559" customFormat="false" ht="14.25" hidden="false" customHeight="true" outlineLevel="0" collapsed="false">
      <c r="A559" s="27"/>
      <c r="B559" s="27"/>
      <c r="C559" s="27"/>
      <c r="D559" s="27"/>
      <c r="E559" s="36" t="s">
        <v>2191</v>
      </c>
      <c r="F559" s="42"/>
      <c r="G559" s="32"/>
      <c r="H559" s="33"/>
      <c r="I559" s="39"/>
      <c r="J559" s="35"/>
      <c r="K559" s="30" t="s">
        <v>2098</v>
      </c>
    </row>
    <row r="560" customFormat="false" ht="14.25" hidden="false" customHeight="true" outlineLevel="0" collapsed="false">
      <c r="A560" s="27"/>
      <c r="B560" s="27"/>
      <c r="C560" s="40" t="s">
        <v>2192</v>
      </c>
      <c r="D560" s="29" t="s">
        <v>2193</v>
      </c>
      <c r="E560" s="36" t="s">
        <v>2153</v>
      </c>
      <c r="F560" s="42" t="s">
        <v>2194</v>
      </c>
      <c r="G560" s="32" t="s">
        <v>38</v>
      </c>
      <c r="H560" s="33" t="s">
        <v>2195</v>
      </c>
      <c r="I560" s="37" t="s">
        <v>50</v>
      </c>
      <c r="J560" s="35" t="s">
        <v>2196</v>
      </c>
      <c r="K560" s="30" t="s">
        <v>2104</v>
      </c>
    </row>
    <row r="561" customFormat="false" ht="14.25" hidden="false" customHeight="true" outlineLevel="0" collapsed="false">
      <c r="A561" s="27"/>
      <c r="B561" s="27"/>
      <c r="C561" s="27"/>
      <c r="D561" s="27"/>
      <c r="E561" s="36" t="s">
        <v>2197</v>
      </c>
      <c r="F561" s="42"/>
      <c r="G561" s="32"/>
      <c r="H561" s="33"/>
      <c r="I561" s="37"/>
      <c r="J561" s="35"/>
      <c r="K561" s="30" t="s">
        <v>2106</v>
      </c>
    </row>
    <row r="562" customFormat="false" ht="14.25" hidden="false" customHeight="true" outlineLevel="0" collapsed="false">
      <c r="A562" s="27"/>
      <c r="B562" s="27"/>
      <c r="C562" s="27"/>
      <c r="D562" s="29" t="s">
        <v>2198</v>
      </c>
      <c r="E562" s="36" t="s">
        <v>2157</v>
      </c>
      <c r="F562" s="42" t="s">
        <v>2199</v>
      </c>
      <c r="G562" s="32" t="s">
        <v>38</v>
      </c>
      <c r="H562" s="33" t="s">
        <v>2200</v>
      </c>
      <c r="I562" s="37" t="s">
        <v>50</v>
      </c>
      <c r="J562" s="35" t="s">
        <v>1642</v>
      </c>
      <c r="K562" s="30" t="s">
        <v>2112</v>
      </c>
    </row>
    <row r="563" customFormat="false" ht="14.25" hidden="false" customHeight="true" outlineLevel="0" collapsed="false">
      <c r="A563" s="27"/>
      <c r="B563" s="27"/>
      <c r="C563" s="27"/>
      <c r="D563" s="27"/>
      <c r="E563" s="36" t="s">
        <v>2201</v>
      </c>
      <c r="F563" s="42"/>
      <c r="G563" s="32"/>
      <c r="H563" s="33"/>
      <c r="I563" s="37"/>
      <c r="J563" s="35"/>
      <c r="K563" s="30" t="s">
        <v>1521</v>
      </c>
    </row>
    <row r="564" customFormat="false" ht="14.25" hidden="false" customHeight="true" outlineLevel="0" collapsed="false">
      <c r="A564" s="27"/>
      <c r="B564" s="27"/>
      <c r="C564" s="27"/>
      <c r="D564" s="29" t="s">
        <v>2202</v>
      </c>
      <c r="E564" s="36" t="s">
        <v>2159</v>
      </c>
      <c r="F564" s="42" t="s">
        <v>2203</v>
      </c>
      <c r="G564" s="32" t="s">
        <v>48</v>
      </c>
      <c r="H564" s="33" t="s">
        <v>2204</v>
      </c>
      <c r="I564" s="39" t="s">
        <v>67</v>
      </c>
      <c r="J564" s="35" t="s">
        <v>2205</v>
      </c>
      <c r="K564" s="30" t="s">
        <v>2119</v>
      </c>
    </row>
    <row r="565" customFormat="false" ht="14.25" hidden="false" customHeight="true" outlineLevel="0" collapsed="false">
      <c r="A565" s="27"/>
      <c r="B565" s="27"/>
      <c r="C565" s="27"/>
      <c r="D565" s="27"/>
      <c r="E565" s="36" t="s">
        <v>2206</v>
      </c>
      <c r="F565" s="42"/>
      <c r="G565" s="32"/>
      <c r="H565" s="33"/>
      <c r="I565" s="39"/>
      <c r="J565" s="35"/>
      <c r="K565" s="30" t="s">
        <v>2121</v>
      </c>
    </row>
    <row r="566" customFormat="false" ht="14.25" hidden="false" customHeight="true" outlineLevel="0" collapsed="false">
      <c r="A566" s="27"/>
      <c r="B566" s="27"/>
      <c r="C566" s="27"/>
      <c r="D566" s="29" t="s">
        <v>2207</v>
      </c>
      <c r="E566" s="36" t="s">
        <v>2163</v>
      </c>
      <c r="F566" s="42" t="s">
        <v>2208</v>
      </c>
      <c r="G566" s="32" t="s">
        <v>58</v>
      </c>
      <c r="H566" s="33" t="s">
        <v>2209</v>
      </c>
      <c r="I566" s="34" t="s">
        <v>40</v>
      </c>
      <c r="J566" s="35" t="s">
        <v>2210</v>
      </c>
      <c r="K566" s="30" t="s">
        <v>2127</v>
      </c>
    </row>
    <row r="567" customFormat="false" ht="14.25" hidden="false" customHeight="true" outlineLevel="0" collapsed="false">
      <c r="A567" s="27"/>
      <c r="B567" s="27"/>
      <c r="C567" s="27"/>
      <c r="D567" s="27"/>
      <c r="E567" s="36" t="s">
        <v>2211</v>
      </c>
      <c r="F567" s="42"/>
      <c r="G567" s="32"/>
      <c r="H567" s="33"/>
      <c r="I567" s="34"/>
      <c r="J567" s="35"/>
      <c r="K567" s="30" t="s">
        <v>2129</v>
      </c>
    </row>
    <row r="568" customFormat="false" ht="14.25" hidden="false" customHeight="true" outlineLevel="0" collapsed="false">
      <c r="A568" s="27"/>
      <c r="B568" s="27"/>
      <c r="C568" s="27"/>
      <c r="D568" s="29" t="s">
        <v>2212</v>
      </c>
      <c r="E568" s="36" t="s">
        <v>2166</v>
      </c>
      <c r="F568" s="42" t="s">
        <v>2213</v>
      </c>
      <c r="G568" s="32" t="s">
        <v>48</v>
      </c>
      <c r="H568" s="33" t="s">
        <v>2214</v>
      </c>
      <c r="I568" s="39" t="s">
        <v>67</v>
      </c>
      <c r="J568" s="35" t="s">
        <v>2215</v>
      </c>
      <c r="K568" s="30" t="s">
        <v>2216</v>
      </c>
    </row>
    <row r="569" customFormat="false" ht="14.25" hidden="false" customHeight="true" outlineLevel="0" collapsed="false">
      <c r="A569" s="27"/>
      <c r="B569" s="27"/>
      <c r="C569" s="27"/>
      <c r="D569" s="27"/>
      <c r="E569" s="36" t="s">
        <v>2217</v>
      </c>
      <c r="F569" s="42"/>
      <c r="G569" s="32"/>
      <c r="H569" s="33"/>
      <c r="I569" s="39"/>
      <c r="J569" s="35"/>
      <c r="K569" s="30" t="s">
        <v>2218</v>
      </c>
    </row>
    <row r="570" customFormat="false" ht="14.25" hidden="false" customHeight="true" outlineLevel="0" collapsed="false">
      <c r="A570" s="27"/>
      <c r="B570" s="27"/>
      <c r="C570" s="29" t="s">
        <v>2219</v>
      </c>
      <c r="D570" s="29" t="s">
        <v>2220</v>
      </c>
      <c r="E570" s="36" t="s">
        <v>2170</v>
      </c>
      <c r="F570" s="42" t="s">
        <v>2221</v>
      </c>
      <c r="G570" s="32" t="s">
        <v>48</v>
      </c>
      <c r="H570" s="33" t="s">
        <v>1771</v>
      </c>
      <c r="I570" s="37" t="s">
        <v>50</v>
      </c>
      <c r="J570" s="35" t="s">
        <v>2222</v>
      </c>
      <c r="K570" s="30" t="s">
        <v>2223</v>
      </c>
    </row>
    <row r="571" customFormat="false" ht="14.25" hidden="false" customHeight="true" outlineLevel="0" collapsed="false">
      <c r="A571" s="27"/>
      <c r="B571" s="27"/>
      <c r="C571" s="27"/>
      <c r="D571" s="27"/>
      <c r="E571" s="36" t="s">
        <v>2224</v>
      </c>
      <c r="F571" s="42"/>
      <c r="G571" s="32"/>
      <c r="H571" s="33"/>
      <c r="I571" s="37"/>
      <c r="J571" s="35"/>
      <c r="K571" s="30" t="s">
        <v>2225</v>
      </c>
    </row>
    <row r="572" customFormat="false" ht="14.25" hidden="false" customHeight="true" outlineLevel="0" collapsed="false">
      <c r="A572" s="27"/>
      <c r="B572" s="27"/>
      <c r="C572" s="27"/>
      <c r="D572" s="29" t="s">
        <v>2226</v>
      </c>
      <c r="E572" s="36" t="s">
        <v>2172</v>
      </c>
      <c r="F572" s="42" t="s">
        <v>2227</v>
      </c>
      <c r="G572" s="32" t="s">
        <v>38</v>
      </c>
      <c r="H572" s="33" t="s">
        <v>2228</v>
      </c>
      <c r="I572" s="37" t="s">
        <v>50</v>
      </c>
      <c r="J572" s="35" t="s">
        <v>2229</v>
      </c>
      <c r="K572" s="30" t="s">
        <v>2230</v>
      </c>
    </row>
    <row r="573" customFormat="false" ht="14.25" hidden="false" customHeight="true" outlineLevel="0" collapsed="false">
      <c r="A573" s="27"/>
      <c r="B573" s="27"/>
      <c r="C573" s="27"/>
      <c r="D573" s="27"/>
      <c r="E573" s="36" t="s">
        <v>2231</v>
      </c>
      <c r="F573" s="42"/>
      <c r="G573" s="32"/>
      <c r="H573" s="33"/>
      <c r="I573" s="37"/>
      <c r="J573" s="35"/>
      <c r="K573" s="30" t="s">
        <v>2232</v>
      </c>
    </row>
    <row r="574" customFormat="false" ht="14.25" hidden="false" customHeight="true" outlineLevel="0" collapsed="false">
      <c r="A574" s="27"/>
      <c r="B574" s="27"/>
      <c r="C574" s="27"/>
      <c r="D574" s="29" t="s">
        <v>2233</v>
      </c>
      <c r="E574" s="36" t="s">
        <v>1514</v>
      </c>
      <c r="F574" s="42" t="s">
        <v>2234</v>
      </c>
      <c r="G574" s="32" t="s">
        <v>38</v>
      </c>
      <c r="H574" s="33" t="s">
        <v>2235</v>
      </c>
      <c r="I574" s="39" t="s">
        <v>67</v>
      </c>
      <c r="J574" s="35" t="s">
        <v>2236</v>
      </c>
      <c r="K574" s="30" t="s">
        <v>2237</v>
      </c>
    </row>
    <row r="575" customFormat="false" ht="14.25" hidden="false" customHeight="true" outlineLevel="0" collapsed="false">
      <c r="A575" s="27"/>
      <c r="B575" s="27"/>
      <c r="C575" s="27"/>
      <c r="D575" s="27"/>
      <c r="E575" s="36" t="s">
        <v>576</v>
      </c>
      <c r="F575" s="42"/>
      <c r="G575" s="32"/>
      <c r="H575" s="33"/>
      <c r="I575" s="39"/>
      <c r="J575" s="35"/>
      <c r="K575" s="30" t="s">
        <v>2238</v>
      </c>
    </row>
    <row r="576" customFormat="false" ht="14.25" hidden="false" customHeight="true" outlineLevel="0" collapsed="false">
      <c r="A576" s="27"/>
      <c r="B576" s="27"/>
      <c r="C576" s="27"/>
      <c r="D576" s="29" t="s">
        <v>2239</v>
      </c>
      <c r="E576" s="36" t="s">
        <v>2177</v>
      </c>
      <c r="F576" s="42" t="s">
        <v>2240</v>
      </c>
      <c r="G576" s="32" t="s">
        <v>38</v>
      </c>
      <c r="H576" s="33" t="s">
        <v>2241</v>
      </c>
      <c r="I576" s="34" t="s">
        <v>40</v>
      </c>
      <c r="J576" s="35" t="s">
        <v>2242</v>
      </c>
      <c r="K576" s="30" t="s">
        <v>2243</v>
      </c>
    </row>
    <row r="577" customFormat="false" ht="14.25" hidden="false" customHeight="true" outlineLevel="0" collapsed="false">
      <c r="A577" s="27"/>
      <c r="B577" s="27"/>
      <c r="C577" s="27"/>
      <c r="D577" s="27"/>
      <c r="E577" s="36" t="s">
        <v>2244</v>
      </c>
      <c r="F577" s="42"/>
      <c r="G577" s="32"/>
      <c r="H577" s="33"/>
      <c r="I577" s="34"/>
      <c r="J577" s="35"/>
      <c r="K577" s="30" t="s">
        <v>2245</v>
      </c>
    </row>
    <row r="578" customFormat="false" ht="14.25" hidden="false" customHeight="true" outlineLevel="0" collapsed="false">
      <c r="A578" s="27"/>
      <c r="B578" s="27"/>
      <c r="C578" s="27"/>
      <c r="D578" s="29" t="s">
        <v>2246</v>
      </c>
      <c r="E578" s="36" t="s">
        <v>2181</v>
      </c>
      <c r="F578" s="42" t="s">
        <v>2247</v>
      </c>
      <c r="G578" s="32" t="s">
        <v>48</v>
      </c>
      <c r="H578" s="33" t="s">
        <v>2248</v>
      </c>
      <c r="I578" s="39" t="s">
        <v>67</v>
      </c>
      <c r="J578" s="35" t="s">
        <v>2249</v>
      </c>
      <c r="K578" s="30" t="s">
        <v>2250</v>
      </c>
    </row>
    <row r="579" customFormat="false" ht="14.25" hidden="false" customHeight="true" outlineLevel="0" collapsed="false">
      <c r="A579" s="27"/>
      <c r="B579" s="27"/>
      <c r="C579" s="27"/>
      <c r="D579" s="27"/>
      <c r="E579" s="36" t="s">
        <v>2251</v>
      </c>
      <c r="F579" s="42"/>
      <c r="G579" s="32"/>
      <c r="H579" s="33"/>
      <c r="I579" s="39"/>
      <c r="J579" s="35"/>
      <c r="K579" s="30" t="s">
        <v>2252</v>
      </c>
    </row>
    <row r="580" customFormat="false" ht="14.25" hidden="false" customHeight="true" outlineLevel="0" collapsed="false">
      <c r="A580" s="27"/>
      <c r="B580" s="27"/>
      <c r="C580" s="40" t="s">
        <v>2253</v>
      </c>
      <c r="D580" s="29" t="s">
        <v>2254</v>
      </c>
      <c r="E580" s="36" t="s">
        <v>2254</v>
      </c>
      <c r="F580" s="42" t="s">
        <v>2255</v>
      </c>
      <c r="G580" s="32" t="s">
        <v>58</v>
      </c>
      <c r="H580" s="33" t="s">
        <v>2256</v>
      </c>
      <c r="I580" s="37" t="s">
        <v>50</v>
      </c>
      <c r="J580" s="35" t="s">
        <v>2257</v>
      </c>
      <c r="K580" s="30" t="s">
        <v>2258</v>
      </c>
    </row>
    <row r="581" customFormat="false" ht="14.25" hidden="false" customHeight="true" outlineLevel="0" collapsed="false">
      <c r="A581" s="27"/>
      <c r="B581" s="27"/>
      <c r="C581" s="27"/>
      <c r="D581" s="27"/>
      <c r="E581" s="36" t="s">
        <v>2259</v>
      </c>
      <c r="F581" s="42"/>
      <c r="G581" s="32"/>
      <c r="H581" s="33"/>
      <c r="I581" s="37"/>
      <c r="J581" s="35"/>
      <c r="K581" s="30" t="s">
        <v>2260</v>
      </c>
    </row>
    <row r="582" customFormat="false" ht="14.25" hidden="false" customHeight="true" outlineLevel="0" collapsed="false">
      <c r="A582" s="27"/>
      <c r="B582" s="27"/>
      <c r="C582" s="27"/>
      <c r="D582" s="29" t="s">
        <v>2261</v>
      </c>
      <c r="E582" s="36" t="s">
        <v>2262</v>
      </c>
      <c r="F582" s="42" t="s">
        <v>2263</v>
      </c>
      <c r="G582" s="32" t="s">
        <v>48</v>
      </c>
      <c r="H582" s="33" t="s">
        <v>2264</v>
      </c>
      <c r="I582" s="37" t="s">
        <v>50</v>
      </c>
      <c r="J582" s="35" t="s">
        <v>2265</v>
      </c>
      <c r="K582" s="30" t="s">
        <v>2266</v>
      </c>
    </row>
    <row r="583" customFormat="false" ht="14.25" hidden="false" customHeight="true" outlineLevel="0" collapsed="false">
      <c r="A583" s="27"/>
      <c r="B583" s="27"/>
      <c r="C583" s="27"/>
      <c r="D583" s="27"/>
      <c r="E583" s="36" t="s">
        <v>2267</v>
      </c>
      <c r="F583" s="42"/>
      <c r="G583" s="32"/>
      <c r="H583" s="33"/>
      <c r="I583" s="37"/>
      <c r="J583" s="35"/>
      <c r="K583" s="30" t="s">
        <v>2268</v>
      </c>
    </row>
    <row r="584" customFormat="false" ht="14.25" hidden="false" customHeight="true" outlineLevel="0" collapsed="false">
      <c r="A584" s="27"/>
      <c r="B584" s="27"/>
      <c r="C584" s="27"/>
      <c r="D584" s="29" t="s">
        <v>2269</v>
      </c>
      <c r="E584" s="36" t="s">
        <v>2270</v>
      </c>
      <c r="F584" s="42" t="s">
        <v>2271</v>
      </c>
      <c r="G584" s="32" t="s">
        <v>48</v>
      </c>
      <c r="H584" s="33" t="s">
        <v>2272</v>
      </c>
      <c r="I584" s="39" t="s">
        <v>67</v>
      </c>
      <c r="J584" s="35" t="s">
        <v>2273</v>
      </c>
      <c r="K584" s="30" t="s">
        <v>2274</v>
      </c>
    </row>
    <row r="585" customFormat="false" ht="14.25" hidden="false" customHeight="true" outlineLevel="0" collapsed="false">
      <c r="A585" s="27"/>
      <c r="B585" s="27"/>
      <c r="C585" s="27"/>
      <c r="D585" s="27"/>
      <c r="E585" s="36" t="s">
        <v>2275</v>
      </c>
      <c r="F585" s="42"/>
      <c r="G585" s="32"/>
      <c r="H585" s="33"/>
      <c r="I585" s="39"/>
      <c r="J585" s="35"/>
      <c r="K585" s="30" t="s">
        <v>2276</v>
      </c>
    </row>
    <row r="586" customFormat="false" ht="14.25" hidden="false" customHeight="true" outlineLevel="0" collapsed="false">
      <c r="A586" s="27"/>
      <c r="B586" s="27"/>
      <c r="C586" s="27"/>
      <c r="D586" s="29" t="s">
        <v>2277</v>
      </c>
      <c r="E586" s="36" t="s">
        <v>2278</v>
      </c>
      <c r="F586" s="42" t="s">
        <v>2279</v>
      </c>
      <c r="G586" s="32" t="s">
        <v>38</v>
      </c>
      <c r="H586" s="33" t="s">
        <v>2280</v>
      </c>
      <c r="I586" s="34" t="s">
        <v>40</v>
      </c>
      <c r="J586" s="35" t="s">
        <v>2281</v>
      </c>
      <c r="K586" s="30" t="s">
        <v>2282</v>
      </c>
    </row>
    <row r="587" customFormat="false" ht="14.25" hidden="false" customHeight="true" outlineLevel="0" collapsed="false">
      <c r="A587" s="27"/>
      <c r="B587" s="27"/>
      <c r="C587" s="27"/>
      <c r="D587" s="27"/>
      <c r="E587" s="36" t="s">
        <v>2283</v>
      </c>
      <c r="F587" s="42"/>
      <c r="G587" s="32"/>
      <c r="H587" s="33"/>
      <c r="I587" s="34"/>
      <c r="J587" s="35"/>
      <c r="K587" s="30" t="s">
        <v>2284</v>
      </c>
    </row>
    <row r="588" customFormat="false" ht="14.25" hidden="false" customHeight="true" outlineLevel="0" collapsed="false">
      <c r="A588" s="27"/>
      <c r="B588" s="27"/>
      <c r="C588" s="27"/>
      <c r="D588" s="29" t="s">
        <v>2285</v>
      </c>
      <c r="E588" s="36" t="s">
        <v>2286</v>
      </c>
      <c r="F588" s="42" t="s">
        <v>2287</v>
      </c>
      <c r="G588" s="32" t="s">
        <v>38</v>
      </c>
      <c r="H588" s="33" t="s">
        <v>2288</v>
      </c>
      <c r="I588" s="39" t="s">
        <v>67</v>
      </c>
      <c r="J588" s="35" t="s">
        <v>2289</v>
      </c>
      <c r="K588" s="30" t="s">
        <v>2290</v>
      </c>
    </row>
    <row r="589" customFormat="false" ht="14.25" hidden="false" customHeight="true" outlineLevel="0" collapsed="false">
      <c r="A589" s="27"/>
      <c r="B589" s="27"/>
      <c r="C589" s="27"/>
      <c r="D589" s="27"/>
      <c r="E589" s="36" t="s">
        <v>2291</v>
      </c>
      <c r="F589" s="42"/>
      <c r="G589" s="32"/>
      <c r="H589" s="33"/>
      <c r="I589" s="39"/>
      <c r="J589" s="35"/>
      <c r="K589" s="30" t="s">
        <v>2292</v>
      </c>
    </row>
    <row r="590" customFormat="false" ht="14.25" hidden="false" customHeight="true" outlineLevel="0" collapsed="false">
      <c r="A590" s="27"/>
      <c r="B590" s="27"/>
      <c r="C590" s="29" t="s">
        <v>2293</v>
      </c>
      <c r="D590" s="29" t="s">
        <v>2294</v>
      </c>
      <c r="E590" s="36" t="s">
        <v>2295</v>
      </c>
      <c r="F590" s="42" t="s">
        <v>2296</v>
      </c>
      <c r="G590" s="32" t="s">
        <v>38</v>
      </c>
      <c r="H590" s="33" t="s">
        <v>2297</v>
      </c>
      <c r="I590" s="37" t="s">
        <v>50</v>
      </c>
      <c r="J590" s="35" t="s">
        <v>2298</v>
      </c>
      <c r="K590" s="30" t="s">
        <v>2127</v>
      </c>
    </row>
    <row r="591" customFormat="false" ht="14.25" hidden="false" customHeight="true" outlineLevel="0" collapsed="false">
      <c r="A591" s="27"/>
      <c r="B591" s="27"/>
      <c r="C591" s="27"/>
      <c r="D591" s="27"/>
      <c r="E591" s="36" t="s">
        <v>2299</v>
      </c>
      <c r="F591" s="42"/>
      <c r="G591" s="32"/>
      <c r="H591" s="33"/>
      <c r="I591" s="37"/>
      <c r="J591" s="35"/>
      <c r="K591" s="30" t="s">
        <v>2129</v>
      </c>
    </row>
    <row r="592" customFormat="false" ht="14.25" hidden="false" customHeight="true" outlineLevel="0" collapsed="false">
      <c r="A592" s="27"/>
      <c r="B592" s="27"/>
      <c r="C592" s="27"/>
      <c r="D592" s="29" t="s">
        <v>2300</v>
      </c>
      <c r="E592" s="36" t="s">
        <v>2301</v>
      </c>
      <c r="F592" s="42" t="s">
        <v>2302</v>
      </c>
      <c r="G592" s="32" t="s">
        <v>48</v>
      </c>
      <c r="H592" s="33" t="s">
        <v>2303</v>
      </c>
      <c r="I592" s="37" t="s">
        <v>50</v>
      </c>
      <c r="J592" s="35" t="s">
        <v>2304</v>
      </c>
      <c r="K592" s="30" t="s">
        <v>2305</v>
      </c>
    </row>
    <row r="593" customFormat="false" ht="14.25" hidden="false" customHeight="true" outlineLevel="0" collapsed="false">
      <c r="A593" s="27"/>
      <c r="B593" s="27"/>
      <c r="C593" s="27"/>
      <c r="D593" s="27"/>
      <c r="E593" s="36" t="s">
        <v>2306</v>
      </c>
      <c r="F593" s="42"/>
      <c r="G593" s="32"/>
      <c r="H593" s="33"/>
      <c r="I593" s="37"/>
      <c r="J593" s="35"/>
      <c r="K593" s="30" t="s">
        <v>2307</v>
      </c>
    </row>
    <row r="594" customFormat="false" ht="14.25" hidden="false" customHeight="true" outlineLevel="0" collapsed="false">
      <c r="A594" s="27"/>
      <c r="B594" s="27"/>
      <c r="C594" s="27"/>
      <c r="D594" s="29" t="s">
        <v>2308</v>
      </c>
      <c r="E594" s="36" t="s">
        <v>2309</v>
      </c>
      <c r="F594" s="42" t="s">
        <v>2310</v>
      </c>
      <c r="G594" s="32" t="s">
        <v>58</v>
      </c>
      <c r="H594" s="33" t="s">
        <v>2311</v>
      </c>
      <c r="I594" s="39" t="s">
        <v>67</v>
      </c>
      <c r="J594" s="35" t="s">
        <v>2312</v>
      </c>
      <c r="K594" s="30" t="s">
        <v>2313</v>
      </c>
    </row>
    <row r="595" customFormat="false" ht="14.25" hidden="false" customHeight="true" outlineLevel="0" collapsed="false">
      <c r="A595" s="27"/>
      <c r="B595" s="27"/>
      <c r="C595" s="27"/>
      <c r="D595" s="27"/>
      <c r="E595" s="36" t="s">
        <v>2314</v>
      </c>
      <c r="F595" s="42"/>
      <c r="G595" s="32"/>
      <c r="H595" s="33"/>
      <c r="I595" s="39"/>
      <c r="J595" s="35"/>
      <c r="K595" s="30" t="s">
        <v>2315</v>
      </c>
    </row>
    <row r="596" customFormat="false" ht="14.25" hidden="false" customHeight="true" outlineLevel="0" collapsed="false">
      <c r="A596" s="27"/>
      <c r="B596" s="27"/>
      <c r="C596" s="27"/>
      <c r="D596" s="29" t="s">
        <v>2316</v>
      </c>
      <c r="E596" s="36" t="s">
        <v>2317</v>
      </c>
      <c r="F596" s="42" t="s">
        <v>2318</v>
      </c>
      <c r="G596" s="32" t="s">
        <v>48</v>
      </c>
      <c r="H596" s="33" t="s">
        <v>2319</v>
      </c>
      <c r="I596" s="34" t="s">
        <v>40</v>
      </c>
      <c r="J596" s="35" t="s">
        <v>2320</v>
      </c>
      <c r="K596" s="30" t="s">
        <v>2321</v>
      </c>
    </row>
    <row r="597" customFormat="false" ht="14.25" hidden="false" customHeight="true" outlineLevel="0" collapsed="false">
      <c r="A597" s="27"/>
      <c r="B597" s="27"/>
      <c r="C597" s="27"/>
      <c r="D597" s="27"/>
      <c r="E597" s="36" t="s">
        <v>2322</v>
      </c>
      <c r="F597" s="42"/>
      <c r="G597" s="32"/>
      <c r="H597" s="33"/>
      <c r="I597" s="34"/>
      <c r="J597" s="35"/>
      <c r="K597" s="30" t="s">
        <v>2323</v>
      </c>
    </row>
    <row r="598" customFormat="false" ht="14.25" hidden="false" customHeight="true" outlineLevel="0" collapsed="false">
      <c r="A598" s="27"/>
      <c r="B598" s="27"/>
      <c r="C598" s="27"/>
      <c r="D598" s="29" t="s">
        <v>2324</v>
      </c>
      <c r="E598" s="36" t="s">
        <v>2325</v>
      </c>
      <c r="F598" s="42" t="s">
        <v>2326</v>
      </c>
      <c r="G598" s="32" t="s">
        <v>48</v>
      </c>
      <c r="H598" s="33" t="s">
        <v>2327</v>
      </c>
      <c r="I598" s="39" t="s">
        <v>67</v>
      </c>
      <c r="J598" s="35" t="s">
        <v>2328</v>
      </c>
      <c r="K598" s="30" t="s">
        <v>2329</v>
      </c>
    </row>
    <row r="599" customFormat="false" ht="14.25" hidden="false" customHeight="true" outlineLevel="0" collapsed="false">
      <c r="A599" s="27"/>
      <c r="B599" s="27"/>
      <c r="C599" s="27"/>
      <c r="D599" s="27"/>
      <c r="E599" s="36" t="s">
        <v>2330</v>
      </c>
      <c r="F599" s="42"/>
      <c r="G599" s="32"/>
      <c r="H599" s="33"/>
      <c r="I599" s="39"/>
      <c r="J599" s="35"/>
      <c r="K599" s="30" t="s">
        <v>2331</v>
      </c>
    </row>
    <row r="600" customFormat="false" ht="14.25" hidden="false" customHeight="true" outlineLevel="0" collapsed="false">
      <c r="A600" s="27"/>
      <c r="B600" s="27"/>
      <c r="C600" s="40" t="s">
        <v>2332</v>
      </c>
      <c r="D600" s="29" t="s">
        <v>2333</v>
      </c>
      <c r="E600" s="36" t="s">
        <v>2334</v>
      </c>
      <c r="F600" s="42" t="s">
        <v>2335</v>
      </c>
      <c r="G600" s="32" t="s">
        <v>38</v>
      </c>
      <c r="H600" s="33" t="s">
        <v>2336</v>
      </c>
      <c r="I600" s="37" t="s">
        <v>50</v>
      </c>
      <c r="J600" s="35" t="s">
        <v>2337</v>
      </c>
      <c r="K600" s="30" t="s">
        <v>2338</v>
      </c>
    </row>
    <row r="601" customFormat="false" ht="14.25" hidden="false" customHeight="true" outlineLevel="0" collapsed="false">
      <c r="A601" s="27"/>
      <c r="B601" s="27"/>
      <c r="C601" s="27"/>
      <c r="D601" s="27"/>
      <c r="E601" s="36" t="s">
        <v>2339</v>
      </c>
      <c r="F601" s="42"/>
      <c r="G601" s="32"/>
      <c r="H601" s="33"/>
      <c r="I601" s="37"/>
      <c r="J601" s="35"/>
      <c r="K601" s="30" t="s">
        <v>2340</v>
      </c>
    </row>
    <row r="602" customFormat="false" ht="14.25" hidden="false" customHeight="true" outlineLevel="0" collapsed="false">
      <c r="A602" s="27"/>
      <c r="B602" s="27"/>
      <c r="C602" s="27"/>
      <c r="D602" s="29" t="s">
        <v>2341</v>
      </c>
      <c r="E602" s="36" t="s">
        <v>1379</v>
      </c>
      <c r="F602" s="42" t="s">
        <v>2342</v>
      </c>
      <c r="G602" s="32" t="s">
        <v>38</v>
      </c>
      <c r="H602" s="33" t="s">
        <v>2343</v>
      </c>
      <c r="I602" s="37" t="s">
        <v>50</v>
      </c>
      <c r="J602" s="35" t="s">
        <v>2344</v>
      </c>
      <c r="K602" s="30" t="s">
        <v>2345</v>
      </c>
    </row>
    <row r="603" customFormat="false" ht="14.25" hidden="false" customHeight="true" outlineLevel="0" collapsed="false">
      <c r="A603" s="27"/>
      <c r="B603" s="27"/>
      <c r="C603" s="27"/>
      <c r="D603" s="27"/>
      <c r="E603" s="36" t="s">
        <v>2346</v>
      </c>
      <c r="F603" s="42"/>
      <c r="G603" s="32"/>
      <c r="H603" s="33"/>
      <c r="I603" s="37"/>
      <c r="J603" s="35"/>
      <c r="K603" s="30" t="s">
        <v>2347</v>
      </c>
    </row>
    <row r="604" customFormat="false" ht="14.25" hidden="false" customHeight="true" outlineLevel="0" collapsed="false">
      <c r="A604" s="27"/>
      <c r="B604" s="27"/>
      <c r="C604" s="27"/>
      <c r="D604" s="29" t="s">
        <v>2348</v>
      </c>
      <c r="E604" s="36" t="s">
        <v>2349</v>
      </c>
      <c r="F604" s="42" t="s">
        <v>2350</v>
      </c>
      <c r="G604" s="32" t="s">
        <v>38</v>
      </c>
      <c r="H604" s="33" t="s">
        <v>2351</v>
      </c>
      <c r="I604" s="39" t="s">
        <v>67</v>
      </c>
      <c r="J604" s="35" t="s">
        <v>2352</v>
      </c>
      <c r="K604" s="30" t="s">
        <v>2353</v>
      </c>
    </row>
    <row r="605" customFormat="false" ht="14.25" hidden="false" customHeight="true" outlineLevel="0" collapsed="false">
      <c r="A605" s="27"/>
      <c r="B605" s="27"/>
      <c r="C605" s="27"/>
      <c r="D605" s="27"/>
      <c r="E605" s="36" t="s">
        <v>2354</v>
      </c>
      <c r="F605" s="42"/>
      <c r="G605" s="32"/>
      <c r="H605" s="33"/>
      <c r="I605" s="39"/>
      <c r="J605" s="35"/>
      <c r="K605" s="30" t="s">
        <v>2355</v>
      </c>
    </row>
    <row r="606" customFormat="false" ht="14.25" hidden="false" customHeight="true" outlineLevel="0" collapsed="false">
      <c r="A606" s="27"/>
      <c r="B606" s="27"/>
      <c r="C606" s="27"/>
      <c r="D606" s="29" t="s">
        <v>2356</v>
      </c>
      <c r="E606" s="36" t="s">
        <v>2357</v>
      </c>
      <c r="F606" s="42" t="s">
        <v>2358</v>
      </c>
      <c r="G606" s="32" t="s">
        <v>48</v>
      </c>
      <c r="H606" s="33" t="s">
        <v>2359</v>
      </c>
      <c r="I606" s="34" t="s">
        <v>40</v>
      </c>
      <c r="J606" s="35" t="s">
        <v>2360</v>
      </c>
      <c r="K606" s="30" t="s">
        <v>2361</v>
      </c>
    </row>
    <row r="607" customFormat="false" ht="14.25" hidden="false" customHeight="true" outlineLevel="0" collapsed="false">
      <c r="A607" s="27"/>
      <c r="B607" s="27"/>
      <c r="C607" s="27"/>
      <c r="D607" s="27"/>
      <c r="E607" s="36" t="s">
        <v>2362</v>
      </c>
      <c r="F607" s="42"/>
      <c r="G607" s="32"/>
      <c r="H607" s="33"/>
      <c r="I607" s="34"/>
      <c r="J607" s="35"/>
      <c r="K607" s="30" t="s">
        <v>2363</v>
      </c>
    </row>
    <row r="608" customFormat="false" ht="14.25" hidden="false" customHeight="true" outlineLevel="0" collapsed="false">
      <c r="A608" s="27"/>
      <c r="B608" s="27"/>
      <c r="C608" s="27"/>
      <c r="D608" s="29" t="s">
        <v>2364</v>
      </c>
      <c r="E608" s="36" t="s">
        <v>2365</v>
      </c>
      <c r="F608" s="42" t="s">
        <v>2366</v>
      </c>
      <c r="G608" s="32" t="s">
        <v>58</v>
      </c>
      <c r="H608" s="33" t="s">
        <v>452</v>
      </c>
      <c r="I608" s="39" t="s">
        <v>67</v>
      </c>
      <c r="J608" s="35" t="s">
        <v>2367</v>
      </c>
      <c r="K608" s="30" t="s">
        <v>2368</v>
      </c>
    </row>
    <row r="609" customFormat="false" ht="14.25" hidden="false" customHeight="true" outlineLevel="0" collapsed="false">
      <c r="A609" s="27"/>
      <c r="B609" s="27"/>
      <c r="C609" s="27"/>
      <c r="D609" s="27"/>
      <c r="E609" s="36" t="s">
        <v>2369</v>
      </c>
      <c r="F609" s="42"/>
      <c r="G609" s="32"/>
      <c r="H609" s="33"/>
      <c r="I609" s="39"/>
      <c r="J609" s="35"/>
      <c r="K609" s="30" t="s">
        <v>2370</v>
      </c>
    </row>
    <row r="610" customFormat="false" ht="14.25" hidden="false" customHeight="true" outlineLevel="0" collapsed="false">
      <c r="A610" s="27"/>
      <c r="B610" s="27"/>
      <c r="C610" s="40" t="s">
        <v>2371</v>
      </c>
      <c r="D610" s="29" t="s">
        <v>2372</v>
      </c>
      <c r="E610" s="36" t="s">
        <v>2373</v>
      </c>
      <c r="F610" s="42" t="s">
        <v>2374</v>
      </c>
      <c r="G610" s="32" t="s">
        <v>48</v>
      </c>
      <c r="H610" s="33" t="s">
        <v>2375</v>
      </c>
      <c r="I610" s="37" t="s">
        <v>50</v>
      </c>
      <c r="J610" s="35" t="s">
        <v>2376</v>
      </c>
      <c r="K610" s="30" t="s">
        <v>2250</v>
      </c>
    </row>
    <row r="611" customFormat="false" ht="14.25" hidden="false" customHeight="true" outlineLevel="0" collapsed="false">
      <c r="A611" s="27"/>
      <c r="B611" s="27"/>
      <c r="C611" s="27"/>
      <c r="D611" s="27"/>
      <c r="E611" s="36" t="s">
        <v>1629</v>
      </c>
      <c r="F611" s="42"/>
      <c r="G611" s="32"/>
      <c r="H611" s="33"/>
      <c r="I611" s="37"/>
      <c r="J611" s="35"/>
      <c r="K611" s="30" t="s">
        <v>2252</v>
      </c>
    </row>
    <row r="612" customFormat="false" ht="14.25" hidden="false" customHeight="true" outlineLevel="0" collapsed="false">
      <c r="A612" s="27"/>
      <c r="B612" s="27"/>
      <c r="C612" s="27"/>
      <c r="D612" s="29" t="s">
        <v>2377</v>
      </c>
      <c r="E612" s="36" t="s">
        <v>2378</v>
      </c>
      <c r="F612" s="42" t="s">
        <v>2379</v>
      </c>
      <c r="G612" s="32" t="s">
        <v>48</v>
      </c>
      <c r="H612" s="33" t="s">
        <v>2380</v>
      </c>
      <c r="I612" s="37" t="s">
        <v>50</v>
      </c>
      <c r="J612" s="35" t="s">
        <v>2381</v>
      </c>
      <c r="K612" s="30" t="s">
        <v>2258</v>
      </c>
    </row>
    <row r="613" customFormat="false" ht="14.25" hidden="false" customHeight="true" outlineLevel="0" collapsed="false">
      <c r="A613" s="27"/>
      <c r="B613" s="27"/>
      <c r="C613" s="27"/>
      <c r="D613" s="27"/>
      <c r="E613" s="36" t="s">
        <v>2382</v>
      </c>
      <c r="F613" s="42"/>
      <c r="G613" s="32"/>
      <c r="H613" s="33"/>
      <c r="I613" s="37"/>
      <c r="J613" s="35"/>
      <c r="K613" s="30" t="s">
        <v>2260</v>
      </c>
    </row>
    <row r="614" customFormat="false" ht="14.25" hidden="false" customHeight="true" outlineLevel="0" collapsed="false">
      <c r="A614" s="27"/>
      <c r="B614" s="27"/>
      <c r="C614" s="27"/>
      <c r="D614" s="29" t="s">
        <v>2383</v>
      </c>
      <c r="E614" s="36" t="s">
        <v>2384</v>
      </c>
      <c r="F614" s="42" t="s">
        <v>2385</v>
      </c>
      <c r="G614" s="32" t="s">
        <v>38</v>
      </c>
      <c r="H614" s="33" t="s">
        <v>2386</v>
      </c>
      <c r="I614" s="39" t="s">
        <v>67</v>
      </c>
      <c r="J614" s="35" t="s">
        <v>2387</v>
      </c>
      <c r="K614" s="30" t="s">
        <v>2266</v>
      </c>
    </row>
    <row r="615" customFormat="false" ht="14.25" hidden="false" customHeight="true" outlineLevel="0" collapsed="false">
      <c r="A615" s="27"/>
      <c r="B615" s="27"/>
      <c r="C615" s="27"/>
      <c r="D615" s="27"/>
      <c r="E615" s="36" t="s">
        <v>2388</v>
      </c>
      <c r="F615" s="42"/>
      <c r="G615" s="32"/>
      <c r="H615" s="33"/>
      <c r="I615" s="39"/>
      <c r="J615" s="35"/>
      <c r="K615" s="30" t="s">
        <v>2268</v>
      </c>
    </row>
    <row r="616" customFormat="false" ht="14.25" hidden="false" customHeight="true" outlineLevel="0" collapsed="false">
      <c r="A616" s="27"/>
      <c r="B616" s="27"/>
      <c r="C616" s="27"/>
      <c r="D616" s="29" t="s">
        <v>2389</v>
      </c>
      <c r="E616" s="36" t="s">
        <v>2390</v>
      </c>
      <c r="F616" s="42" t="s">
        <v>2391</v>
      </c>
      <c r="G616" s="32" t="s">
        <v>38</v>
      </c>
      <c r="H616" s="33" t="s">
        <v>2392</v>
      </c>
      <c r="I616" s="34" t="s">
        <v>40</v>
      </c>
      <c r="J616" s="35" t="s">
        <v>2393</v>
      </c>
      <c r="K616" s="30" t="s">
        <v>2274</v>
      </c>
    </row>
    <row r="617" customFormat="false" ht="14.25" hidden="false" customHeight="true" outlineLevel="0" collapsed="false">
      <c r="A617" s="27"/>
      <c r="B617" s="27"/>
      <c r="C617" s="27"/>
      <c r="D617" s="27"/>
      <c r="E617" s="36" t="s">
        <v>2394</v>
      </c>
      <c r="F617" s="42"/>
      <c r="G617" s="32"/>
      <c r="H617" s="33"/>
      <c r="I617" s="34"/>
      <c r="J617" s="35"/>
      <c r="K617" s="30" t="s">
        <v>2276</v>
      </c>
    </row>
    <row r="618" customFormat="false" ht="14.25" hidden="false" customHeight="true" outlineLevel="0" collapsed="false">
      <c r="A618" s="27"/>
      <c r="B618" s="27"/>
      <c r="C618" s="27"/>
      <c r="D618" s="29" t="s">
        <v>2395</v>
      </c>
      <c r="E618" s="36" t="s">
        <v>2396</v>
      </c>
      <c r="F618" s="42" t="s">
        <v>2397</v>
      </c>
      <c r="G618" s="32" t="s">
        <v>38</v>
      </c>
      <c r="H618" s="33" t="s">
        <v>2398</v>
      </c>
      <c r="I618" s="39" t="s">
        <v>67</v>
      </c>
      <c r="J618" s="35" t="s">
        <v>2360</v>
      </c>
      <c r="K618" s="30" t="s">
        <v>2399</v>
      </c>
    </row>
    <row r="619" customFormat="false" ht="14.25" hidden="false" customHeight="true" outlineLevel="0" collapsed="false">
      <c r="A619" s="27"/>
      <c r="B619" s="27"/>
      <c r="C619" s="27"/>
      <c r="D619" s="27"/>
      <c r="E619" s="36" t="s">
        <v>2400</v>
      </c>
      <c r="F619" s="42"/>
      <c r="G619" s="32"/>
      <c r="H619" s="33"/>
      <c r="I619" s="39"/>
      <c r="J619" s="35"/>
      <c r="K619" s="30" t="s">
        <v>2401</v>
      </c>
    </row>
    <row r="620" customFormat="false" ht="14.25" hidden="false" customHeight="true" outlineLevel="0" collapsed="false">
      <c r="A620" s="27"/>
      <c r="B620" s="27"/>
      <c r="C620" s="40" t="s">
        <v>2402</v>
      </c>
      <c r="D620" s="29" t="s">
        <v>2403</v>
      </c>
      <c r="E620" s="36" t="s">
        <v>2404</v>
      </c>
      <c r="F620" s="42" t="s">
        <v>2405</v>
      </c>
      <c r="G620" s="32" t="s">
        <v>48</v>
      </c>
      <c r="H620" s="33" t="s">
        <v>2406</v>
      </c>
      <c r="I620" s="37" t="s">
        <v>50</v>
      </c>
      <c r="J620" s="35" t="s">
        <v>2407</v>
      </c>
      <c r="K620" s="30" t="s">
        <v>2408</v>
      </c>
    </row>
    <row r="621" customFormat="false" ht="14.25" hidden="false" customHeight="true" outlineLevel="0" collapsed="false">
      <c r="A621" s="27"/>
      <c r="B621" s="27"/>
      <c r="C621" s="27"/>
      <c r="D621" s="27"/>
      <c r="E621" s="36" t="s">
        <v>2409</v>
      </c>
      <c r="F621" s="42"/>
      <c r="G621" s="32"/>
      <c r="H621" s="33"/>
      <c r="I621" s="37"/>
      <c r="J621" s="35"/>
      <c r="K621" s="30" t="s">
        <v>2410</v>
      </c>
    </row>
    <row r="622" customFormat="false" ht="14.25" hidden="false" customHeight="true" outlineLevel="0" collapsed="false">
      <c r="A622" s="27"/>
      <c r="B622" s="27"/>
      <c r="C622" s="27"/>
      <c r="D622" s="29" t="s">
        <v>2411</v>
      </c>
      <c r="E622" s="36" t="s">
        <v>2412</v>
      </c>
      <c r="F622" s="42" t="s">
        <v>2413</v>
      </c>
      <c r="G622" s="32" t="s">
        <v>58</v>
      </c>
      <c r="H622" s="33" t="s">
        <v>2414</v>
      </c>
      <c r="I622" s="37" t="s">
        <v>50</v>
      </c>
      <c r="J622" s="35" t="s">
        <v>2415</v>
      </c>
      <c r="K622" s="30" t="s">
        <v>2416</v>
      </c>
    </row>
    <row r="623" customFormat="false" ht="14.25" hidden="false" customHeight="true" outlineLevel="0" collapsed="false">
      <c r="A623" s="27"/>
      <c r="B623" s="27"/>
      <c r="C623" s="27"/>
      <c r="D623" s="27"/>
      <c r="E623" s="36" t="s">
        <v>2417</v>
      </c>
      <c r="F623" s="42"/>
      <c r="G623" s="32"/>
      <c r="H623" s="33"/>
      <c r="I623" s="37"/>
      <c r="J623" s="35"/>
      <c r="K623" s="30" t="s">
        <v>2418</v>
      </c>
    </row>
    <row r="624" customFormat="false" ht="14.25" hidden="false" customHeight="true" outlineLevel="0" collapsed="false">
      <c r="A624" s="27"/>
      <c r="B624" s="27"/>
      <c r="C624" s="27"/>
      <c r="D624" s="29" t="s">
        <v>2419</v>
      </c>
      <c r="E624" s="36" t="s">
        <v>2420</v>
      </c>
      <c r="F624" s="42" t="s">
        <v>2421</v>
      </c>
      <c r="G624" s="32" t="s">
        <v>48</v>
      </c>
      <c r="H624" s="33" t="s">
        <v>2422</v>
      </c>
      <c r="I624" s="39" t="s">
        <v>67</v>
      </c>
      <c r="J624" s="35" t="s">
        <v>2423</v>
      </c>
      <c r="K624" s="30" t="s">
        <v>2290</v>
      </c>
    </row>
    <row r="625" customFormat="false" ht="14.25" hidden="false" customHeight="true" outlineLevel="0" collapsed="false">
      <c r="A625" s="27"/>
      <c r="B625" s="27"/>
      <c r="C625" s="27"/>
      <c r="D625" s="27"/>
      <c r="E625" s="36" t="s">
        <v>1163</v>
      </c>
      <c r="F625" s="42"/>
      <c r="G625" s="32"/>
      <c r="H625" s="33"/>
      <c r="I625" s="39"/>
      <c r="J625" s="35"/>
      <c r="K625" s="30" t="s">
        <v>2292</v>
      </c>
    </row>
    <row r="626" customFormat="false" ht="14.25" hidden="false" customHeight="true" outlineLevel="0" collapsed="false">
      <c r="A626" s="27"/>
      <c r="B626" s="27"/>
      <c r="C626" s="27"/>
      <c r="D626" s="29" t="s">
        <v>2424</v>
      </c>
      <c r="E626" s="36" t="s">
        <v>2425</v>
      </c>
      <c r="F626" s="42" t="s">
        <v>2426</v>
      </c>
      <c r="G626" s="32" t="s">
        <v>48</v>
      </c>
      <c r="H626" s="33" t="s">
        <v>2427</v>
      </c>
      <c r="I626" s="34" t="s">
        <v>40</v>
      </c>
      <c r="J626" s="35" t="s">
        <v>2428</v>
      </c>
      <c r="K626" s="30" t="s">
        <v>2127</v>
      </c>
    </row>
    <row r="627" customFormat="false" ht="14.25" hidden="false" customHeight="true" outlineLevel="0" collapsed="false">
      <c r="A627" s="27"/>
      <c r="B627" s="27"/>
      <c r="C627" s="27"/>
      <c r="D627" s="27"/>
      <c r="E627" s="36" t="s">
        <v>2429</v>
      </c>
      <c r="F627" s="42"/>
      <c r="G627" s="32"/>
      <c r="H627" s="33"/>
      <c r="I627" s="34"/>
      <c r="J627" s="35"/>
      <c r="K627" s="30" t="s">
        <v>2129</v>
      </c>
    </row>
    <row r="628" customFormat="false" ht="14.25" hidden="false" customHeight="true" outlineLevel="0" collapsed="false">
      <c r="A628" s="27"/>
      <c r="B628" s="27"/>
      <c r="C628" s="27"/>
      <c r="D628" s="29" t="s">
        <v>2430</v>
      </c>
      <c r="E628" s="36" t="s">
        <v>2431</v>
      </c>
      <c r="F628" s="42" t="s">
        <v>2432</v>
      </c>
      <c r="G628" s="32" t="s">
        <v>38</v>
      </c>
      <c r="H628" s="33" t="s">
        <v>2433</v>
      </c>
      <c r="I628" s="39" t="s">
        <v>67</v>
      </c>
      <c r="J628" s="35" t="s">
        <v>2434</v>
      </c>
      <c r="K628" s="30" t="s">
        <v>2305</v>
      </c>
    </row>
    <row r="629" customFormat="false" ht="14.25" hidden="false" customHeight="true" outlineLevel="0" collapsed="false">
      <c r="A629" s="27"/>
      <c r="B629" s="27"/>
      <c r="C629" s="27"/>
      <c r="D629" s="27"/>
      <c r="E629" s="36" t="s">
        <v>2435</v>
      </c>
      <c r="F629" s="42"/>
      <c r="G629" s="32"/>
      <c r="H629" s="33"/>
      <c r="I629" s="39"/>
      <c r="J629" s="35"/>
      <c r="K629" s="30" t="s">
        <v>2307</v>
      </c>
    </row>
    <row r="630" customFormat="false" ht="14.25" hidden="false" customHeight="true" outlineLevel="0" collapsed="false">
      <c r="A630" s="27"/>
      <c r="B630" s="27"/>
      <c r="C630" s="40" t="s">
        <v>2436</v>
      </c>
      <c r="D630" s="29" t="s">
        <v>2437</v>
      </c>
      <c r="E630" s="36" t="s">
        <v>2438</v>
      </c>
      <c r="F630" s="42" t="s">
        <v>2439</v>
      </c>
      <c r="G630" s="32" t="s">
        <v>38</v>
      </c>
      <c r="H630" s="33" t="s">
        <v>2440</v>
      </c>
      <c r="I630" s="37" t="s">
        <v>50</v>
      </c>
      <c r="J630" s="35" t="s">
        <v>2441</v>
      </c>
      <c r="K630" s="30" t="s">
        <v>2313</v>
      </c>
    </row>
    <row r="631" customFormat="false" ht="14.25" hidden="false" customHeight="true" outlineLevel="0" collapsed="false">
      <c r="A631" s="27"/>
      <c r="B631" s="27"/>
      <c r="C631" s="27"/>
      <c r="D631" s="27"/>
      <c r="E631" s="36" t="s">
        <v>2394</v>
      </c>
      <c r="F631" s="42"/>
      <c r="G631" s="32"/>
      <c r="H631" s="33"/>
      <c r="I631" s="37"/>
      <c r="J631" s="35"/>
      <c r="K631" s="30" t="s">
        <v>2315</v>
      </c>
    </row>
    <row r="632" customFormat="false" ht="14.25" hidden="false" customHeight="true" outlineLevel="0" collapsed="false">
      <c r="A632" s="27"/>
      <c r="B632" s="27"/>
      <c r="C632" s="27"/>
      <c r="D632" s="29" t="s">
        <v>2442</v>
      </c>
      <c r="E632" s="36" t="s">
        <v>2443</v>
      </c>
      <c r="F632" s="42" t="s">
        <v>2444</v>
      </c>
      <c r="G632" s="32" t="s">
        <v>38</v>
      </c>
      <c r="H632" s="33" t="s">
        <v>2445</v>
      </c>
      <c r="I632" s="37" t="s">
        <v>50</v>
      </c>
      <c r="J632" s="35" t="s">
        <v>2446</v>
      </c>
      <c r="K632" s="30" t="s">
        <v>2321</v>
      </c>
    </row>
    <row r="633" customFormat="false" ht="14.25" hidden="false" customHeight="true" outlineLevel="0" collapsed="false">
      <c r="A633" s="27"/>
      <c r="B633" s="27"/>
      <c r="C633" s="27"/>
      <c r="D633" s="27"/>
      <c r="E633" s="36" t="s">
        <v>2447</v>
      </c>
      <c r="F633" s="42"/>
      <c r="G633" s="32"/>
      <c r="H633" s="33"/>
      <c r="I633" s="37"/>
      <c r="J633" s="35"/>
      <c r="K633" s="30" t="s">
        <v>2323</v>
      </c>
    </row>
    <row r="634" customFormat="false" ht="14.25" hidden="false" customHeight="true" outlineLevel="0" collapsed="false">
      <c r="A634" s="27"/>
      <c r="B634" s="27"/>
      <c r="C634" s="27"/>
      <c r="D634" s="29" t="s">
        <v>2448</v>
      </c>
      <c r="E634" s="36" t="s">
        <v>2448</v>
      </c>
      <c r="F634" s="42" t="s">
        <v>2449</v>
      </c>
      <c r="G634" s="32" t="s">
        <v>48</v>
      </c>
      <c r="H634" s="33" t="s">
        <v>2450</v>
      </c>
      <c r="I634" s="39" t="s">
        <v>67</v>
      </c>
      <c r="J634" s="35" t="s">
        <v>2451</v>
      </c>
      <c r="K634" s="30" t="s">
        <v>2329</v>
      </c>
    </row>
    <row r="635" customFormat="false" ht="14.25" hidden="false" customHeight="true" outlineLevel="0" collapsed="false">
      <c r="A635" s="27"/>
      <c r="B635" s="27"/>
      <c r="C635" s="27"/>
      <c r="D635" s="27"/>
      <c r="E635" s="36" t="s">
        <v>2452</v>
      </c>
      <c r="F635" s="42"/>
      <c r="G635" s="32"/>
      <c r="H635" s="33"/>
      <c r="I635" s="39"/>
      <c r="J635" s="35"/>
      <c r="K635" s="30" t="s">
        <v>2331</v>
      </c>
    </row>
    <row r="636" customFormat="false" ht="14.25" hidden="false" customHeight="true" outlineLevel="0" collapsed="false">
      <c r="A636" s="27"/>
      <c r="B636" s="27"/>
      <c r="C636" s="27"/>
      <c r="D636" s="29" t="s">
        <v>2453</v>
      </c>
      <c r="E636" s="36" t="s">
        <v>2454</v>
      </c>
      <c r="F636" s="42" t="s">
        <v>2455</v>
      </c>
      <c r="G636" s="32" t="s">
        <v>58</v>
      </c>
      <c r="H636" s="33" t="s">
        <v>2456</v>
      </c>
      <c r="I636" s="34" t="s">
        <v>40</v>
      </c>
      <c r="J636" s="35" t="s">
        <v>2457</v>
      </c>
      <c r="K636" s="30" t="s">
        <v>2338</v>
      </c>
    </row>
    <row r="637" customFormat="false" ht="14.25" hidden="false" customHeight="true" outlineLevel="0" collapsed="false">
      <c r="A637" s="27"/>
      <c r="B637" s="27"/>
      <c r="C637" s="27"/>
      <c r="D637" s="27"/>
      <c r="E637" s="36" t="s">
        <v>2458</v>
      </c>
      <c r="F637" s="42"/>
      <c r="G637" s="32"/>
      <c r="H637" s="33"/>
      <c r="I637" s="34"/>
      <c r="J637" s="35"/>
      <c r="K637" s="30" t="s">
        <v>2340</v>
      </c>
    </row>
    <row r="638" customFormat="false" ht="14.25" hidden="false" customHeight="true" outlineLevel="0" collapsed="false">
      <c r="A638" s="27"/>
      <c r="B638" s="27"/>
      <c r="C638" s="27"/>
      <c r="D638" s="29" t="s">
        <v>2459</v>
      </c>
      <c r="E638" s="36" t="s">
        <v>2460</v>
      </c>
      <c r="F638" s="42" t="s">
        <v>2461</v>
      </c>
      <c r="G638" s="32" t="s">
        <v>48</v>
      </c>
      <c r="H638" s="33" t="s">
        <v>2039</v>
      </c>
      <c r="I638" s="39" t="s">
        <v>67</v>
      </c>
      <c r="J638" s="35" t="s">
        <v>2462</v>
      </c>
      <c r="K638" s="30" t="s">
        <v>2345</v>
      </c>
    </row>
    <row r="639" customFormat="false" ht="14.25" hidden="false" customHeight="true" outlineLevel="0" collapsed="false">
      <c r="A639" s="27"/>
      <c r="B639" s="27"/>
      <c r="C639" s="27"/>
      <c r="D639" s="27"/>
      <c r="E639" s="36" t="s">
        <v>2463</v>
      </c>
      <c r="F639" s="42"/>
      <c r="G639" s="32"/>
      <c r="H639" s="33"/>
      <c r="I639" s="39"/>
      <c r="J639" s="35"/>
      <c r="K639" s="30" t="s">
        <v>2347</v>
      </c>
    </row>
    <row r="640" customFormat="false" ht="14.25" hidden="false" customHeight="true" outlineLevel="0" collapsed="false">
      <c r="A640" s="27"/>
      <c r="B640" s="28" t="s">
        <v>2464</v>
      </c>
      <c r="C640" s="40" t="s">
        <v>2465</v>
      </c>
      <c r="D640" s="29" t="s">
        <v>2466</v>
      </c>
      <c r="E640" s="36" t="s">
        <v>2467</v>
      </c>
      <c r="F640" s="42" t="s">
        <v>2468</v>
      </c>
      <c r="G640" s="32" t="s">
        <v>48</v>
      </c>
      <c r="H640" s="33" t="s">
        <v>2469</v>
      </c>
      <c r="I640" s="37" t="s">
        <v>50</v>
      </c>
      <c r="J640" s="35" t="s">
        <v>2470</v>
      </c>
      <c r="K640" s="30" t="s">
        <v>2353</v>
      </c>
    </row>
    <row r="641" customFormat="false" ht="14.25" hidden="false" customHeight="true" outlineLevel="0" collapsed="false">
      <c r="A641" s="27"/>
      <c r="B641" s="27"/>
      <c r="C641" s="27"/>
      <c r="D641" s="27"/>
      <c r="E641" s="36" t="s">
        <v>2471</v>
      </c>
      <c r="F641" s="42"/>
      <c r="G641" s="32"/>
      <c r="H641" s="33"/>
      <c r="I641" s="37"/>
      <c r="J641" s="35"/>
      <c r="K641" s="30" t="s">
        <v>2355</v>
      </c>
    </row>
    <row r="642" customFormat="false" ht="14.25" hidden="false" customHeight="true" outlineLevel="0" collapsed="false">
      <c r="A642" s="27"/>
      <c r="B642" s="27"/>
      <c r="C642" s="27"/>
      <c r="D642" s="29" t="s">
        <v>2472</v>
      </c>
      <c r="E642" s="36" t="s">
        <v>2473</v>
      </c>
      <c r="F642" s="42" t="s">
        <v>2474</v>
      </c>
      <c r="G642" s="32" t="s">
        <v>38</v>
      </c>
      <c r="H642" s="33" t="s">
        <v>2475</v>
      </c>
      <c r="I642" s="37" t="s">
        <v>50</v>
      </c>
      <c r="J642" s="35" t="s">
        <v>2476</v>
      </c>
      <c r="K642" s="30" t="s">
        <v>2361</v>
      </c>
    </row>
    <row r="643" customFormat="false" ht="14.25" hidden="false" customHeight="true" outlineLevel="0" collapsed="false">
      <c r="A643" s="27"/>
      <c r="B643" s="27"/>
      <c r="C643" s="27"/>
      <c r="D643" s="27"/>
      <c r="E643" s="36" t="s">
        <v>2477</v>
      </c>
      <c r="F643" s="42"/>
      <c r="G643" s="32"/>
      <c r="H643" s="33"/>
      <c r="I643" s="37"/>
      <c r="J643" s="35"/>
      <c r="K643" s="30" t="s">
        <v>2363</v>
      </c>
    </row>
    <row r="644" customFormat="false" ht="14.25" hidden="false" customHeight="true" outlineLevel="0" collapsed="false">
      <c r="A644" s="27"/>
      <c r="B644" s="27"/>
      <c r="C644" s="27"/>
      <c r="D644" s="29" t="s">
        <v>2478</v>
      </c>
      <c r="E644" s="36" t="s">
        <v>2479</v>
      </c>
      <c r="F644" s="42" t="s">
        <v>2480</v>
      </c>
      <c r="G644" s="32" t="s">
        <v>38</v>
      </c>
      <c r="H644" s="33" t="s">
        <v>2481</v>
      </c>
      <c r="I644" s="39" t="s">
        <v>67</v>
      </c>
      <c r="J644" s="35" t="s">
        <v>2482</v>
      </c>
      <c r="K644" s="30" t="s">
        <v>2368</v>
      </c>
    </row>
    <row r="645" customFormat="false" ht="14.25" hidden="false" customHeight="true" outlineLevel="0" collapsed="false">
      <c r="A645" s="27"/>
      <c r="B645" s="27"/>
      <c r="C645" s="27"/>
      <c r="D645" s="27"/>
      <c r="E645" s="36" t="s">
        <v>2483</v>
      </c>
      <c r="F645" s="42"/>
      <c r="G645" s="32"/>
      <c r="H645" s="33"/>
      <c r="I645" s="39"/>
      <c r="J645" s="35"/>
      <c r="K645" s="30" t="s">
        <v>2370</v>
      </c>
    </row>
    <row r="646" customFormat="false" ht="14.25" hidden="false" customHeight="true" outlineLevel="0" collapsed="false">
      <c r="A646" s="27"/>
      <c r="B646" s="27"/>
      <c r="C646" s="27"/>
      <c r="D646" s="29" t="s">
        <v>2484</v>
      </c>
      <c r="E646" s="36" t="s">
        <v>2485</v>
      </c>
      <c r="F646" s="42" t="s">
        <v>2486</v>
      </c>
      <c r="G646" s="32" t="s">
        <v>38</v>
      </c>
      <c r="H646" s="33" t="s">
        <v>2487</v>
      </c>
      <c r="I646" s="34" t="s">
        <v>40</v>
      </c>
      <c r="J646" s="35" t="s">
        <v>2488</v>
      </c>
      <c r="K646" s="30" t="s">
        <v>2072</v>
      </c>
    </row>
    <row r="647" customFormat="false" ht="14.25" hidden="false" customHeight="true" outlineLevel="0" collapsed="false">
      <c r="A647" s="27"/>
      <c r="B647" s="27"/>
      <c r="C647" s="27"/>
      <c r="D647" s="27"/>
      <c r="E647" s="36" t="s">
        <v>2489</v>
      </c>
      <c r="F647" s="42"/>
      <c r="G647" s="32"/>
      <c r="H647" s="33"/>
      <c r="I647" s="34"/>
      <c r="J647" s="35"/>
      <c r="K647" s="30" t="s">
        <v>2073</v>
      </c>
    </row>
    <row r="648" customFormat="false" ht="14.25" hidden="false" customHeight="true" outlineLevel="0" collapsed="false">
      <c r="A648" s="27"/>
      <c r="B648" s="27"/>
      <c r="C648" s="27"/>
      <c r="D648" s="29" t="s">
        <v>2490</v>
      </c>
      <c r="E648" s="36" t="s">
        <v>2491</v>
      </c>
      <c r="F648" s="42" t="s">
        <v>2492</v>
      </c>
      <c r="G648" s="32" t="s">
        <v>48</v>
      </c>
      <c r="H648" s="33" t="s">
        <v>2493</v>
      </c>
      <c r="I648" s="39" t="s">
        <v>67</v>
      </c>
      <c r="J648" s="35" t="s">
        <v>2494</v>
      </c>
      <c r="K648" s="30" t="s">
        <v>2495</v>
      </c>
    </row>
    <row r="649" customFormat="false" ht="14.25" hidden="false" customHeight="true" outlineLevel="0" collapsed="false">
      <c r="A649" s="27"/>
      <c r="B649" s="27"/>
      <c r="C649" s="27"/>
      <c r="D649" s="27"/>
      <c r="E649" s="36" t="s">
        <v>2496</v>
      </c>
      <c r="F649" s="42"/>
      <c r="G649" s="32"/>
      <c r="H649" s="33"/>
      <c r="I649" s="39"/>
      <c r="J649" s="35"/>
      <c r="K649" s="30" t="s">
        <v>2497</v>
      </c>
    </row>
    <row r="650" customFormat="false" ht="14.25" hidden="false" customHeight="true" outlineLevel="0" collapsed="false">
      <c r="A650" s="27"/>
      <c r="B650" s="27"/>
      <c r="C650" s="40" t="s">
        <v>2498</v>
      </c>
      <c r="D650" s="29" t="s">
        <v>2499</v>
      </c>
      <c r="E650" s="36" t="s">
        <v>2500</v>
      </c>
      <c r="F650" s="42" t="s">
        <v>2501</v>
      </c>
      <c r="G650" s="32" t="s">
        <v>58</v>
      </c>
      <c r="H650" s="33" t="s">
        <v>2502</v>
      </c>
      <c r="I650" s="37" t="s">
        <v>50</v>
      </c>
      <c r="J650" s="35" t="s">
        <v>2503</v>
      </c>
      <c r="K650" s="30" t="s">
        <v>2504</v>
      </c>
    </row>
    <row r="651" customFormat="false" ht="14.25" hidden="false" customHeight="true" outlineLevel="0" collapsed="false">
      <c r="A651" s="27"/>
      <c r="B651" s="27"/>
      <c r="C651" s="27"/>
      <c r="D651" s="27"/>
      <c r="E651" s="36" t="s">
        <v>2505</v>
      </c>
      <c r="F651" s="42"/>
      <c r="G651" s="32"/>
      <c r="H651" s="33"/>
      <c r="I651" s="37"/>
      <c r="J651" s="35"/>
      <c r="K651" s="30" t="s">
        <v>2506</v>
      </c>
    </row>
    <row r="652" customFormat="false" ht="14.25" hidden="false" customHeight="true" outlineLevel="0" collapsed="false">
      <c r="A652" s="27"/>
      <c r="B652" s="27"/>
      <c r="C652" s="27"/>
      <c r="D652" s="29" t="s">
        <v>2507</v>
      </c>
      <c r="E652" s="36" t="s">
        <v>2508</v>
      </c>
      <c r="F652" s="42" t="s">
        <v>2509</v>
      </c>
      <c r="G652" s="32" t="s">
        <v>48</v>
      </c>
      <c r="H652" s="33" t="s">
        <v>2510</v>
      </c>
      <c r="I652" s="37" t="s">
        <v>50</v>
      </c>
      <c r="J652" s="35" t="s">
        <v>2511</v>
      </c>
      <c r="K652" s="30" t="s">
        <v>2512</v>
      </c>
    </row>
    <row r="653" customFormat="false" ht="14.25" hidden="false" customHeight="true" outlineLevel="0" collapsed="false">
      <c r="A653" s="27"/>
      <c r="B653" s="27"/>
      <c r="C653" s="27"/>
      <c r="D653" s="27"/>
      <c r="E653" s="36" t="s">
        <v>2513</v>
      </c>
      <c r="F653" s="42"/>
      <c r="G653" s="32"/>
      <c r="H653" s="33"/>
      <c r="I653" s="37"/>
      <c r="J653" s="35"/>
      <c r="K653" s="30" t="s">
        <v>2514</v>
      </c>
    </row>
    <row r="654" customFormat="false" ht="14.25" hidden="false" customHeight="true" outlineLevel="0" collapsed="false">
      <c r="A654" s="27"/>
      <c r="B654" s="27"/>
      <c r="C654" s="27"/>
      <c r="D654" s="29" t="s">
        <v>2515</v>
      </c>
      <c r="E654" s="36" t="s">
        <v>2516</v>
      </c>
      <c r="F654" s="42" t="s">
        <v>2517</v>
      </c>
      <c r="G654" s="32" t="s">
        <v>48</v>
      </c>
      <c r="H654" s="33" t="s">
        <v>2518</v>
      </c>
      <c r="I654" s="39" t="s">
        <v>67</v>
      </c>
      <c r="J654" s="35" t="s">
        <v>2519</v>
      </c>
      <c r="K654" s="30" t="s">
        <v>2520</v>
      </c>
    </row>
    <row r="655" customFormat="false" ht="14.25" hidden="false" customHeight="true" outlineLevel="0" collapsed="false">
      <c r="A655" s="27"/>
      <c r="B655" s="27"/>
      <c r="C655" s="27"/>
      <c r="D655" s="27"/>
      <c r="E655" s="36" t="s">
        <v>2521</v>
      </c>
      <c r="F655" s="42"/>
      <c r="G655" s="32"/>
      <c r="H655" s="33"/>
      <c r="I655" s="39"/>
      <c r="J655" s="35"/>
      <c r="K655" s="30" t="s">
        <v>2522</v>
      </c>
    </row>
    <row r="656" customFormat="false" ht="14.25" hidden="false" customHeight="true" outlineLevel="0" collapsed="false">
      <c r="A656" s="27"/>
      <c r="B656" s="27"/>
      <c r="C656" s="27"/>
      <c r="D656" s="29" t="s">
        <v>2523</v>
      </c>
      <c r="E656" s="36" t="s">
        <v>2524</v>
      </c>
      <c r="F656" s="42" t="s">
        <v>2525</v>
      </c>
      <c r="G656" s="32" t="s">
        <v>38</v>
      </c>
      <c r="H656" s="33" t="s">
        <v>2039</v>
      </c>
      <c r="I656" s="34" t="s">
        <v>40</v>
      </c>
      <c r="J656" s="35" t="s">
        <v>2526</v>
      </c>
      <c r="K656" s="30" t="s">
        <v>2527</v>
      </c>
    </row>
    <row r="657" customFormat="false" ht="14.25" hidden="false" customHeight="true" outlineLevel="0" collapsed="false">
      <c r="A657" s="27"/>
      <c r="B657" s="27"/>
      <c r="C657" s="27"/>
      <c r="D657" s="27"/>
      <c r="E657" s="36" t="s">
        <v>2528</v>
      </c>
      <c r="F657" s="42"/>
      <c r="G657" s="32"/>
      <c r="H657" s="33"/>
      <c r="I657" s="34"/>
      <c r="J657" s="35"/>
      <c r="K657" s="30" t="s">
        <v>2529</v>
      </c>
    </row>
    <row r="658" customFormat="false" ht="14.25" hidden="false" customHeight="true" outlineLevel="0" collapsed="false">
      <c r="A658" s="27"/>
      <c r="B658" s="27"/>
      <c r="C658" s="27"/>
      <c r="D658" s="29" t="s">
        <v>2530</v>
      </c>
      <c r="E658" s="36" t="s">
        <v>2531</v>
      </c>
      <c r="F658" s="42" t="s">
        <v>2532</v>
      </c>
      <c r="G658" s="32" t="s">
        <v>38</v>
      </c>
      <c r="H658" s="33" t="s">
        <v>2533</v>
      </c>
      <c r="I658" s="39" t="s">
        <v>67</v>
      </c>
      <c r="J658" s="35" t="s">
        <v>2534</v>
      </c>
      <c r="K658" s="30" t="s">
        <v>2535</v>
      </c>
    </row>
    <row r="659" customFormat="false" ht="14.25" hidden="false" customHeight="true" outlineLevel="0" collapsed="false">
      <c r="A659" s="27"/>
      <c r="B659" s="27"/>
      <c r="C659" s="27"/>
      <c r="D659" s="27"/>
      <c r="E659" s="36" t="s">
        <v>2536</v>
      </c>
      <c r="F659" s="42"/>
      <c r="G659" s="32"/>
      <c r="H659" s="33"/>
      <c r="I659" s="39"/>
      <c r="J659" s="35"/>
      <c r="K659" s="30" t="s">
        <v>2537</v>
      </c>
    </row>
    <row r="660" customFormat="false" ht="14.25" hidden="false" customHeight="true" outlineLevel="0" collapsed="false">
      <c r="A660" s="27"/>
      <c r="B660" s="27"/>
      <c r="C660" s="40" t="s">
        <v>2538</v>
      </c>
      <c r="D660" s="29" t="s">
        <v>2539</v>
      </c>
      <c r="E660" s="36" t="s">
        <v>2540</v>
      </c>
      <c r="F660" s="42" t="s">
        <v>2541</v>
      </c>
      <c r="G660" s="32" t="s">
        <v>38</v>
      </c>
      <c r="H660" s="33" t="s">
        <v>2542</v>
      </c>
      <c r="I660" s="37" t="s">
        <v>50</v>
      </c>
      <c r="J660" s="35" t="s">
        <v>2543</v>
      </c>
      <c r="K660" s="30" t="s">
        <v>2544</v>
      </c>
    </row>
    <row r="661" customFormat="false" ht="14.25" hidden="false" customHeight="true" outlineLevel="0" collapsed="false">
      <c r="A661" s="27"/>
      <c r="B661" s="27"/>
      <c r="C661" s="27"/>
      <c r="D661" s="27"/>
      <c r="E661" s="36" t="s">
        <v>2545</v>
      </c>
      <c r="F661" s="42"/>
      <c r="G661" s="32"/>
      <c r="H661" s="33"/>
      <c r="I661" s="37"/>
      <c r="J661" s="35"/>
      <c r="K661" s="30" t="s">
        <v>2546</v>
      </c>
    </row>
    <row r="662" customFormat="false" ht="14.25" hidden="false" customHeight="true" outlineLevel="0" collapsed="false">
      <c r="A662" s="27"/>
      <c r="B662" s="27"/>
      <c r="C662" s="27"/>
      <c r="D662" s="29" t="s">
        <v>2547</v>
      </c>
      <c r="E662" s="36" t="s">
        <v>2548</v>
      </c>
      <c r="F662" s="42" t="s">
        <v>2547</v>
      </c>
      <c r="G662" s="32" t="s">
        <v>48</v>
      </c>
      <c r="H662" s="33" t="s">
        <v>2549</v>
      </c>
      <c r="I662" s="37" t="s">
        <v>50</v>
      </c>
      <c r="J662" s="35" t="s">
        <v>2550</v>
      </c>
      <c r="K662" s="30" t="s">
        <v>2551</v>
      </c>
    </row>
    <row r="663" customFormat="false" ht="14.25" hidden="false" customHeight="true" outlineLevel="0" collapsed="false">
      <c r="A663" s="27"/>
      <c r="B663" s="27"/>
      <c r="C663" s="27"/>
      <c r="D663" s="27"/>
      <c r="E663" s="36" t="s">
        <v>2552</v>
      </c>
      <c r="F663" s="42"/>
      <c r="G663" s="32"/>
      <c r="H663" s="33"/>
      <c r="I663" s="37"/>
      <c r="J663" s="35"/>
      <c r="K663" s="30" t="s">
        <v>2553</v>
      </c>
    </row>
    <row r="664" customFormat="false" ht="14.25" hidden="false" customHeight="true" outlineLevel="0" collapsed="false">
      <c r="A664" s="27"/>
      <c r="B664" s="27"/>
      <c r="C664" s="27"/>
      <c r="D664" s="29" t="s">
        <v>2554</v>
      </c>
      <c r="E664" s="36" t="s">
        <v>2555</v>
      </c>
      <c r="F664" s="42" t="s">
        <v>2556</v>
      </c>
      <c r="G664" s="32" t="s">
        <v>58</v>
      </c>
      <c r="H664" s="33" t="s">
        <v>2557</v>
      </c>
      <c r="I664" s="39" t="s">
        <v>67</v>
      </c>
      <c r="J664" s="35" t="s">
        <v>2558</v>
      </c>
      <c r="K664" s="30" t="s">
        <v>2559</v>
      </c>
    </row>
    <row r="665" customFormat="false" ht="14.25" hidden="false" customHeight="true" outlineLevel="0" collapsed="false">
      <c r="A665" s="27"/>
      <c r="B665" s="27"/>
      <c r="C665" s="27"/>
      <c r="D665" s="27"/>
      <c r="E665" s="36" t="s">
        <v>2560</v>
      </c>
      <c r="F665" s="42"/>
      <c r="G665" s="32"/>
      <c r="H665" s="33"/>
      <c r="I665" s="39"/>
      <c r="J665" s="35"/>
      <c r="K665" s="30" t="s">
        <v>2561</v>
      </c>
    </row>
    <row r="666" customFormat="false" ht="14.25" hidden="false" customHeight="true" outlineLevel="0" collapsed="false">
      <c r="A666" s="27"/>
      <c r="B666" s="27"/>
      <c r="C666" s="27"/>
      <c r="D666" s="29" t="s">
        <v>2562</v>
      </c>
      <c r="E666" s="36" t="s">
        <v>2563</v>
      </c>
      <c r="F666" s="42" t="s">
        <v>2564</v>
      </c>
      <c r="G666" s="32" t="s">
        <v>48</v>
      </c>
      <c r="H666" s="33" t="s">
        <v>2565</v>
      </c>
      <c r="I666" s="34" t="s">
        <v>40</v>
      </c>
      <c r="J666" s="35" t="s">
        <v>2566</v>
      </c>
      <c r="K666" s="30" t="s">
        <v>2567</v>
      </c>
    </row>
    <row r="667" customFormat="false" ht="14.25" hidden="false" customHeight="true" outlineLevel="0" collapsed="false">
      <c r="A667" s="27"/>
      <c r="B667" s="27"/>
      <c r="C667" s="27"/>
      <c r="D667" s="27"/>
      <c r="E667" s="36" t="s">
        <v>2568</v>
      </c>
      <c r="F667" s="42"/>
      <c r="G667" s="32"/>
      <c r="H667" s="33"/>
      <c r="I667" s="34"/>
      <c r="J667" s="35"/>
      <c r="K667" s="30" t="s">
        <v>2546</v>
      </c>
    </row>
    <row r="668" customFormat="false" ht="14.25" hidden="false" customHeight="true" outlineLevel="0" collapsed="false">
      <c r="A668" s="27"/>
      <c r="B668" s="27"/>
      <c r="C668" s="27"/>
      <c r="D668" s="29" t="s">
        <v>2569</v>
      </c>
      <c r="E668" s="36" t="s">
        <v>2570</v>
      </c>
      <c r="F668" s="42" t="s">
        <v>2571</v>
      </c>
      <c r="G668" s="32" t="s">
        <v>48</v>
      </c>
      <c r="H668" s="33" t="s">
        <v>2572</v>
      </c>
      <c r="I668" s="39" t="s">
        <v>67</v>
      </c>
      <c r="J668" s="35" t="s">
        <v>2573</v>
      </c>
      <c r="K668" s="30" t="s">
        <v>2551</v>
      </c>
    </row>
    <row r="669" customFormat="false" ht="14.25" hidden="false" customHeight="true" outlineLevel="0" collapsed="false">
      <c r="A669" s="27"/>
      <c r="B669" s="27"/>
      <c r="C669" s="27"/>
      <c r="D669" s="27"/>
      <c r="E669" s="36" t="s">
        <v>2574</v>
      </c>
      <c r="F669" s="42"/>
      <c r="G669" s="32"/>
      <c r="H669" s="33"/>
      <c r="I669" s="39"/>
      <c r="J669" s="35"/>
      <c r="K669" s="30" t="s">
        <v>2553</v>
      </c>
    </row>
    <row r="670" customFormat="false" ht="14.25" hidden="false" customHeight="true" outlineLevel="0" collapsed="false">
      <c r="A670" s="27"/>
      <c r="B670" s="27"/>
      <c r="C670" s="40" t="s">
        <v>2575</v>
      </c>
      <c r="D670" s="29" t="s">
        <v>2576</v>
      </c>
      <c r="E670" s="36" t="s">
        <v>2577</v>
      </c>
      <c r="F670" s="42" t="s">
        <v>2578</v>
      </c>
      <c r="G670" s="32" t="s">
        <v>38</v>
      </c>
      <c r="H670" s="33" t="s">
        <v>1571</v>
      </c>
      <c r="I670" s="37" t="s">
        <v>50</v>
      </c>
      <c r="J670" s="35" t="s">
        <v>2579</v>
      </c>
      <c r="K670" s="30" t="s">
        <v>2559</v>
      </c>
    </row>
    <row r="671" customFormat="false" ht="14.25" hidden="false" customHeight="true" outlineLevel="0" collapsed="false">
      <c r="A671" s="27"/>
      <c r="B671" s="27"/>
      <c r="C671" s="27"/>
      <c r="D671" s="27"/>
      <c r="E671" s="36" t="s">
        <v>2580</v>
      </c>
      <c r="F671" s="42"/>
      <c r="G671" s="32"/>
      <c r="H671" s="33"/>
      <c r="I671" s="37"/>
      <c r="J671" s="35"/>
      <c r="K671" s="30" t="s">
        <v>2561</v>
      </c>
    </row>
    <row r="672" customFormat="false" ht="14.25" hidden="false" customHeight="true" outlineLevel="0" collapsed="false">
      <c r="A672" s="27"/>
      <c r="B672" s="27"/>
      <c r="C672" s="27"/>
      <c r="D672" s="29" t="s">
        <v>2581</v>
      </c>
      <c r="E672" s="36" t="s">
        <v>2576</v>
      </c>
      <c r="F672" s="42" t="s">
        <v>2582</v>
      </c>
      <c r="G672" s="32" t="s">
        <v>38</v>
      </c>
      <c r="H672" s="33" t="s">
        <v>2583</v>
      </c>
      <c r="I672" s="37" t="s">
        <v>50</v>
      </c>
      <c r="J672" s="35" t="s">
        <v>2584</v>
      </c>
      <c r="K672" s="30" t="s">
        <v>2567</v>
      </c>
    </row>
    <row r="673" customFormat="false" ht="14.25" hidden="false" customHeight="true" outlineLevel="0" collapsed="false">
      <c r="A673" s="27"/>
      <c r="B673" s="27"/>
      <c r="C673" s="27"/>
      <c r="D673" s="27"/>
      <c r="E673" s="36" t="s">
        <v>2585</v>
      </c>
      <c r="F673" s="42"/>
      <c r="G673" s="32"/>
      <c r="H673" s="33"/>
      <c r="I673" s="37"/>
      <c r="J673" s="35"/>
      <c r="K673" s="30" t="s">
        <v>2546</v>
      </c>
    </row>
    <row r="674" customFormat="false" ht="14.25" hidden="false" customHeight="true" outlineLevel="0" collapsed="false">
      <c r="A674" s="27"/>
      <c r="B674" s="27"/>
      <c r="C674" s="27"/>
      <c r="D674" s="29" t="s">
        <v>2586</v>
      </c>
      <c r="E674" s="36" t="s">
        <v>2587</v>
      </c>
      <c r="F674" s="42" t="s">
        <v>2588</v>
      </c>
      <c r="G674" s="32" t="s">
        <v>38</v>
      </c>
      <c r="H674" s="33" t="s">
        <v>2589</v>
      </c>
      <c r="I674" s="39" t="s">
        <v>67</v>
      </c>
      <c r="J674" s="35" t="s">
        <v>2590</v>
      </c>
      <c r="K674" s="30" t="s">
        <v>2551</v>
      </c>
    </row>
    <row r="675" customFormat="false" ht="14.25" hidden="false" customHeight="true" outlineLevel="0" collapsed="false">
      <c r="A675" s="27"/>
      <c r="B675" s="27"/>
      <c r="C675" s="27"/>
      <c r="D675" s="27"/>
      <c r="E675" s="36" t="s">
        <v>2591</v>
      </c>
      <c r="F675" s="42"/>
      <c r="G675" s="32"/>
      <c r="H675" s="33"/>
      <c r="I675" s="39"/>
      <c r="J675" s="35"/>
      <c r="K675" s="30" t="s">
        <v>2553</v>
      </c>
    </row>
    <row r="676" customFormat="false" ht="14.25" hidden="false" customHeight="true" outlineLevel="0" collapsed="false">
      <c r="A676" s="27"/>
      <c r="B676" s="27"/>
      <c r="C676" s="27"/>
      <c r="D676" s="29" t="s">
        <v>2592</v>
      </c>
      <c r="E676" s="36" t="s">
        <v>2593</v>
      </c>
      <c r="F676" s="42" t="s">
        <v>2594</v>
      </c>
      <c r="G676" s="32" t="s">
        <v>48</v>
      </c>
      <c r="H676" s="33" t="s">
        <v>2595</v>
      </c>
      <c r="I676" s="34" t="s">
        <v>40</v>
      </c>
      <c r="J676" s="35" t="s">
        <v>2596</v>
      </c>
      <c r="K676" s="30" t="s">
        <v>2559</v>
      </c>
    </row>
    <row r="677" customFormat="false" ht="14.25" hidden="false" customHeight="true" outlineLevel="0" collapsed="false">
      <c r="A677" s="27"/>
      <c r="B677" s="27"/>
      <c r="C677" s="27"/>
      <c r="D677" s="27"/>
      <c r="E677" s="36" t="s">
        <v>2597</v>
      </c>
      <c r="F677" s="42"/>
      <c r="G677" s="32"/>
      <c r="H677" s="33"/>
      <c r="I677" s="34"/>
      <c r="J677" s="35"/>
      <c r="K677" s="30" t="s">
        <v>2561</v>
      </c>
    </row>
    <row r="678" customFormat="false" ht="14.25" hidden="false" customHeight="true" outlineLevel="0" collapsed="false">
      <c r="A678" s="27"/>
      <c r="B678" s="27"/>
      <c r="C678" s="27"/>
      <c r="D678" s="29" t="s">
        <v>2598</v>
      </c>
      <c r="E678" s="36" t="s">
        <v>2599</v>
      </c>
      <c r="F678" s="42" t="s">
        <v>2600</v>
      </c>
      <c r="G678" s="32" t="s">
        <v>58</v>
      </c>
      <c r="H678" s="33" t="s">
        <v>2601</v>
      </c>
      <c r="I678" s="39" t="s">
        <v>67</v>
      </c>
      <c r="J678" s="35" t="s">
        <v>2602</v>
      </c>
      <c r="K678" s="30" t="s">
        <v>2567</v>
      </c>
    </row>
    <row r="679" customFormat="false" ht="14.25" hidden="false" customHeight="true" outlineLevel="0" collapsed="false">
      <c r="A679" s="27"/>
      <c r="B679" s="27"/>
      <c r="C679" s="27"/>
      <c r="D679" s="27"/>
      <c r="E679" s="36" t="s">
        <v>1843</v>
      </c>
      <c r="F679" s="42"/>
      <c r="G679" s="32"/>
      <c r="H679" s="33"/>
      <c r="I679" s="39"/>
      <c r="J679" s="35"/>
      <c r="K679" s="30" t="s">
        <v>2546</v>
      </c>
    </row>
    <row r="680" customFormat="false" ht="14.25" hidden="false" customHeight="true" outlineLevel="0" collapsed="false">
      <c r="A680" s="27"/>
      <c r="B680" s="27"/>
      <c r="C680" s="29" t="s">
        <v>2603</v>
      </c>
      <c r="D680" s="29" t="s">
        <v>2604</v>
      </c>
      <c r="E680" s="36" t="s">
        <v>2598</v>
      </c>
      <c r="F680" s="42" t="s">
        <v>2605</v>
      </c>
      <c r="G680" s="32" t="s">
        <v>48</v>
      </c>
      <c r="H680" s="33" t="s">
        <v>2606</v>
      </c>
      <c r="I680" s="37" t="s">
        <v>50</v>
      </c>
      <c r="J680" s="35" t="s">
        <v>2607</v>
      </c>
      <c r="K680" s="30" t="s">
        <v>2551</v>
      </c>
    </row>
    <row r="681" customFormat="false" ht="14.25" hidden="false" customHeight="true" outlineLevel="0" collapsed="false">
      <c r="A681" s="27"/>
      <c r="B681" s="27"/>
      <c r="C681" s="27"/>
      <c r="D681" s="27"/>
      <c r="E681" s="36" t="s">
        <v>2608</v>
      </c>
      <c r="F681" s="42"/>
      <c r="G681" s="32"/>
      <c r="H681" s="33"/>
      <c r="I681" s="37"/>
      <c r="J681" s="35"/>
      <c r="K681" s="30" t="s">
        <v>2553</v>
      </c>
    </row>
    <row r="682" customFormat="false" ht="14.25" hidden="false" customHeight="true" outlineLevel="0" collapsed="false">
      <c r="A682" s="27"/>
      <c r="B682" s="27"/>
      <c r="C682" s="27"/>
      <c r="D682" s="29" t="s">
        <v>2609</v>
      </c>
      <c r="E682" s="36" t="s">
        <v>2604</v>
      </c>
      <c r="F682" s="42" t="s">
        <v>2610</v>
      </c>
      <c r="G682" s="32" t="s">
        <v>48</v>
      </c>
      <c r="H682" s="33" t="s">
        <v>1642</v>
      </c>
      <c r="I682" s="37" t="s">
        <v>50</v>
      </c>
      <c r="J682" s="35" t="s">
        <v>2611</v>
      </c>
      <c r="K682" s="30" t="s">
        <v>2559</v>
      </c>
    </row>
    <row r="683" customFormat="false" ht="14.25" hidden="false" customHeight="true" outlineLevel="0" collapsed="false">
      <c r="A683" s="27"/>
      <c r="B683" s="27"/>
      <c r="C683" s="27"/>
      <c r="D683" s="27"/>
      <c r="E683" s="36" t="s">
        <v>2612</v>
      </c>
      <c r="F683" s="42"/>
      <c r="G683" s="32"/>
      <c r="H683" s="33"/>
      <c r="I683" s="37"/>
      <c r="J683" s="35"/>
      <c r="K683" s="30" t="s">
        <v>2561</v>
      </c>
    </row>
    <row r="684" customFormat="false" ht="14.25" hidden="false" customHeight="true" outlineLevel="0" collapsed="false">
      <c r="A684" s="27"/>
      <c r="B684" s="27"/>
      <c r="C684" s="27"/>
      <c r="D684" s="29" t="s">
        <v>2613</v>
      </c>
      <c r="E684" s="36" t="s">
        <v>2614</v>
      </c>
      <c r="F684" s="42" t="s">
        <v>2615</v>
      </c>
      <c r="G684" s="32" t="s">
        <v>38</v>
      </c>
      <c r="H684" s="33" t="s">
        <v>2616</v>
      </c>
      <c r="I684" s="39" t="s">
        <v>67</v>
      </c>
      <c r="J684" s="35" t="s">
        <v>2617</v>
      </c>
      <c r="K684" s="30" t="s">
        <v>2567</v>
      </c>
    </row>
    <row r="685" customFormat="false" ht="14.25" hidden="false" customHeight="true" outlineLevel="0" collapsed="false">
      <c r="A685" s="27"/>
      <c r="B685" s="27"/>
      <c r="C685" s="27"/>
      <c r="D685" s="27"/>
      <c r="E685" s="36" t="s">
        <v>2618</v>
      </c>
      <c r="F685" s="42"/>
      <c r="G685" s="32"/>
      <c r="H685" s="33"/>
      <c r="I685" s="39"/>
      <c r="J685" s="35"/>
      <c r="K685" s="30" t="s">
        <v>2546</v>
      </c>
    </row>
    <row r="686" customFormat="false" ht="14.25" hidden="false" customHeight="true" outlineLevel="0" collapsed="false">
      <c r="A686" s="27"/>
      <c r="B686" s="27"/>
      <c r="C686" s="27"/>
      <c r="D686" s="29" t="s">
        <v>2619</v>
      </c>
      <c r="E686" s="36" t="s">
        <v>2613</v>
      </c>
      <c r="F686" s="42" t="s">
        <v>2620</v>
      </c>
      <c r="G686" s="32" t="s">
        <v>38</v>
      </c>
      <c r="H686" s="33" t="s">
        <v>2195</v>
      </c>
      <c r="I686" s="34" t="s">
        <v>40</v>
      </c>
      <c r="J686" s="35" t="s">
        <v>2621</v>
      </c>
      <c r="K686" s="30" t="s">
        <v>2551</v>
      </c>
    </row>
    <row r="687" customFormat="false" ht="14.25" hidden="false" customHeight="true" outlineLevel="0" collapsed="false">
      <c r="A687" s="27"/>
      <c r="B687" s="27"/>
      <c r="C687" s="27"/>
      <c r="D687" s="27"/>
      <c r="E687" s="36" t="s">
        <v>2622</v>
      </c>
      <c r="F687" s="42"/>
      <c r="G687" s="32"/>
      <c r="H687" s="33"/>
      <c r="I687" s="34"/>
      <c r="J687" s="35"/>
      <c r="K687" s="30" t="s">
        <v>2553</v>
      </c>
    </row>
    <row r="688" customFormat="false" ht="14.25" hidden="false" customHeight="true" outlineLevel="0" collapsed="false">
      <c r="A688" s="27"/>
      <c r="B688" s="27"/>
      <c r="C688" s="27"/>
      <c r="D688" s="29" t="s">
        <v>2623</v>
      </c>
      <c r="E688" s="36" t="s">
        <v>2624</v>
      </c>
      <c r="F688" s="42" t="s">
        <v>2625</v>
      </c>
      <c r="G688" s="32" t="s">
        <v>38</v>
      </c>
      <c r="H688" s="33" t="s">
        <v>2626</v>
      </c>
      <c r="I688" s="39" t="s">
        <v>67</v>
      </c>
      <c r="J688" s="35" t="s">
        <v>2627</v>
      </c>
      <c r="K688" s="30" t="s">
        <v>2559</v>
      </c>
    </row>
    <row r="689" customFormat="false" ht="14.25" hidden="false" customHeight="true" outlineLevel="0" collapsed="false">
      <c r="A689" s="27"/>
      <c r="B689" s="27"/>
      <c r="C689" s="27"/>
      <c r="D689" s="27"/>
      <c r="E689" s="36" t="s">
        <v>2628</v>
      </c>
      <c r="F689" s="42"/>
      <c r="G689" s="32"/>
      <c r="H689" s="33"/>
      <c r="I689" s="39"/>
      <c r="J689" s="35"/>
      <c r="K689" s="30" t="s">
        <v>2561</v>
      </c>
    </row>
    <row r="690" customFormat="false" ht="14.25" hidden="false" customHeight="true" outlineLevel="0" collapsed="false">
      <c r="A690" s="27"/>
      <c r="B690" s="27"/>
      <c r="C690" s="40" t="s">
        <v>2629</v>
      </c>
      <c r="D690" s="29" t="s">
        <v>2630</v>
      </c>
      <c r="E690" s="36" t="s">
        <v>2631</v>
      </c>
      <c r="F690" s="42" t="s">
        <v>2632</v>
      </c>
      <c r="G690" s="32" t="s">
        <v>48</v>
      </c>
      <c r="H690" s="33" t="s">
        <v>2633</v>
      </c>
      <c r="I690" s="37" t="s">
        <v>50</v>
      </c>
      <c r="J690" s="35" t="s">
        <v>2634</v>
      </c>
      <c r="K690" s="30" t="s">
        <v>2635</v>
      </c>
    </row>
    <row r="691" customFormat="false" ht="14.25" hidden="false" customHeight="true" outlineLevel="0" collapsed="false">
      <c r="A691" s="27"/>
      <c r="B691" s="27"/>
      <c r="C691" s="27"/>
      <c r="D691" s="27"/>
      <c r="E691" s="36" t="s">
        <v>2636</v>
      </c>
      <c r="F691" s="42"/>
      <c r="G691" s="32"/>
      <c r="H691" s="33"/>
      <c r="I691" s="37"/>
      <c r="J691" s="35"/>
      <c r="K691" s="30" t="s">
        <v>2637</v>
      </c>
    </row>
    <row r="692" customFormat="false" ht="14.25" hidden="false" customHeight="true" outlineLevel="0" collapsed="false">
      <c r="A692" s="27"/>
      <c r="B692" s="27"/>
      <c r="C692" s="27"/>
      <c r="D692" s="29" t="s">
        <v>2638</v>
      </c>
      <c r="E692" s="36" t="s">
        <v>2639</v>
      </c>
      <c r="F692" s="42" t="s">
        <v>2640</v>
      </c>
      <c r="G692" s="32" t="s">
        <v>58</v>
      </c>
      <c r="H692" s="33" t="s">
        <v>2641</v>
      </c>
      <c r="I692" s="37" t="s">
        <v>50</v>
      </c>
      <c r="J692" s="35" t="s">
        <v>2642</v>
      </c>
      <c r="K692" s="30" t="s">
        <v>2643</v>
      </c>
    </row>
    <row r="693" customFormat="false" ht="14.25" hidden="false" customHeight="true" outlineLevel="0" collapsed="false">
      <c r="A693" s="27"/>
      <c r="B693" s="27"/>
      <c r="C693" s="27"/>
      <c r="D693" s="27"/>
      <c r="E693" s="36" t="s">
        <v>2644</v>
      </c>
      <c r="F693" s="42"/>
      <c r="G693" s="32"/>
      <c r="H693" s="33"/>
      <c r="I693" s="37"/>
      <c r="J693" s="35"/>
      <c r="K693" s="30" t="s">
        <v>2645</v>
      </c>
    </row>
    <row r="694" customFormat="false" ht="14.25" hidden="false" customHeight="true" outlineLevel="0" collapsed="false">
      <c r="A694" s="27"/>
      <c r="B694" s="27"/>
      <c r="C694" s="27"/>
      <c r="D694" s="29" t="s">
        <v>2646</v>
      </c>
      <c r="E694" s="36" t="s">
        <v>2647</v>
      </c>
      <c r="F694" s="42" t="s">
        <v>2648</v>
      </c>
      <c r="G694" s="32" t="s">
        <v>48</v>
      </c>
      <c r="H694" s="33" t="s">
        <v>2649</v>
      </c>
      <c r="I694" s="39" t="s">
        <v>67</v>
      </c>
      <c r="J694" s="35" t="s">
        <v>2650</v>
      </c>
      <c r="K694" s="30" t="s">
        <v>2651</v>
      </c>
    </row>
    <row r="695" customFormat="false" ht="14.25" hidden="false" customHeight="true" outlineLevel="0" collapsed="false">
      <c r="A695" s="27"/>
      <c r="B695" s="27"/>
      <c r="C695" s="27"/>
      <c r="D695" s="27"/>
      <c r="E695" s="36" t="s">
        <v>2652</v>
      </c>
      <c r="F695" s="42"/>
      <c r="G695" s="32"/>
      <c r="H695" s="33"/>
      <c r="I695" s="39"/>
      <c r="J695" s="35"/>
      <c r="K695" s="30" t="s">
        <v>2653</v>
      </c>
    </row>
    <row r="696" customFormat="false" ht="14.25" hidden="false" customHeight="true" outlineLevel="0" collapsed="false">
      <c r="A696" s="27"/>
      <c r="B696" s="27"/>
      <c r="C696" s="27"/>
      <c r="D696" s="29" t="s">
        <v>2654</v>
      </c>
      <c r="E696" s="36" t="s">
        <v>2655</v>
      </c>
      <c r="F696" s="42" t="s">
        <v>2656</v>
      </c>
      <c r="G696" s="32" t="s">
        <v>48</v>
      </c>
      <c r="H696" s="33" t="s">
        <v>2657</v>
      </c>
      <c r="I696" s="34" t="s">
        <v>40</v>
      </c>
      <c r="J696" s="35" t="s">
        <v>2658</v>
      </c>
      <c r="K696" s="30" t="s">
        <v>2659</v>
      </c>
    </row>
    <row r="697" customFormat="false" ht="14.25" hidden="false" customHeight="true" outlineLevel="0" collapsed="false">
      <c r="A697" s="27"/>
      <c r="B697" s="27"/>
      <c r="C697" s="27"/>
      <c r="D697" s="27"/>
      <c r="E697" s="36" t="s">
        <v>1290</v>
      </c>
      <c r="F697" s="42"/>
      <c r="G697" s="32"/>
      <c r="H697" s="33"/>
      <c r="I697" s="34"/>
      <c r="J697" s="35"/>
      <c r="K697" s="30" t="s">
        <v>2660</v>
      </c>
    </row>
    <row r="698" customFormat="false" ht="14.25" hidden="false" customHeight="true" outlineLevel="0" collapsed="false">
      <c r="A698" s="27"/>
      <c r="B698" s="27"/>
      <c r="C698" s="27"/>
      <c r="D698" s="29" t="s">
        <v>2661</v>
      </c>
      <c r="E698" s="36" t="s">
        <v>2662</v>
      </c>
      <c r="F698" s="42" t="s">
        <v>2663</v>
      </c>
      <c r="G698" s="32" t="s">
        <v>38</v>
      </c>
      <c r="H698" s="33" t="s">
        <v>2664</v>
      </c>
      <c r="I698" s="39" t="s">
        <v>67</v>
      </c>
      <c r="J698" s="35" t="s">
        <v>2665</v>
      </c>
      <c r="K698" s="30" t="s">
        <v>2666</v>
      </c>
    </row>
    <row r="699" customFormat="false" ht="14.25" hidden="false" customHeight="true" outlineLevel="0" collapsed="false">
      <c r="A699" s="27"/>
      <c r="B699" s="27"/>
      <c r="C699" s="27"/>
      <c r="D699" s="27"/>
      <c r="E699" s="36" t="s">
        <v>2667</v>
      </c>
      <c r="F699" s="42"/>
      <c r="G699" s="32"/>
      <c r="H699" s="33"/>
      <c r="I699" s="39"/>
      <c r="J699" s="35"/>
      <c r="K699" s="30" t="s">
        <v>2668</v>
      </c>
    </row>
    <row r="700" customFormat="false" ht="14.25" hidden="false" customHeight="true" outlineLevel="0" collapsed="false">
      <c r="A700" s="27"/>
      <c r="B700" s="28" t="s">
        <v>2669</v>
      </c>
      <c r="C700" s="29" t="s">
        <v>2670</v>
      </c>
      <c r="D700" s="29" t="s">
        <v>2671</v>
      </c>
      <c r="E700" s="36" t="s">
        <v>2672</v>
      </c>
      <c r="F700" s="42" t="s">
        <v>2673</v>
      </c>
      <c r="G700" s="32" t="s">
        <v>38</v>
      </c>
      <c r="H700" s="33" t="s">
        <v>2674</v>
      </c>
      <c r="I700" s="37" t="s">
        <v>50</v>
      </c>
      <c r="J700" s="35" t="s">
        <v>2675</v>
      </c>
      <c r="K700" s="30" t="s">
        <v>2676</v>
      </c>
    </row>
    <row r="701" customFormat="false" ht="14.25" hidden="false" customHeight="true" outlineLevel="0" collapsed="false">
      <c r="A701" s="27"/>
      <c r="B701" s="27"/>
      <c r="C701" s="27"/>
      <c r="D701" s="27"/>
      <c r="E701" s="36" t="s">
        <v>2677</v>
      </c>
      <c r="F701" s="42"/>
      <c r="G701" s="32"/>
      <c r="H701" s="33"/>
      <c r="I701" s="37"/>
      <c r="J701" s="35"/>
      <c r="K701" s="30" t="s">
        <v>2678</v>
      </c>
    </row>
    <row r="702" customFormat="false" ht="14.25" hidden="false" customHeight="true" outlineLevel="0" collapsed="false">
      <c r="A702" s="27"/>
      <c r="B702" s="27"/>
      <c r="C702" s="27"/>
      <c r="D702" s="29" t="s">
        <v>2679</v>
      </c>
      <c r="E702" s="36" t="s">
        <v>2680</v>
      </c>
      <c r="F702" s="42" t="s">
        <v>2681</v>
      </c>
      <c r="G702" s="32" t="s">
        <v>38</v>
      </c>
      <c r="H702" s="33" t="s">
        <v>2682</v>
      </c>
      <c r="I702" s="37" t="s">
        <v>50</v>
      </c>
      <c r="J702" s="35" t="s">
        <v>2683</v>
      </c>
      <c r="K702" s="30" t="s">
        <v>2684</v>
      </c>
    </row>
    <row r="703" customFormat="false" ht="14.25" hidden="false" customHeight="true" outlineLevel="0" collapsed="false">
      <c r="A703" s="27"/>
      <c r="B703" s="27"/>
      <c r="C703" s="27"/>
      <c r="D703" s="27"/>
      <c r="E703" s="36" t="s">
        <v>2685</v>
      </c>
      <c r="F703" s="42"/>
      <c r="G703" s="32"/>
      <c r="H703" s="33"/>
      <c r="I703" s="37"/>
      <c r="J703" s="35"/>
      <c r="K703" s="30" t="s">
        <v>2686</v>
      </c>
    </row>
    <row r="704" customFormat="false" ht="14.25" hidden="false" customHeight="true" outlineLevel="0" collapsed="false">
      <c r="A704" s="27"/>
      <c r="B704" s="27"/>
      <c r="C704" s="27"/>
      <c r="D704" s="29" t="s">
        <v>2687</v>
      </c>
      <c r="E704" s="36" t="s">
        <v>2688</v>
      </c>
      <c r="F704" s="42" t="s">
        <v>2689</v>
      </c>
      <c r="G704" s="32" t="s">
        <v>48</v>
      </c>
      <c r="H704" s="33" t="s">
        <v>2690</v>
      </c>
      <c r="I704" s="39" t="s">
        <v>67</v>
      </c>
      <c r="J704" s="35" t="s">
        <v>2691</v>
      </c>
      <c r="K704" s="30" t="s">
        <v>2692</v>
      </c>
    </row>
    <row r="705" customFormat="false" ht="14.25" hidden="false" customHeight="true" outlineLevel="0" collapsed="false">
      <c r="A705" s="27"/>
      <c r="B705" s="27"/>
      <c r="C705" s="27"/>
      <c r="D705" s="27"/>
      <c r="E705" s="36" t="s">
        <v>2693</v>
      </c>
      <c r="F705" s="42"/>
      <c r="G705" s="32"/>
      <c r="H705" s="33"/>
      <c r="I705" s="39"/>
      <c r="J705" s="35"/>
      <c r="K705" s="30" t="s">
        <v>2694</v>
      </c>
    </row>
    <row r="706" customFormat="false" ht="14.25" hidden="false" customHeight="true" outlineLevel="0" collapsed="false">
      <c r="A706" s="27"/>
      <c r="B706" s="27"/>
      <c r="C706" s="27"/>
      <c r="D706" s="29" t="s">
        <v>2695</v>
      </c>
      <c r="E706" s="36" t="s">
        <v>2696</v>
      </c>
      <c r="F706" s="42" t="s">
        <v>2697</v>
      </c>
      <c r="G706" s="32" t="s">
        <v>58</v>
      </c>
      <c r="H706" s="33" t="s">
        <v>2698</v>
      </c>
      <c r="I706" s="34" t="s">
        <v>40</v>
      </c>
      <c r="J706" s="35" t="s">
        <v>2699</v>
      </c>
      <c r="K706" s="30" t="s">
        <v>2700</v>
      </c>
    </row>
    <row r="707" customFormat="false" ht="14.25" hidden="false" customHeight="true" outlineLevel="0" collapsed="false">
      <c r="A707" s="27"/>
      <c r="B707" s="27"/>
      <c r="C707" s="27"/>
      <c r="D707" s="27"/>
      <c r="E707" s="36" t="s">
        <v>2701</v>
      </c>
      <c r="F707" s="42"/>
      <c r="G707" s="32"/>
      <c r="H707" s="33"/>
      <c r="I707" s="34"/>
      <c r="J707" s="35"/>
      <c r="K707" s="30" t="s">
        <v>2702</v>
      </c>
    </row>
    <row r="708" customFormat="false" ht="14.25" hidden="false" customHeight="true" outlineLevel="0" collapsed="false">
      <c r="A708" s="27"/>
      <c r="B708" s="27"/>
      <c r="C708" s="27"/>
      <c r="D708" s="29" t="s">
        <v>2703</v>
      </c>
      <c r="E708" s="36" t="s">
        <v>2704</v>
      </c>
      <c r="F708" s="42" t="s">
        <v>2705</v>
      </c>
      <c r="G708" s="32" t="s">
        <v>48</v>
      </c>
      <c r="H708" s="33" t="s">
        <v>2626</v>
      </c>
      <c r="I708" s="39" t="s">
        <v>67</v>
      </c>
      <c r="J708" s="35" t="s">
        <v>2706</v>
      </c>
      <c r="K708" s="30" t="s">
        <v>2707</v>
      </c>
    </row>
    <row r="709" customFormat="false" ht="14.25" hidden="false" customHeight="true" outlineLevel="0" collapsed="false">
      <c r="A709" s="27"/>
      <c r="B709" s="27"/>
      <c r="C709" s="27"/>
      <c r="D709" s="27"/>
      <c r="E709" s="36" t="s">
        <v>2708</v>
      </c>
      <c r="F709" s="42"/>
      <c r="G709" s="32"/>
      <c r="H709" s="33"/>
      <c r="I709" s="39"/>
      <c r="J709" s="35"/>
      <c r="K709" s="30" t="s">
        <v>2709</v>
      </c>
    </row>
    <row r="710" customFormat="false" ht="14.25" hidden="false" customHeight="true" outlineLevel="0" collapsed="false">
      <c r="A710" s="27"/>
      <c r="B710" s="27"/>
      <c r="C710" s="40" t="s">
        <v>2710</v>
      </c>
      <c r="D710" s="29" t="s">
        <v>2711</v>
      </c>
      <c r="E710" s="36" t="s">
        <v>2712</v>
      </c>
      <c r="F710" s="42" t="s">
        <v>2713</v>
      </c>
      <c r="G710" s="32" t="s">
        <v>48</v>
      </c>
      <c r="H710" s="33" t="s">
        <v>2714</v>
      </c>
      <c r="I710" s="37" t="s">
        <v>50</v>
      </c>
      <c r="J710" s="35" t="s">
        <v>2715</v>
      </c>
      <c r="K710" s="30" t="s">
        <v>2716</v>
      </c>
    </row>
    <row r="711" customFormat="false" ht="14.25" hidden="false" customHeight="true" outlineLevel="0" collapsed="false">
      <c r="A711" s="27"/>
      <c r="B711" s="27"/>
      <c r="C711" s="27"/>
      <c r="D711" s="27"/>
      <c r="E711" s="36" t="s">
        <v>2717</v>
      </c>
      <c r="F711" s="42"/>
      <c r="G711" s="32"/>
      <c r="H711" s="33"/>
      <c r="I711" s="37"/>
      <c r="J711" s="35"/>
      <c r="K711" s="30" t="s">
        <v>2718</v>
      </c>
    </row>
    <row r="712" customFormat="false" ht="14.25" hidden="false" customHeight="true" outlineLevel="0" collapsed="false">
      <c r="A712" s="27"/>
      <c r="B712" s="27"/>
      <c r="C712" s="27"/>
      <c r="D712" s="29" t="s">
        <v>2719</v>
      </c>
      <c r="E712" s="36" t="s">
        <v>2720</v>
      </c>
      <c r="F712" s="42" t="s">
        <v>2721</v>
      </c>
      <c r="G712" s="32" t="s">
        <v>38</v>
      </c>
      <c r="H712" s="33" t="s">
        <v>2722</v>
      </c>
      <c r="I712" s="37" t="s">
        <v>50</v>
      </c>
      <c r="J712" s="35" t="s">
        <v>2723</v>
      </c>
      <c r="K712" s="30" t="s">
        <v>2724</v>
      </c>
    </row>
    <row r="713" customFormat="false" ht="14.25" hidden="false" customHeight="true" outlineLevel="0" collapsed="false">
      <c r="A713" s="27"/>
      <c r="B713" s="27"/>
      <c r="C713" s="27"/>
      <c r="D713" s="27"/>
      <c r="E713" s="36" t="s">
        <v>2725</v>
      </c>
      <c r="F713" s="42"/>
      <c r="G713" s="32"/>
      <c r="H713" s="33"/>
      <c r="I713" s="37"/>
      <c r="J713" s="35"/>
      <c r="K713" s="30" t="s">
        <v>2726</v>
      </c>
    </row>
    <row r="714" customFormat="false" ht="14.25" hidden="false" customHeight="true" outlineLevel="0" collapsed="false">
      <c r="A714" s="27"/>
      <c r="B714" s="27"/>
      <c r="C714" s="27"/>
      <c r="D714" s="29" t="s">
        <v>2727</v>
      </c>
      <c r="E714" s="36" t="s">
        <v>2727</v>
      </c>
      <c r="F714" s="42" t="s">
        <v>2728</v>
      </c>
      <c r="G714" s="32" t="s">
        <v>38</v>
      </c>
      <c r="H714" s="33" t="s">
        <v>2729</v>
      </c>
      <c r="I714" s="39" t="s">
        <v>67</v>
      </c>
      <c r="J714" s="35" t="s">
        <v>2730</v>
      </c>
      <c r="K714" s="30" t="s">
        <v>2731</v>
      </c>
    </row>
    <row r="715" customFormat="false" ht="14.25" hidden="false" customHeight="true" outlineLevel="0" collapsed="false">
      <c r="A715" s="27"/>
      <c r="B715" s="27"/>
      <c r="C715" s="27"/>
      <c r="D715" s="27"/>
      <c r="E715" s="36" t="s">
        <v>2732</v>
      </c>
      <c r="F715" s="42"/>
      <c r="G715" s="32"/>
      <c r="H715" s="33"/>
      <c r="I715" s="39"/>
      <c r="J715" s="35"/>
      <c r="K715" s="30" t="s">
        <v>2733</v>
      </c>
    </row>
    <row r="716" customFormat="false" ht="14.25" hidden="false" customHeight="true" outlineLevel="0" collapsed="false">
      <c r="A716" s="27"/>
      <c r="B716" s="27"/>
      <c r="C716" s="27"/>
      <c r="D716" s="29" t="s">
        <v>2734</v>
      </c>
      <c r="E716" s="36" t="s">
        <v>2735</v>
      </c>
      <c r="F716" s="42" t="s">
        <v>2736</v>
      </c>
      <c r="G716" s="32" t="s">
        <v>38</v>
      </c>
      <c r="H716" s="33" t="s">
        <v>2616</v>
      </c>
      <c r="I716" s="34" t="s">
        <v>40</v>
      </c>
      <c r="J716" s="35" t="s">
        <v>2737</v>
      </c>
      <c r="K716" s="30" t="s">
        <v>2738</v>
      </c>
    </row>
    <row r="717" customFormat="false" ht="14.25" hidden="false" customHeight="true" outlineLevel="0" collapsed="false">
      <c r="A717" s="27"/>
      <c r="B717" s="27"/>
      <c r="C717" s="27"/>
      <c r="D717" s="27"/>
      <c r="E717" s="36" t="s">
        <v>2739</v>
      </c>
      <c r="F717" s="42"/>
      <c r="G717" s="32"/>
      <c r="H717" s="33"/>
      <c r="I717" s="34"/>
      <c r="J717" s="35"/>
      <c r="K717" s="30" t="s">
        <v>2740</v>
      </c>
    </row>
    <row r="718" customFormat="false" ht="14.25" hidden="false" customHeight="true" outlineLevel="0" collapsed="false">
      <c r="A718" s="27"/>
      <c r="B718" s="27"/>
      <c r="C718" s="27"/>
      <c r="D718" s="29" t="s">
        <v>2741</v>
      </c>
      <c r="E718" s="36" t="s">
        <v>2742</v>
      </c>
      <c r="F718" s="42" t="s">
        <v>2743</v>
      </c>
      <c r="G718" s="32" t="s">
        <v>48</v>
      </c>
      <c r="H718" s="33" t="s">
        <v>2626</v>
      </c>
      <c r="I718" s="39" t="s">
        <v>67</v>
      </c>
      <c r="J718" s="35" t="s">
        <v>2744</v>
      </c>
      <c r="K718" s="30" t="s">
        <v>2416</v>
      </c>
    </row>
    <row r="719" customFormat="false" ht="14.25" hidden="false" customHeight="true" outlineLevel="0" collapsed="false">
      <c r="A719" s="27"/>
      <c r="B719" s="27"/>
      <c r="C719" s="27"/>
      <c r="D719" s="27"/>
      <c r="E719" s="36" t="s">
        <v>2745</v>
      </c>
      <c r="F719" s="42"/>
      <c r="G719" s="32"/>
      <c r="H719" s="33"/>
      <c r="I719" s="39"/>
      <c r="J719" s="35"/>
      <c r="K719" s="30" t="s">
        <v>2746</v>
      </c>
    </row>
    <row r="720" customFormat="false" ht="14.25" hidden="false" customHeight="true" outlineLevel="0" collapsed="false">
      <c r="A720" s="27"/>
      <c r="B720" s="27"/>
      <c r="C720" s="40" t="s">
        <v>2747</v>
      </c>
      <c r="D720" s="29" t="s">
        <v>2748</v>
      </c>
      <c r="E720" s="36" t="s">
        <v>2748</v>
      </c>
      <c r="F720" s="42" t="s">
        <v>2749</v>
      </c>
      <c r="G720" s="32" t="s">
        <v>58</v>
      </c>
      <c r="H720" s="33" t="s">
        <v>2750</v>
      </c>
      <c r="I720" s="37" t="s">
        <v>50</v>
      </c>
      <c r="J720" s="35" t="s">
        <v>2751</v>
      </c>
      <c r="K720" s="30" t="s">
        <v>2551</v>
      </c>
    </row>
    <row r="721" customFormat="false" ht="14.25" hidden="false" customHeight="true" outlineLevel="0" collapsed="false">
      <c r="A721" s="27"/>
      <c r="B721" s="27"/>
      <c r="C721" s="27"/>
      <c r="D721" s="27"/>
      <c r="E721" s="36" t="s">
        <v>2752</v>
      </c>
      <c r="F721" s="42"/>
      <c r="G721" s="32"/>
      <c r="H721" s="33"/>
      <c r="I721" s="37"/>
      <c r="J721" s="35"/>
      <c r="K721" s="30" t="s">
        <v>2753</v>
      </c>
    </row>
    <row r="722" customFormat="false" ht="14.25" hidden="false" customHeight="true" outlineLevel="0" collapsed="false">
      <c r="A722" s="27"/>
      <c r="B722" s="27"/>
      <c r="C722" s="27"/>
      <c r="D722" s="29" t="s">
        <v>2754</v>
      </c>
      <c r="E722" s="36" t="s">
        <v>2755</v>
      </c>
      <c r="F722" s="42" t="s">
        <v>2756</v>
      </c>
      <c r="G722" s="32" t="s">
        <v>48</v>
      </c>
      <c r="H722" s="33" t="s">
        <v>2757</v>
      </c>
      <c r="I722" s="37" t="s">
        <v>50</v>
      </c>
      <c r="J722" s="35" t="s">
        <v>2758</v>
      </c>
      <c r="K722" s="30" t="s">
        <v>2759</v>
      </c>
    </row>
    <row r="723" customFormat="false" ht="14.25" hidden="false" customHeight="true" outlineLevel="0" collapsed="false">
      <c r="A723" s="27"/>
      <c r="B723" s="27"/>
      <c r="C723" s="27"/>
      <c r="D723" s="27"/>
      <c r="E723" s="36" t="s">
        <v>2760</v>
      </c>
      <c r="F723" s="42"/>
      <c r="G723" s="32"/>
      <c r="H723" s="33"/>
      <c r="I723" s="37"/>
      <c r="J723" s="35"/>
      <c r="K723" s="30" t="s">
        <v>2761</v>
      </c>
    </row>
    <row r="724" customFormat="false" ht="14.25" hidden="false" customHeight="true" outlineLevel="0" collapsed="false">
      <c r="A724" s="27"/>
      <c r="B724" s="27"/>
      <c r="C724" s="27"/>
      <c r="D724" s="29" t="s">
        <v>2762</v>
      </c>
      <c r="E724" s="36" t="s">
        <v>2763</v>
      </c>
      <c r="F724" s="42" t="s">
        <v>2764</v>
      </c>
      <c r="G724" s="32" t="s">
        <v>48</v>
      </c>
      <c r="H724" s="33" t="s">
        <v>2765</v>
      </c>
      <c r="I724" s="39" t="s">
        <v>67</v>
      </c>
      <c r="J724" s="35" t="s">
        <v>41</v>
      </c>
      <c r="K724" s="30" t="s">
        <v>2766</v>
      </c>
    </row>
    <row r="725" customFormat="false" ht="14.25" hidden="false" customHeight="true" outlineLevel="0" collapsed="false">
      <c r="A725" s="27"/>
      <c r="B725" s="27"/>
      <c r="C725" s="27"/>
      <c r="D725" s="27"/>
      <c r="E725" s="36" t="s">
        <v>2767</v>
      </c>
      <c r="F725" s="42"/>
      <c r="G725" s="32"/>
      <c r="H725" s="33"/>
      <c r="I725" s="39"/>
      <c r="J725" s="35"/>
      <c r="K725" s="30" t="s">
        <v>2768</v>
      </c>
    </row>
    <row r="726" customFormat="false" ht="14.25" hidden="false" customHeight="true" outlineLevel="0" collapsed="false">
      <c r="A726" s="27"/>
      <c r="B726" s="27"/>
      <c r="C726" s="27"/>
      <c r="D726" s="29" t="s">
        <v>2769</v>
      </c>
      <c r="E726" s="36" t="s">
        <v>2770</v>
      </c>
      <c r="F726" s="42" t="s">
        <v>2771</v>
      </c>
      <c r="G726" s="32" t="s">
        <v>38</v>
      </c>
      <c r="H726" s="33" t="s">
        <v>2772</v>
      </c>
      <c r="I726" s="34" t="s">
        <v>40</v>
      </c>
      <c r="J726" s="35" t="s">
        <v>51</v>
      </c>
      <c r="K726" s="30" t="s">
        <v>2773</v>
      </c>
    </row>
    <row r="727" customFormat="false" ht="14.25" hidden="false" customHeight="true" outlineLevel="0" collapsed="false">
      <c r="A727" s="27"/>
      <c r="B727" s="27"/>
      <c r="C727" s="27"/>
      <c r="D727" s="27"/>
      <c r="E727" s="36" t="s">
        <v>2774</v>
      </c>
      <c r="F727" s="42"/>
      <c r="G727" s="32"/>
      <c r="H727" s="33"/>
      <c r="I727" s="34"/>
      <c r="J727" s="35"/>
      <c r="K727" s="30" t="s">
        <v>2775</v>
      </c>
    </row>
    <row r="728" customFormat="false" ht="14.25" hidden="false" customHeight="true" outlineLevel="0" collapsed="false">
      <c r="A728" s="27"/>
      <c r="B728" s="27"/>
      <c r="C728" s="27"/>
      <c r="D728" s="29" t="s">
        <v>2776</v>
      </c>
      <c r="E728" s="36" t="s">
        <v>2777</v>
      </c>
      <c r="F728" s="42" t="s">
        <v>2778</v>
      </c>
      <c r="G728" s="32" t="s">
        <v>38</v>
      </c>
      <c r="H728" s="33" t="s">
        <v>1582</v>
      </c>
      <c r="I728" s="39" t="s">
        <v>67</v>
      </c>
      <c r="J728" s="35" t="s">
        <v>60</v>
      </c>
      <c r="K728" s="30" t="s">
        <v>2779</v>
      </c>
    </row>
    <row r="729" customFormat="false" ht="14.25" hidden="false" customHeight="true" outlineLevel="0" collapsed="false">
      <c r="A729" s="27"/>
      <c r="B729" s="27"/>
      <c r="C729" s="27"/>
      <c r="D729" s="27"/>
      <c r="E729" s="36" t="s">
        <v>2780</v>
      </c>
      <c r="F729" s="42"/>
      <c r="G729" s="32"/>
      <c r="H729" s="33"/>
      <c r="I729" s="39"/>
      <c r="J729" s="35"/>
      <c r="K729" s="30" t="s">
        <v>2781</v>
      </c>
    </row>
    <row r="730" customFormat="false" ht="14.25" hidden="false" customHeight="true" outlineLevel="0" collapsed="false">
      <c r="A730" s="27"/>
      <c r="B730" s="27"/>
      <c r="C730" s="40" t="s">
        <v>2782</v>
      </c>
      <c r="D730" s="29" t="s">
        <v>2783</v>
      </c>
      <c r="E730" s="36" t="s">
        <v>2784</v>
      </c>
      <c r="F730" s="42" t="s">
        <v>2785</v>
      </c>
      <c r="G730" s="32" t="s">
        <v>38</v>
      </c>
      <c r="H730" s="33" t="s">
        <v>2786</v>
      </c>
      <c r="I730" s="37" t="s">
        <v>50</v>
      </c>
      <c r="J730" s="35" t="s">
        <v>68</v>
      </c>
      <c r="K730" s="30" t="s">
        <v>2787</v>
      </c>
    </row>
    <row r="731" customFormat="false" ht="14.25" hidden="false" customHeight="true" outlineLevel="0" collapsed="false">
      <c r="A731" s="27"/>
      <c r="B731" s="27"/>
      <c r="C731" s="27"/>
      <c r="D731" s="27"/>
      <c r="E731" s="36" t="s">
        <v>2788</v>
      </c>
      <c r="F731" s="42"/>
      <c r="G731" s="32"/>
      <c r="H731" s="33"/>
      <c r="I731" s="37"/>
      <c r="J731" s="35"/>
      <c r="K731" s="30" t="s">
        <v>2789</v>
      </c>
    </row>
    <row r="732" customFormat="false" ht="14.25" hidden="false" customHeight="true" outlineLevel="0" collapsed="false">
      <c r="A732" s="27"/>
      <c r="B732" s="27"/>
      <c r="C732" s="27"/>
      <c r="D732" s="29" t="s">
        <v>2790</v>
      </c>
      <c r="E732" s="36" t="s">
        <v>2790</v>
      </c>
      <c r="F732" s="42" t="s">
        <v>2791</v>
      </c>
      <c r="G732" s="32" t="s">
        <v>48</v>
      </c>
      <c r="H732" s="33" t="s">
        <v>2792</v>
      </c>
      <c r="I732" s="37" t="s">
        <v>50</v>
      </c>
      <c r="J732" s="35" t="s">
        <v>76</v>
      </c>
      <c r="K732" s="30" t="s">
        <v>2793</v>
      </c>
    </row>
    <row r="733" customFormat="false" ht="14.25" hidden="false" customHeight="true" outlineLevel="0" collapsed="false">
      <c r="A733" s="27"/>
      <c r="B733" s="27"/>
      <c r="C733" s="27"/>
      <c r="D733" s="27"/>
      <c r="E733" s="36" t="s">
        <v>2794</v>
      </c>
      <c r="F733" s="42"/>
      <c r="G733" s="32"/>
      <c r="H733" s="33"/>
      <c r="I733" s="37"/>
      <c r="J733" s="35"/>
      <c r="K733" s="30" t="s">
        <v>2795</v>
      </c>
    </row>
    <row r="734" customFormat="false" ht="14.25" hidden="false" customHeight="true" outlineLevel="0" collapsed="false">
      <c r="A734" s="27"/>
      <c r="B734" s="27"/>
      <c r="C734" s="27"/>
      <c r="D734" s="29" t="s">
        <v>2796</v>
      </c>
      <c r="E734" s="36" t="s">
        <v>2796</v>
      </c>
      <c r="F734" s="42" t="s">
        <v>2797</v>
      </c>
      <c r="G734" s="32" t="s">
        <v>58</v>
      </c>
      <c r="H734" s="33" t="s">
        <v>2798</v>
      </c>
      <c r="I734" s="39" t="s">
        <v>67</v>
      </c>
      <c r="J734" s="35" t="s">
        <v>85</v>
      </c>
      <c r="K734" s="30" t="s">
        <v>2799</v>
      </c>
    </row>
    <row r="735" customFormat="false" ht="14.25" hidden="false" customHeight="true" outlineLevel="0" collapsed="false">
      <c r="A735" s="27"/>
      <c r="B735" s="27"/>
      <c r="C735" s="27"/>
      <c r="D735" s="27"/>
      <c r="E735" s="36" t="s">
        <v>1085</v>
      </c>
      <c r="F735" s="42"/>
      <c r="G735" s="32"/>
      <c r="H735" s="33"/>
      <c r="I735" s="39"/>
      <c r="J735" s="35"/>
      <c r="K735" s="30" t="s">
        <v>2800</v>
      </c>
    </row>
    <row r="736" customFormat="false" ht="14.25" hidden="false" customHeight="true" outlineLevel="0" collapsed="false">
      <c r="A736" s="27"/>
      <c r="B736" s="27"/>
      <c r="C736" s="27"/>
      <c r="D736" s="29" t="s">
        <v>2801</v>
      </c>
      <c r="E736" s="36" t="s">
        <v>2801</v>
      </c>
      <c r="F736" s="42" t="s">
        <v>2802</v>
      </c>
      <c r="G736" s="32" t="s">
        <v>48</v>
      </c>
      <c r="H736" s="33" t="s">
        <v>2803</v>
      </c>
      <c r="I736" s="34" t="s">
        <v>40</v>
      </c>
      <c r="J736" s="35" t="s">
        <v>93</v>
      </c>
      <c r="K736" s="30" t="s">
        <v>2804</v>
      </c>
    </row>
    <row r="737" customFormat="false" ht="14.25" hidden="false" customHeight="true" outlineLevel="0" collapsed="false">
      <c r="A737" s="27"/>
      <c r="B737" s="27"/>
      <c r="C737" s="27"/>
      <c r="D737" s="27"/>
      <c r="E737" s="36" t="s">
        <v>2805</v>
      </c>
      <c r="F737" s="42"/>
      <c r="G737" s="32"/>
      <c r="H737" s="33"/>
      <c r="I737" s="34"/>
      <c r="J737" s="35"/>
      <c r="K737" s="30" t="s">
        <v>2806</v>
      </c>
    </row>
    <row r="738" customFormat="false" ht="14.25" hidden="false" customHeight="true" outlineLevel="0" collapsed="false">
      <c r="A738" s="27"/>
      <c r="B738" s="27"/>
      <c r="C738" s="27"/>
      <c r="D738" s="29" t="s">
        <v>2807</v>
      </c>
      <c r="E738" s="36" t="s">
        <v>2807</v>
      </c>
      <c r="F738" s="42" t="s">
        <v>2778</v>
      </c>
      <c r="G738" s="32" t="s">
        <v>48</v>
      </c>
      <c r="H738" s="33" t="s">
        <v>1582</v>
      </c>
      <c r="I738" s="39" t="s">
        <v>67</v>
      </c>
      <c r="J738" s="35" t="s">
        <v>101</v>
      </c>
      <c r="K738" s="30" t="s">
        <v>2808</v>
      </c>
    </row>
    <row r="739" customFormat="false" ht="14.25" hidden="false" customHeight="true" outlineLevel="0" collapsed="false">
      <c r="A739" s="27"/>
      <c r="B739" s="27"/>
      <c r="C739" s="27"/>
      <c r="D739" s="27"/>
      <c r="E739" s="36" t="s">
        <v>2809</v>
      </c>
      <c r="F739" s="42"/>
      <c r="G739" s="32"/>
      <c r="H739" s="33"/>
      <c r="I739" s="39"/>
      <c r="J739" s="35"/>
      <c r="K739" s="30" t="s">
        <v>2810</v>
      </c>
    </row>
    <row r="740" customFormat="false" ht="14.25" hidden="false" customHeight="true" outlineLevel="0" collapsed="false">
      <c r="A740" s="27"/>
      <c r="B740" s="27"/>
      <c r="C740" s="29" t="s">
        <v>2811</v>
      </c>
      <c r="D740" s="29" t="s">
        <v>2783</v>
      </c>
      <c r="E740" s="36" t="s">
        <v>2812</v>
      </c>
      <c r="F740" s="42" t="s">
        <v>2785</v>
      </c>
      <c r="G740" s="32" t="s">
        <v>38</v>
      </c>
      <c r="H740" s="33" t="s">
        <v>2786</v>
      </c>
      <c r="I740" s="37" t="s">
        <v>50</v>
      </c>
      <c r="J740" s="35" t="s">
        <v>109</v>
      </c>
      <c r="K740" s="30" t="s">
        <v>2813</v>
      </c>
    </row>
    <row r="741" customFormat="false" ht="14.25" hidden="false" customHeight="true" outlineLevel="0" collapsed="false">
      <c r="A741" s="27"/>
      <c r="B741" s="27"/>
      <c r="C741" s="27"/>
      <c r="D741" s="27"/>
      <c r="E741" s="36" t="s">
        <v>2814</v>
      </c>
      <c r="F741" s="42"/>
      <c r="G741" s="32"/>
      <c r="H741" s="33"/>
      <c r="I741" s="37"/>
      <c r="J741" s="35"/>
      <c r="K741" s="30" t="s">
        <v>2815</v>
      </c>
    </row>
    <row r="742" customFormat="false" ht="14.25" hidden="false" customHeight="true" outlineLevel="0" collapsed="false">
      <c r="A742" s="27"/>
      <c r="B742" s="27"/>
      <c r="C742" s="27"/>
      <c r="D742" s="29" t="s">
        <v>2790</v>
      </c>
      <c r="E742" s="36" t="s">
        <v>2816</v>
      </c>
      <c r="F742" s="42" t="s">
        <v>2791</v>
      </c>
      <c r="G742" s="32" t="s">
        <v>38</v>
      </c>
      <c r="H742" s="33" t="s">
        <v>2792</v>
      </c>
      <c r="I742" s="37" t="s">
        <v>50</v>
      </c>
      <c r="J742" s="35" t="s">
        <v>117</v>
      </c>
      <c r="K742" s="30" t="s">
        <v>2817</v>
      </c>
    </row>
    <row r="743" customFormat="false" ht="14.25" hidden="false" customHeight="true" outlineLevel="0" collapsed="false">
      <c r="A743" s="27"/>
      <c r="B743" s="27"/>
      <c r="C743" s="27"/>
      <c r="D743" s="27"/>
      <c r="E743" s="36" t="s">
        <v>2818</v>
      </c>
      <c r="F743" s="42"/>
      <c r="G743" s="32"/>
      <c r="H743" s="33"/>
      <c r="I743" s="37"/>
      <c r="J743" s="35"/>
      <c r="K743" s="30" t="s">
        <v>2819</v>
      </c>
    </row>
    <row r="744" customFormat="false" ht="14.25" hidden="false" customHeight="true" outlineLevel="0" collapsed="false">
      <c r="A744" s="27"/>
      <c r="B744" s="27"/>
      <c r="C744" s="27"/>
      <c r="D744" s="29" t="s">
        <v>2796</v>
      </c>
      <c r="E744" s="36" t="s">
        <v>2820</v>
      </c>
      <c r="F744" s="42" t="s">
        <v>2797</v>
      </c>
      <c r="G744" s="32" t="s">
        <v>38</v>
      </c>
      <c r="H744" s="33" t="s">
        <v>2798</v>
      </c>
      <c r="I744" s="39" t="s">
        <v>67</v>
      </c>
      <c r="J744" s="35" t="s">
        <v>125</v>
      </c>
      <c r="K744" s="30" t="s">
        <v>2821</v>
      </c>
    </row>
    <row r="745" customFormat="false" ht="14.25" hidden="false" customHeight="true" outlineLevel="0" collapsed="false">
      <c r="A745" s="27"/>
      <c r="B745" s="27"/>
      <c r="C745" s="27"/>
      <c r="D745" s="27"/>
      <c r="E745" s="36" t="s">
        <v>2822</v>
      </c>
      <c r="F745" s="42"/>
      <c r="G745" s="32"/>
      <c r="H745" s="33"/>
      <c r="I745" s="39"/>
      <c r="J745" s="35"/>
      <c r="K745" s="30" t="s">
        <v>2823</v>
      </c>
    </row>
    <row r="746" customFormat="false" ht="14.25" hidden="false" customHeight="true" outlineLevel="0" collapsed="false">
      <c r="A746" s="27"/>
      <c r="B746" s="27"/>
      <c r="C746" s="27"/>
      <c r="D746" s="29" t="s">
        <v>2801</v>
      </c>
      <c r="E746" s="36" t="s">
        <v>2824</v>
      </c>
      <c r="F746" s="42" t="s">
        <v>2802</v>
      </c>
      <c r="G746" s="32" t="s">
        <v>48</v>
      </c>
      <c r="H746" s="33" t="s">
        <v>2649</v>
      </c>
      <c r="I746" s="34" t="s">
        <v>40</v>
      </c>
      <c r="J746" s="35" t="s">
        <v>133</v>
      </c>
      <c r="K746" s="30" t="s">
        <v>2825</v>
      </c>
    </row>
    <row r="747" customFormat="false" ht="14.25" hidden="false" customHeight="true" outlineLevel="0" collapsed="false">
      <c r="A747" s="27"/>
      <c r="B747" s="27"/>
      <c r="C747" s="27"/>
      <c r="D747" s="27"/>
      <c r="E747" s="36" t="s">
        <v>2826</v>
      </c>
      <c r="F747" s="42"/>
      <c r="G747" s="32"/>
      <c r="H747" s="33"/>
      <c r="I747" s="34"/>
      <c r="J747" s="35"/>
      <c r="K747" s="30" t="s">
        <v>2827</v>
      </c>
    </row>
    <row r="748" customFormat="false" ht="14.25" hidden="false" customHeight="true" outlineLevel="0" collapsed="false">
      <c r="A748" s="27"/>
      <c r="B748" s="27"/>
      <c r="C748" s="27"/>
      <c r="D748" s="29" t="s">
        <v>2807</v>
      </c>
      <c r="E748" s="36" t="s">
        <v>2807</v>
      </c>
      <c r="F748" s="42" t="s">
        <v>2828</v>
      </c>
      <c r="G748" s="32" t="s">
        <v>58</v>
      </c>
      <c r="H748" s="33" t="s">
        <v>2829</v>
      </c>
      <c r="I748" s="39" t="s">
        <v>67</v>
      </c>
      <c r="J748" s="35" t="s">
        <v>142</v>
      </c>
      <c r="K748" s="30" t="s">
        <v>2830</v>
      </c>
    </row>
    <row r="749" customFormat="false" ht="14.25" hidden="false" customHeight="true" outlineLevel="0" collapsed="false">
      <c r="A749" s="27"/>
      <c r="B749" s="27"/>
      <c r="C749" s="27"/>
      <c r="D749" s="27"/>
      <c r="E749" s="36" t="s">
        <v>2809</v>
      </c>
      <c r="F749" s="42"/>
      <c r="G749" s="32"/>
      <c r="H749" s="33"/>
      <c r="I749" s="39"/>
      <c r="J749" s="35"/>
      <c r="K749" s="30" t="s">
        <v>2831</v>
      </c>
    </row>
    <row r="750" customFormat="false" ht="14.25" hidden="false" customHeight="true" outlineLevel="0" collapsed="false">
      <c r="A750" s="27"/>
      <c r="B750" s="27"/>
      <c r="C750" s="40" t="s">
        <v>2832</v>
      </c>
      <c r="D750" s="29" t="s">
        <v>2833</v>
      </c>
      <c r="E750" s="36" t="s">
        <v>2833</v>
      </c>
      <c r="F750" s="42" t="s">
        <v>2834</v>
      </c>
      <c r="G750" s="32" t="s">
        <v>48</v>
      </c>
      <c r="H750" s="33" t="s">
        <v>2835</v>
      </c>
      <c r="I750" s="37" t="s">
        <v>50</v>
      </c>
      <c r="J750" s="35" t="s">
        <v>150</v>
      </c>
      <c r="K750" s="30" t="s">
        <v>2836</v>
      </c>
    </row>
    <row r="751" customFormat="false" ht="14.25" hidden="false" customHeight="true" outlineLevel="0" collapsed="false">
      <c r="A751" s="27"/>
      <c r="B751" s="27"/>
      <c r="C751" s="27"/>
      <c r="D751" s="27"/>
      <c r="E751" s="36" t="s">
        <v>2837</v>
      </c>
      <c r="F751" s="42"/>
      <c r="G751" s="32"/>
      <c r="H751" s="33"/>
      <c r="I751" s="37"/>
      <c r="J751" s="35"/>
      <c r="K751" s="30" t="s">
        <v>2838</v>
      </c>
    </row>
    <row r="752" customFormat="false" ht="14.25" hidden="false" customHeight="true" outlineLevel="0" collapsed="false">
      <c r="A752" s="27"/>
      <c r="B752" s="27"/>
      <c r="C752" s="27"/>
      <c r="D752" s="29" t="s">
        <v>2839</v>
      </c>
      <c r="E752" s="36" t="s">
        <v>2839</v>
      </c>
      <c r="F752" s="42" t="s">
        <v>2840</v>
      </c>
      <c r="G752" s="32" t="s">
        <v>48</v>
      </c>
      <c r="H752" s="33" t="s">
        <v>2786</v>
      </c>
      <c r="I752" s="37" t="s">
        <v>50</v>
      </c>
      <c r="J752" s="35" t="s">
        <v>158</v>
      </c>
      <c r="K752" s="30" t="s">
        <v>2813</v>
      </c>
    </row>
    <row r="753" customFormat="false" ht="14.25" hidden="false" customHeight="true" outlineLevel="0" collapsed="false">
      <c r="A753" s="27"/>
      <c r="B753" s="27"/>
      <c r="C753" s="27"/>
      <c r="D753" s="27"/>
      <c r="E753" s="36" t="s">
        <v>2841</v>
      </c>
      <c r="F753" s="42"/>
      <c r="G753" s="32"/>
      <c r="H753" s="33"/>
      <c r="I753" s="37"/>
      <c r="J753" s="35"/>
      <c r="K753" s="30" t="s">
        <v>2815</v>
      </c>
    </row>
    <row r="754" customFormat="false" ht="14.25" hidden="false" customHeight="true" outlineLevel="0" collapsed="false">
      <c r="A754" s="27"/>
      <c r="B754" s="27"/>
      <c r="C754" s="27"/>
      <c r="D754" s="29" t="s">
        <v>2842</v>
      </c>
      <c r="E754" s="36" t="s">
        <v>2842</v>
      </c>
      <c r="F754" s="42" t="s">
        <v>2843</v>
      </c>
      <c r="G754" s="32" t="s">
        <v>38</v>
      </c>
      <c r="H754" s="33" t="s">
        <v>2844</v>
      </c>
      <c r="I754" s="39" t="s">
        <v>67</v>
      </c>
      <c r="J754" s="35" t="s">
        <v>166</v>
      </c>
      <c r="K754" s="30" t="s">
        <v>2817</v>
      </c>
    </row>
    <row r="755" customFormat="false" ht="14.25" hidden="false" customHeight="true" outlineLevel="0" collapsed="false">
      <c r="A755" s="27"/>
      <c r="B755" s="27"/>
      <c r="C755" s="27"/>
      <c r="D755" s="27"/>
      <c r="E755" s="36" t="s">
        <v>2845</v>
      </c>
      <c r="F755" s="42"/>
      <c r="G755" s="32"/>
      <c r="H755" s="33"/>
      <c r="I755" s="39"/>
      <c r="J755" s="35"/>
      <c r="K755" s="30" t="s">
        <v>2819</v>
      </c>
    </row>
    <row r="756" customFormat="false" ht="14.25" hidden="false" customHeight="true" outlineLevel="0" collapsed="false">
      <c r="A756" s="27"/>
      <c r="B756" s="27"/>
      <c r="C756" s="27"/>
      <c r="D756" s="29" t="s">
        <v>2846</v>
      </c>
      <c r="E756" s="36" t="s">
        <v>2846</v>
      </c>
      <c r="F756" s="42" t="s">
        <v>2847</v>
      </c>
      <c r="G756" s="32" t="s">
        <v>38</v>
      </c>
      <c r="H756" s="33" t="s">
        <v>2848</v>
      </c>
      <c r="I756" s="34" t="s">
        <v>40</v>
      </c>
      <c r="J756" s="35" t="s">
        <v>2849</v>
      </c>
      <c r="K756" s="30" t="s">
        <v>2821</v>
      </c>
    </row>
    <row r="757" customFormat="false" ht="14.25" hidden="false" customHeight="true" outlineLevel="0" collapsed="false">
      <c r="A757" s="27"/>
      <c r="B757" s="27"/>
      <c r="C757" s="27"/>
      <c r="D757" s="27"/>
      <c r="E757" s="36" t="s">
        <v>2850</v>
      </c>
      <c r="F757" s="42"/>
      <c r="G757" s="32"/>
      <c r="H757" s="33"/>
      <c r="I757" s="34"/>
      <c r="J757" s="35"/>
      <c r="K757" s="30" t="s">
        <v>2823</v>
      </c>
    </row>
    <row r="758" customFormat="false" ht="14.25" hidden="false" customHeight="true" outlineLevel="0" collapsed="false">
      <c r="A758" s="27"/>
      <c r="B758" s="27"/>
      <c r="C758" s="27"/>
      <c r="D758" s="29" t="s">
        <v>2851</v>
      </c>
      <c r="E758" s="36" t="s">
        <v>2851</v>
      </c>
      <c r="F758" s="42" t="s">
        <v>2852</v>
      </c>
      <c r="G758" s="32" t="s">
        <v>38</v>
      </c>
      <c r="H758" s="33" t="s">
        <v>2649</v>
      </c>
      <c r="I758" s="39" t="s">
        <v>67</v>
      </c>
      <c r="J758" s="35" t="s">
        <v>2853</v>
      </c>
      <c r="K758" s="30" t="s">
        <v>2825</v>
      </c>
    </row>
    <row r="759" customFormat="false" ht="14.25" hidden="false" customHeight="true" outlineLevel="0" collapsed="false">
      <c r="A759" s="27"/>
      <c r="B759" s="27"/>
      <c r="C759" s="27"/>
      <c r="D759" s="27"/>
      <c r="E759" s="36" t="s">
        <v>2854</v>
      </c>
      <c r="F759" s="42"/>
      <c r="G759" s="32"/>
      <c r="H759" s="33"/>
      <c r="I759" s="39"/>
      <c r="J759" s="35"/>
      <c r="K759" s="30" t="s">
        <v>2827</v>
      </c>
    </row>
    <row r="760" customFormat="false" ht="14.25" hidden="false" customHeight="true" outlineLevel="0" collapsed="false">
      <c r="A760" s="27"/>
      <c r="B760" s="27"/>
      <c r="C760" s="40" t="s">
        <v>2855</v>
      </c>
      <c r="D760" s="29" t="s">
        <v>2856</v>
      </c>
      <c r="E760" s="36" t="s">
        <v>2857</v>
      </c>
      <c r="F760" s="42" t="s">
        <v>2858</v>
      </c>
      <c r="G760" s="32" t="s">
        <v>48</v>
      </c>
      <c r="H760" s="33" t="s">
        <v>2859</v>
      </c>
      <c r="I760" s="37" t="s">
        <v>50</v>
      </c>
      <c r="J760" s="35" t="s">
        <v>2860</v>
      </c>
      <c r="K760" s="30" t="s">
        <v>2830</v>
      </c>
    </row>
    <row r="761" customFormat="false" ht="14.25" hidden="false" customHeight="true" outlineLevel="0" collapsed="false">
      <c r="A761" s="27"/>
      <c r="B761" s="27"/>
      <c r="C761" s="27"/>
      <c r="D761" s="27"/>
      <c r="E761" s="36" t="s">
        <v>2861</v>
      </c>
      <c r="F761" s="42"/>
      <c r="G761" s="32"/>
      <c r="H761" s="33"/>
      <c r="I761" s="37"/>
      <c r="J761" s="35"/>
      <c r="K761" s="30" t="s">
        <v>2831</v>
      </c>
    </row>
    <row r="762" customFormat="false" ht="14.25" hidden="false" customHeight="true" outlineLevel="0" collapsed="false">
      <c r="A762" s="27"/>
      <c r="B762" s="27"/>
      <c r="C762" s="27"/>
      <c r="D762" s="29" t="s">
        <v>2862</v>
      </c>
      <c r="E762" s="36" t="s">
        <v>2862</v>
      </c>
      <c r="F762" s="42" t="s">
        <v>2863</v>
      </c>
      <c r="G762" s="32" t="s">
        <v>58</v>
      </c>
      <c r="H762" s="33" t="s">
        <v>2864</v>
      </c>
      <c r="I762" s="37" t="s">
        <v>50</v>
      </c>
      <c r="J762" s="35" t="s">
        <v>542</v>
      </c>
      <c r="K762" s="30" t="s">
        <v>2836</v>
      </c>
    </row>
    <row r="763" customFormat="false" ht="14.25" hidden="false" customHeight="true" outlineLevel="0" collapsed="false">
      <c r="A763" s="27"/>
      <c r="B763" s="27"/>
      <c r="C763" s="27"/>
      <c r="D763" s="27"/>
      <c r="E763" s="36" t="s">
        <v>2865</v>
      </c>
      <c r="F763" s="42"/>
      <c r="G763" s="32"/>
      <c r="H763" s="33"/>
      <c r="I763" s="37"/>
      <c r="J763" s="35"/>
      <c r="K763" s="30" t="s">
        <v>2838</v>
      </c>
    </row>
    <row r="764" customFormat="false" ht="14.25" hidden="false" customHeight="true" outlineLevel="0" collapsed="false">
      <c r="A764" s="27"/>
      <c r="B764" s="27"/>
      <c r="C764" s="27"/>
      <c r="D764" s="29" t="s">
        <v>2866</v>
      </c>
      <c r="E764" s="36" t="s">
        <v>2866</v>
      </c>
      <c r="F764" s="42" t="s">
        <v>2867</v>
      </c>
      <c r="G764" s="32" t="s">
        <v>48</v>
      </c>
      <c r="H764" s="33" t="s">
        <v>2868</v>
      </c>
      <c r="I764" s="39" t="s">
        <v>67</v>
      </c>
      <c r="J764" s="35" t="s">
        <v>550</v>
      </c>
      <c r="K764" s="30" t="s">
        <v>2869</v>
      </c>
    </row>
    <row r="765" customFormat="false" ht="14.25" hidden="false" customHeight="true" outlineLevel="0" collapsed="false">
      <c r="A765" s="27"/>
      <c r="B765" s="27"/>
      <c r="C765" s="27"/>
      <c r="D765" s="27"/>
      <c r="E765" s="36" t="s">
        <v>2870</v>
      </c>
      <c r="F765" s="42"/>
      <c r="G765" s="32"/>
      <c r="H765" s="33"/>
      <c r="I765" s="39"/>
      <c r="J765" s="35"/>
      <c r="K765" s="30" t="s">
        <v>2871</v>
      </c>
    </row>
    <row r="766" customFormat="false" ht="14.25" hidden="false" customHeight="true" outlineLevel="0" collapsed="false">
      <c r="A766" s="27"/>
      <c r="B766" s="27"/>
      <c r="C766" s="27"/>
      <c r="D766" s="29" t="s">
        <v>2872</v>
      </c>
      <c r="E766" s="36" t="s">
        <v>2872</v>
      </c>
      <c r="F766" s="42" t="s">
        <v>2873</v>
      </c>
      <c r="G766" s="32" t="s">
        <v>48</v>
      </c>
      <c r="H766" s="33" t="s">
        <v>2722</v>
      </c>
      <c r="I766" s="34" t="s">
        <v>40</v>
      </c>
      <c r="J766" s="35" t="s">
        <v>2874</v>
      </c>
      <c r="K766" s="30" t="s">
        <v>2875</v>
      </c>
    </row>
    <row r="767" customFormat="false" ht="14.25" hidden="false" customHeight="true" outlineLevel="0" collapsed="false">
      <c r="A767" s="27"/>
      <c r="B767" s="27"/>
      <c r="C767" s="27"/>
      <c r="D767" s="27"/>
      <c r="E767" s="36" t="s">
        <v>2876</v>
      </c>
      <c r="F767" s="42"/>
      <c r="G767" s="32"/>
      <c r="H767" s="33"/>
      <c r="I767" s="34"/>
      <c r="J767" s="35"/>
      <c r="K767" s="30" t="s">
        <v>2877</v>
      </c>
    </row>
    <row r="768" customFormat="false" ht="14.25" hidden="false" customHeight="true" outlineLevel="0" collapsed="false">
      <c r="A768" s="27"/>
      <c r="B768" s="27"/>
      <c r="C768" s="27"/>
      <c r="D768" s="29" t="s">
        <v>2878</v>
      </c>
      <c r="E768" s="36" t="s">
        <v>2878</v>
      </c>
      <c r="F768" s="42" t="s">
        <v>2879</v>
      </c>
      <c r="G768" s="32" t="s">
        <v>38</v>
      </c>
      <c r="H768" s="33" t="s">
        <v>2880</v>
      </c>
      <c r="I768" s="39" t="s">
        <v>67</v>
      </c>
      <c r="J768" s="35" t="s">
        <v>2881</v>
      </c>
      <c r="K768" s="30" t="s">
        <v>2882</v>
      </c>
    </row>
    <row r="769" customFormat="false" ht="14.25" hidden="false" customHeight="true" outlineLevel="0" collapsed="false">
      <c r="A769" s="27"/>
      <c r="B769" s="27"/>
      <c r="C769" s="27"/>
      <c r="D769" s="27"/>
      <c r="E769" s="36" t="s">
        <v>2883</v>
      </c>
      <c r="F769" s="42"/>
      <c r="G769" s="32"/>
      <c r="H769" s="33"/>
      <c r="I769" s="39"/>
      <c r="J769" s="35"/>
      <c r="K769" s="30" t="s">
        <v>2884</v>
      </c>
    </row>
    <row r="770" customFormat="false" ht="14.25" hidden="false" customHeight="true" outlineLevel="0" collapsed="false">
      <c r="A770" s="27"/>
      <c r="B770" s="27"/>
      <c r="C770" s="29" t="s">
        <v>2885</v>
      </c>
      <c r="D770" s="29" t="s">
        <v>2886</v>
      </c>
      <c r="E770" s="36" t="s">
        <v>2886</v>
      </c>
      <c r="F770" s="42" t="s">
        <v>2887</v>
      </c>
      <c r="G770" s="32" t="s">
        <v>38</v>
      </c>
      <c r="H770" s="33" t="s">
        <v>2880</v>
      </c>
      <c r="I770" s="37" t="s">
        <v>50</v>
      </c>
      <c r="J770" s="35" t="s">
        <v>2888</v>
      </c>
      <c r="K770" s="30" t="s">
        <v>2889</v>
      </c>
    </row>
    <row r="771" customFormat="false" ht="14.25" hidden="false" customHeight="true" outlineLevel="0" collapsed="false">
      <c r="A771" s="27"/>
      <c r="B771" s="27"/>
      <c r="C771" s="27"/>
      <c r="D771" s="27"/>
      <c r="E771" s="36" t="s">
        <v>2890</v>
      </c>
      <c r="F771" s="42"/>
      <c r="G771" s="32"/>
      <c r="H771" s="33"/>
      <c r="I771" s="37"/>
      <c r="J771" s="35"/>
      <c r="K771" s="30" t="s">
        <v>2891</v>
      </c>
    </row>
    <row r="772" customFormat="false" ht="14.25" hidden="false" customHeight="true" outlineLevel="0" collapsed="false">
      <c r="A772" s="27"/>
      <c r="B772" s="27"/>
      <c r="C772" s="27"/>
      <c r="D772" s="29" t="s">
        <v>2892</v>
      </c>
      <c r="E772" s="36" t="s">
        <v>2892</v>
      </c>
      <c r="F772" s="42" t="s">
        <v>2893</v>
      </c>
      <c r="G772" s="32" t="s">
        <v>38</v>
      </c>
      <c r="H772" s="33" t="s">
        <v>1571</v>
      </c>
      <c r="I772" s="37" t="s">
        <v>50</v>
      </c>
      <c r="J772" s="35" t="s">
        <v>582</v>
      </c>
      <c r="K772" s="30" t="s">
        <v>2894</v>
      </c>
    </row>
    <row r="773" customFormat="false" ht="14.25" hidden="false" customHeight="true" outlineLevel="0" collapsed="false">
      <c r="A773" s="27"/>
      <c r="B773" s="27"/>
      <c r="C773" s="27"/>
      <c r="D773" s="27"/>
      <c r="E773" s="36" t="s">
        <v>2895</v>
      </c>
      <c r="F773" s="42"/>
      <c r="G773" s="32"/>
      <c r="H773" s="33"/>
      <c r="I773" s="37"/>
      <c r="J773" s="35"/>
      <c r="K773" s="30" t="s">
        <v>2896</v>
      </c>
    </row>
    <row r="774" customFormat="false" ht="14.25" hidden="false" customHeight="true" outlineLevel="0" collapsed="false">
      <c r="A774" s="27"/>
      <c r="B774" s="27"/>
      <c r="C774" s="27"/>
      <c r="D774" s="29" t="s">
        <v>2897</v>
      </c>
      <c r="E774" s="36" t="s">
        <v>2897</v>
      </c>
      <c r="F774" s="42" t="s">
        <v>2898</v>
      </c>
      <c r="G774" s="32" t="s">
        <v>48</v>
      </c>
      <c r="H774" s="33" t="s">
        <v>2844</v>
      </c>
      <c r="I774" s="39" t="s">
        <v>67</v>
      </c>
      <c r="J774" s="35" t="s">
        <v>590</v>
      </c>
      <c r="K774" s="30" t="s">
        <v>2899</v>
      </c>
    </row>
    <row r="775" customFormat="false" ht="14.25" hidden="false" customHeight="true" outlineLevel="0" collapsed="false">
      <c r="A775" s="27"/>
      <c r="B775" s="27"/>
      <c r="C775" s="27"/>
      <c r="D775" s="27"/>
      <c r="E775" s="36" t="s">
        <v>2900</v>
      </c>
      <c r="F775" s="42"/>
      <c r="G775" s="32"/>
      <c r="H775" s="33"/>
      <c r="I775" s="39"/>
      <c r="J775" s="35"/>
      <c r="K775" s="30" t="s">
        <v>2901</v>
      </c>
    </row>
    <row r="776" customFormat="false" ht="14.25" hidden="false" customHeight="true" outlineLevel="0" collapsed="false">
      <c r="A776" s="27"/>
      <c r="B776" s="27"/>
      <c r="C776" s="27"/>
      <c r="D776" s="29" t="s">
        <v>2902</v>
      </c>
      <c r="E776" s="36" t="s">
        <v>2902</v>
      </c>
      <c r="F776" s="42" t="s">
        <v>2903</v>
      </c>
      <c r="G776" s="32" t="s">
        <v>58</v>
      </c>
      <c r="H776" s="33" t="s">
        <v>2904</v>
      </c>
      <c r="I776" s="34" t="s">
        <v>40</v>
      </c>
      <c r="J776" s="35" t="s">
        <v>2905</v>
      </c>
      <c r="K776" s="30" t="s">
        <v>2906</v>
      </c>
    </row>
    <row r="777" customFormat="false" ht="14.25" hidden="false" customHeight="true" outlineLevel="0" collapsed="false">
      <c r="A777" s="27"/>
      <c r="B777" s="27"/>
      <c r="C777" s="27"/>
      <c r="D777" s="27"/>
      <c r="E777" s="36" t="s">
        <v>2907</v>
      </c>
      <c r="F777" s="42"/>
      <c r="G777" s="32"/>
      <c r="H777" s="33"/>
      <c r="I777" s="34"/>
      <c r="J777" s="35"/>
      <c r="K777" s="30" t="s">
        <v>2908</v>
      </c>
    </row>
    <row r="778" customFormat="false" ht="14.25" hidden="false" customHeight="true" outlineLevel="0" collapsed="false">
      <c r="A778" s="27"/>
      <c r="B778" s="27"/>
      <c r="C778" s="27"/>
      <c r="D778" s="29" t="s">
        <v>2909</v>
      </c>
      <c r="E778" s="36" t="s">
        <v>2909</v>
      </c>
      <c r="F778" s="42" t="s">
        <v>2910</v>
      </c>
      <c r="G778" s="32" t="s">
        <v>48</v>
      </c>
      <c r="H778" s="33" t="s">
        <v>2911</v>
      </c>
      <c r="I778" s="39" t="s">
        <v>67</v>
      </c>
      <c r="J778" s="35" t="s">
        <v>2912</v>
      </c>
      <c r="K778" s="30" t="s">
        <v>2913</v>
      </c>
    </row>
    <row r="779" customFormat="false" ht="14.25" hidden="false" customHeight="true" outlineLevel="0" collapsed="false">
      <c r="A779" s="27"/>
      <c r="B779" s="27"/>
      <c r="C779" s="27"/>
      <c r="D779" s="27"/>
      <c r="E779" s="36" t="s">
        <v>2914</v>
      </c>
      <c r="F779" s="42"/>
      <c r="G779" s="32"/>
      <c r="H779" s="33"/>
      <c r="I779" s="39"/>
      <c r="J779" s="35"/>
      <c r="K779" s="30" t="s">
        <v>2915</v>
      </c>
    </row>
    <row r="780" customFormat="false" ht="14.25" hidden="false" customHeight="true" outlineLevel="0" collapsed="false">
      <c r="A780" s="27"/>
      <c r="B780" s="27"/>
      <c r="C780" s="29" t="s">
        <v>2916</v>
      </c>
      <c r="D780" s="29" t="s">
        <v>2917</v>
      </c>
      <c r="E780" s="36" t="s">
        <v>2917</v>
      </c>
      <c r="F780" s="42" t="s">
        <v>2918</v>
      </c>
      <c r="G780" s="32" t="s">
        <v>48</v>
      </c>
      <c r="H780" s="33" t="s">
        <v>2919</v>
      </c>
      <c r="I780" s="37" t="s">
        <v>50</v>
      </c>
      <c r="J780" s="35" t="s">
        <v>614</v>
      </c>
      <c r="K780" s="30" t="s">
        <v>2920</v>
      </c>
    </row>
    <row r="781" customFormat="false" ht="14.25" hidden="false" customHeight="true" outlineLevel="0" collapsed="false">
      <c r="A781" s="27"/>
      <c r="B781" s="27"/>
      <c r="C781" s="27"/>
      <c r="D781" s="27"/>
      <c r="E781" s="36" t="s">
        <v>2921</v>
      </c>
      <c r="F781" s="42"/>
      <c r="G781" s="32"/>
      <c r="H781" s="33"/>
      <c r="I781" s="37"/>
      <c r="J781" s="35"/>
      <c r="K781" s="30" t="s">
        <v>2922</v>
      </c>
    </row>
    <row r="782" customFormat="false" ht="14.25" hidden="false" customHeight="true" outlineLevel="0" collapsed="false">
      <c r="A782" s="27"/>
      <c r="B782" s="27"/>
      <c r="C782" s="27"/>
      <c r="D782" s="29" t="s">
        <v>2923</v>
      </c>
      <c r="E782" s="36" t="s">
        <v>2923</v>
      </c>
      <c r="F782" s="42" t="s">
        <v>2924</v>
      </c>
      <c r="G782" s="32" t="s">
        <v>38</v>
      </c>
      <c r="H782" s="33" t="s">
        <v>2925</v>
      </c>
      <c r="I782" s="37" t="s">
        <v>50</v>
      </c>
      <c r="J782" s="35" t="s">
        <v>2926</v>
      </c>
      <c r="K782" s="30" t="s">
        <v>2927</v>
      </c>
    </row>
    <row r="783" customFormat="false" ht="14.25" hidden="false" customHeight="true" outlineLevel="0" collapsed="false">
      <c r="A783" s="27"/>
      <c r="B783" s="27"/>
      <c r="C783" s="27"/>
      <c r="D783" s="27"/>
      <c r="E783" s="36" t="s">
        <v>2928</v>
      </c>
      <c r="F783" s="42"/>
      <c r="G783" s="32"/>
      <c r="H783" s="33"/>
      <c r="I783" s="37"/>
      <c r="J783" s="35"/>
      <c r="K783" s="30" t="s">
        <v>2838</v>
      </c>
    </row>
    <row r="784" customFormat="false" ht="14.25" hidden="false" customHeight="true" outlineLevel="0" collapsed="false">
      <c r="A784" s="27"/>
      <c r="B784" s="27"/>
      <c r="C784" s="27"/>
      <c r="D784" s="29" t="s">
        <v>2929</v>
      </c>
      <c r="E784" s="36" t="s">
        <v>2929</v>
      </c>
      <c r="F784" s="42" t="s">
        <v>2930</v>
      </c>
      <c r="G784" s="32" t="s">
        <v>38</v>
      </c>
      <c r="H784" s="33" t="s">
        <v>2931</v>
      </c>
      <c r="I784" s="39" t="s">
        <v>67</v>
      </c>
      <c r="J784" s="35" t="s">
        <v>2932</v>
      </c>
      <c r="K784" s="30" t="s">
        <v>2933</v>
      </c>
    </row>
    <row r="785" customFormat="false" ht="14.25" hidden="false" customHeight="true" outlineLevel="0" collapsed="false">
      <c r="A785" s="27"/>
      <c r="B785" s="27"/>
      <c r="C785" s="27"/>
      <c r="D785" s="27"/>
      <c r="E785" s="36" t="s">
        <v>2934</v>
      </c>
      <c r="F785" s="42"/>
      <c r="G785" s="32"/>
      <c r="H785" s="33"/>
      <c r="I785" s="39"/>
      <c r="J785" s="35"/>
      <c r="K785" s="30" t="s">
        <v>2935</v>
      </c>
    </row>
    <row r="786" customFormat="false" ht="14.25" hidden="false" customHeight="true" outlineLevel="0" collapsed="false">
      <c r="A786" s="27"/>
      <c r="B786" s="27"/>
      <c r="C786" s="27"/>
      <c r="D786" s="29" t="s">
        <v>2936</v>
      </c>
      <c r="E786" s="36" t="s">
        <v>2936</v>
      </c>
      <c r="F786" s="42" t="s">
        <v>2937</v>
      </c>
      <c r="G786" s="32" t="s">
        <v>38</v>
      </c>
      <c r="H786" s="33" t="s">
        <v>2938</v>
      </c>
      <c r="I786" s="34" t="s">
        <v>40</v>
      </c>
      <c r="J786" s="35" t="s">
        <v>630</v>
      </c>
      <c r="K786" s="30" t="s">
        <v>2939</v>
      </c>
    </row>
    <row r="787" customFormat="false" ht="14.25" hidden="false" customHeight="true" outlineLevel="0" collapsed="false">
      <c r="A787" s="27"/>
      <c r="B787" s="27"/>
      <c r="C787" s="27"/>
      <c r="D787" s="27"/>
      <c r="E787" s="36" t="s">
        <v>2940</v>
      </c>
      <c r="F787" s="42"/>
      <c r="G787" s="32"/>
      <c r="H787" s="33"/>
      <c r="I787" s="34"/>
      <c r="J787" s="35"/>
      <c r="K787" s="30" t="s">
        <v>2941</v>
      </c>
    </row>
    <row r="788" customFormat="false" ht="14.25" hidden="false" customHeight="true" outlineLevel="0" collapsed="false">
      <c r="A788" s="27"/>
      <c r="B788" s="27"/>
      <c r="C788" s="27"/>
      <c r="D788" s="29" t="s">
        <v>2942</v>
      </c>
      <c r="E788" s="36" t="s">
        <v>2942</v>
      </c>
      <c r="F788" s="31" t="s">
        <v>2943</v>
      </c>
      <c r="G788" s="32" t="s">
        <v>48</v>
      </c>
      <c r="H788" s="33" t="s">
        <v>2944</v>
      </c>
      <c r="I788" s="39" t="s">
        <v>67</v>
      </c>
      <c r="J788" s="35" t="s">
        <v>2945</v>
      </c>
      <c r="K788" s="30" t="s">
        <v>2946</v>
      </c>
    </row>
    <row r="789" customFormat="false" ht="14.25" hidden="false" customHeight="true" outlineLevel="0" collapsed="false">
      <c r="A789" s="27"/>
      <c r="B789" s="27"/>
      <c r="C789" s="27"/>
      <c r="D789" s="27"/>
      <c r="E789" s="36" t="s">
        <v>2947</v>
      </c>
      <c r="F789" s="31"/>
      <c r="G789" s="32"/>
      <c r="H789" s="33"/>
      <c r="I789" s="39"/>
      <c r="J789" s="35"/>
      <c r="K789" s="30" t="s">
        <v>2948</v>
      </c>
    </row>
    <row r="790" customFormat="false" ht="14.25" hidden="false" customHeight="true" outlineLevel="0" collapsed="false">
      <c r="A790" s="27"/>
      <c r="B790" s="27"/>
      <c r="C790" s="29" t="s">
        <v>2949</v>
      </c>
      <c r="D790" s="29" t="s">
        <v>2950</v>
      </c>
      <c r="E790" s="36" t="s">
        <v>2950</v>
      </c>
      <c r="F790" s="31" t="s">
        <v>2951</v>
      </c>
      <c r="G790" s="32" t="s">
        <v>58</v>
      </c>
      <c r="H790" s="33" t="s">
        <v>2952</v>
      </c>
      <c r="I790" s="37" t="s">
        <v>50</v>
      </c>
      <c r="J790" s="35" t="s">
        <v>2953</v>
      </c>
      <c r="K790" s="30" t="s">
        <v>2954</v>
      </c>
    </row>
    <row r="791" customFormat="false" ht="14.25" hidden="false" customHeight="true" outlineLevel="0" collapsed="false">
      <c r="A791" s="27"/>
      <c r="B791" s="27"/>
      <c r="C791" s="27"/>
      <c r="D791" s="27"/>
      <c r="E791" s="36" t="s">
        <v>2955</v>
      </c>
      <c r="F791" s="31"/>
      <c r="G791" s="32"/>
      <c r="H791" s="33"/>
      <c r="I791" s="37"/>
      <c r="J791" s="35"/>
      <c r="K791" s="30" t="s">
        <v>2956</v>
      </c>
    </row>
    <row r="792" customFormat="false" ht="14.25" hidden="false" customHeight="true" outlineLevel="0" collapsed="false">
      <c r="A792" s="27"/>
      <c r="B792" s="27"/>
      <c r="C792" s="27"/>
      <c r="D792" s="29" t="s">
        <v>2957</v>
      </c>
      <c r="E792" s="36" t="s">
        <v>2957</v>
      </c>
      <c r="F792" s="31" t="s">
        <v>2958</v>
      </c>
      <c r="G792" s="32" t="s">
        <v>48</v>
      </c>
      <c r="H792" s="33" t="s">
        <v>2959</v>
      </c>
      <c r="I792" s="37" t="s">
        <v>50</v>
      </c>
      <c r="J792" s="35" t="s">
        <v>2960</v>
      </c>
      <c r="K792" s="30" t="s">
        <v>2961</v>
      </c>
    </row>
    <row r="793" customFormat="false" ht="14.25" hidden="false" customHeight="true" outlineLevel="0" collapsed="false">
      <c r="A793" s="27"/>
      <c r="B793" s="27"/>
      <c r="C793" s="27"/>
      <c r="D793" s="27"/>
      <c r="E793" s="36" t="s">
        <v>2962</v>
      </c>
      <c r="F793" s="31"/>
      <c r="G793" s="32"/>
      <c r="H793" s="33"/>
      <c r="I793" s="37"/>
      <c r="J793" s="35"/>
      <c r="K793" s="30" t="s">
        <v>2963</v>
      </c>
    </row>
    <row r="794" customFormat="false" ht="14.25" hidden="false" customHeight="true" outlineLevel="0" collapsed="false">
      <c r="A794" s="27"/>
      <c r="B794" s="27"/>
      <c r="C794" s="27"/>
      <c r="D794" s="29" t="s">
        <v>2964</v>
      </c>
      <c r="E794" s="36" t="s">
        <v>2964</v>
      </c>
      <c r="F794" s="31" t="s">
        <v>2965</v>
      </c>
      <c r="G794" s="32" t="s">
        <v>48</v>
      </c>
      <c r="H794" s="33" t="s">
        <v>2966</v>
      </c>
      <c r="I794" s="39" t="s">
        <v>67</v>
      </c>
      <c r="J794" s="35" t="s">
        <v>2967</v>
      </c>
      <c r="K794" s="30" t="s">
        <v>2939</v>
      </c>
    </row>
    <row r="795" customFormat="false" ht="14.25" hidden="false" customHeight="true" outlineLevel="0" collapsed="false">
      <c r="A795" s="27"/>
      <c r="B795" s="27"/>
      <c r="C795" s="27"/>
      <c r="D795" s="27"/>
      <c r="E795" s="36" t="s">
        <v>1956</v>
      </c>
      <c r="F795" s="31"/>
      <c r="G795" s="32"/>
      <c r="H795" s="33"/>
      <c r="I795" s="39"/>
      <c r="J795" s="35"/>
      <c r="K795" s="30" t="s">
        <v>2941</v>
      </c>
    </row>
    <row r="796" customFormat="false" ht="14.25" hidden="false" customHeight="true" outlineLevel="0" collapsed="false">
      <c r="A796" s="27"/>
      <c r="B796" s="27"/>
      <c r="C796" s="27"/>
      <c r="D796" s="29" t="s">
        <v>2968</v>
      </c>
      <c r="E796" s="36" t="s">
        <v>2968</v>
      </c>
      <c r="F796" s="31" t="s">
        <v>2969</v>
      </c>
      <c r="G796" s="32" t="s">
        <v>38</v>
      </c>
      <c r="H796" s="33" t="s">
        <v>2970</v>
      </c>
      <c r="I796" s="34" t="s">
        <v>40</v>
      </c>
      <c r="J796" s="35" t="s">
        <v>2971</v>
      </c>
      <c r="K796" s="30" t="s">
        <v>2946</v>
      </c>
    </row>
    <row r="797" customFormat="false" ht="14.25" hidden="false" customHeight="true" outlineLevel="0" collapsed="false">
      <c r="A797" s="27"/>
      <c r="B797" s="27"/>
      <c r="C797" s="27"/>
      <c r="D797" s="27"/>
      <c r="E797" s="36" t="s">
        <v>2972</v>
      </c>
      <c r="F797" s="31"/>
      <c r="G797" s="32"/>
      <c r="H797" s="33"/>
      <c r="I797" s="34"/>
      <c r="J797" s="35"/>
      <c r="K797" s="30" t="s">
        <v>2948</v>
      </c>
    </row>
    <row r="798" customFormat="false" ht="14.25" hidden="false" customHeight="true" outlineLevel="0" collapsed="false">
      <c r="A798" s="27"/>
      <c r="B798" s="27"/>
      <c r="C798" s="27"/>
      <c r="D798" s="29" t="s">
        <v>2973</v>
      </c>
      <c r="E798" s="36" t="s">
        <v>2973</v>
      </c>
      <c r="F798" s="31" t="s">
        <v>2974</v>
      </c>
      <c r="G798" s="32" t="s">
        <v>38</v>
      </c>
      <c r="H798" s="33" t="s">
        <v>1787</v>
      </c>
      <c r="I798" s="39" t="s">
        <v>67</v>
      </c>
      <c r="J798" s="35" t="s">
        <v>430</v>
      </c>
      <c r="K798" s="30" t="s">
        <v>2954</v>
      </c>
    </row>
    <row r="799" customFormat="false" ht="14.25" hidden="false" customHeight="true" outlineLevel="0" collapsed="false">
      <c r="A799" s="27"/>
      <c r="B799" s="27"/>
      <c r="C799" s="27"/>
      <c r="D799" s="27"/>
      <c r="E799" s="36" t="s">
        <v>2975</v>
      </c>
      <c r="F799" s="31"/>
      <c r="G799" s="32"/>
      <c r="H799" s="33"/>
      <c r="I799" s="39"/>
      <c r="J799" s="35"/>
      <c r="K799" s="30" t="s">
        <v>2956</v>
      </c>
    </row>
    <row r="800" customFormat="false" ht="14.25" hidden="false" customHeight="true" outlineLevel="0" collapsed="false">
      <c r="A800" s="27"/>
      <c r="B800" s="27"/>
      <c r="C800" s="29" t="s">
        <v>2976</v>
      </c>
      <c r="D800" s="29" t="s">
        <v>2977</v>
      </c>
      <c r="E800" s="36" t="s">
        <v>2977</v>
      </c>
      <c r="F800" s="42" t="s">
        <v>2978</v>
      </c>
      <c r="G800" s="32" t="s">
        <v>38</v>
      </c>
      <c r="H800" s="33" t="s">
        <v>1571</v>
      </c>
      <c r="I800" s="37" t="s">
        <v>50</v>
      </c>
      <c r="J800" s="35" t="s">
        <v>2095</v>
      </c>
      <c r="K800" s="30" t="s">
        <v>2961</v>
      </c>
    </row>
    <row r="801" customFormat="false" ht="14.25" hidden="false" customHeight="true" outlineLevel="0" collapsed="false">
      <c r="A801" s="27"/>
      <c r="B801" s="27"/>
      <c r="C801" s="27"/>
      <c r="D801" s="27"/>
      <c r="E801" s="36" t="s">
        <v>2979</v>
      </c>
      <c r="F801" s="42"/>
      <c r="G801" s="32"/>
      <c r="H801" s="33"/>
      <c r="I801" s="37"/>
      <c r="J801" s="35"/>
      <c r="K801" s="30" t="s">
        <v>2963</v>
      </c>
    </row>
    <row r="802" customFormat="false" ht="14.25" hidden="false" customHeight="true" outlineLevel="0" collapsed="false">
      <c r="A802" s="27"/>
      <c r="B802" s="27"/>
      <c r="C802" s="27"/>
      <c r="D802" s="29" t="s">
        <v>2980</v>
      </c>
      <c r="E802" s="36" t="s">
        <v>2980</v>
      </c>
      <c r="F802" s="42" t="s">
        <v>2981</v>
      </c>
      <c r="G802" s="32" t="s">
        <v>48</v>
      </c>
      <c r="H802" s="33" t="s">
        <v>2982</v>
      </c>
      <c r="I802" s="37" t="s">
        <v>50</v>
      </c>
      <c r="J802" s="35" t="s">
        <v>2983</v>
      </c>
      <c r="K802" s="30" t="s">
        <v>2984</v>
      </c>
    </row>
    <row r="803" customFormat="false" ht="14.25" hidden="false" customHeight="true" outlineLevel="0" collapsed="false">
      <c r="A803" s="27"/>
      <c r="B803" s="27"/>
      <c r="C803" s="27"/>
      <c r="D803" s="27"/>
      <c r="E803" s="36" t="s">
        <v>2985</v>
      </c>
      <c r="F803" s="42"/>
      <c r="G803" s="32"/>
      <c r="H803" s="33"/>
      <c r="I803" s="37"/>
      <c r="J803" s="35"/>
      <c r="K803" s="30" t="s">
        <v>2823</v>
      </c>
    </row>
    <row r="804" customFormat="false" ht="14.25" hidden="false" customHeight="true" outlineLevel="0" collapsed="false">
      <c r="A804" s="27"/>
      <c r="B804" s="27"/>
      <c r="C804" s="27"/>
      <c r="D804" s="29" t="s">
        <v>2986</v>
      </c>
      <c r="E804" s="36" t="s">
        <v>2986</v>
      </c>
      <c r="F804" s="42" t="s">
        <v>2987</v>
      </c>
      <c r="G804" s="32" t="s">
        <v>58</v>
      </c>
      <c r="H804" s="33" t="s">
        <v>2988</v>
      </c>
      <c r="I804" s="39" t="s">
        <v>67</v>
      </c>
      <c r="J804" s="35" t="s">
        <v>1595</v>
      </c>
      <c r="K804" s="30" t="s">
        <v>2989</v>
      </c>
    </row>
    <row r="805" customFormat="false" ht="14.25" hidden="false" customHeight="true" outlineLevel="0" collapsed="false">
      <c r="A805" s="27"/>
      <c r="B805" s="27"/>
      <c r="C805" s="27"/>
      <c r="D805" s="27"/>
      <c r="E805" s="36" t="s">
        <v>2990</v>
      </c>
      <c r="F805" s="42"/>
      <c r="G805" s="32"/>
      <c r="H805" s="33"/>
      <c r="I805" s="39"/>
      <c r="J805" s="35"/>
      <c r="K805" s="30" t="s">
        <v>2991</v>
      </c>
    </row>
    <row r="806" customFormat="false" ht="14.25" hidden="false" customHeight="true" outlineLevel="0" collapsed="false">
      <c r="A806" s="27"/>
      <c r="B806" s="27"/>
      <c r="C806" s="27"/>
      <c r="D806" s="29" t="s">
        <v>2992</v>
      </c>
      <c r="E806" s="36" t="s">
        <v>2992</v>
      </c>
      <c r="F806" s="42" t="s">
        <v>2993</v>
      </c>
      <c r="G806" s="32" t="s">
        <v>48</v>
      </c>
      <c r="H806" s="33" t="s">
        <v>2994</v>
      </c>
      <c r="I806" s="34" t="s">
        <v>40</v>
      </c>
      <c r="J806" s="35" t="s">
        <v>1463</v>
      </c>
      <c r="K806" s="30" t="s">
        <v>2995</v>
      </c>
    </row>
    <row r="807" customFormat="false" ht="14.25" hidden="false" customHeight="true" outlineLevel="0" collapsed="false">
      <c r="A807" s="27"/>
      <c r="B807" s="27"/>
      <c r="C807" s="27"/>
      <c r="D807" s="27"/>
      <c r="E807" s="36" t="s">
        <v>2996</v>
      </c>
      <c r="F807" s="42"/>
      <c r="G807" s="32"/>
      <c r="H807" s="33"/>
      <c r="I807" s="34"/>
      <c r="J807" s="35"/>
      <c r="K807" s="30" t="s">
        <v>2997</v>
      </c>
    </row>
    <row r="808" customFormat="false" ht="14.25" hidden="false" customHeight="true" outlineLevel="0" collapsed="false">
      <c r="A808" s="27"/>
      <c r="B808" s="27"/>
      <c r="C808" s="27"/>
      <c r="D808" s="29" t="s">
        <v>2998</v>
      </c>
      <c r="E808" s="36" t="s">
        <v>2998</v>
      </c>
      <c r="F808" s="42" t="s">
        <v>2999</v>
      </c>
      <c r="G808" s="32" t="s">
        <v>48</v>
      </c>
      <c r="H808" s="33" t="s">
        <v>3000</v>
      </c>
      <c r="I808" s="39" t="s">
        <v>67</v>
      </c>
      <c r="J808" s="35" t="s">
        <v>3001</v>
      </c>
      <c r="K808" s="30" t="s">
        <v>3002</v>
      </c>
    </row>
    <row r="809" customFormat="false" ht="14.25" hidden="false" customHeight="true" outlineLevel="0" collapsed="false">
      <c r="A809" s="27"/>
      <c r="B809" s="27"/>
      <c r="C809" s="27"/>
      <c r="D809" s="27"/>
      <c r="E809" s="36" t="s">
        <v>3003</v>
      </c>
      <c r="F809" s="42"/>
      <c r="G809" s="32"/>
      <c r="H809" s="33"/>
      <c r="I809" s="39"/>
      <c r="J809" s="35"/>
      <c r="K809" s="30" t="s">
        <v>2956</v>
      </c>
    </row>
    <row r="810" customFormat="false" ht="14.25" hidden="false" customHeight="true" outlineLevel="0" collapsed="false">
      <c r="A810" s="27"/>
      <c r="B810" s="27"/>
      <c r="C810" s="40" t="s">
        <v>3004</v>
      </c>
      <c r="D810" s="29" t="s">
        <v>3005</v>
      </c>
      <c r="E810" s="36" t="s">
        <v>3005</v>
      </c>
      <c r="F810" s="42" t="s">
        <v>3006</v>
      </c>
      <c r="G810" s="32" t="s">
        <v>38</v>
      </c>
      <c r="H810" s="33" t="s">
        <v>3007</v>
      </c>
      <c r="I810" s="37" t="s">
        <v>50</v>
      </c>
      <c r="J810" s="35" t="s">
        <v>3008</v>
      </c>
      <c r="K810" s="30" t="s">
        <v>2635</v>
      </c>
    </row>
    <row r="811" customFormat="false" ht="14.25" hidden="false" customHeight="true" outlineLevel="0" collapsed="false">
      <c r="A811" s="27"/>
      <c r="B811" s="27"/>
      <c r="C811" s="27"/>
      <c r="D811" s="27"/>
      <c r="E811" s="36" t="s">
        <v>3009</v>
      </c>
      <c r="F811" s="42"/>
      <c r="G811" s="32"/>
      <c r="H811" s="33"/>
      <c r="I811" s="37"/>
      <c r="J811" s="35"/>
      <c r="K811" s="30" t="s">
        <v>3010</v>
      </c>
    </row>
    <row r="812" customFormat="false" ht="14.25" hidden="false" customHeight="true" outlineLevel="0" collapsed="false">
      <c r="A812" s="27"/>
      <c r="B812" s="27"/>
      <c r="C812" s="27"/>
      <c r="D812" s="29" t="s">
        <v>3011</v>
      </c>
      <c r="E812" s="36" t="s">
        <v>3011</v>
      </c>
      <c r="F812" s="42" t="s">
        <v>3012</v>
      </c>
      <c r="G812" s="32" t="s">
        <v>38</v>
      </c>
      <c r="H812" s="33" t="s">
        <v>3013</v>
      </c>
      <c r="I812" s="37" t="s">
        <v>50</v>
      </c>
      <c r="J812" s="35" t="s">
        <v>3014</v>
      </c>
      <c r="K812" s="30" t="s">
        <v>3015</v>
      </c>
    </row>
    <row r="813" customFormat="false" ht="14.25" hidden="false" customHeight="true" outlineLevel="0" collapsed="false">
      <c r="A813" s="27"/>
      <c r="B813" s="27"/>
      <c r="C813" s="27"/>
      <c r="D813" s="27"/>
      <c r="E813" s="36" t="s">
        <v>3016</v>
      </c>
      <c r="F813" s="42"/>
      <c r="G813" s="32"/>
      <c r="H813" s="33"/>
      <c r="I813" s="37"/>
      <c r="J813" s="35"/>
      <c r="K813" s="30" t="s">
        <v>3017</v>
      </c>
    </row>
    <row r="814" customFormat="false" ht="14.25" hidden="false" customHeight="true" outlineLevel="0" collapsed="false">
      <c r="A814" s="27"/>
      <c r="B814" s="27"/>
      <c r="C814" s="27"/>
      <c r="D814" s="29" t="s">
        <v>3018</v>
      </c>
      <c r="E814" s="36" t="s">
        <v>3018</v>
      </c>
      <c r="F814" s="42" t="s">
        <v>3019</v>
      </c>
      <c r="G814" s="32" t="s">
        <v>38</v>
      </c>
      <c r="H814" s="33" t="s">
        <v>3020</v>
      </c>
      <c r="I814" s="39" t="s">
        <v>67</v>
      </c>
      <c r="J814" s="35" t="s">
        <v>3021</v>
      </c>
      <c r="K814" s="30" t="s">
        <v>3022</v>
      </c>
    </row>
    <row r="815" customFormat="false" ht="14.25" hidden="false" customHeight="true" outlineLevel="0" collapsed="false">
      <c r="A815" s="27"/>
      <c r="B815" s="27"/>
      <c r="C815" s="27"/>
      <c r="D815" s="27"/>
      <c r="E815" s="36" t="s">
        <v>3023</v>
      </c>
      <c r="F815" s="42"/>
      <c r="G815" s="32"/>
      <c r="H815" s="33"/>
      <c r="I815" s="39"/>
      <c r="J815" s="35"/>
      <c r="K815" s="30" t="s">
        <v>3024</v>
      </c>
    </row>
    <row r="816" customFormat="false" ht="14.25" hidden="false" customHeight="true" outlineLevel="0" collapsed="false">
      <c r="A816" s="27"/>
      <c r="B816" s="27"/>
      <c r="C816" s="27"/>
      <c r="D816" s="29" t="s">
        <v>3025</v>
      </c>
      <c r="E816" s="36" t="s">
        <v>3025</v>
      </c>
      <c r="F816" s="42" t="s">
        <v>3026</v>
      </c>
      <c r="G816" s="32" t="s">
        <v>48</v>
      </c>
      <c r="H816" s="33" t="s">
        <v>3027</v>
      </c>
      <c r="I816" s="34" t="s">
        <v>40</v>
      </c>
      <c r="J816" s="35" t="s">
        <v>3028</v>
      </c>
      <c r="K816" s="30" t="s">
        <v>3029</v>
      </c>
    </row>
    <row r="817" customFormat="false" ht="14.25" hidden="false" customHeight="true" outlineLevel="0" collapsed="false">
      <c r="A817" s="27"/>
      <c r="B817" s="27"/>
      <c r="C817" s="27"/>
      <c r="D817" s="27"/>
      <c r="E817" s="36" t="s">
        <v>3030</v>
      </c>
      <c r="F817" s="42"/>
      <c r="G817" s="32"/>
      <c r="H817" s="33"/>
      <c r="I817" s="34"/>
      <c r="J817" s="35"/>
      <c r="K817" s="30" t="s">
        <v>3031</v>
      </c>
    </row>
    <row r="818" customFormat="false" ht="14.25" hidden="false" customHeight="true" outlineLevel="0" collapsed="false">
      <c r="A818" s="27"/>
      <c r="B818" s="27"/>
      <c r="C818" s="27"/>
      <c r="D818" s="29" t="s">
        <v>3032</v>
      </c>
      <c r="E818" s="36" t="s">
        <v>3032</v>
      </c>
      <c r="F818" s="42" t="s">
        <v>3033</v>
      </c>
      <c r="G818" s="32" t="s">
        <v>58</v>
      </c>
      <c r="H818" s="33" t="s">
        <v>3034</v>
      </c>
      <c r="I818" s="39" t="s">
        <v>67</v>
      </c>
      <c r="J818" s="35" t="s">
        <v>3035</v>
      </c>
      <c r="K818" s="30" t="s">
        <v>2064</v>
      </c>
    </row>
    <row r="819" customFormat="false" ht="14.25" hidden="false" customHeight="true" outlineLevel="0" collapsed="false">
      <c r="A819" s="27"/>
      <c r="B819" s="27"/>
      <c r="C819" s="27"/>
      <c r="D819" s="27"/>
      <c r="E819" s="36" t="s">
        <v>2137</v>
      </c>
      <c r="F819" s="42"/>
      <c r="G819" s="32"/>
      <c r="H819" s="33"/>
      <c r="I819" s="39"/>
      <c r="J819" s="35"/>
      <c r="K819" s="30" t="s">
        <v>3036</v>
      </c>
    </row>
    <row r="820" customFormat="false" ht="14.25" hidden="false" customHeight="true" outlineLevel="0" collapsed="false">
      <c r="A820" s="27"/>
      <c r="B820" s="27"/>
      <c r="C820" s="40" t="s">
        <v>3037</v>
      </c>
      <c r="D820" s="29" t="s">
        <v>3038</v>
      </c>
      <c r="E820" s="36" t="s">
        <v>3038</v>
      </c>
      <c r="F820" s="42" t="s">
        <v>3039</v>
      </c>
      <c r="G820" s="32" t="s">
        <v>48</v>
      </c>
      <c r="H820" s="33" t="s">
        <v>3040</v>
      </c>
      <c r="I820" s="37" t="s">
        <v>50</v>
      </c>
      <c r="J820" s="35" t="s">
        <v>3041</v>
      </c>
      <c r="K820" s="30" t="s">
        <v>3042</v>
      </c>
    </row>
    <row r="821" customFormat="false" ht="14.25" hidden="false" customHeight="true" outlineLevel="0" collapsed="false">
      <c r="A821" s="27"/>
      <c r="B821" s="27"/>
      <c r="C821" s="27"/>
      <c r="D821" s="27"/>
      <c r="E821" s="36" t="s">
        <v>3043</v>
      </c>
      <c r="F821" s="42"/>
      <c r="G821" s="32"/>
      <c r="H821" s="33"/>
      <c r="I821" s="37"/>
      <c r="J821" s="35"/>
      <c r="K821" s="30" t="s">
        <v>3044</v>
      </c>
    </row>
    <row r="822" customFormat="false" ht="14.25" hidden="false" customHeight="true" outlineLevel="0" collapsed="false">
      <c r="A822" s="27"/>
      <c r="B822" s="27"/>
      <c r="C822" s="27"/>
      <c r="D822" s="29" t="s">
        <v>3045</v>
      </c>
      <c r="E822" s="36" t="s">
        <v>3045</v>
      </c>
      <c r="F822" s="42" t="s">
        <v>3046</v>
      </c>
      <c r="G822" s="32" t="s">
        <v>48</v>
      </c>
      <c r="H822" s="33" t="s">
        <v>3047</v>
      </c>
      <c r="I822" s="37" t="s">
        <v>50</v>
      </c>
      <c r="J822" s="35" t="s">
        <v>3048</v>
      </c>
      <c r="K822" s="30" t="s">
        <v>3049</v>
      </c>
    </row>
    <row r="823" customFormat="false" ht="14.25" hidden="false" customHeight="true" outlineLevel="0" collapsed="false">
      <c r="A823" s="27"/>
      <c r="B823" s="27"/>
      <c r="C823" s="27"/>
      <c r="D823" s="27"/>
      <c r="E823" s="36" t="s">
        <v>3050</v>
      </c>
      <c r="F823" s="42"/>
      <c r="G823" s="32"/>
      <c r="H823" s="33"/>
      <c r="I823" s="37"/>
      <c r="J823" s="35"/>
      <c r="K823" s="30" t="s">
        <v>3051</v>
      </c>
    </row>
    <row r="824" customFormat="false" ht="14.25" hidden="false" customHeight="true" outlineLevel="0" collapsed="false">
      <c r="A824" s="27"/>
      <c r="B824" s="27"/>
      <c r="C824" s="27"/>
      <c r="D824" s="29" t="s">
        <v>3052</v>
      </c>
      <c r="E824" s="36" t="s">
        <v>3052</v>
      </c>
      <c r="F824" s="42" t="s">
        <v>3053</v>
      </c>
      <c r="G824" s="32" t="s">
        <v>38</v>
      </c>
      <c r="H824" s="33" t="s">
        <v>3054</v>
      </c>
      <c r="I824" s="39" t="s">
        <v>67</v>
      </c>
      <c r="J824" s="35" t="s">
        <v>3055</v>
      </c>
      <c r="K824" s="30" t="s">
        <v>3056</v>
      </c>
    </row>
    <row r="825" customFormat="false" ht="14.25" hidden="false" customHeight="true" outlineLevel="0" collapsed="false">
      <c r="A825" s="27"/>
      <c r="B825" s="27"/>
      <c r="C825" s="27"/>
      <c r="D825" s="27"/>
      <c r="E825" s="36" t="s">
        <v>3057</v>
      </c>
      <c r="F825" s="42"/>
      <c r="G825" s="32"/>
      <c r="H825" s="33"/>
      <c r="I825" s="39"/>
      <c r="J825" s="35"/>
      <c r="K825" s="30" t="s">
        <v>3058</v>
      </c>
    </row>
    <row r="826" customFormat="false" ht="14.25" hidden="false" customHeight="true" outlineLevel="0" collapsed="false">
      <c r="A826" s="27"/>
      <c r="B826" s="27"/>
      <c r="C826" s="27"/>
      <c r="D826" s="29" t="s">
        <v>3059</v>
      </c>
      <c r="E826" s="36" t="s">
        <v>3059</v>
      </c>
      <c r="F826" s="42" t="s">
        <v>3060</v>
      </c>
      <c r="G826" s="32" t="s">
        <v>38</v>
      </c>
      <c r="H826" s="33" t="s">
        <v>3061</v>
      </c>
      <c r="I826" s="34" t="s">
        <v>40</v>
      </c>
      <c r="J826" s="35" t="s">
        <v>3062</v>
      </c>
      <c r="K826" s="30" t="s">
        <v>3063</v>
      </c>
    </row>
    <row r="827" customFormat="false" ht="14.25" hidden="false" customHeight="true" outlineLevel="0" collapsed="false">
      <c r="A827" s="27"/>
      <c r="B827" s="27"/>
      <c r="C827" s="27"/>
      <c r="D827" s="27"/>
      <c r="E827" s="36" t="s">
        <v>3064</v>
      </c>
      <c r="F827" s="42"/>
      <c r="G827" s="32"/>
      <c r="H827" s="33"/>
      <c r="I827" s="34"/>
      <c r="J827" s="35"/>
      <c r="K827" s="30" t="s">
        <v>3065</v>
      </c>
    </row>
    <row r="828" customFormat="false" ht="14.25" hidden="false" customHeight="true" outlineLevel="0" collapsed="false">
      <c r="A828" s="27"/>
      <c r="B828" s="27"/>
      <c r="C828" s="27"/>
      <c r="D828" s="29" t="s">
        <v>3066</v>
      </c>
      <c r="E828" s="36" t="s">
        <v>3066</v>
      </c>
      <c r="F828" s="42" t="s">
        <v>3067</v>
      </c>
      <c r="G828" s="32" t="s">
        <v>38</v>
      </c>
      <c r="H828" s="33" t="s">
        <v>3068</v>
      </c>
      <c r="I828" s="39" t="s">
        <v>67</v>
      </c>
      <c r="J828" s="35" t="s">
        <v>3069</v>
      </c>
      <c r="K828" s="30" t="s">
        <v>3070</v>
      </c>
    </row>
    <row r="829" customFormat="false" ht="14.25" hidden="false" customHeight="true" outlineLevel="0" collapsed="false">
      <c r="A829" s="27"/>
      <c r="B829" s="27"/>
      <c r="C829" s="27"/>
      <c r="D829" s="27"/>
      <c r="E829" s="36" t="s">
        <v>3071</v>
      </c>
      <c r="F829" s="42"/>
      <c r="G829" s="32"/>
      <c r="H829" s="33"/>
      <c r="I829" s="39"/>
      <c r="J829" s="35"/>
      <c r="K829" s="30" t="s">
        <v>3072</v>
      </c>
    </row>
    <row r="830" customFormat="false" ht="14.25" hidden="false" customHeight="true" outlineLevel="0" collapsed="false">
      <c r="A830" s="27"/>
      <c r="B830" s="28" t="s">
        <v>3073</v>
      </c>
      <c r="C830" s="40" t="s">
        <v>3074</v>
      </c>
      <c r="D830" s="29" t="s">
        <v>3075</v>
      </c>
      <c r="E830" s="30" t="s">
        <v>3076</v>
      </c>
      <c r="F830" s="42" t="s">
        <v>3077</v>
      </c>
      <c r="G830" s="32" t="s">
        <v>48</v>
      </c>
      <c r="H830" s="33" t="s">
        <v>3078</v>
      </c>
      <c r="I830" s="37" t="s">
        <v>50</v>
      </c>
      <c r="J830" s="35" t="s">
        <v>3079</v>
      </c>
      <c r="K830" s="30" t="s">
        <v>3080</v>
      </c>
    </row>
    <row r="831" customFormat="false" ht="14.25" hidden="false" customHeight="true" outlineLevel="0" collapsed="false">
      <c r="A831" s="27"/>
      <c r="B831" s="27"/>
      <c r="C831" s="27"/>
      <c r="D831" s="27"/>
      <c r="E831" s="30" t="s">
        <v>3081</v>
      </c>
      <c r="F831" s="42"/>
      <c r="G831" s="32"/>
      <c r="H831" s="33"/>
      <c r="I831" s="37"/>
      <c r="J831" s="35"/>
      <c r="K831" s="30" t="s">
        <v>3082</v>
      </c>
    </row>
    <row r="832" customFormat="false" ht="14.25" hidden="false" customHeight="true" outlineLevel="0" collapsed="false">
      <c r="A832" s="27"/>
      <c r="B832" s="27"/>
      <c r="C832" s="27"/>
      <c r="D832" s="29" t="s">
        <v>3083</v>
      </c>
      <c r="E832" s="30" t="s">
        <v>2467</v>
      </c>
      <c r="F832" s="42" t="s">
        <v>3084</v>
      </c>
      <c r="G832" s="32" t="s">
        <v>58</v>
      </c>
      <c r="H832" s="33" t="s">
        <v>3085</v>
      </c>
      <c r="I832" s="37" t="s">
        <v>50</v>
      </c>
      <c r="J832" s="35" t="s">
        <v>3086</v>
      </c>
      <c r="K832" s="30" t="s">
        <v>3087</v>
      </c>
    </row>
    <row r="833" customFormat="false" ht="14.25" hidden="false" customHeight="true" outlineLevel="0" collapsed="false">
      <c r="A833" s="27"/>
      <c r="B833" s="27"/>
      <c r="C833" s="27"/>
      <c r="D833" s="27"/>
      <c r="E833" s="30" t="s">
        <v>3088</v>
      </c>
      <c r="F833" s="42"/>
      <c r="G833" s="32"/>
      <c r="H833" s="33"/>
      <c r="I833" s="37"/>
      <c r="J833" s="35"/>
      <c r="K833" s="30" t="s">
        <v>3089</v>
      </c>
    </row>
    <row r="834" customFormat="false" ht="14.25" hidden="false" customHeight="true" outlineLevel="0" collapsed="false">
      <c r="A834" s="27"/>
      <c r="B834" s="27"/>
      <c r="C834" s="27"/>
      <c r="D834" s="29" t="s">
        <v>3090</v>
      </c>
      <c r="E834" s="30" t="s">
        <v>3091</v>
      </c>
      <c r="F834" s="42" t="s">
        <v>3092</v>
      </c>
      <c r="G834" s="32" t="s">
        <v>48</v>
      </c>
      <c r="H834" s="33" t="s">
        <v>3093</v>
      </c>
      <c r="I834" s="39" t="s">
        <v>67</v>
      </c>
      <c r="J834" s="35" t="s">
        <v>3094</v>
      </c>
      <c r="K834" s="30" t="s">
        <v>3095</v>
      </c>
    </row>
    <row r="835" customFormat="false" ht="14.25" hidden="false" customHeight="true" outlineLevel="0" collapsed="false">
      <c r="A835" s="27"/>
      <c r="B835" s="27"/>
      <c r="C835" s="27"/>
      <c r="D835" s="27"/>
      <c r="E835" s="30" t="s">
        <v>3096</v>
      </c>
      <c r="F835" s="42"/>
      <c r="G835" s="32"/>
      <c r="H835" s="33"/>
      <c r="I835" s="39"/>
      <c r="J835" s="35"/>
      <c r="K835" s="30" t="s">
        <v>3097</v>
      </c>
    </row>
    <row r="836" customFormat="false" ht="14.25" hidden="false" customHeight="true" outlineLevel="0" collapsed="false">
      <c r="A836" s="27"/>
      <c r="B836" s="27"/>
      <c r="C836" s="27"/>
      <c r="D836" s="29" t="s">
        <v>3098</v>
      </c>
      <c r="E836" s="30" t="s">
        <v>3099</v>
      </c>
      <c r="F836" s="42" t="s">
        <v>3100</v>
      </c>
      <c r="G836" s="32" t="s">
        <v>48</v>
      </c>
      <c r="H836" s="33" t="s">
        <v>3101</v>
      </c>
      <c r="I836" s="34" t="s">
        <v>40</v>
      </c>
      <c r="J836" s="35" t="s">
        <v>3102</v>
      </c>
      <c r="K836" s="30" t="s">
        <v>3063</v>
      </c>
    </row>
    <row r="837" customFormat="false" ht="14.25" hidden="false" customHeight="true" outlineLevel="0" collapsed="false">
      <c r="A837" s="27"/>
      <c r="B837" s="27"/>
      <c r="C837" s="27"/>
      <c r="D837" s="27"/>
      <c r="E837" s="30" t="s">
        <v>3103</v>
      </c>
      <c r="F837" s="42"/>
      <c r="G837" s="32"/>
      <c r="H837" s="33"/>
      <c r="I837" s="34"/>
      <c r="J837" s="35"/>
      <c r="K837" s="30" t="s">
        <v>3104</v>
      </c>
    </row>
    <row r="838" customFormat="false" ht="14.25" hidden="false" customHeight="true" outlineLevel="0" collapsed="false">
      <c r="A838" s="27"/>
      <c r="B838" s="27"/>
      <c r="C838" s="27"/>
      <c r="D838" s="29" t="s">
        <v>3105</v>
      </c>
      <c r="E838" s="30" t="s">
        <v>3106</v>
      </c>
      <c r="F838" s="42" t="s">
        <v>3107</v>
      </c>
      <c r="G838" s="32" t="s">
        <v>38</v>
      </c>
      <c r="H838" s="33" t="s">
        <v>3108</v>
      </c>
      <c r="I838" s="39" t="s">
        <v>67</v>
      </c>
      <c r="J838" s="35" t="s">
        <v>3109</v>
      </c>
      <c r="K838" s="30" t="s">
        <v>3110</v>
      </c>
    </row>
    <row r="839" customFormat="false" ht="14.25" hidden="false" customHeight="true" outlineLevel="0" collapsed="false">
      <c r="A839" s="27"/>
      <c r="B839" s="27"/>
      <c r="C839" s="27"/>
      <c r="D839" s="27"/>
      <c r="E839" s="30" t="s">
        <v>3111</v>
      </c>
      <c r="F839" s="42"/>
      <c r="G839" s="32"/>
      <c r="H839" s="33"/>
      <c r="I839" s="39"/>
      <c r="J839" s="35"/>
      <c r="K839" s="30" t="s">
        <v>3112</v>
      </c>
    </row>
    <row r="840" customFormat="false" ht="14.25" hidden="false" customHeight="true" outlineLevel="0" collapsed="false">
      <c r="A840" s="27"/>
      <c r="B840" s="27"/>
      <c r="C840" s="40" t="s">
        <v>3113</v>
      </c>
      <c r="D840" s="29" t="s">
        <v>3114</v>
      </c>
      <c r="E840" s="30" t="s">
        <v>3115</v>
      </c>
      <c r="F840" s="42" t="s">
        <v>3116</v>
      </c>
      <c r="G840" s="32" t="s">
        <v>38</v>
      </c>
      <c r="H840" s="33" t="s">
        <v>3117</v>
      </c>
      <c r="I840" s="37" t="s">
        <v>50</v>
      </c>
      <c r="J840" s="35" t="s">
        <v>3118</v>
      </c>
      <c r="K840" s="30" t="s">
        <v>3119</v>
      </c>
    </row>
    <row r="841" customFormat="false" ht="14.25" hidden="false" customHeight="true" outlineLevel="0" collapsed="false">
      <c r="A841" s="27"/>
      <c r="B841" s="27"/>
      <c r="C841" s="27"/>
      <c r="D841" s="27"/>
      <c r="E841" s="30" t="s">
        <v>3120</v>
      </c>
      <c r="F841" s="42"/>
      <c r="G841" s="32"/>
      <c r="H841" s="33"/>
      <c r="I841" s="37"/>
      <c r="J841" s="35"/>
      <c r="K841" s="30" t="s">
        <v>3121</v>
      </c>
    </row>
    <row r="842" customFormat="false" ht="14.25" hidden="false" customHeight="true" outlineLevel="0" collapsed="false">
      <c r="A842" s="27"/>
      <c r="B842" s="27"/>
      <c r="C842" s="27"/>
      <c r="D842" s="29" t="s">
        <v>3122</v>
      </c>
      <c r="E842" s="30" t="s">
        <v>3123</v>
      </c>
      <c r="F842" s="42" t="s">
        <v>3124</v>
      </c>
      <c r="G842" s="32" t="s">
        <v>38</v>
      </c>
      <c r="H842" s="33" t="s">
        <v>3125</v>
      </c>
      <c r="I842" s="37" t="s">
        <v>50</v>
      </c>
      <c r="J842" s="35" t="s">
        <v>3126</v>
      </c>
      <c r="K842" s="30" t="s">
        <v>3119</v>
      </c>
    </row>
    <row r="843" customFormat="false" ht="14.25" hidden="false" customHeight="true" outlineLevel="0" collapsed="false">
      <c r="A843" s="27"/>
      <c r="B843" s="27"/>
      <c r="C843" s="27"/>
      <c r="D843" s="27"/>
      <c r="E843" s="30" t="s">
        <v>3127</v>
      </c>
      <c r="F843" s="42"/>
      <c r="G843" s="32"/>
      <c r="H843" s="33"/>
      <c r="I843" s="37"/>
      <c r="J843" s="35"/>
      <c r="K843" s="30" t="s">
        <v>3121</v>
      </c>
    </row>
    <row r="844" customFormat="false" ht="14.25" hidden="false" customHeight="true" outlineLevel="0" collapsed="false">
      <c r="A844" s="27"/>
      <c r="B844" s="27"/>
      <c r="C844" s="27"/>
      <c r="D844" s="29" t="s">
        <v>3128</v>
      </c>
      <c r="E844" s="30" t="s">
        <v>3129</v>
      </c>
      <c r="F844" s="42" t="s">
        <v>3130</v>
      </c>
      <c r="G844" s="32" t="s">
        <v>48</v>
      </c>
      <c r="H844" s="33" t="s">
        <v>3131</v>
      </c>
      <c r="I844" s="39" t="s">
        <v>67</v>
      </c>
      <c r="J844" s="35" t="s">
        <v>3132</v>
      </c>
      <c r="K844" s="30" t="s">
        <v>3133</v>
      </c>
    </row>
    <row r="845" customFormat="false" ht="14.25" hidden="false" customHeight="true" outlineLevel="0" collapsed="false">
      <c r="A845" s="27"/>
      <c r="B845" s="27"/>
      <c r="C845" s="27"/>
      <c r="D845" s="27"/>
      <c r="E845" s="30" t="s">
        <v>3134</v>
      </c>
      <c r="F845" s="42"/>
      <c r="G845" s="32"/>
      <c r="H845" s="33"/>
      <c r="I845" s="39"/>
      <c r="J845" s="35"/>
      <c r="K845" s="30" t="s">
        <v>3135</v>
      </c>
    </row>
    <row r="846" customFormat="false" ht="14.25" hidden="false" customHeight="true" outlineLevel="0" collapsed="false">
      <c r="A846" s="27"/>
      <c r="B846" s="27"/>
      <c r="C846" s="27"/>
      <c r="D846" s="29" t="s">
        <v>3136</v>
      </c>
      <c r="E846" s="30" t="s">
        <v>3137</v>
      </c>
      <c r="F846" s="42" t="s">
        <v>3138</v>
      </c>
      <c r="G846" s="32" t="s">
        <v>58</v>
      </c>
      <c r="H846" s="33" t="s">
        <v>3139</v>
      </c>
      <c r="I846" s="34" t="s">
        <v>40</v>
      </c>
      <c r="J846" s="35" t="s">
        <v>3140</v>
      </c>
      <c r="K846" s="30" t="s">
        <v>3042</v>
      </c>
    </row>
    <row r="847" customFormat="false" ht="14.25" hidden="false" customHeight="true" outlineLevel="0" collapsed="false">
      <c r="A847" s="27"/>
      <c r="B847" s="27"/>
      <c r="C847" s="27"/>
      <c r="D847" s="27"/>
      <c r="E847" s="30" t="s">
        <v>3141</v>
      </c>
      <c r="F847" s="42"/>
      <c r="G847" s="32"/>
      <c r="H847" s="33"/>
      <c r="I847" s="34"/>
      <c r="J847" s="35"/>
      <c r="K847" s="30" t="s">
        <v>3142</v>
      </c>
    </row>
    <row r="848" customFormat="false" ht="14.25" hidden="false" customHeight="true" outlineLevel="0" collapsed="false">
      <c r="A848" s="27"/>
      <c r="B848" s="27"/>
      <c r="C848" s="27"/>
      <c r="D848" s="29" t="s">
        <v>3143</v>
      </c>
      <c r="E848" s="30" t="s">
        <v>3144</v>
      </c>
      <c r="F848" s="42" t="s">
        <v>3145</v>
      </c>
      <c r="G848" s="32" t="s">
        <v>48</v>
      </c>
      <c r="H848" s="33" t="s">
        <v>3146</v>
      </c>
      <c r="I848" s="39" t="s">
        <v>67</v>
      </c>
      <c r="J848" s="35" t="s">
        <v>3147</v>
      </c>
      <c r="K848" s="30" t="s">
        <v>3148</v>
      </c>
    </row>
    <row r="849" customFormat="false" ht="14.25" hidden="false" customHeight="true" outlineLevel="0" collapsed="false">
      <c r="A849" s="27"/>
      <c r="B849" s="27"/>
      <c r="C849" s="27"/>
      <c r="D849" s="27"/>
      <c r="E849" s="30" t="s">
        <v>3149</v>
      </c>
      <c r="F849" s="42"/>
      <c r="G849" s="32"/>
      <c r="H849" s="33"/>
      <c r="I849" s="39"/>
      <c r="J849" s="35"/>
      <c r="K849" s="30" t="s">
        <v>3150</v>
      </c>
    </row>
    <row r="850" customFormat="false" ht="14.25" hidden="false" customHeight="true" outlineLevel="0" collapsed="false">
      <c r="A850" s="27"/>
      <c r="B850" s="27"/>
      <c r="C850" s="29" t="s">
        <v>3151</v>
      </c>
      <c r="D850" s="29" t="s">
        <v>3152</v>
      </c>
      <c r="E850" s="30" t="s">
        <v>3153</v>
      </c>
      <c r="F850" s="42" t="s">
        <v>3154</v>
      </c>
      <c r="G850" s="32" t="s">
        <v>48</v>
      </c>
      <c r="H850" s="33" t="s">
        <v>3155</v>
      </c>
      <c r="I850" s="37" t="s">
        <v>50</v>
      </c>
      <c r="J850" s="35" t="s">
        <v>3156</v>
      </c>
      <c r="K850" s="30" t="s">
        <v>3157</v>
      </c>
    </row>
    <row r="851" customFormat="false" ht="14.25" hidden="false" customHeight="true" outlineLevel="0" collapsed="false">
      <c r="A851" s="27"/>
      <c r="B851" s="27"/>
      <c r="C851" s="27"/>
      <c r="D851" s="27"/>
      <c r="E851" s="30" t="s">
        <v>3158</v>
      </c>
      <c r="F851" s="42"/>
      <c r="G851" s="32"/>
      <c r="H851" s="33"/>
      <c r="I851" s="37"/>
      <c r="J851" s="35"/>
      <c r="K851" s="30" t="s">
        <v>3159</v>
      </c>
    </row>
    <row r="852" customFormat="false" ht="14.25" hidden="false" customHeight="true" outlineLevel="0" collapsed="false">
      <c r="A852" s="27"/>
      <c r="B852" s="27"/>
      <c r="C852" s="27"/>
      <c r="D852" s="29" t="s">
        <v>3160</v>
      </c>
      <c r="E852" s="30" t="s">
        <v>3161</v>
      </c>
      <c r="F852" s="42" t="s">
        <v>3162</v>
      </c>
      <c r="G852" s="32" t="s">
        <v>38</v>
      </c>
      <c r="H852" s="33" t="s">
        <v>3163</v>
      </c>
      <c r="I852" s="37" t="s">
        <v>50</v>
      </c>
      <c r="J852" s="35" t="s">
        <v>3164</v>
      </c>
      <c r="K852" s="30" t="s">
        <v>3165</v>
      </c>
    </row>
    <row r="853" customFormat="false" ht="14.25" hidden="false" customHeight="true" outlineLevel="0" collapsed="false">
      <c r="A853" s="27"/>
      <c r="B853" s="27"/>
      <c r="C853" s="27"/>
      <c r="D853" s="27"/>
      <c r="E853" s="30" t="s">
        <v>3166</v>
      </c>
      <c r="F853" s="42"/>
      <c r="G853" s="32"/>
      <c r="H853" s="33"/>
      <c r="I853" s="37"/>
      <c r="J853" s="35"/>
      <c r="K853" s="30" t="s">
        <v>3167</v>
      </c>
    </row>
    <row r="854" customFormat="false" ht="14.25" hidden="false" customHeight="true" outlineLevel="0" collapsed="false">
      <c r="A854" s="27"/>
      <c r="B854" s="27"/>
      <c r="C854" s="27"/>
      <c r="D854" s="29" t="s">
        <v>3168</v>
      </c>
      <c r="E854" s="30" t="s">
        <v>3169</v>
      </c>
      <c r="F854" s="42" t="s">
        <v>3170</v>
      </c>
      <c r="G854" s="32" t="s">
        <v>38</v>
      </c>
      <c r="H854" s="33" t="s">
        <v>3171</v>
      </c>
      <c r="I854" s="39" t="s">
        <v>67</v>
      </c>
      <c r="J854" s="35" t="s">
        <v>3172</v>
      </c>
      <c r="K854" s="30" t="s">
        <v>3173</v>
      </c>
    </row>
    <row r="855" customFormat="false" ht="14.25" hidden="false" customHeight="true" outlineLevel="0" collapsed="false">
      <c r="A855" s="27"/>
      <c r="B855" s="27"/>
      <c r="C855" s="27"/>
      <c r="D855" s="27"/>
      <c r="E855" s="30" t="s">
        <v>3174</v>
      </c>
      <c r="F855" s="42"/>
      <c r="G855" s="32"/>
      <c r="H855" s="33"/>
      <c r="I855" s="39"/>
      <c r="J855" s="35"/>
      <c r="K855" s="30" t="s">
        <v>3175</v>
      </c>
    </row>
    <row r="856" customFormat="false" ht="14.25" hidden="false" customHeight="true" outlineLevel="0" collapsed="false">
      <c r="A856" s="27"/>
      <c r="B856" s="27"/>
      <c r="C856" s="27"/>
      <c r="D856" s="29" t="s">
        <v>3176</v>
      </c>
      <c r="E856" s="30" t="s">
        <v>3177</v>
      </c>
      <c r="F856" s="42" t="s">
        <v>3178</v>
      </c>
      <c r="G856" s="32" t="s">
        <v>38</v>
      </c>
      <c r="H856" s="33" t="s">
        <v>3179</v>
      </c>
      <c r="I856" s="34" t="s">
        <v>40</v>
      </c>
      <c r="J856" s="35" t="s">
        <v>3180</v>
      </c>
      <c r="K856" s="30" t="s">
        <v>3181</v>
      </c>
    </row>
    <row r="857" customFormat="false" ht="14.25" hidden="false" customHeight="true" outlineLevel="0" collapsed="false">
      <c r="A857" s="27"/>
      <c r="B857" s="27"/>
      <c r="C857" s="27"/>
      <c r="D857" s="27"/>
      <c r="E857" s="30" t="s">
        <v>3182</v>
      </c>
      <c r="F857" s="42"/>
      <c r="G857" s="32"/>
      <c r="H857" s="33"/>
      <c r="I857" s="34"/>
      <c r="J857" s="35"/>
      <c r="K857" s="30" t="s">
        <v>3065</v>
      </c>
    </row>
    <row r="858" customFormat="false" ht="14.25" hidden="false" customHeight="true" outlineLevel="0" collapsed="false">
      <c r="A858" s="27"/>
      <c r="B858" s="27"/>
      <c r="C858" s="27"/>
      <c r="D858" s="29" t="s">
        <v>3183</v>
      </c>
      <c r="E858" s="30" t="s">
        <v>3184</v>
      </c>
      <c r="F858" s="42" t="s">
        <v>3185</v>
      </c>
      <c r="G858" s="32" t="s">
        <v>48</v>
      </c>
      <c r="H858" s="33" t="s">
        <v>3186</v>
      </c>
      <c r="I858" s="39" t="s">
        <v>67</v>
      </c>
      <c r="J858" s="35" t="s">
        <v>3187</v>
      </c>
      <c r="K858" s="30" t="s">
        <v>3188</v>
      </c>
    </row>
    <row r="859" customFormat="false" ht="14.25" hidden="false" customHeight="true" outlineLevel="0" collapsed="false">
      <c r="A859" s="27"/>
      <c r="B859" s="27"/>
      <c r="C859" s="27"/>
      <c r="D859" s="27"/>
      <c r="E859" s="30" t="s">
        <v>3189</v>
      </c>
      <c r="F859" s="42"/>
      <c r="G859" s="32"/>
      <c r="H859" s="33"/>
      <c r="I859" s="39"/>
      <c r="J859" s="35"/>
      <c r="K859" s="30" t="s">
        <v>3190</v>
      </c>
    </row>
    <row r="860" customFormat="false" ht="14.25" hidden="false" customHeight="true" outlineLevel="0" collapsed="false">
      <c r="A860" s="27"/>
      <c r="B860" s="27"/>
      <c r="C860" s="40" t="s">
        <v>3191</v>
      </c>
      <c r="D860" s="29" t="s">
        <v>3192</v>
      </c>
      <c r="E860" s="30" t="s">
        <v>3193</v>
      </c>
      <c r="F860" s="42" t="s">
        <v>3194</v>
      </c>
      <c r="G860" s="32" t="s">
        <v>58</v>
      </c>
      <c r="H860" s="33" t="s">
        <v>3195</v>
      </c>
      <c r="I860" s="37" t="s">
        <v>50</v>
      </c>
      <c r="J860" s="35" t="s">
        <v>3196</v>
      </c>
      <c r="K860" s="30" t="s">
        <v>3087</v>
      </c>
    </row>
    <row r="861" customFormat="false" ht="14.25" hidden="false" customHeight="true" outlineLevel="0" collapsed="false">
      <c r="A861" s="27"/>
      <c r="B861" s="27"/>
      <c r="C861" s="27"/>
      <c r="D861" s="27"/>
      <c r="E861" s="30" t="s">
        <v>3197</v>
      </c>
      <c r="F861" s="42"/>
      <c r="G861" s="32"/>
      <c r="H861" s="33"/>
      <c r="I861" s="37"/>
      <c r="J861" s="35"/>
      <c r="K861" s="30" t="s">
        <v>3089</v>
      </c>
    </row>
    <row r="862" customFormat="false" ht="14.25" hidden="false" customHeight="true" outlineLevel="0" collapsed="false">
      <c r="A862" s="27"/>
      <c r="B862" s="27"/>
      <c r="C862" s="27"/>
      <c r="D862" s="29" t="s">
        <v>3198</v>
      </c>
      <c r="E862" s="30" t="s">
        <v>3199</v>
      </c>
      <c r="F862" s="42" t="s">
        <v>3200</v>
      </c>
      <c r="G862" s="32" t="s">
        <v>48</v>
      </c>
      <c r="H862" s="33" t="s">
        <v>3201</v>
      </c>
      <c r="I862" s="37" t="s">
        <v>50</v>
      </c>
      <c r="J862" s="35" t="s">
        <v>3094</v>
      </c>
      <c r="K862" s="30" t="s">
        <v>3157</v>
      </c>
    </row>
    <row r="863" customFormat="false" ht="14.25" hidden="false" customHeight="true" outlineLevel="0" collapsed="false">
      <c r="A863" s="27"/>
      <c r="B863" s="27"/>
      <c r="C863" s="27"/>
      <c r="D863" s="27"/>
      <c r="E863" s="30" t="s">
        <v>3202</v>
      </c>
      <c r="F863" s="42"/>
      <c r="G863" s="32"/>
      <c r="H863" s="33"/>
      <c r="I863" s="37"/>
      <c r="J863" s="35"/>
      <c r="K863" s="30" t="s">
        <v>3159</v>
      </c>
    </row>
    <row r="864" customFormat="false" ht="14.25" hidden="false" customHeight="true" outlineLevel="0" collapsed="false">
      <c r="A864" s="27"/>
      <c r="B864" s="27"/>
      <c r="C864" s="27"/>
      <c r="D864" s="29" t="s">
        <v>3203</v>
      </c>
      <c r="E864" s="30" t="s">
        <v>3204</v>
      </c>
      <c r="F864" s="42" t="s">
        <v>3205</v>
      </c>
      <c r="G864" s="32" t="s">
        <v>48</v>
      </c>
      <c r="H864" s="33" t="s">
        <v>3206</v>
      </c>
      <c r="I864" s="39" t="s">
        <v>67</v>
      </c>
      <c r="J864" s="35" t="s">
        <v>3156</v>
      </c>
      <c r="K864" s="30" t="s">
        <v>3207</v>
      </c>
    </row>
    <row r="865" customFormat="false" ht="14.25" hidden="false" customHeight="true" outlineLevel="0" collapsed="false">
      <c r="A865" s="27"/>
      <c r="B865" s="27"/>
      <c r="C865" s="27"/>
      <c r="D865" s="27"/>
      <c r="E865" s="30" t="s">
        <v>3208</v>
      </c>
      <c r="F865" s="42"/>
      <c r="G865" s="32"/>
      <c r="H865" s="33"/>
      <c r="I865" s="39"/>
      <c r="J865" s="35"/>
      <c r="K865" s="30" t="s">
        <v>3209</v>
      </c>
    </row>
    <row r="866" customFormat="false" ht="14.25" hidden="false" customHeight="true" outlineLevel="0" collapsed="false">
      <c r="A866" s="27"/>
      <c r="B866" s="27"/>
      <c r="C866" s="27"/>
      <c r="D866" s="29" t="s">
        <v>3210</v>
      </c>
      <c r="E866" s="30" t="s">
        <v>3211</v>
      </c>
      <c r="F866" s="42" t="s">
        <v>3212</v>
      </c>
      <c r="G866" s="32" t="s">
        <v>38</v>
      </c>
      <c r="H866" s="33" t="s">
        <v>3213</v>
      </c>
      <c r="I866" s="34" t="s">
        <v>40</v>
      </c>
      <c r="J866" s="35" t="s">
        <v>3214</v>
      </c>
      <c r="K866" s="30" t="s">
        <v>3215</v>
      </c>
    </row>
    <row r="867" customFormat="false" ht="14.25" hidden="false" customHeight="true" outlineLevel="0" collapsed="false">
      <c r="A867" s="27"/>
      <c r="B867" s="27"/>
      <c r="C867" s="27"/>
      <c r="D867" s="27"/>
      <c r="E867" s="30" t="s">
        <v>3216</v>
      </c>
      <c r="F867" s="42"/>
      <c r="G867" s="32"/>
      <c r="H867" s="33"/>
      <c r="I867" s="34"/>
      <c r="J867" s="35"/>
      <c r="K867" s="30" t="s">
        <v>3217</v>
      </c>
    </row>
    <row r="868" customFormat="false" ht="14.25" hidden="false" customHeight="true" outlineLevel="0" collapsed="false">
      <c r="A868" s="27"/>
      <c r="B868" s="27"/>
      <c r="C868" s="27"/>
      <c r="D868" s="29" t="s">
        <v>3218</v>
      </c>
      <c r="E868" s="30" t="s">
        <v>3219</v>
      </c>
      <c r="F868" s="42" t="s">
        <v>3220</v>
      </c>
      <c r="G868" s="32" t="s">
        <v>38</v>
      </c>
      <c r="H868" s="33" t="s">
        <v>3221</v>
      </c>
      <c r="I868" s="39" t="s">
        <v>67</v>
      </c>
      <c r="J868" s="35" t="s">
        <v>3222</v>
      </c>
      <c r="K868" s="30" t="s">
        <v>3223</v>
      </c>
    </row>
    <row r="869" customFormat="false" ht="14.25" hidden="false" customHeight="true" outlineLevel="0" collapsed="false">
      <c r="A869" s="27"/>
      <c r="B869" s="27"/>
      <c r="C869" s="27"/>
      <c r="D869" s="27"/>
      <c r="E869" s="30" t="s">
        <v>3224</v>
      </c>
      <c r="F869" s="42"/>
      <c r="G869" s="32"/>
      <c r="H869" s="33"/>
      <c r="I869" s="39"/>
      <c r="J869" s="35"/>
      <c r="K869" s="30" t="s">
        <v>3225</v>
      </c>
    </row>
    <row r="870" customFormat="false" ht="14.25" hidden="false" customHeight="true" outlineLevel="0" collapsed="false">
      <c r="A870" s="27"/>
      <c r="B870" s="27"/>
      <c r="C870" s="40" t="s">
        <v>3226</v>
      </c>
      <c r="D870" s="29" t="s">
        <v>3227</v>
      </c>
      <c r="E870" s="30" t="s">
        <v>3228</v>
      </c>
      <c r="F870" s="42" t="s">
        <v>3229</v>
      </c>
      <c r="G870" s="32" t="s">
        <v>38</v>
      </c>
      <c r="H870" s="33" t="s">
        <v>3230</v>
      </c>
      <c r="I870" s="37" t="s">
        <v>50</v>
      </c>
      <c r="J870" s="35" t="s">
        <v>3231</v>
      </c>
      <c r="K870" s="30" t="s">
        <v>3232</v>
      </c>
    </row>
    <row r="871" customFormat="false" ht="14.25" hidden="false" customHeight="true" outlineLevel="0" collapsed="false">
      <c r="A871" s="27"/>
      <c r="B871" s="27"/>
      <c r="C871" s="27"/>
      <c r="D871" s="27"/>
      <c r="E871" s="30" t="s">
        <v>3233</v>
      </c>
      <c r="F871" s="42"/>
      <c r="G871" s="32"/>
      <c r="H871" s="33"/>
      <c r="I871" s="37"/>
      <c r="J871" s="35"/>
      <c r="K871" s="30" t="s">
        <v>3234</v>
      </c>
    </row>
    <row r="872" customFormat="false" ht="14.25" hidden="false" customHeight="true" outlineLevel="0" collapsed="false">
      <c r="A872" s="27"/>
      <c r="B872" s="27"/>
      <c r="C872" s="27"/>
      <c r="D872" s="29" t="s">
        <v>3235</v>
      </c>
      <c r="E872" s="30" t="s">
        <v>3236</v>
      </c>
      <c r="F872" s="42" t="s">
        <v>3237</v>
      </c>
      <c r="G872" s="32" t="s">
        <v>48</v>
      </c>
      <c r="H872" s="33" t="s">
        <v>3238</v>
      </c>
      <c r="I872" s="37" t="s">
        <v>50</v>
      </c>
      <c r="J872" s="35" t="s">
        <v>3239</v>
      </c>
      <c r="K872" s="30" t="s">
        <v>3240</v>
      </c>
    </row>
    <row r="873" customFormat="false" ht="14.25" hidden="false" customHeight="true" outlineLevel="0" collapsed="false">
      <c r="A873" s="27"/>
      <c r="B873" s="27"/>
      <c r="C873" s="27"/>
      <c r="D873" s="27"/>
      <c r="E873" s="30" t="s">
        <v>3241</v>
      </c>
      <c r="F873" s="42"/>
      <c r="G873" s="32"/>
      <c r="H873" s="33"/>
      <c r="I873" s="37"/>
      <c r="J873" s="35"/>
      <c r="K873" s="30" t="s">
        <v>3242</v>
      </c>
    </row>
    <row r="874" customFormat="false" ht="14.25" hidden="false" customHeight="true" outlineLevel="0" collapsed="false">
      <c r="A874" s="27"/>
      <c r="B874" s="27"/>
      <c r="C874" s="27"/>
      <c r="D874" s="29" t="s">
        <v>3243</v>
      </c>
      <c r="E874" s="30" t="s">
        <v>3244</v>
      </c>
      <c r="F874" s="42" t="s">
        <v>3245</v>
      </c>
      <c r="G874" s="32" t="s">
        <v>58</v>
      </c>
      <c r="H874" s="33" t="s">
        <v>3246</v>
      </c>
      <c r="I874" s="39" t="s">
        <v>67</v>
      </c>
      <c r="J874" s="35" t="s">
        <v>3247</v>
      </c>
      <c r="K874" s="30" t="s">
        <v>1527</v>
      </c>
    </row>
    <row r="875" customFormat="false" ht="14.25" hidden="false" customHeight="true" outlineLevel="0" collapsed="false">
      <c r="A875" s="27"/>
      <c r="B875" s="27"/>
      <c r="C875" s="27"/>
      <c r="D875" s="27"/>
      <c r="E875" s="30" t="s">
        <v>3248</v>
      </c>
      <c r="F875" s="42"/>
      <c r="G875" s="32"/>
      <c r="H875" s="33"/>
      <c r="I875" s="39"/>
      <c r="J875" s="35"/>
      <c r="K875" s="30" t="s">
        <v>1529</v>
      </c>
    </row>
    <row r="876" customFormat="false" ht="14.25" hidden="false" customHeight="true" outlineLevel="0" collapsed="false">
      <c r="A876" s="27"/>
      <c r="B876" s="27"/>
      <c r="C876" s="27"/>
      <c r="D876" s="29" t="s">
        <v>3249</v>
      </c>
      <c r="E876" s="30" t="s">
        <v>3250</v>
      </c>
      <c r="F876" s="42" t="s">
        <v>3251</v>
      </c>
      <c r="G876" s="32" t="s">
        <v>48</v>
      </c>
      <c r="H876" s="33" t="s">
        <v>3252</v>
      </c>
      <c r="I876" s="34" t="s">
        <v>40</v>
      </c>
      <c r="J876" s="35" t="s">
        <v>3253</v>
      </c>
      <c r="K876" s="30" t="s">
        <v>3254</v>
      </c>
    </row>
    <row r="877" customFormat="false" ht="14.25" hidden="false" customHeight="true" outlineLevel="0" collapsed="false">
      <c r="A877" s="27"/>
      <c r="B877" s="27"/>
      <c r="C877" s="27"/>
      <c r="D877" s="27"/>
      <c r="E877" s="30" t="s">
        <v>3255</v>
      </c>
      <c r="F877" s="42"/>
      <c r="G877" s="32"/>
      <c r="H877" s="33"/>
      <c r="I877" s="34"/>
      <c r="J877" s="35"/>
      <c r="K877" s="30" t="s">
        <v>3256</v>
      </c>
    </row>
    <row r="878" customFormat="false" ht="14.25" hidden="false" customHeight="true" outlineLevel="0" collapsed="false">
      <c r="A878" s="27"/>
      <c r="B878" s="27"/>
      <c r="C878" s="27"/>
      <c r="D878" s="29" t="s">
        <v>3257</v>
      </c>
      <c r="E878" s="30" t="s">
        <v>3258</v>
      </c>
      <c r="F878" s="42" t="s">
        <v>3259</v>
      </c>
      <c r="G878" s="32" t="s">
        <v>48</v>
      </c>
      <c r="H878" s="33" t="s">
        <v>3260</v>
      </c>
      <c r="I878" s="39" t="s">
        <v>67</v>
      </c>
      <c r="J878" s="35" t="s">
        <v>3261</v>
      </c>
      <c r="K878" s="30" t="s">
        <v>3215</v>
      </c>
    </row>
    <row r="879" customFormat="false" ht="14.25" hidden="false" customHeight="true" outlineLevel="0" collapsed="false">
      <c r="A879" s="27"/>
      <c r="B879" s="27"/>
      <c r="C879" s="27"/>
      <c r="D879" s="27"/>
      <c r="E879" s="30" t="s">
        <v>3262</v>
      </c>
      <c r="F879" s="42"/>
      <c r="G879" s="32"/>
      <c r="H879" s="33"/>
      <c r="I879" s="39"/>
      <c r="J879" s="35"/>
      <c r="K879" s="30" t="s">
        <v>3263</v>
      </c>
    </row>
    <row r="880" customFormat="false" ht="14.25" hidden="false" customHeight="true" outlineLevel="0" collapsed="false">
      <c r="A880" s="27"/>
      <c r="B880" s="27"/>
      <c r="C880" s="29" t="s">
        <v>3264</v>
      </c>
      <c r="D880" s="29" t="s">
        <v>3265</v>
      </c>
      <c r="E880" s="30" t="s">
        <v>3266</v>
      </c>
      <c r="F880" s="42" t="s">
        <v>3267</v>
      </c>
      <c r="G880" s="32" t="s">
        <v>38</v>
      </c>
      <c r="H880" s="33" t="s">
        <v>3268</v>
      </c>
      <c r="I880" s="37" t="s">
        <v>50</v>
      </c>
      <c r="J880" s="35" t="s">
        <v>3269</v>
      </c>
      <c r="K880" s="30" t="s">
        <v>3270</v>
      </c>
    </row>
    <row r="881" customFormat="false" ht="14.25" hidden="false" customHeight="true" outlineLevel="0" collapsed="false">
      <c r="A881" s="27"/>
      <c r="B881" s="27"/>
      <c r="C881" s="27"/>
      <c r="D881" s="27"/>
      <c r="E881" s="30" t="s">
        <v>3271</v>
      </c>
      <c r="F881" s="42"/>
      <c r="G881" s="32"/>
      <c r="H881" s="33"/>
      <c r="I881" s="37"/>
      <c r="J881" s="35"/>
      <c r="K881" s="30" t="s">
        <v>3272</v>
      </c>
    </row>
    <row r="882" customFormat="false" ht="14.25" hidden="false" customHeight="true" outlineLevel="0" collapsed="false">
      <c r="A882" s="27"/>
      <c r="B882" s="27"/>
      <c r="C882" s="27"/>
      <c r="D882" s="29" t="s">
        <v>3273</v>
      </c>
      <c r="E882" s="30" t="s">
        <v>3274</v>
      </c>
      <c r="F882" s="42" t="s">
        <v>3275</v>
      </c>
      <c r="G882" s="32" t="s">
        <v>38</v>
      </c>
      <c r="H882" s="33" t="s">
        <v>3276</v>
      </c>
      <c r="I882" s="37" t="s">
        <v>50</v>
      </c>
      <c r="J882" s="35" t="s">
        <v>3277</v>
      </c>
      <c r="K882" s="30" t="s">
        <v>3254</v>
      </c>
    </row>
    <row r="883" customFormat="false" ht="14.25" hidden="false" customHeight="true" outlineLevel="0" collapsed="false">
      <c r="A883" s="27"/>
      <c r="B883" s="27"/>
      <c r="C883" s="27"/>
      <c r="D883" s="27"/>
      <c r="E883" s="30" t="s">
        <v>3278</v>
      </c>
      <c r="F883" s="42"/>
      <c r="G883" s="32"/>
      <c r="H883" s="33"/>
      <c r="I883" s="37"/>
      <c r="J883" s="35"/>
      <c r="K883" s="30" t="s">
        <v>3279</v>
      </c>
    </row>
    <row r="884" customFormat="false" ht="14.25" hidden="false" customHeight="true" outlineLevel="0" collapsed="false">
      <c r="A884" s="27"/>
      <c r="B884" s="27"/>
      <c r="C884" s="27"/>
      <c r="D884" s="29" t="s">
        <v>3280</v>
      </c>
      <c r="E884" s="30" t="s">
        <v>3281</v>
      </c>
      <c r="F884" s="42" t="s">
        <v>3282</v>
      </c>
      <c r="G884" s="32" t="s">
        <v>38</v>
      </c>
      <c r="H884" s="33" t="s">
        <v>3283</v>
      </c>
      <c r="I884" s="39" t="s">
        <v>67</v>
      </c>
      <c r="J884" s="35" t="s">
        <v>3284</v>
      </c>
      <c r="K884" s="30" t="s">
        <v>3285</v>
      </c>
    </row>
    <row r="885" customFormat="false" ht="14.25" hidden="false" customHeight="true" outlineLevel="0" collapsed="false">
      <c r="A885" s="27"/>
      <c r="B885" s="27"/>
      <c r="C885" s="27"/>
      <c r="D885" s="27"/>
      <c r="E885" s="30" t="s">
        <v>3286</v>
      </c>
      <c r="F885" s="42"/>
      <c r="G885" s="32"/>
      <c r="H885" s="33"/>
      <c r="I885" s="39"/>
      <c r="J885" s="35"/>
      <c r="K885" s="30" t="s">
        <v>3287</v>
      </c>
    </row>
    <row r="886" customFormat="false" ht="14.25" hidden="false" customHeight="true" outlineLevel="0" collapsed="false">
      <c r="A886" s="27"/>
      <c r="B886" s="27"/>
      <c r="C886" s="27"/>
      <c r="D886" s="29" t="s">
        <v>3288</v>
      </c>
      <c r="E886" s="30" t="s">
        <v>3289</v>
      </c>
      <c r="F886" s="42" t="s">
        <v>3290</v>
      </c>
      <c r="G886" s="32" t="s">
        <v>48</v>
      </c>
      <c r="H886" s="33" t="s">
        <v>3291</v>
      </c>
      <c r="I886" s="34" t="s">
        <v>40</v>
      </c>
      <c r="J886" s="35" t="s">
        <v>3292</v>
      </c>
      <c r="K886" s="30" t="s">
        <v>3293</v>
      </c>
    </row>
    <row r="887" customFormat="false" ht="14.25" hidden="false" customHeight="true" outlineLevel="0" collapsed="false">
      <c r="A887" s="27"/>
      <c r="B887" s="27"/>
      <c r="C887" s="27"/>
      <c r="D887" s="27"/>
      <c r="E887" s="30" t="s">
        <v>3294</v>
      </c>
      <c r="F887" s="42"/>
      <c r="G887" s="32"/>
      <c r="H887" s="33"/>
      <c r="I887" s="34"/>
      <c r="J887" s="35"/>
      <c r="K887" s="30" t="s">
        <v>3295</v>
      </c>
    </row>
    <row r="888" customFormat="false" ht="14.25" hidden="false" customHeight="true" outlineLevel="0" collapsed="false">
      <c r="A888" s="27"/>
      <c r="B888" s="27"/>
      <c r="C888" s="27"/>
      <c r="D888" s="29" t="s">
        <v>3296</v>
      </c>
      <c r="E888" s="30" t="s">
        <v>3297</v>
      </c>
      <c r="F888" s="42" t="s">
        <v>3298</v>
      </c>
      <c r="G888" s="32" t="s">
        <v>58</v>
      </c>
      <c r="H888" s="33" t="s">
        <v>3299</v>
      </c>
      <c r="I888" s="39" t="s">
        <v>67</v>
      </c>
      <c r="J888" s="35" t="s">
        <v>3300</v>
      </c>
      <c r="K888" s="30" t="s">
        <v>3270</v>
      </c>
    </row>
    <row r="889" customFormat="false" ht="14.25" hidden="false" customHeight="true" outlineLevel="0" collapsed="false">
      <c r="A889" s="27"/>
      <c r="B889" s="27"/>
      <c r="C889" s="27"/>
      <c r="D889" s="27"/>
      <c r="E889" s="30" t="s">
        <v>3301</v>
      </c>
      <c r="F889" s="42"/>
      <c r="G889" s="32"/>
      <c r="H889" s="33"/>
      <c r="I889" s="39"/>
      <c r="J889" s="35"/>
      <c r="K889" s="30" t="s">
        <v>3302</v>
      </c>
    </row>
    <row r="890" customFormat="false" ht="14.25" hidden="false" customHeight="true" outlineLevel="0" collapsed="false">
      <c r="A890" s="27"/>
      <c r="B890" s="27"/>
      <c r="C890" s="40" t="s">
        <v>3303</v>
      </c>
      <c r="D890" s="29" t="s">
        <v>3304</v>
      </c>
      <c r="E890" s="30" t="s">
        <v>3305</v>
      </c>
      <c r="F890" s="42" t="s">
        <v>3306</v>
      </c>
      <c r="G890" s="32" t="s">
        <v>48</v>
      </c>
      <c r="H890" s="33" t="s">
        <v>3307</v>
      </c>
      <c r="I890" s="37" t="s">
        <v>50</v>
      </c>
      <c r="J890" s="35" t="s">
        <v>3308</v>
      </c>
      <c r="K890" s="30" t="s">
        <v>3270</v>
      </c>
    </row>
    <row r="891" customFormat="false" ht="14.25" hidden="false" customHeight="true" outlineLevel="0" collapsed="false">
      <c r="A891" s="27"/>
      <c r="B891" s="27"/>
      <c r="C891" s="27"/>
      <c r="D891" s="27"/>
      <c r="E891" s="30" t="s">
        <v>3309</v>
      </c>
      <c r="F891" s="42"/>
      <c r="G891" s="32"/>
      <c r="H891" s="33"/>
      <c r="I891" s="37"/>
      <c r="J891" s="35"/>
      <c r="K891" s="30" t="s">
        <v>3302</v>
      </c>
    </row>
    <row r="892" customFormat="false" ht="14.25" hidden="false" customHeight="true" outlineLevel="0" collapsed="false">
      <c r="A892" s="27"/>
      <c r="B892" s="27"/>
      <c r="C892" s="27"/>
      <c r="D892" s="29" t="s">
        <v>3310</v>
      </c>
      <c r="E892" s="30" t="s">
        <v>3311</v>
      </c>
      <c r="F892" s="42" t="s">
        <v>3312</v>
      </c>
      <c r="G892" s="32" t="s">
        <v>48</v>
      </c>
      <c r="H892" s="33" t="s">
        <v>3313</v>
      </c>
      <c r="I892" s="37" t="s">
        <v>50</v>
      </c>
      <c r="J892" s="35" t="s">
        <v>3314</v>
      </c>
      <c r="K892" s="30" t="s">
        <v>3315</v>
      </c>
    </row>
    <row r="893" customFormat="false" ht="14.25" hidden="false" customHeight="true" outlineLevel="0" collapsed="false">
      <c r="A893" s="27"/>
      <c r="B893" s="27"/>
      <c r="C893" s="27"/>
      <c r="D893" s="27"/>
      <c r="E893" s="30" t="s">
        <v>3316</v>
      </c>
      <c r="F893" s="42"/>
      <c r="G893" s="32"/>
      <c r="H893" s="33"/>
      <c r="I893" s="37"/>
      <c r="J893" s="35"/>
      <c r="K893" s="30" t="s">
        <v>3317</v>
      </c>
    </row>
    <row r="894" customFormat="false" ht="14.25" hidden="false" customHeight="true" outlineLevel="0" collapsed="false">
      <c r="A894" s="27"/>
      <c r="B894" s="27"/>
      <c r="C894" s="27"/>
      <c r="D894" s="29" t="s">
        <v>3318</v>
      </c>
      <c r="E894" s="30" t="s">
        <v>3319</v>
      </c>
      <c r="F894" s="42" t="s">
        <v>3320</v>
      </c>
      <c r="G894" s="32" t="s">
        <v>38</v>
      </c>
      <c r="H894" s="33" t="s">
        <v>3321</v>
      </c>
      <c r="I894" s="39" t="s">
        <v>67</v>
      </c>
      <c r="J894" s="35" t="s">
        <v>3322</v>
      </c>
      <c r="K894" s="30" t="s">
        <v>3323</v>
      </c>
    </row>
    <row r="895" customFormat="false" ht="14.25" hidden="false" customHeight="true" outlineLevel="0" collapsed="false">
      <c r="A895" s="27"/>
      <c r="B895" s="27"/>
      <c r="C895" s="27"/>
      <c r="D895" s="27"/>
      <c r="E895" s="30" t="s">
        <v>3324</v>
      </c>
      <c r="F895" s="42"/>
      <c r="G895" s="32"/>
      <c r="H895" s="33"/>
      <c r="I895" s="39"/>
      <c r="J895" s="35"/>
      <c r="K895" s="30" t="s">
        <v>3325</v>
      </c>
    </row>
    <row r="896" customFormat="false" ht="14.25" hidden="false" customHeight="true" outlineLevel="0" collapsed="false">
      <c r="A896" s="27"/>
      <c r="B896" s="27"/>
      <c r="C896" s="27"/>
      <c r="D896" s="29" t="s">
        <v>3326</v>
      </c>
      <c r="E896" s="30" t="s">
        <v>3327</v>
      </c>
      <c r="F896" s="42" t="s">
        <v>3328</v>
      </c>
      <c r="G896" s="32" t="s">
        <v>38</v>
      </c>
      <c r="H896" s="33" t="s">
        <v>3329</v>
      </c>
      <c r="I896" s="34" t="s">
        <v>40</v>
      </c>
      <c r="J896" s="35" t="s">
        <v>3330</v>
      </c>
      <c r="K896" s="30" t="s">
        <v>3331</v>
      </c>
    </row>
    <row r="897" customFormat="false" ht="14.25" hidden="false" customHeight="true" outlineLevel="0" collapsed="false">
      <c r="A897" s="27"/>
      <c r="B897" s="27"/>
      <c r="C897" s="27"/>
      <c r="D897" s="27"/>
      <c r="E897" s="30" t="s">
        <v>3332</v>
      </c>
      <c r="F897" s="42"/>
      <c r="G897" s="32"/>
      <c r="H897" s="33"/>
      <c r="I897" s="34"/>
      <c r="J897" s="35"/>
      <c r="K897" s="30" t="s">
        <v>3333</v>
      </c>
    </row>
    <row r="898" customFormat="false" ht="14.25" hidden="false" customHeight="true" outlineLevel="0" collapsed="false">
      <c r="A898" s="27"/>
      <c r="B898" s="27"/>
      <c r="C898" s="27"/>
      <c r="D898" s="29" t="s">
        <v>3334</v>
      </c>
      <c r="E898" s="30" t="s">
        <v>3335</v>
      </c>
      <c r="F898" s="42" t="s">
        <v>3336</v>
      </c>
      <c r="G898" s="32" t="s">
        <v>38</v>
      </c>
      <c r="H898" s="33" t="s">
        <v>3337</v>
      </c>
      <c r="I898" s="39" t="s">
        <v>67</v>
      </c>
      <c r="J898" s="35" t="s">
        <v>3338</v>
      </c>
      <c r="K898" s="30" t="s">
        <v>2666</v>
      </c>
    </row>
    <row r="899" customFormat="false" ht="14.25" hidden="false" customHeight="true" outlineLevel="0" collapsed="false">
      <c r="A899" s="27"/>
      <c r="B899" s="27"/>
      <c r="C899" s="27"/>
      <c r="D899" s="27"/>
      <c r="E899" s="30" t="s">
        <v>3339</v>
      </c>
      <c r="F899" s="42"/>
      <c r="G899" s="32"/>
      <c r="H899" s="33"/>
      <c r="I899" s="39"/>
      <c r="J899" s="35"/>
      <c r="K899" s="30" t="s">
        <v>3340</v>
      </c>
    </row>
    <row r="900" customFormat="false" ht="14.25" hidden="false" customHeight="true" outlineLevel="0" collapsed="false">
      <c r="A900" s="27"/>
      <c r="B900" s="27"/>
      <c r="C900" s="40" t="s">
        <v>3341</v>
      </c>
      <c r="D900" s="29" t="s">
        <v>3342</v>
      </c>
      <c r="E900" s="30" t="s">
        <v>3343</v>
      </c>
      <c r="F900" s="42" t="s">
        <v>3344</v>
      </c>
      <c r="G900" s="32" t="s">
        <v>48</v>
      </c>
      <c r="H900" s="33" t="s">
        <v>3345</v>
      </c>
      <c r="I900" s="37" t="s">
        <v>50</v>
      </c>
      <c r="J900" s="35" t="s">
        <v>3346</v>
      </c>
      <c r="K900" s="30" t="s">
        <v>3347</v>
      </c>
    </row>
    <row r="901" customFormat="false" ht="14.25" hidden="false" customHeight="true" outlineLevel="0" collapsed="false">
      <c r="A901" s="27"/>
      <c r="B901" s="27"/>
      <c r="C901" s="27"/>
      <c r="D901" s="27"/>
      <c r="E901" s="30" t="s">
        <v>3348</v>
      </c>
      <c r="F901" s="42"/>
      <c r="G901" s="32"/>
      <c r="H901" s="33"/>
      <c r="I901" s="37"/>
      <c r="J901" s="35"/>
      <c r="K901" s="30" t="s">
        <v>3349</v>
      </c>
    </row>
    <row r="902" customFormat="false" ht="14.25" hidden="false" customHeight="true" outlineLevel="0" collapsed="false">
      <c r="A902" s="27"/>
      <c r="B902" s="27"/>
      <c r="C902" s="27"/>
      <c r="D902" s="29" t="s">
        <v>3350</v>
      </c>
      <c r="E902" s="30" t="s">
        <v>3351</v>
      </c>
      <c r="F902" s="42" t="s">
        <v>3352</v>
      </c>
      <c r="G902" s="32" t="s">
        <v>58</v>
      </c>
      <c r="H902" s="33" t="s">
        <v>3353</v>
      </c>
      <c r="I902" s="37" t="s">
        <v>50</v>
      </c>
      <c r="J902" s="35" t="s">
        <v>3354</v>
      </c>
      <c r="K902" s="30" t="s">
        <v>3355</v>
      </c>
    </row>
    <row r="903" customFormat="false" ht="14.25" hidden="false" customHeight="true" outlineLevel="0" collapsed="false">
      <c r="A903" s="27"/>
      <c r="B903" s="27"/>
      <c r="C903" s="27"/>
      <c r="D903" s="27"/>
      <c r="E903" s="30" t="s">
        <v>3356</v>
      </c>
      <c r="F903" s="42"/>
      <c r="G903" s="32"/>
      <c r="H903" s="33"/>
      <c r="I903" s="37"/>
      <c r="J903" s="35"/>
      <c r="K903" s="30" t="s">
        <v>3357</v>
      </c>
    </row>
    <row r="904" customFormat="false" ht="14.25" hidden="false" customHeight="true" outlineLevel="0" collapsed="false">
      <c r="A904" s="27"/>
      <c r="B904" s="27"/>
      <c r="C904" s="27"/>
      <c r="D904" s="29" t="s">
        <v>3358</v>
      </c>
      <c r="E904" s="30" t="s">
        <v>3359</v>
      </c>
      <c r="F904" s="42" t="s">
        <v>3360</v>
      </c>
      <c r="G904" s="32" t="s">
        <v>48</v>
      </c>
      <c r="H904" s="33" t="s">
        <v>2844</v>
      </c>
      <c r="I904" s="39" t="s">
        <v>67</v>
      </c>
      <c r="J904" s="35" t="s">
        <v>3361</v>
      </c>
      <c r="K904" s="30" t="s">
        <v>3362</v>
      </c>
    </row>
    <row r="905" customFormat="false" ht="14.25" hidden="false" customHeight="true" outlineLevel="0" collapsed="false">
      <c r="A905" s="27"/>
      <c r="B905" s="27"/>
      <c r="C905" s="27"/>
      <c r="D905" s="27"/>
      <c r="E905" s="30" t="s">
        <v>3363</v>
      </c>
      <c r="F905" s="42"/>
      <c r="G905" s="32"/>
      <c r="H905" s="33"/>
      <c r="I905" s="39"/>
      <c r="J905" s="35"/>
      <c r="K905" s="30" t="s">
        <v>3364</v>
      </c>
    </row>
    <row r="906" customFormat="false" ht="14.25" hidden="false" customHeight="true" outlineLevel="0" collapsed="false">
      <c r="A906" s="27"/>
      <c r="B906" s="27"/>
      <c r="C906" s="27"/>
      <c r="D906" s="29" t="s">
        <v>3365</v>
      </c>
      <c r="E906" s="30" t="s">
        <v>3366</v>
      </c>
      <c r="F906" s="42" t="s">
        <v>3367</v>
      </c>
      <c r="G906" s="32" t="s">
        <v>48</v>
      </c>
      <c r="H906" s="33" t="s">
        <v>3368</v>
      </c>
      <c r="I906" s="34" t="s">
        <v>40</v>
      </c>
      <c r="J906" s="35" t="s">
        <v>3369</v>
      </c>
      <c r="K906" s="30" t="s">
        <v>3370</v>
      </c>
    </row>
    <row r="907" customFormat="false" ht="14.25" hidden="false" customHeight="true" outlineLevel="0" collapsed="false">
      <c r="A907" s="27"/>
      <c r="B907" s="27"/>
      <c r="C907" s="27"/>
      <c r="D907" s="27"/>
      <c r="E907" s="30" t="s">
        <v>3371</v>
      </c>
      <c r="F907" s="42"/>
      <c r="G907" s="32"/>
      <c r="H907" s="33"/>
      <c r="I907" s="34"/>
      <c r="J907" s="35"/>
      <c r="K907" s="30" t="s">
        <v>3065</v>
      </c>
    </row>
    <row r="908" customFormat="false" ht="14.25" hidden="false" customHeight="true" outlineLevel="0" collapsed="false">
      <c r="A908" s="27"/>
      <c r="B908" s="27"/>
      <c r="C908" s="27"/>
      <c r="D908" s="29" t="s">
        <v>3372</v>
      </c>
      <c r="E908" s="30" t="s">
        <v>3373</v>
      </c>
      <c r="F908" s="42" t="s">
        <v>3374</v>
      </c>
      <c r="G908" s="32" t="s">
        <v>38</v>
      </c>
      <c r="H908" s="33" t="s">
        <v>3375</v>
      </c>
      <c r="I908" s="39" t="s">
        <v>67</v>
      </c>
      <c r="J908" s="35" t="s">
        <v>3376</v>
      </c>
      <c r="K908" s="30" t="s">
        <v>3377</v>
      </c>
    </row>
    <row r="909" customFormat="false" ht="14.25" hidden="false" customHeight="true" outlineLevel="0" collapsed="false">
      <c r="A909" s="27"/>
      <c r="B909" s="27"/>
      <c r="C909" s="27"/>
      <c r="D909" s="27"/>
      <c r="E909" s="30" t="s">
        <v>3378</v>
      </c>
      <c r="F909" s="42"/>
      <c r="G909" s="32"/>
      <c r="H909" s="33"/>
      <c r="I909" s="39"/>
      <c r="J909" s="35"/>
      <c r="K909" s="30" t="s">
        <v>2506</v>
      </c>
    </row>
    <row r="910" customFormat="false" ht="14.25" hidden="false" customHeight="true" outlineLevel="0" collapsed="false">
      <c r="A910" s="27"/>
      <c r="B910" s="27"/>
      <c r="C910" s="40" t="s">
        <v>3379</v>
      </c>
      <c r="D910" s="29" t="s">
        <v>3380</v>
      </c>
      <c r="E910" s="30" t="s">
        <v>3381</v>
      </c>
      <c r="F910" s="42" t="s">
        <v>3382</v>
      </c>
      <c r="G910" s="32" t="s">
        <v>38</v>
      </c>
      <c r="H910" s="33" t="s">
        <v>3383</v>
      </c>
      <c r="I910" s="37" t="s">
        <v>50</v>
      </c>
      <c r="J910" s="35" t="s">
        <v>3384</v>
      </c>
      <c r="K910" s="30" t="s">
        <v>3385</v>
      </c>
    </row>
    <row r="911" customFormat="false" ht="14.25" hidden="false" customHeight="true" outlineLevel="0" collapsed="false">
      <c r="A911" s="27"/>
      <c r="B911" s="27"/>
      <c r="C911" s="27"/>
      <c r="D911" s="27"/>
      <c r="E911" s="30" t="s">
        <v>3386</v>
      </c>
      <c r="F911" s="42"/>
      <c r="G911" s="32"/>
      <c r="H911" s="33"/>
      <c r="I911" s="37"/>
      <c r="J911" s="35"/>
      <c r="K911" s="30" t="s">
        <v>3387</v>
      </c>
    </row>
    <row r="912" customFormat="false" ht="14.25" hidden="false" customHeight="true" outlineLevel="0" collapsed="false">
      <c r="A912" s="27"/>
      <c r="B912" s="27"/>
      <c r="C912" s="27"/>
      <c r="D912" s="29" t="s">
        <v>3388</v>
      </c>
      <c r="E912" s="30" t="s">
        <v>3389</v>
      </c>
      <c r="F912" s="42" t="s">
        <v>3390</v>
      </c>
      <c r="G912" s="32" t="s">
        <v>38</v>
      </c>
      <c r="H912" s="33" t="s">
        <v>3391</v>
      </c>
      <c r="I912" s="37" t="s">
        <v>50</v>
      </c>
      <c r="J912" s="35" t="s">
        <v>3392</v>
      </c>
      <c r="K912" s="30" t="s">
        <v>3393</v>
      </c>
    </row>
    <row r="913" customFormat="false" ht="14.25" hidden="false" customHeight="true" outlineLevel="0" collapsed="false">
      <c r="A913" s="27"/>
      <c r="B913" s="27"/>
      <c r="C913" s="27"/>
      <c r="D913" s="27"/>
      <c r="E913" s="30" t="s">
        <v>3394</v>
      </c>
      <c r="F913" s="42"/>
      <c r="G913" s="32"/>
      <c r="H913" s="33"/>
      <c r="I913" s="37"/>
      <c r="J913" s="35"/>
      <c r="K913" s="30" t="s">
        <v>3395</v>
      </c>
    </row>
    <row r="914" customFormat="false" ht="14.25" hidden="false" customHeight="true" outlineLevel="0" collapsed="false">
      <c r="A914" s="27"/>
      <c r="B914" s="27"/>
      <c r="C914" s="27"/>
      <c r="D914" s="29" t="s">
        <v>3396</v>
      </c>
      <c r="E914" s="30" t="s">
        <v>3397</v>
      </c>
      <c r="F914" s="42" t="s">
        <v>3398</v>
      </c>
      <c r="G914" s="32" t="s">
        <v>48</v>
      </c>
      <c r="H914" s="33" t="s">
        <v>3399</v>
      </c>
      <c r="I914" s="39" t="s">
        <v>67</v>
      </c>
      <c r="J914" s="35" t="s">
        <v>3400</v>
      </c>
      <c r="K914" s="30" t="s">
        <v>3401</v>
      </c>
    </row>
    <row r="915" customFormat="false" ht="14.25" hidden="false" customHeight="true" outlineLevel="0" collapsed="false">
      <c r="A915" s="27"/>
      <c r="B915" s="27"/>
      <c r="C915" s="27"/>
      <c r="D915" s="27"/>
      <c r="E915" s="30" t="s">
        <v>3402</v>
      </c>
      <c r="F915" s="42"/>
      <c r="G915" s="32"/>
      <c r="H915" s="33"/>
      <c r="I915" s="39"/>
      <c r="J915" s="35"/>
      <c r="K915" s="30" t="s">
        <v>3403</v>
      </c>
    </row>
    <row r="916" customFormat="false" ht="14.25" hidden="false" customHeight="true" outlineLevel="0" collapsed="false">
      <c r="A916" s="27"/>
      <c r="B916" s="27"/>
      <c r="C916" s="27"/>
      <c r="D916" s="29" t="s">
        <v>3404</v>
      </c>
      <c r="E916" s="30" t="s">
        <v>3405</v>
      </c>
      <c r="F916" s="42" t="s">
        <v>3406</v>
      </c>
      <c r="G916" s="32" t="s">
        <v>58</v>
      </c>
      <c r="H916" s="33" t="s">
        <v>3407</v>
      </c>
      <c r="I916" s="34" t="s">
        <v>40</v>
      </c>
      <c r="J916" s="35" t="s">
        <v>3408</v>
      </c>
      <c r="K916" s="30" t="s">
        <v>3409</v>
      </c>
    </row>
    <row r="917" customFormat="false" ht="14.25" hidden="false" customHeight="true" outlineLevel="0" collapsed="false">
      <c r="A917" s="27"/>
      <c r="B917" s="27"/>
      <c r="C917" s="27"/>
      <c r="D917" s="27"/>
      <c r="E917" s="30" t="s">
        <v>3410</v>
      </c>
      <c r="F917" s="42"/>
      <c r="G917" s="32"/>
      <c r="H917" s="33"/>
      <c r="I917" s="34"/>
      <c r="J917" s="35"/>
      <c r="K917" s="30" t="s">
        <v>3411</v>
      </c>
    </row>
    <row r="918" customFormat="false" ht="14.25" hidden="false" customHeight="true" outlineLevel="0" collapsed="false">
      <c r="A918" s="27"/>
      <c r="B918" s="27"/>
      <c r="C918" s="27"/>
      <c r="D918" s="29" t="s">
        <v>3412</v>
      </c>
      <c r="E918" s="30" t="s">
        <v>3413</v>
      </c>
      <c r="F918" s="42" t="s">
        <v>3414</v>
      </c>
      <c r="G918" s="32" t="s">
        <v>48</v>
      </c>
      <c r="H918" s="33" t="s">
        <v>3415</v>
      </c>
      <c r="I918" s="39" t="s">
        <v>67</v>
      </c>
      <c r="J918" s="35" t="s">
        <v>3416</v>
      </c>
      <c r="K918" s="30" t="s">
        <v>3417</v>
      </c>
    </row>
    <row r="919" customFormat="false" ht="14.25" hidden="false" customHeight="true" outlineLevel="0" collapsed="false">
      <c r="A919" s="27"/>
      <c r="B919" s="27"/>
      <c r="C919" s="27"/>
      <c r="D919" s="27"/>
      <c r="E919" s="30" t="s">
        <v>3418</v>
      </c>
      <c r="F919" s="42"/>
      <c r="G919" s="32"/>
      <c r="H919" s="33"/>
      <c r="I919" s="39"/>
      <c r="J919" s="35"/>
      <c r="K919" s="30" t="s">
        <v>3419</v>
      </c>
    </row>
    <row r="920" customFormat="false" ht="14.25" hidden="false" customHeight="true" outlineLevel="0" collapsed="false">
      <c r="A920" s="27"/>
      <c r="B920" s="27"/>
      <c r="C920" s="40" t="s">
        <v>3420</v>
      </c>
      <c r="D920" s="29" t="s">
        <v>3421</v>
      </c>
      <c r="E920" s="30" t="s">
        <v>3422</v>
      </c>
      <c r="F920" s="42" t="s">
        <v>3423</v>
      </c>
      <c r="G920" s="32" t="s">
        <v>48</v>
      </c>
      <c r="H920" s="33" t="s">
        <v>3424</v>
      </c>
      <c r="I920" s="37" t="s">
        <v>50</v>
      </c>
      <c r="J920" s="35" t="s">
        <v>3425</v>
      </c>
      <c r="K920" s="30" t="s">
        <v>3426</v>
      </c>
    </row>
    <row r="921" customFormat="false" ht="14.25" hidden="false" customHeight="true" outlineLevel="0" collapsed="false">
      <c r="A921" s="27"/>
      <c r="B921" s="27"/>
      <c r="C921" s="27"/>
      <c r="D921" s="27"/>
      <c r="E921" s="30" t="s">
        <v>3427</v>
      </c>
      <c r="F921" s="42"/>
      <c r="G921" s="32"/>
      <c r="H921" s="33"/>
      <c r="I921" s="37"/>
      <c r="J921" s="35"/>
      <c r="K921" s="30" t="s">
        <v>3428</v>
      </c>
    </row>
    <row r="922" customFormat="false" ht="14.25" hidden="false" customHeight="true" outlineLevel="0" collapsed="false">
      <c r="A922" s="27"/>
      <c r="B922" s="27"/>
      <c r="C922" s="27"/>
      <c r="D922" s="29" t="s">
        <v>3429</v>
      </c>
      <c r="E922" s="30" t="s">
        <v>3430</v>
      </c>
      <c r="F922" s="42" t="s">
        <v>3431</v>
      </c>
      <c r="G922" s="32" t="s">
        <v>38</v>
      </c>
      <c r="H922" s="33" t="s">
        <v>3432</v>
      </c>
      <c r="I922" s="37" t="s">
        <v>50</v>
      </c>
      <c r="J922" s="35" t="s">
        <v>3433</v>
      </c>
      <c r="K922" s="30" t="s">
        <v>3434</v>
      </c>
    </row>
    <row r="923" customFormat="false" ht="14.25" hidden="false" customHeight="true" outlineLevel="0" collapsed="false">
      <c r="A923" s="27"/>
      <c r="B923" s="27"/>
      <c r="C923" s="27"/>
      <c r="D923" s="27"/>
      <c r="E923" s="30" t="s">
        <v>3435</v>
      </c>
      <c r="F923" s="42"/>
      <c r="G923" s="32"/>
      <c r="H923" s="33"/>
      <c r="I923" s="37"/>
      <c r="J923" s="35"/>
      <c r="K923" s="30" t="s">
        <v>3436</v>
      </c>
    </row>
    <row r="924" customFormat="false" ht="14.25" hidden="false" customHeight="true" outlineLevel="0" collapsed="false">
      <c r="A924" s="27"/>
      <c r="B924" s="27"/>
      <c r="C924" s="27"/>
      <c r="D924" s="29" t="s">
        <v>3437</v>
      </c>
      <c r="E924" s="30" t="s">
        <v>3438</v>
      </c>
      <c r="F924" s="42" t="s">
        <v>3439</v>
      </c>
      <c r="G924" s="32" t="s">
        <v>38</v>
      </c>
      <c r="H924" s="33" t="s">
        <v>3440</v>
      </c>
      <c r="I924" s="39" t="s">
        <v>67</v>
      </c>
      <c r="J924" s="35" t="s">
        <v>3441</v>
      </c>
      <c r="K924" s="30" t="s">
        <v>3442</v>
      </c>
    </row>
    <row r="925" customFormat="false" ht="14.25" hidden="false" customHeight="true" outlineLevel="0" collapsed="false">
      <c r="A925" s="27"/>
      <c r="B925" s="27"/>
      <c r="C925" s="27"/>
      <c r="D925" s="27"/>
      <c r="E925" s="30" t="s">
        <v>3443</v>
      </c>
      <c r="F925" s="42"/>
      <c r="G925" s="32"/>
      <c r="H925" s="33"/>
      <c r="I925" s="39"/>
      <c r="J925" s="35"/>
      <c r="K925" s="30" t="s">
        <v>3444</v>
      </c>
    </row>
    <row r="926" customFormat="false" ht="14.25" hidden="false" customHeight="true" outlineLevel="0" collapsed="false">
      <c r="A926" s="27"/>
      <c r="B926" s="27"/>
      <c r="C926" s="27"/>
      <c r="D926" s="29" t="s">
        <v>3445</v>
      </c>
      <c r="E926" s="30" t="s">
        <v>3446</v>
      </c>
      <c r="F926" s="42" t="s">
        <v>3447</v>
      </c>
      <c r="G926" s="32" t="s">
        <v>38</v>
      </c>
      <c r="H926" s="33" t="s">
        <v>3448</v>
      </c>
      <c r="I926" s="34" t="s">
        <v>40</v>
      </c>
      <c r="J926" s="35" t="s">
        <v>3449</v>
      </c>
      <c r="K926" s="30" t="s">
        <v>3450</v>
      </c>
    </row>
    <row r="927" customFormat="false" ht="14.25" hidden="false" customHeight="true" outlineLevel="0" collapsed="false">
      <c r="A927" s="27"/>
      <c r="B927" s="27"/>
      <c r="C927" s="27"/>
      <c r="D927" s="27"/>
      <c r="E927" s="30" t="s">
        <v>3451</v>
      </c>
      <c r="F927" s="42"/>
      <c r="G927" s="32"/>
      <c r="H927" s="33"/>
      <c r="I927" s="34"/>
      <c r="J927" s="35"/>
      <c r="K927" s="30" t="s">
        <v>3452</v>
      </c>
    </row>
    <row r="928" customFormat="false" ht="14.25" hidden="false" customHeight="true" outlineLevel="0" collapsed="false">
      <c r="A928" s="27"/>
      <c r="B928" s="27"/>
      <c r="C928" s="27"/>
      <c r="D928" s="29" t="s">
        <v>3453</v>
      </c>
      <c r="E928" s="30" t="s">
        <v>3454</v>
      </c>
      <c r="F928" s="42" t="s">
        <v>3455</v>
      </c>
      <c r="G928" s="32" t="s">
        <v>48</v>
      </c>
      <c r="H928" s="33" t="s">
        <v>3456</v>
      </c>
      <c r="I928" s="39" t="s">
        <v>67</v>
      </c>
      <c r="J928" s="35" t="s">
        <v>3457</v>
      </c>
      <c r="K928" s="30" t="s">
        <v>3458</v>
      </c>
    </row>
    <row r="929" customFormat="false" ht="14.25" hidden="false" customHeight="true" outlineLevel="0" collapsed="false">
      <c r="A929" s="27"/>
      <c r="B929" s="27"/>
      <c r="C929" s="27"/>
      <c r="D929" s="27"/>
      <c r="E929" s="30" t="s">
        <v>3459</v>
      </c>
      <c r="F929" s="42"/>
      <c r="G929" s="32"/>
      <c r="H929" s="33"/>
      <c r="I929" s="39"/>
      <c r="J929" s="35"/>
      <c r="K929" s="30" t="s">
        <v>3436</v>
      </c>
    </row>
    <row r="930" customFormat="false" ht="14.25" hidden="false" customHeight="true" outlineLevel="0" collapsed="false">
      <c r="A930" s="27"/>
      <c r="B930" s="27"/>
      <c r="C930" s="40" t="s">
        <v>3460</v>
      </c>
      <c r="D930" s="29" t="s">
        <v>3461</v>
      </c>
      <c r="E930" s="30" t="s">
        <v>3462</v>
      </c>
      <c r="F930" s="42" t="s">
        <v>3463</v>
      </c>
      <c r="G930" s="32" t="s">
        <v>58</v>
      </c>
      <c r="H930" s="33" t="s">
        <v>3464</v>
      </c>
      <c r="I930" s="37" t="s">
        <v>50</v>
      </c>
      <c r="J930" s="35" t="s">
        <v>3465</v>
      </c>
      <c r="K930" s="30" t="s">
        <v>3466</v>
      </c>
    </row>
    <row r="931" customFormat="false" ht="14.25" hidden="false" customHeight="true" outlineLevel="0" collapsed="false">
      <c r="A931" s="27"/>
      <c r="B931" s="27"/>
      <c r="C931" s="27"/>
      <c r="D931" s="27"/>
      <c r="E931" s="30" t="s">
        <v>3467</v>
      </c>
      <c r="F931" s="42"/>
      <c r="G931" s="32"/>
      <c r="H931" s="33"/>
      <c r="I931" s="37"/>
      <c r="J931" s="35"/>
      <c r="K931" s="30" t="s">
        <v>3468</v>
      </c>
    </row>
    <row r="932" customFormat="false" ht="14.25" hidden="false" customHeight="true" outlineLevel="0" collapsed="false">
      <c r="A932" s="27"/>
      <c r="B932" s="27"/>
      <c r="C932" s="27"/>
      <c r="D932" s="29" t="s">
        <v>3469</v>
      </c>
      <c r="E932" s="30" t="s">
        <v>3470</v>
      </c>
      <c r="F932" s="42" t="s">
        <v>3471</v>
      </c>
      <c r="G932" s="32" t="s">
        <v>48</v>
      </c>
      <c r="H932" s="33" t="s">
        <v>3472</v>
      </c>
      <c r="I932" s="37" t="s">
        <v>50</v>
      </c>
      <c r="J932" s="35" t="s">
        <v>3473</v>
      </c>
      <c r="K932" s="30" t="s">
        <v>3474</v>
      </c>
    </row>
    <row r="933" customFormat="false" ht="14.25" hidden="false" customHeight="true" outlineLevel="0" collapsed="false">
      <c r="A933" s="27"/>
      <c r="B933" s="27"/>
      <c r="C933" s="27"/>
      <c r="D933" s="27"/>
      <c r="E933" s="30" t="s">
        <v>3475</v>
      </c>
      <c r="F933" s="42"/>
      <c r="G933" s="32"/>
      <c r="H933" s="33"/>
      <c r="I933" s="37"/>
      <c r="J933" s="35"/>
      <c r="K933" s="30" t="s">
        <v>2941</v>
      </c>
    </row>
    <row r="934" customFormat="false" ht="14.25" hidden="false" customHeight="true" outlineLevel="0" collapsed="false">
      <c r="A934" s="27"/>
      <c r="B934" s="27"/>
      <c r="C934" s="27"/>
      <c r="D934" s="29" t="s">
        <v>3476</v>
      </c>
      <c r="E934" s="30" t="s">
        <v>3477</v>
      </c>
      <c r="F934" s="42" t="s">
        <v>3478</v>
      </c>
      <c r="G934" s="32" t="s">
        <v>48</v>
      </c>
      <c r="H934" s="33" t="s">
        <v>3479</v>
      </c>
      <c r="I934" s="39" t="s">
        <v>67</v>
      </c>
      <c r="J934" s="35" t="s">
        <v>3480</v>
      </c>
      <c r="K934" s="30" t="s">
        <v>1527</v>
      </c>
    </row>
    <row r="935" customFormat="false" ht="14.25" hidden="false" customHeight="true" outlineLevel="0" collapsed="false">
      <c r="A935" s="27"/>
      <c r="B935" s="27"/>
      <c r="C935" s="27"/>
      <c r="D935" s="27"/>
      <c r="E935" s="30" t="s">
        <v>3481</v>
      </c>
      <c r="F935" s="42"/>
      <c r="G935" s="32"/>
      <c r="H935" s="33"/>
      <c r="I935" s="39"/>
      <c r="J935" s="35"/>
      <c r="K935" s="30" t="s">
        <v>1529</v>
      </c>
    </row>
    <row r="936" customFormat="false" ht="14.25" hidden="false" customHeight="true" outlineLevel="0" collapsed="false">
      <c r="A936" s="27"/>
      <c r="B936" s="27"/>
      <c r="C936" s="27"/>
      <c r="D936" s="29" t="s">
        <v>3482</v>
      </c>
      <c r="E936" s="30" t="s">
        <v>3483</v>
      </c>
      <c r="F936" s="42" t="s">
        <v>3484</v>
      </c>
      <c r="G936" s="32" t="s">
        <v>38</v>
      </c>
      <c r="H936" s="33" t="s">
        <v>3485</v>
      </c>
      <c r="I936" s="34" t="s">
        <v>40</v>
      </c>
      <c r="J936" s="35" t="s">
        <v>3486</v>
      </c>
      <c r="K936" s="30" t="s">
        <v>3293</v>
      </c>
    </row>
    <row r="937" customFormat="false" ht="14.25" hidden="false" customHeight="true" outlineLevel="0" collapsed="false">
      <c r="A937" s="27"/>
      <c r="B937" s="27"/>
      <c r="C937" s="27"/>
      <c r="D937" s="27"/>
      <c r="E937" s="30" t="s">
        <v>3487</v>
      </c>
      <c r="F937" s="42"/>
      <c r="G937" s="32"/>
      <c r="H937" s="33"/>
      <c r="I937" s="34"/>
      <c r="J937" s="35"/>
      <c r="K937" s="30" t="s">
        <v>3295</v>
      </c>
    </row>
    <row r="938" customFormat="false" ht="14.25" hidden="false" customHeight="true" outlineLevel="0" collapsed="false">
      <c r="A938" s="27"/>
      <c r="B938" s="27"/>
      <c r="C938" s="27"/>
      <c r="D938" s="29" t="s">
        <v>3488</v>
      </c>
      <c r="E938" s="30" t="s">
        <v>3489</v>
      </c>
      <c r="F938" s="42" t="s">
        <v>3490</v>
      </c>
      <c r="G938" s="32" t="s">
        <v>38</v>
      </c>
      <c r="H938" s="33" t="s">
        <v>1478</v>
      </c>
      <c r="I938" s="39" t="s">
        <v>67</v>
      </c>
      <c r="J938" s="35" t="s">
        <v>3491</v>
      </c>
      <c r="K938" s="30" t="s">
        <v>3492</v>
      </c>
    </row>
    <row r="939" customFormat="false" ht="14.25" hidden="false" customHeight="true" outlineLevel="0" collapsed="false">
      <c r="A939" s="27"/>
      <c r="B939" s="27"/>
      <c r="C939" s="27"/>
      <c r="D939" s="27"/>
      <c r="E939" s="30" t="s">
        <v>3493</v>
      </c>
      <c r="F939" s="42"/>
      <c r="G939" s="32"/>
      <c r="H939" s="33"/>
      <c r="I939" s="39"/>
      <c r="J939" s="35"/>
      <c r="K939" s="30" t="s">
        <v>3494</v>
      </c>
    </row>
    <row r="940" customFormat="false" ht="14.25" hidden="false" customHeight="true" outlineLevel="0" collapsed="false">
      <c r="A940" s="27"/>
      <c r="B940" s="27"/>
      <c r="C940" s="40" t="s">
        <v>3495</v>
      </c>
      <c r="D940" s="29" t="s">
        <v>3496</v>
      </c>
      <c r="E940" s="30" t="s">
        <v>3497</v>
      </c>
      <c r="F940" s="42" t="s">
        <v>3498</v>
      </c>
      <c r="G940" s="32" t="s">
        <v>38</v>
      </c>
      <c r="H940" s="33" t="s">
        <v>3499</v>
      </c>
      <c r="I940" s="37" t="s">
        <v>50</v>
      </c>
      <c r="J940" s="35" t="s">
        <v>3500</v>
      </c>
      <c r="K940" s="30" t="s">
        <v>3315</v>
      </c>
    </row>
    <row r="941" customFormat="false" ht="14.25" hidden="false" customHeight="true" outlineLevel="0" collapsed="false">
      <c r="A941" s="27"/>
      <c r="B941" s="27"/>
      <c r="C941" s="27"/>
      <c r="D941" s="27"/>
      <c r="E941" s="30" t="s">
        <v>3501</v>
      </c>
      <c r="F941" s="42"/>
      <c r="G941" s="32"/>
      <c r="H941" s="33"/>
      <c r="I941" s="37"/>
      <c r="J941" s="35"/>
      <c r="K941" s="30" t="s">
        <v>3317</v>
      </c>
    </row>
    <row r="942" customFormat="false" ht="14.25" hidden="false" customHeight="true" outlineLevel="0" collapsed="false">
      <c r="A942" s="27"/>
      <c r="B942" s="27"/>
      <c r="C942" s="27"/>
      <c r="D942" s="29" t="s">
        <v>3502</v>
      </c>
      <c r="E942" s="30" t="s">
        <v>3503</v>
      </c>
      <c r="F942" s="42" t="s">
        <v>3504</v>
      </c>
      <c r="G942" s="32" t="s">
        <v>48</v>
      </c>
      <c r="H942" s="33" t="s">
        <v>3505</v>
      </c>
      <c r="I942" s="37" t="s">
        <v>50</v>
      </c>
      <c r="J942" s="35" t="s">
        <v>3014</v>
      </c>
      <c r="K942" s="30" t="s">
        <v>2635</v>
      </c>
    </row>
    <row r="943" customFormat="false" ht="14.25" hidden="false" customHeight="true" outlineLevel="0" collapsed="false">
      <c r="A943" s="27"/>
      <c r="B943" s="27"/>
      <c r="C943" s="27"/>
      <c r="D943" s="27"/>
      <c r="E943" s="30" t="s">
        <v>3506</v>
      </c>
      <c r="F943" s="42"/>
      <c r="G943" s="32"/>
      <c r="H943" s="33"/>
      <c r="I943" s="37"/>
      <c r="J943" s="35"/>
      <c r="K943" s="30" t="s">
        <v>3010</v>
      </c>
    </row>
    <row r="944" customFormat="false" ht="14.25" hidden="false" customHeight="true" outlineLevel="0" collapsed="false">
      <c r="A944" s="27"/>
      <c r="B944" s="27"/>
      <c r="C944" s="27"/>
      <c r="D944" s="29" t="s">
        <v>3507</v>
      </c>
      <c r="E944" s="30" t="s">
        <v>3508</v>
      </c>
      <c r="F944" s="42" t="s">
        <v>3509</v>
      </c>
      <c r="G944" s="32" t="s">
        <v>58</v>
      </c>
      <c r="H944" s="33" t="s">
        <v>3510</v>
      </c>
      <c r="I944" s="39" t="s">
        <v>67</v>
      </c>
      <c r="J944" s="35" t="s">
        <v>3021</v>
      </c>
      <c r="K944" s="30" t="s">
        <v>3015</v>
      </c>
    </row>
    <row r="945" customFormat="false" ht="14.25" hidden="false" customHeight="true" outlineLevel="0" collapsed="false">
      <c r="A945" s="27"/>
      <c r="B945" s="27"/>
      <c r="C945" s="27"/>
      <c r="D945" s="27"/>
      <c r="E945" s="30" t="s">
        <v>3511</v>
      </c>
      <c r="F945" s="42"/>
      <c r="G945" s="32"/>
      <c r="H945" s="33"/>
      <c r="I945" s="39"/>
      <c r="J945" s="35"/>
      <c r="K945" s="30" t="s">
        <v>3017</v>
      </c>
    </row>
    <row r="946" customFormat="false" ht="14.25" hidden="false" customHeight="true" outlineLevel="0" collapsed="false">
      <c r="A946" s="27"/>
      <c r="B946" s="27"/>
      <c r="C946" s="27"/>
      <c r="D946" s="29" t="s">
        <v>3512</v>
      </c>
      <c r="E946" s="30" t="s">
        <v>3513</v>
      </c>
      <c r="F946" s="42" t="s">
        <v>3514</v>
      </c>
      <c r="G946" s="32" t="s">
        <v>48</v>
      </c>
      <c r="H946" s="33" t="s">
        <v>3515</v>
      </c>
      <c r="I946" s="34" t="s">
        <v>40</v>
      </c>
      <c r="J946" s="35" t="s">
        <v>3028</v>
      </c>
      <c r="K946" s="30" t="s">
        <v>3022</v>
      </c>
    </row>
    <row r="947" customFormat="false" ht="14.25" hidden="false" customHeight="true" outlineLevel="0" collapsed="false">
      <c r="A947" s="27"/>
      <c r="B947" s="27"/>
      <c r="C947" s="27"/>
      <c r="D947" s="27"/>
      <c r="E947" s="30" t="s">
        <v>3516</v>
      </c>
      <c r="F947" s="42"/>
      <c r="G947" s="32"/>
      <c r="H947" s="33"/>
      <c r="I947" s="34"/>
      <c r="J947" s="35"/>
      <c r="K947" s="30" t="s">
        <v>3024</v>
      </c>
    </row>
    <row r="948" customFormat="false" ht="14.25" hidden="false" customHeight="true" outlineLevel="0" collapsed="false">
      <c r="A948" s="27"/>
      <c r="B948" s="27"/>
      <c r="C948" s="27"/>
      <c r="D948" s="29" t="s">
        <v>3517</v>
      </c>
      <c r="E948" s="30" t="s">
        <v>3518</v>
      </c>
      <c r="F948" s="42" t="s">
        <v>3519</v>
      </c>
      <c r="G948" s="32" t="s">
        <v>48</v>
      </c>
      <c r="H948" s="33" t="s">
        <v>3520</v>
      </c>
      <c r="I948" s="39" t="s">
        <v>67</v>
      </c>
      <c r="J948" s="35" t="s">
        <v>3035</v>
      </c>
      <c r="K948" s="30" t="s">
        <v>3521</v>
      </c>
    </row>
    <row r="949" customFormat="false" ht="14.25" hidden="false" customHeight="true" outlineLevel="0" collapsed="false">
      <c r="A949" s="27"/>
      <c r="B949" s="27"/>
      <c r="C949" s="27"/>
      <c r="D949" s="27"/>
      <c r="E949" s="30" t="s">
        <v>3522</v>
      </c>
      <c r="F949" s="42"/>
      <c r="G949" s="32"/>
      <c r="H949" s="33"/>
      <c r="I949" s="39"/>
      <c r="J949" s="35"/>
      <c r="K949" s="30" t="s">
        <v>3523</v>
      </c>
    </row>
    <row r="950" customFormat="false" ht="14.25" hidden="false" customHeight="true" outlineLevel="0" collapsed="false">
      <c r="A950" s="27"/>
      <c r="B950" s="27"/>
      <c r="C950" s="29" t="s">
        <v>3524</v>
      </c>
      <c r="D950" s="29" t="s">
        <v>3525</v>
      </c>
      <c r="E950" s="30" t="s">
        <v>3526</v>
      </c>
      <c r="F950" s="42" t="s">
        <v>3527</v>
      </c>
      <c r="G950" s="32" t="s">
        <v>38</v>
      </c>
      <c r="H950" s="33" t="s">
        <v>3528</v>
      </c>
      <c r="I950" s="37" t="s">
        <v>50</v>
      </c>
      <c r="J950" s="35" t="s">
        <v>3529</v>
      </c>
      <c r="K950" s="30" t="s">
        <v>3087</v>
      </c>
    </row>
    <row r="951" customFormat="false" ht="14.25" hidden="false" customHeight="true" outlineLevel="0" collapsed="false">
      <c r="A951" s="27"/>
      <c r="B951" s="27"/>
      <c r="C951" s="27"/>
      <c r="D951" s="27"/>
      <c r="E951" s="30" t="s">
        <v>3530</v>
      </c>
      <c r="F951" s="42"/>
      <c r="G951" s="32"/>
      <c r="H951" s="33"/>
      <c r="I951" s="37"/>
      <c r="J951" s="35"/>
      <c r="K951" s="30" t="s">
        <v>3531</v>
      </c>
    </row>
    <row r="952" customFormat="false" ht="14.25" hidden="false" customHeight="true" outlineLevel="0" collapsed="false">
      <c r="A952" s="27"/>
      <c r="B952" s="27"/>
      <c r="C952" s="27"/>
      <c r="D952" s="29" t="s">
        <v>3532</v>
      </c>
      <c r="E952" s="30" t="s">
        <v>3533</v>
      </c>
      <c r="F952" s="42" t="s">
        <v>3534</v>
      </c>
      <c r="G952" s="32" t="s">
        <v>38</v>
      </c>
      <c r="H952" s="33" t="s">
        <v>3535</v>
      </c>
      <c r="I952" s="37" t="s">
        <v>50</v>
      </c>
      <c r="J952" s="35" t="s">
        <v>3536</v>
      </c>
      <c r="K952" s="30" t="s">
        <v>1527</v>
      </c>
    </row>
    <row r="953" customFormat="false" ht="14.25" hidden="false" customHeight="true" outlineLevel="0" collapsed="false">
      <c r="A953" s="27"/>
      <c r="B953" s="27"/>
      <c r="C953" s="27"/>
      <c r="D953" s="27"/>
      <c r="E953" s="30" t="s">
        <v>3537</v>
      </c>
      <c r="F953" s="42"/>
      <c r="G953" s="32"/>
      <c r="H953" s="33"/>
      <c r="I953" s="37"/>
      <c r="J953" s="35"/>
      <c r="K953" s="30" t="s">
        <v>1529</v>
      </c>
    </row>
    <row r="954" customFormat="false" ht="14.25" hidden="false" customHeight="true" outlineLevel="0" collapsed="false">
      <c r="A954" s="27"/>
      <c r="B954" s="27"/>
      <c r="C954" s="27"/>
      <c r="D954" s="29" t="s">
        <v>3538</v>
      </c>
      <c r="E954" s="30" t="s">
        <v>3539</v>
      </c>
      <c r="F954" s="42" t="s">
        <v>3540</v>
      </c>
      <c r="G954" s="32" t="s">
        <v>38</v>
      </c>
      <c r="H954" s="33" t="s">
        <v>3541</v>
      </c>
      <c r="I954" s="39" t="s">
        <v>67</v>
      </c>
      <c r="J954" s="35" t="s">
        <v>3480</v>
      </c>
      <c r="K954" s="30" t="s">
        <v>3542</v>
      </c>
    </row>
    <row r="955" customFormat="false" ht="14.25" hidden="false" customHeight="true" outlineLevel="0" collapsed="false">
      <c r="A955" s="27"/>
      <c r="B955" s="27"/>
      <c r="C955" s="27"/>
      <c r="D955" s="27"/>
      <c r="E955" s="30" t="s">
        <v>3543</v>
      </c>
      <c r="F955" s="42"/>
      <c r="G955" s="32"/>
      <c r="H955" s="33"/>
      <c r="I955" s="39"/>
      <c r="J955" s="35"/>
      <c r="K955" s="30" t="s">
        <v>3256</v>
      </c>
    </row>
    <row r="956" customFormat="false" ht="14.25" hidden="false" customHeight="true" outlineLevel="0" collapsed="false">
      <c r="A956" s="27"/>
      <c r="B956" s="27"/>
      <c r="C956" s="27"/>
      <c r="D956" s="29" t="s">
        <v>3544</v>
      </c>
      <c r="E956" s="30" t="s">
        <v>3545</v>
      </c>
      <c r="F956" s="42" t="s">
        <v>3546</v>
      </c>
      <c r="G956" s="32" t="s">
        <v>48</v>
      </c>
      <c r="H956" s="33" t="s">
        <v>3547</v>
      </c>
      <c r="I956" s="34" t="s">
        <v>40</v>
      </c>
      <c r="J956" s="35" t="s">
        <v>3548</v>
      </c>
      <c r="K956" s="30" t="s">
        <v>3549</v>
      </c>
    </row>
    <row r="957" customFormat="false" ht="14.25" hidden="false" customHeight="true" outlineLevel="0" collapsed="false">
      <c r="A957" s="27"/>
      <c r="B957" s="27"/>
      <c r="C957" s="27"/>
      <c r="D957" s="27"/>
      <c r="E957" s="30" t="s">
        <v>3550</v>
      </c>
      <c r="F957" s="42"/>
      <c r="G957" s="32"/>
      <c r="H957" s="33"/>
      <c r="I957" s="34"/>
      <c r="J957" s="35"/>
      <c r="K957" s="30" t="s">
        <v>3551</v>
      </c>
    </row>
    <row r="958" customFormat="false" ht="14.25" hidden="false" customHeight="true" outlineLevel="0" collapsed="false">
      <c r="A958" s="27"/>
      <c r="B958" s="27"/>
      <c r="C958" s="27"/>
      <c r="D958" s="29" t="s">
        <v>3552</v>
      </c>
      <c r="E958" s="30" t="s">
        <v>3553</v>
      </c>
      <c r="F958" s="42" t="s">
        <v>3554</v>
      </c>
      <c r="G958" s="32" t="s">
        <v>58</v>
      </c>
      <c r="H958" s="33" t="s">
        <v>3555</v>
      </c>
      <c r="I958" s="39" t="s">
        <v>67</v>
      </c>
      <c r="J958" s="35" t="s">
        <v>3556</v>
      </c>
      <c r="K958" s="30" t="s">
        <v>3557</v>
      </c>
    </row>
    <row r="959" customFormat="false" ht="14.25" hidden="false" customHeight="true" outlineLevel="0" collapsed="false">
      <c r="A959" s="27"/>
      <c r="B959" s="27"/>
      <c r="C959" s="27"/>
      <c r="D959" s="27"/>
      <c r="E959" s="30" t="s">
        <v>3558</v>
      </c>
      <c r="F959" s="42"/>
      <c r="G959" s="32"/>
      <c r="H959" s="33"/>
      <c r="I959" s="39"/>
      <c r="J959" s="35"/>
      <c r="K959" s="30" t="s">
        <v>3559</v>
      </c>
    </row>
    <row r="960" customFormat="false" ht="14.25" hidden="false" customHeight="true" outlineLevel="0" collapsed="false">
      <c r="A960" s="27"/>
      <c r="B960" s="27"/>
      <c r="C960" s="29" t="s">
        <v>3560</v>
      </c>
      <c r="D960" s="29" t="s">
        <v>3561</v>
      </c>
      <c r="E960" s="30" t="s">
        <v>3562</v>
      </c>
      <c r="F960" s="42" t="s">
        <v>3563</v>
      </c>
      <c r="G960" s="32" t="s">
        <v>48</v>
      </c>
      <c r="H960" s="33" t="s">
        <v>3564</v>
      </c>
      <c r="I960" s="37" t="s">
        <v>50</v>
      </c>
      <c r="J960" s="35" t="s">
        <v>3565</v>
      </c>
      <c r="K960" s="30" t="s">
        <v>3566</v>
      </c>
    </row>
    <row r="961" customFormat="false" ht="14.25" hidden="false" customHeight="true" outlineLevel="0" collapsed="false">
      <c r="A961" s="27"/>
      <c r="B961" s="27"/>
      <c r="C961" s="27"/>
      <c r="D961" s="27"/>
      <c r="E961" s="30" t="s">
        <v>3567</v>
      </c>
      <c r="F961" s="42"/>
      <c r="G961" s="32"/>
      <c r="H961" s="33"/>
      <c r="I961" s="37"/>
      <c r="J961" s="35"/>
      <c r="K961" s="30" t="s">
        <v>3568</v>
      </c>
    </row>
    <row r="962" customFormat="false" ht="14.25" hidden="false" customHeight="true" outlineLevel="0" collapsed="false">
      <c r="A962" s="27"/>
      <c r="B962" s="27"/>
      <c r="C962" s="27"/>
      <c r="D962" s="29" t="s">
        <v>3569</v>
      </c>
      <c r="E962" s="30" t="s">
        <v>3219</v>
      </c>
      <c r="F962" s="42" t="s">
        <v>3570</v>
      </c>
      <c r="G962" s="32" t="s">
        <v>48</v>
      </c>
      <c r="H962" s="33" t="s">
        <v>3571</v>
      </c>
      <c r="I962" s="37" t="s">
        <v>50</v>
      </c>
      <c r="J962" s="35" t="s">
        <v>3572</v>
      </c>
      <c r="K962" s="30" t="s">
        <v>2659</v>
      </c>
    </row>
    <row r="963" customFormat="false" ht="14.25" hidden="false" customHeight="true" outlineLevel="0" collapsed="false">
      <c r="A963" s="27"/>
      <c r="B963" s="27"/>
      <c r="C963" s="27"/>
      <c r="D963" s="27"/>
      <c r="E963" s="30" t="s">
        <v>3158</v>
      </c>
      <c r="F963" s="42"/>
      <c r="G963" s="32"/>
      <c r="H963" s="33"/>
      <c r="I963" s="37"/>
      <c r="J963" s="35"/>
      <c r="K963" s="30" t="s">
        <v>3573</v>
      </c>
    </row>
    <row r="964" customFormat="false" ht="14.25" hidden="false" customHeight="true" outlineLevel="0" collapsed="false">
      <c r="A964" s="27"/>
      <c r="B964" s="27"/>
      <c r="C964" s="27"/>
      <c r="D964" s="29" t="s">
        <v>3574</v>
      </c>
      <c r="E964" s="30" t="s">
        <v>3575</v>
      </c>
      <c r="F964" s="42" t="s">
        <v>3576</v>
      </c>
      <c r="G964" s="32" t="s">
        <v>38</v>
      </c>
      <c r="H964" s="33" t="s">
        <v>3577</v>
      </c>
      <c r="I964" s="39" t="s">
        <v>67</v>
      </c>
      <c r="J964" s="35" t="s">
        <v>3578</v>
      </c>
      <c r="K964" s="30" t="s">
        <v>3450</v>
      </c>
    </row>
    <row r="965" customFormat="false" ht="14.25" hidden="false" customHeight="true" outlineLevel="0" collapsed="false">
      <c r="A965" s="27"/>
      <c r="B965" s="27"/>
      <c r="C965" s="27"/>
      <c r="D965" s="27"/>
      <c r="E965" s="30" t="s">
        <v>3579</v>
      </c>
      <c r="F965" s="42"/>
      <c r="G965" s="32"/>
      <c r="H965" s="33"/>
      <c r="I965" s="39"/>
      <c r="J965" s="35"/>
      <c r="K965" s="30" t="s">
        <v>3452</v>
      </c>
    </row>
    <row r="966" customFormat="false" ht="14.25" hidden="false" customHeight="true" outlineLevel="0" collapsed="false">
      <c r="A966" s="27"/>
      <c r="B966" s="27"/>
      <c r="C966" s="27"/>
      <c r="D966" s="29" t="s">
        <v>3580</v>
      </c>
      <c r="E966" s="30" t="s">
        <v>3581</v>
      </c>
      <c r="F966" s="42" t="s">
        <v>3582</v>
      </c>
      <c r="G966" s="32" t="s">
        <v>38</v>
      </c>
      <c r="H966" s="33" t="s">
        <v>3583</v>
      </c>
      <c r="I966" s="34" t="s">
        <v>40</v>
      </c>
      <c r="J966" s="35" t="s">
        <v>3584</v>
      </c>
      <c r="K966" s="30" t="s">
        <v>3585</v>
      </c>
    </row>
    <row r="967" customFormat="false" ht="14.25" hidden="false" customHeight="true" outlineLevel="0" collapsed="false">
      <c r="A967" s="27"/>
      <c r="B967" s="27"/>
      <c r="C967" s="27"/>
      <c r="D967" s="27"/>
      <c r="E967" s="30" t="s">
        <v>3586</v>
      </c>
      <c r="F967" s="42"/>
      <c r="G967" s="32"/>
      <c r="H967" s="33"/>
      <c r="I967" s="34"/>
      <c r="J967" s="35"/>
      <c r="K967" s="30" t="s">
        <v>3587</v>
      </c>
    </row>
    <row r="968" customFormat="false" ht="14.25" hidden="false" customHeight="true" outlineLevel="0" collapsed="false">
      <c r="A968" s="27"/>
      <c r="B968" s="27"/>
      <c r="C968" s="27"/>
      <c r="D968" s="29" t="s">
        <v>3588</v>
      </c>
      <c r="E968" s="30" t="s">
        <v>3589</v>
      </c>
      <c r="F968" s="42" t="s">
        <v>3590</v>
      </c>
      <c r="G968" s="32" t="s">
        <v>38</v>
      </c>
      <c r="H968" s="33" t="s">
        <v>3591</v>
      </c>
      <c r="I968" s="39" t="s">
        <v>67</v>
      </c>
      <c r="J968" s="35" t="s">
        <v>3592</v>
      </c>
      <c r="K968" s="30" t="s">
        <v>3593</v>
      </c>
    </row>
    <row r="969" customFormat="false" ht="14.25" hidden="false" customHeight="true" outlineLevel="0" collapsed="false">
      <c r="A969" s="27"/>
      <c r="B969" s="27"/>
      <c r="C969" s="27"/>
      <c r="D969" s="27"/>
      <c r="E969" s="30" t="s">
        <v>3594</v>
      </c>
      <c r="F969" s="42"/>
      <c r="G969" s="32"/>
      <c r="H969" s="33"/>
      <c r="I969" s="39"/>
      <c r="J969" s="35"/>
      <c r="K969" s="30" t="s">
        <v>3595</v>
      </c>
    </row>
    <row r="970" customFormat="false" ht="14.25" hidden="false" customHeight="true" outlineLevel="0" collapsed="false">
      <c r="A970" s="27"/>
      <c r="B970" s="27"/>
      <c r="C970" s="40" t="s">
        <v>3596</v>
      </c>
      <c r="D970" s="29" t="s">
        <v>3597</v>
      </c>
      <c r="E970" s="30" t="s">
        <v>3598</v>
      </c>
      <c r="F970" s="42" t="s">
        <v>3599</v>
      </c>
      <c r="G970" s="32" t="s">
        <v>48</v>
      </c>
      <c r="H970" s="33" t="s">
        <v>3600</v>
      </c>
      <c r="I970" s="37" t="s">
        <v>50</v>
      </c>
      <c r="J970" s="35" t="s">
        <v>3601</v>
      </c>
      <c r="K970" s="30" t="s">
        <v>3602</v>
      </c>
    </row>
    <row r="971" customFormat="false" ht="14.25" hidden="false" customHeight="true" outlineLevel="0" collapsed="false">
      <c r="A971" s="27"/>
      <c r="B971" s="27"/>
      <c r="C971" s="27"/>
      <c r="D971" s="27"/>
      <c r="E971" s="30" t="s">
        <v>3603</v>
      </c>
      <c r="F971" s="42"/>
      <c r="G971" s="32"/>
      <c r="H971" s="33"/>
      <c r="I971" s="37"/>
      <c r="J971" s="35"/>
      <c r="K971" s="30" t="s">
        <v>3604</v>
      </c>
    </row>
    <row r="972" customFormat="false" ht="14.25" hidden="false" customHeight="true" outlineLevel="0" collapsed="false">
      <c r="A972" s="27"/>
      <c r="B972" s="27"/>
      <c r="C972" s="27"/>
      <c r="D972" s="29" t="s">
        <v>3605</v>
      </c>
      <c r="E972" s="30" t="s">
        <v>3606</v>
      </c>
      <c r="F972" s="42" t="s">
        <v>3607</v>
      </c>
      <c r="G972" s="32" t="s">
        <v>58</v>
      </c>
      <c r="H972" s="33" t="s">
        <v>3608</v>
      </c>
      <c r="I972" s="37" t="s">
        <v>50</v>
      </c>
      <c r="J972" s="35" t="s">
        <v>3609</v>
      </c>
      <c r="K972" s="30" t="s">
        <v>3370</v>
      </c>
    </row>
    <row r="973" customFormat="false" ht="14.25" hidden="false" customHeight="true" outlineLevel="0" collapsed="false">
      <c r="A973" s="27"/>
      <c r="B973" s="27"/>
      <c r="C973" s="27"/>
      <c r="D973" s="27"/>
      <c r="E973" s="30" t="s">
        <v>3610</v>
      </c>
      <c r="F973" s="42"/>
      <c r="G973" s="32"/>
      <c r="H973" s="33"/>
      <c r="I973" s="37"/>
      <c r="J973" s="35"/>
      <c r="K973" s="30" t="s">
        <v>3611</v>
      </c>
    </row>
    <row r="974" customFormat="false" ht="14.25" hidden="false" customHeight="true" outlineLevel="0" collapsed="false">
      <c r="A974" s="27"/>
      <c r="B974" s="27"/>
      <c r="C974" s="27"/>
      <c r="D974" s="29" t="s">
        <v>3612</v>
      </c>
      <c r="E974" s="30" t="s">
        <v>3613</v>
      </c>
      <c r="F974" s="42" t="s">
        <v>3614</v>
      </c>
      <c r="G974" s="32" t="s">
        <v>48</v>
      </c>
      <c r="H974" s="33" t="s">
        <v>3615</v>
      </c>
      <c r="I974" s="39" t="s">
        <v>67</v>
      </c>
      <c r="J974" s="35" t="s">
        <v>3616</v>
      </c>
      <c r="K974" s="30" t="s">
        <v>3617</v>
      </c>
    </row>
    <row r="975" customFormat="false" ht="14.25" hidden="false" customHeight="true" outlineLevel="0" collapsed="false">
      <c r="A975" s="27"/>
      <c r="B975" s="27"/>
      <c r="C975" s="27"/>
      <c r="D975" s="27"/>
      <c r="E975" s="30" t="s">
        <v>3618</v>
      </c>
      <c r="F975" s="42"/>
      <c r="G975" s="32"/>
      <c r="H975" s="33"/>
      <c r="I975" s="39"/>
      <c r="J975" s="35"/>
      <c r="K975" s="30" t="s">
        <v>3619</v>
      </c>
    </row>
    <row r="976" customFormat="false" ht="14.25" hidden="false" customHeight="true" outlineLevel="0" collapsed="false">
      <c r="A976" s="27"/>
      <c r="B976" s="27"/>
      <c r="C976" s="27"/>
      <c r="D976" s="29" t="s">
        <v>3620</v>
      </c>
      <c r="E976" s="30" t="s">
        <v>3621</v>
      </c>
      <c r="F976" s="42" t="s">
        <v>3622</v>
      </c>
      <c r="G976" s="32" t="s">
        <v>48</v>
      </c>
      <c r="H976" s="33" t="s">
        <v>3623</v>
      </c>
      <c r="I976" s="34" t="s">
        <v>40</v>
      </c>
      <c r="J976" s="35" t="s">
        <v>3624</v>
      </c>
      <c r="K976" s="30" t="s">
        <v>3625</v>
      </c>
    </row>
    <row r="977" customFormat="false" ht="14.25" hidden="false" customHeight="true" outlineLevel="0" collapsed="false">
      <c r="A977" s="27"/>
      <c r="B977" s="27"/>
      <c r="C977" s="27"/>
      <c r="D977" s="27"/>
      <c r="E977" s="30" t="s">
        <v>3626</v>
      </c>
      <c r="F977" s="42"/>
      <c r="G977" s="32"/>
      <c r="H977" s="33"/>
      <c r="I977" s="34"/>
      <c r="J977" s="35"/>
      <c r="K977" s="30" t="s">
        <v>3627</v>
      </c>
    </row>
    <row r="978" customFormat="false" ht="14.25" hidden="false" customHeight="true" outlineLevel="0" collapsed="false">
      <c r="A978" s="27"/>
      <c r="B978" s="27"/>
      <c r="C978" s="27"/>
      <c r="D978" s="29" t="s">
        <v>3628</v>
      </c>
      <c r="E978" s="30" t="s">
        <v>3629</v>
      </c>
      <c r="F978" s="42" t="s">
        <v>3630</v>
      </c>
      <c r="G978" s="32" t="s">
        <v>38</v>
      </c>
      <c r="H978" s="33" t="s">
        <v>3631</v>
      </c>
      <c r="I978" s="39" t="s">
        <v>67</v>
      </c>
      <c r="J978" s="35" t="s">
        <v>3632</v>
      </c>
      <c r="K978" s="30" t="s">
        <v>3633</v>
      </c>
    </row>
    <row r="979" customFormat="false" ht="14.25" hidden="false" customHeight="true" outlineLevel="0" collapsed="false">
      <c r="A979" s="27"/>
      <c r="B979" s="27"/>
      <c r="C979" s="27"/>
      <c r="D979" s="27"/>
      <c r="E979" s="30" t="s">
        <v>3634</v>
      </c>
      <c r="F979" s="42"/>
      <c r="G979" s="32"/>
      <c r="H979" s="33"/>
      <c r="I979" s="39"/>
      <c r="J979" s="35"/>
      <c r="K979" s="30" t="s">
        <v>3635</v>
      </c>
    </row>
    <row r="980" customFormat="false" ht="14.25" hidden="false" customHeight="true" outlineLevel="0" collapsed="false">
      <c r="A980" s="27"/>
      <c r="B980" s="27"/>
      <c r="C980" s="40" t="s">
        <v>3636</v>
      </c>
      <c r="D980" s="29" t="s">
        <v>3637</v>
      </c>
      <c r="E980" s="30" t="s">
        <v>3638</v>
      </c>
      <c r="F980" s="42" t="s">
        <v>3639</v>
      </c>
      <c r="G980" s="32" t="s">
        <v>38</v>
      </c>
      <c r="H980" s="33" t="s">
        <v>3640</v>
      </c>
      <c r="I980" s="37" t="s">
        <v>50</v>
      </c>
      <c r="J980" s="35" t="s">
        <v>3641</v>
      </c>
      <c r="K980" s="30" t="s">
        <v>3642</v>
      </c>
    </row>
    <row r="981" customFormat="false" ht="14.25" hidden="false" customHeight="true" outlineLevel="0" collapsed="false">
      <c r="A981" s="27"/>
      <c r="B981" s="27"/>
      <c r="C981" s="27"/>
      <c r="D981" s="27"/>
      <c r="E981" s="30" t="s">
        <v>3643</v>
      </c>
      <c r="F981" s="42"/>
      <c r="G981" s="32"/>
      <c r="H981" s="33"/>
      <c r="I981" s="37"/>
      <c r="J981" s="35"/>
      <c r="K981" s="30" t="s">
        <v>3644</v>
      </c>
    </row>
    <row r="982" customFormat="false" ht="14.25" hidden="false" customHeight="true" outlineLevel="0" collapsed="false">
      <c r="A982" s="27"/>
      <c r="B982" s="27"/>
      <c r="C982" s="27"/>
      <c r="D982" s="29" t="s">
        <v>3645</v>
      </c>
      <c r="E982" s="30" t="s">
        <v>3646</v>
      </c>
      <c r="F982" s="42" t="s">
        <v>3647</v>
      </c>
      <c r="G982" s="32" t="s">
        <v>38</v>
      </c>
      <c r="H982" s="33" t="s">
        <v>3648</v>
      </c>
      <c r="I982" s="37" t="s">
        <v>50</v>
      </c>
      <c r="J982" s="35" t="s">
        <v>3649</v>
      </c>
      <c r="K982" s="30" t="s">
        <v>3650</v>
      </c>
    </row>
    <row r="983" customFormat="false" ht="14.25" hidden="false" customHeight="true" outlineLevel="0" collapsed="false">
      <c r="A983" s="27"/>
      <c r="B983" s="27"/>
      <c r="C983" s="27"/>
      <c r="D983" s="27"/>
      <c r="E983" s="30" t="s">
        <v>3651</v>
      </c>
      <c r="F983" s="42"/>
      <c r="G983" s="32"/>
      <c r="H983" s="33"/>
      <c r="I983" s="37"/>
      <c r="J983" s="35"/>
      <c r="K983" s="30" t="s">
        <v>3652</v>
      </c>
    </row>
    <row r="984" customFormat="false" ht="14.25" hidden="false" customHeight="true" outlineLevel="0" collapsed="false">
      <c r="A984" s="27"/>
      <c r="B984" s="27"/>
      <c r="C984" s="27"/>
      <c r="D984" s="29" t="s">
        <v>3653</v>
      </c>
      <c r="E984" s="30" t="s">
        <v>3654</v>
      </c>
      <c r="F984" s="42" t="s">
        <v>3655</v>
      </c>
      <c r="G984" s="32" t="s">
        <v>48</v>
      </c>
      <c r="H984" s="33" t="s">
        <v>3656</v>
      </c>
      <c r="I984" s="39" t="s">
        <v>67</v>
      </c>
      <c r="J984" s="35" t="s">
        <v>3657</v>
      </c>
      <c r="K984" s="30" t="s">
        <v>3633</v>
      </c>
    </row>
    <row r="985" customFormat="false" ht="14.25" hidden="false" customHeight="true" outlineLevel="0" collapsed="false">
      <c r="A985" s="27"/>
      <c r="B985" s="27"/>
      <c r="C985" s="27"/>
      <c r="D985" s="27"/>
      <c r="E985" s="30" t="s">
        <v>3658</v>
      </c>
      <c r="F985" s="42"/>
      <c r="G985" s="32"/>
      <c r="H985" s="33"/>
      <c r="I985" s="39"/>
      <c r="J985" s="35"/>
      <c r="K985" s="30" t="s">
        <v>3635</v>
      </c>
    </row>
    <row r="986" customFormat="false" ht="14.25" hidden="false" customHeight="true" outlineLevel="0" collapsed="false">
      <c r="A986" s="27"/>
      <c r="B986" s="27"/>
      <c r="C986" s="27"/>
      <c r="D986" s="29" t="s">
        <v>3659</v>
      </c>
      <c r="E986" s="30" t="s">
        <v>3660</v>
      </c>
      <c r="F986" s="42" t="s">
        <v>3661</v>
      </c>
      <c r="G986" s="32" t="s">
        <v>58</v>
      </c>
      <c r="H986" s="33" t="s">
        <v>3662</v>
      </c>
      <c r="I986" s="34" t="s">
        <v>40</v>
      </c>
      <c r="J986" s="35" t="s">
        <v>3663</v>
      </c>
      <c r="K986" s="30" t="s">
        <v>3642</v>
      </c>
    </row>
    <row r="987" customFormat="false" ht="14.25" hidden="false" customHeight="true" outlineLevel="0" collapsed="false">
      <c r="A987" s="27"/>
      <c r="B987" s="27"/>
      <c r="C987" s="27"/>
      <c r="D987" s="27"/>
      <c r="E987" s="30" t="s">
        <v>3664</v>
      </c>
      <c r="F987" s="42"/>
      <c r="G987" s="32"/>
      <c r="H987" s="33"/>
      <c r="I987" s="34"/>
      <c r="J987" s="35"/>
      <c r="K987" s="30" t="s">
        <v>3644</v>
      </c>
    </row>
    <row r="988" customFormat="false" ht="14.25" hidden="false" customHeight="true" outlineLevel="0" collapsed="false">
      <c r="A988" s="27"/>
      <c r="B988" s="27"/>
      <c r="C988" s="27"/>
      <c r="D988" s="29" t="s">
        <v>3665</v>
      </c>
      <c r="E988" s="30" t="s">
        <v>3666</v>
      </c>
      <c r="F988" s="42" t="s">
        <v>3667</v>
      </c>
      <c r="G988" s="32" t="s">
        <v>48</v>
      </c>
      <c r="H988" s="33" t="s">
        <v>3668</v>
      </c>
      <c r="I988" s="39" t="s">
        <v>67</v>
      </c>
      <c r="J988" s="35" t="s">
        <v>3669</v>
      </c>
      <c r="K988" s="30" t="s">
        <v>3650</v>
      </c>
    </row>
    <row r="989" customFormat="false" ht="14.25" hidden="false" customHeight="true" outlineLevel="0" collapsed="false">
      <c r="A989" s="27"/>
      <c r="B989" s="27"/>
      <c r="C989" s="27"/>
      <c r="D989" s="27"/>
      <c r="E989" s="30" t="s">
        <v>3670</v>
      </c>
      <c r="F989" s="42"/>
      <c r="G989" s="32"/>
      <c r="H989" s="33"/>
      <c r="I989" s="39"/>
      <c r="J989" s="35"/>
      <c r="K989" s="30" t="s">
        <v>3652</v>
      </c>
    </row>
    <row r="990" customFormat="false" ht="14.25" hidden="false" customHeight="true" outlineLevel="0" collapsed="false">
      <c r="A990" s="27"/>
      <c r="B990" s="27"/>
      <c r="C990" s="40" t="s">
        <v>3671</v>
      </c>
      <c r="D990" s="29" t="s">
        <v>3672</v>
      </c>
      <c r="E990" s="30" t="s">
        <v>3673</v>
      </c>
      <c r="F990" s="42" t="s">
        <v>3674</v>
      </c>
      <c r="G990" s="32" t="s">
        <v>48</v>
      </c>
      <c r="H990" s="33" t="s">
        <v>3675</v>
      </c>
      <c r="I990" s="37" t="s">
        <v>50</v>
      </c>
      <c r="J990" s="35" t="s">
        <v>3676</v>
      </c>
      <c r="K990" s="30" t="s">
        <v>3677</v>
      </c>
    </row>
    <row r="991" customFormat="false" ht="14.25" hidden="false" customHeight="true" outlineLevel="0" collapsed="false">
      <c r="A991" s="27"/>
      <c r="B991" s="27"/>
      <c r="C991" s="27"/>
      <c r="D991" s="27"/>
      <c r="E991" s="30" t="s">
        <v>3678</v>
      </c>
      <c r="F991" s="42"/>
      <c r="G991" s="32"/>
      <c r="H991" s="33"/>
      <c r="I991" s="37"/>
      <c r="J991" s="35"/>
      <c r="K991" s="30" t="s">
        <v>3679</v>
      </c>
    </row>
    <row r="992" customFormat="false" ht="14.25" hidden="false" customHeight="true" outlineLevel="0" collapsed="false">
      <c r="A992" s="27"/>
      <c r="B992" s="27"/>
      <c r="C992" s="27"/>
      <c r="D992" s="29" t="s">
        <v>3680</v>
      </c>
      <c r="E992" s="30" t="s">
        <v>3681</v>
      </c>
      <c r="F992" s="42" t="s">
        <v>3682</v>
      </c>
      <c r="G992" s="32" t="s">
        <v>38</v>
      </c>
      <c r="H992" s="33" t="s">
        <v>3683</v>
      </c>
      <c r="I992" s="37" t="s">
        <v>50</v>
      </c>
      <c r="J992" s="35" t="s">
        <v>3684</v>
      </c>
      <c r="K992" s="30" t="s">
        <v>3450</v>
      </c>
    </row>
    <row r="993" customFormat="false" ht="14.25" hidden="false" customHeight="true" outlineLevel="0" collapsed="false">
      <c r="A993" s="27"/>
      <c r="B993" s="27"/>
      <c r="C993" s="27"/>
      <c r="D993" s="27"/>
      <c r="E993" s="30" t="s">
        <v>3685</v>
      </c>
      <c r="F993" s="42"/>
      <c r="G993" s="32"/>
      <c r="H993" s="33"/>
      <c r="I993" s="37"/>
      <c r="J993" s="35"/>
      <c r="K993" s="30" t="s">
        <v>3686</v>
      </c>
    </row>
    <row r="994" customFormat="false" ht="14.25" hidden="false" customHeight="true" outlineLevel="0" collapsed="false">
      <c r="A994" s="27"/>
      <c r="B994" s="27"/>
      <c r="C994" s="27"/>
      <c r="D994" s="29" t="s">
        <v>3687</v>
      </c>
      <c r="E994" s="30" t="s">
        <v>3688</v>
      </c>
      <c r="F994" s="42" t="s">
        <v>3689</v>
      </c>
      <c r="G994" s="32" t="s">
        <v>38</v>
      </c>
      <c r="H994" s="33" t="s">
        <v>3690</v>
      </c>
      <c r="I994" s="39" t="s">
        <v>67</v>
      </c>
      <c r="J994" s="35" t="s">
        <v>3691</v>
      </c>
      <c r="K994" s="30" t="s">
        <v>3692</v>
      </c>
    </row>
    <row r="995" customFormat="false" ht="14.25" hidden="false" customHeight="true" outlineLevel="0" collapsed="false">
      <c r="A995" s="27"/>
      <c r="B995" s="27"/>
      <c r="C995" s="27"/>
      <c r="D995" s="27"/>
      <c r="E995" s="30" t="s">
        <v>3693</v>
      </c>
      <c r="F995" s="42"/>
      <c r="G995" s="32"/>
      <c r="H995" s="33"/>
      <c r="I995" s="39"/>
      <c r="J995" s="35"/>
      <c r="K995" s="30" t="s">
        <v>3694</v>
      </c>
    </row>
    <row r="996" customFormat="false" ht="14.25" hidden="false" customHeight="true" outlineLevel="0" collapsed="false">
      <c r="A996" s="27"/>
      <c r="B996" s="27"/>
      <c r="C996" s="27"/>
      <c r="D996" s="29" t="s">
        <v>3695</v>
      </c>
      <c r="E996" s="30" t="s">
        <v>3696</v>
      </c>
      <c r="F996" s="42" t="s">
        <v>3697</v>
      </c>
      <c r="G996" s="32" t="s">
        <v>38</v>
      </c>
      <c r="H996" s="33" t="s">
        <v>3698</v>
      </c>
      <c r="I996" s="34" t="s">
        <v>40</v>
      </c>
      <c r="J996" s="35" t="s">
        <v>3699</v>
      </c>
      <c r="K996" s="30" t="s">
        <v>3700</v>
      </c>
    </row>
    <row r="997" customFormat="false" ht="14.25" hidden="false" customHeight="true" outlineLevel="0" collapsed="false">
      <c r="A997" s="27"/>
      <c r="B997" s="27"/>
      <c r="C997" s="27"/>
      <c r="D997" s="27"/>
      <c r="E997" s="30" t="s">
        <v>3701</v>
      </c>
      <c r="F997" s="42"/>
      <c r="G997" s="32"/>
      <c r="H997" s="33"/>
      <c r="I997" s="34"/>
      <c r="J997" s="35"/>
      <c r="K997" s="30" t="s">
        <v>3702</v>
      </c>
    </row>
    <row r="998" customFormat="false" ht="14.25" hidden="false" customHeight="true" outlineLevel="0" collapsed="false">
      <c r="A998" s="27"/>
      <c r="B998" s="27"/>
      <c r="C998" s="27"/>
      <c r="D998" s="29" t="s">
        <v>3703</v>
      </c>
      <c r="E998" s="30" t="s">
        <v>3704</v>
      </c>
      <c r="F998" s="42" t="s">
        <v>3705</v>
      </c>
      <c r="G998" s="32" t="s">
        <v>48</v>
      </c>
      <c r="H998" s="33" t="s">
        <v>3706</v>
      </c>
      <c r="I998" s="39" t="s">
        <v>67</v>
      </c>
      <c r="J998" s="35" t="s">
        <v>3473</v>
      </c>
      <c r="K998" s="30" t="s">
        <v>3474</v>
      </c>
    </row>
    <row r="999" customFormat="false" ht="14.25" hidden="false" customHeight="true" outlineLevel="0" collapsed="false">
      <c r="A999" s="27"/>
      <c r="B999" s="27"/>
      <c r="C999" s="27"/>
      <c r="D999" s="27"/>
      <c r="E999" s="30" t="s">
        <v>3707</v>
      </c>
      <c r="F999" s="42"/>
      <c r="G999" s="32"/>
      <c r="H999" s="33"/>
      <c r="I999" s="39"/>
      <c r="J999" s="35"/>
      <c r="K999" s="30" t="s">
        <v>2941</v>
      </c>
    </row>
    <row r="1000" customFormat="false" ht="14.25" hidden="false" customHeight="true" outlineLevel="0" collapsed="false">
      <c r="A1000" s="27"/>
      <c r="B1000" s="27"/>
      <c r="C1000" s="29" t="s">
        <v>3708</v>
      </c>
      <c r="D1000" s="29" t="s">
        <v>3709</v>
      </c>
      <c r="E1000" s="30" t="s">
        <v>3710</v>
      </c>
      <c r="F1000" s="42" t="s">
        <v>3711</v>
      </c>
      <c r="G1000" s="32" t="s">
        <v>58</v>
      </c>
      <c r="H1000" s="33" t="s">
        <v>3712</v>
      </c>
      <c r="I1000" s="37" t="s">
        <v>50</v>
      </c>
      <c r="J1000" s="35" t="s">
        <v>3500</v>
      </c>
      <c r="K1000" s="30" t="s">
        <v>2817</v>
      </c>
    </row>
    <row r="1001" customFormat="false" ht="14.25" hidden="false" customHeight="true" outlineLevel="0" collapsed="false">
      <c r="A1001" s="27"/>
      <c r="B1001" s="27"/>
      <c r="C1001" s="27"/>
      <c r="D1001" s="27"/>
      <c r="E1001" s="30" t="s">
        <v>3713</v>
      </c>
      <c r="F1001" s="42"/>
      <c r="G1001" s="32"/>
      <c r="H1001" s="33"/>
      <c r="I1001" s="37"/>
      <c r="J1001" s="35"/>
      <c r="K1001" s="30" t="s">
        <v>3263</v>
      </c>
    </row>
    <row r="1002" customFormat="false" ht="14.25" hidden="false" customHeight="true" outlineLevel="0" collapsed="false">
      <c r="A1002" s="27"/>
      <c r="B1002" s="27"/>
      <c r="C1002" s="27"/>
      <c r="D1002" s="29" t="s">
        <v>3714</v>
      </c>
      <c r="E1002" s="30" t="s">
        <v>3715</v>
      </c>
      <c r="F1002" s="42" t="s">
        <v>3716</v>
      </c>
      <c r="G1002" s="32" t="s">
        <v>48</v>
      </c>
      <c r="H1002" s="33" t="s">
        <v>3717</v>
      </c>
      <c r="I1002" s="37" t="s">
        <v>50</v>
      </c>
      <c r="J1002" s="35" t="s">
        <v>3718</v>
      </c>
      <c r="K1002" s="30" t="s">
        <v>1527</v>
      </c>
    </row>
    <row r="1003" customFormat="false" ht="14.25" hidden="false" customHeight="true" outlineLevel="0" collapsed="false">
      <c r="A1003" s="27"/>
      <c r="B1003" s="27"/>
      <c r="C1003" s="27"/>
      <c r="D1003" s="27"/>
      <c r="E1003" s="30" t="s">
        <v>3719</v>
      </c>
      <c r="F1003" s="42"/>
      <c r="G1003" s="32"/>
      <c r="H1003" s="33"/>
      <c r="I1003" s="37"/>
      <c r="J1003" s="35"/>
      <c r="K1003" s="30" t="s">
        <v>1529</v>
      </c>
    </row>
    <row r="1004" customFormat="false" ht="14.25" hidden="false" customHeight="true" outlineLevel="0" collapsed="false">
      <c r="A1004" s="27"/>
      <c r="B1004" s="27"/>
      <c r="C1004" s="27"/>
      <c r="D1004" s="29" t="s">
        <v>3720</v>
      </c>
      <c r="E1004" s="30" t="s">
        <v>3721</v>
      </c>
      <c r="F1004" s="42" t="s">
        <v>3722</v>
      </c>
      <c r="G1004" s="32" t="s">
        <v>48</v>
      </c>
      <c r="H1004" s="33" t="s">
        <v>3723</v>
      </c>
      <c r="I1004" s="39" t="s">
        <v>67</v>
      </c>
      <c r="J1004" s="35" t="s">
        <v>3480</v>
      </c>
      <c r="K1004" s="30" t="s">
        <v>3293</v>
      </c>
    </row>
    <row r="1005" customFormat="false" ht="14.25" hidden="false" customHeight="true" outlineLevel="0" collapsed="false">
      <c r="A1005" s="27"/>
      <c r="B1005" s="27"/>
      <c r="C1005" s="27"/>
      <c r="D1005" s="27"/>
      <c r="E1005" s="30" t="s">
        <v>3219</v>
      </c>
      <c r="F1005" s="42"/>
      <c r="G1005" s="32"/>
      <c r="H1005" s="33"/>
      <c r="I1005" s="39"/>
      <c r="J1005" s="35"/>
      <c r="K1005" s="30" t="s">
        <v>3295</v>
      </c>
    </row>
    <row r="1006" customFormat="false" ht="14.25" hidden="false" customHeight="true" outlineLevel="0" collapsed="false">
      <c r="A1006" s="27"/>
      <c r="B1006" s="27"/>
      <c r="C1006" s="27"/>
      <c r="D1006" s="29" t="s">
        <v>3724</v>
      </c>
      <c r="E1006" s="30" t="s">
        <v>3725</v>
      </c>
      <c r="F1006" s="42" t="s">
        <v>3726</v>
      </c>
      <c r="G1006" s="32" t="s">
        <v>38</v>
      </c>
      <c r="H1006" s="33" t="s">
        <v>3505</v>
      </c>
      <c r="I1006" s="34" t="s">
        <v>40</v>
      </c>
      <c r="J1006" s="35" t="s">
        <v>3486</v>
      </c>
      <c r="K1006" s="30" t="s">
        <v>3727</v>
      </c>
    </row>
    <row r="1007" customFormat="false" ht="14.25" hidden="false" customHeight="true" outlineLevel="0" collapsed="false">
      <c r="A1007" s="27"/>
      <c r="B1007" s="27"/>
      <c r="C1007" s="27"/>
      <c r="D1007" s="27"/>
      <c r="E1007" s="30" t="s">
        <v>3728</v>
      </c>
      <c r="F1007" s="42"/>
      <c r="G1007" s="32"/>
      <c r="H1007" s="33"/>
      <c r="I1007" s="34"/>
      <c r="J1007" s="35"/>
      <c r="K1007" s="30" t="s">
        <v>3729</v>
      </c>
    </row>
    <row r="1008" customFormat="false" ht="14.25" hidden="false" customHeight="true" outlineLevel="0" collapsed="false">
      <c r="A1008" s="27"/>
      <c r="B1008" s="27"/>
      <c r="C1008" s="27"/>
      <c r="D1008" s="29" t="s">
        <v>3730</v>
      </c>
      <c r="E1008" s="30" t="s">
        <v>3731</v>
      </c>
      <c r="F1008" s="42" t="s">
        <v>3732</v>
      </c>
      <c r="G1008" s="32" t="s">
        <v>38</v>
      </c>
      <c r="H1008" s="33" t="s">
        <v>3733</v>
      </c>
      <c r="I1008" s="39" t="s">
        <v>67</v>
      </c>
      <c r="J1008" s="35" t="s">
        <v>3734</v>
      </c>
      <c r="K1008" s="30" t="s">
        <v>3735</v>
      </c>
    </row>
    <row r="1009" customFormat="false" ht="14.25" hidden="false" customHeight="true" outlineLevel="0" collapsed="false">
      <c r="A1009" s="27"/>
      <c r="B1009" s="27"/>
      <c r="C1009" s="27"/>
      <c r="D1009" s="27"/>
      <c r="E1009" s="30" t="s">
        <v>3736</v>
      </c>
      <c r="F1009" s="42"/>
      <c r="G1009" s="32"/>
      <c r="H1009" s="33"/>
      <c r="I1009" s="39"/>
      <c r="J1009" s="35"/>
      <c r="K1009" s="30" t="s">
        <v>3737</v>
      </c>
    </row>
    <row r="1010" customFormat="false" ht="14.25" hidden="false" customHeight="true" outlineLevel="0" collapsed="false">
      <c r="A1010" s="27"/>
      <c r="B1010" s="27"/>
      <c r="C1010" s="40" t="s">
        <v>3738</v>
      </c>
      <c r="D1010" s="29" t="s">
        <v>3739</v>
      </c>
      <c r="E1010" s="30" t="s">
        <v>3740</v>
      </c>
      <c r="F1010" s="42" t="s">
        <v>3741</v>
      </c>
      <c r="G1010" s="32" t="s">
        <v>38</v>
      </c>
      <c r="H1010" s="33" t="s">
        <v>3742</v>
      </c>
      <c r="I1010" s="37" t="s">
        <v>50</v>
      </c>
      <c r="J1010" s="35" t="s">
        <v>3743</v>
      </c>
      <c r="K1010" s="30" t="s">
        <v>3566</v>
      </c>
    </row>
    <row r="1011" customFormat="false" ht="14.25" hidden="false" customHeight="true" outlineLevel="0" collapsed="false">
      <c r="A1011" s="27"/>
      <c r="B1011" s="27"/>
      <c r="C1011" s="27"/>
      <c r="D1011" s="27"/>
      <c r="E1011" s="30" t="s">
        <v>3744</v>
      </c>
      <c r="F1011" s="42"/>
      <c r="G1011" s="32"/>
      <c r="H1011" s="33"/>
      <c r="I1011" s="37"/>
      <c r="J1011" s="35"/>
      <c r="K1011" s="30" t="s">
        <v>3568</v>
      </c>
    </row>
    <row r="1012" customFormat="false" ht="14.25" hidden="false" customHeight="true" outlineLevel="0" collapsed="false">
      <c r="A1012" s="27"/>
      <c r="B1012" s="27"/>
      <c r="C1012" s="27"/>
      <c r="D1012" s="29" t="s">
        <v>3745</v>
      </c>
      <c r="E1012" s="30" t="s">
        <v>3567</v>
      </c>
      <c r="F1012" s="42" t="s">
        <v>3746</v>
      </c>
      <c r="G1012" s="32" t="s">
        <v>48</v>
      </c>
      <c r="H1012" s="33" t="s">
        <v>3747</v>
      </c>
      <c r="I1012" s="37" t="s">
        <v>50</v>
      </c>
      <c r="J1012" s="35" t="s">
        <v>3748</v>
      </c>
      <c r="K1012" s="30" t="s">
        <v>3749</v>
      </c>
    </row>
    <row r="1013" customFormat="false" ht="14.25" hidden="false" customHeight="true" outlineLevel="0" collapsed="false">
      <c r="A1013" s="27"/>
      <c r="B1013" s="27"/>
      <c r="C1013" s="27"/>
      <c r="D1013" s="27"/>
      <c r="E1013" s="30" t="s">
        <v>3750</v>
      </c>
      <c r="F1013" s="42"/>
      <c r="G1013" s="32"/>
      <c r="H1013" s="33"/>
      <c r="I1013" s="37"/>
      <c r="J1013" s="35"/>
      <c r="K1013" s="30" t="s">
        <v>3751</v>
      </c>
    </row>
    <row r="1014" customFormat="false" ht="14.25" hidden="false" customHeight="true" outlineLevel="0" collapsed="false">
      <c r="A1014" s="27"/>
      <c r="B1014" s="27"/>
      <c r="C1014" s="27"/>
      <c r="D1014" s="29" t="s">
        <v>3752</v>
      </c>
      <c r="E1014" s="30" t="s">
        <v>3753</v>
      </c>
      <c r="F1014" s="42" t="s">
        <v>3754</v>
      </c>
      <c r="G1014" s="32" t="s">
        <v>58</v>
      </c>
      <c r="H1014" s="33" t="s">
        <v>3755</v>
      </c>
      <c r="I1014" s="39" t="s">
        <v>67</v>
      </c>
      <c r="J1014" s="35" t="s">
        <v>3756</v>
      </c>
      <c r="K1014" s="30" t="s">
        <v>3757</v>
      </c>
    </row>
    <row r="1015" customFormat="false" ht="14.25" hidden="false" customHeight="true" outlineLevel="0" collapsed="false">
      <c r="A1015" s="27"/>
      <c r="B1015" s="27"/>
      <c r="C1015" s="27"/>
      <c r="D1015" s="27"/>
      <c r="E1015" s="30" t="s">
        <v>3758</v>
      </c>
      <c r="F1015" s="42"/>
      <c r="G1015" s="32"/>
      <c r="H1015" s="33"/>
      <c r="I1015" s="39"/>
      <c r="J1015" s="35"/>
      <c r="K1015" s="30" t="s">
        <v>3759</v>
      </c>
    </row>
    <row r="1016" customFormat="false" ht="14.25" hidden="false" customHeight="true" outlineLevel="0" collapsed="false">
      <c r="A1016" s="27"/>
      <c r="B1016" s="27"/>
      <c r="C1016" s="27"/>
      <c r="D1016" s="29" t="s">
        <v>3760</v>
      </c>
      <c r="E1016" s="30" t="s">
        <v>3575</v>
      </c>
      <c r="F1016" s="42" t="s">
        <v>3761</v>
      </c>
      <c r="G1016" s="32" t="s">
        <v>48</v>
      </c>
      <c r="H1016" s="33" t="s">
        <v>3762</v>
      </c>
      <c r="I1016" s="34" t="s">
        <v>40</v>
      </c>
      <c r="J1016" s="35" t="s">
        <v>3763</v>
      </c>
      <c r="K1016" s="30" t="s">
        <v>3764</v>
      </c>
    </row>
    <row r="1017" customFormat="false" ht="14.25" hidden="false" customHeight="true" outlineLevel="0" collapsed="false">
      <c r="A1017" s="27"/>
      <c r="B1017" s="27"/>
      <c r="C1017" s="27"/>
      <c r="D1017" s="27"/>
      <c r="E1017" s="30" t="s">
        <v>3765</v>
      </c>
      <c r="F1017" s="42"/>
      <c r="G1017" s="32"/>
      <c r="H1017" s="33"/>
      <c r="I1017" s="34"/>
      <c r="J1017" s="35"/>
      <c r="K1017" s="30" t="s">
        <v>3766</v>
      </c>
    </row>
    <row r="1018" customFormat="false" ht="14.25" hidden="false" customHeight="true" outlineLevel="0" collapsed="false">
      <c r="A1018" s="27"/>
      <c r="B1018" s="27"/>
      <c r="C1018" s="27"/>
      <c r="D1018" s="29" t="s">
        <v>3767</v>
      </c>
      <c r="E1018" s="30" t="s">
        <v>3768</v>
      </c>
      <c r="F1018" s="31" t="s">
        <v>3769</v>
      </c>
      <c r="G1018" s="32" t="s">
        <v>48</v>
      </c>
      <c r="H1018" s="35" t="s">
        <v>3770</v>
      </c>
      <c r="I1018" s="37" t="s">
        <v>50</v>
      </c>
      <c r="J1018" s="35" t="s">
        <v>3771</v>
      </c>
      <c r="K1018" s="30" t="s">
        <v>3772</v>
      </c>
    </row>
    <row r="1019" customFormat="false" ht="14.25" hidden="false" customHeight="true" outlineLevel="0" collapsed="false">
      <c r="A1019" s="27"/>
      <c r="B1019" s="27"/>
      <c r="C1019" s="27"/>
      <c r="D1019" s="27"/>
      <c r="E1019" s="30" t="s">
        <v>3773</v>
      </c>
      <c r="F1019" s="31"/>
      <c r="G1019" s="32"/>
      <c r="H1019" s="35"/>
      <c r="I1019" s="37"/>
      <c r="J1019" s="35"/>
      <c r="K1019" s="30" t="s">
        <v>3774</v>
      </c>
    </row>
    <row r="1020" customFormat="false" ht="14.25" hidden="false" customHeight="true" outlineLevel="0" collapsed="false">
      <c r="A1020" s="44"/>
      <c r="B1020" s="44"/>
      <c r="C1020" s="44"/>
      <c r="D1020" s="44"/>
      <c r="E1020" s="44"/>
      <c r="F1020" s="44"/>
      <c r="G1020" s="44"/>
      <c r="H1020" s="44"/>
      <c r="I1020" s="44"/>
      <c r="J1020" s="44"/>
      <c r="K1020" s="44"/>
    </row>
    <row r="1021" customFormat="false" ht="14.25" hidden="false" customHeight="true" outlineLevel="0" collapsed="false">
      <c r="A1021" s="45" t="s">
        <v>3775</v>
      </c>
      <c r="B1021" s="46" t="s">
        <v>3776</v>
      </c>
      <c r="C1021" s="46" t="s">
        <v>3777</v>
      </c>
      <c r="D1021" s="46" t="s">
        <v>3778</v>
      </c>
      <c r="E1021" s="46" t="s">
        <v>27</v>
      </c>
      <c r="F1021" s="46" t="s">
        <v>3779</v>
      </c>
      <c r="G1021" s="1" t="s">
        <v>28</v>
      </c>
      <c r="H1021" s="45" t="s">
        <v>29</v>
      </c>
      <c r="I1021" s="1" t="s">
        <v>3780</v>
      </c>
      <c r="J1021" s="1" t="s">
        <v>3781</v>
      </c>
      <c r="K1021" s="44"/>
    </row>
    <row r="1022" customFormat="false" ht="14.25" hidden="false" customHeight="true" outlineLevel="0" collapsed="false">
      <c r="A1022" s="48" t="s">
        <v>3783</v>
      </c>
      <c r="B1022" s="49" t="s">
        <v>3784</v>
      </c>
      <c r="C1022" s="1" t="s">
        <v>3785</v>
      </c>
      <c r="D1022" s="1" t="s">
        <v>3786</v>
      </c>
      <c r="E1022" s="1" t="s">
        <v>3787</v>
      </c>
      <c r="F1022" s="1" t="s">
        <v>3788</v>
      </c>
      <c r="G1022" s="50" t="s">
        <v>3789</v>
      </c>
      <c r="H1022" s="34" t="s">
        <v>40</v>
      </c>
      <c r="I1022" s="50" t="s">
        <v>3790</v>
      </c>
      <c r="J1022" s="50" t="s">
        <v>3791</v>
      </c>
      <c r="K1022" s="44"/>
    </row>
    <row r="1023" customFormat="false" ht="14.25" hidden="false" customHeight="true" outlineLevel="0" collapsed="false">
      <c r="A1023" s="48"/>
      <c r="B1023" s="48"/>
      <c r="C1023" s="50"/>
      <c r="D1023" s="50"/>
      <c r="E1023" s="50" t="s">
        <v>3792</v>
      </c>
      <c r="F1023" s="50" t="s">
        <v>3793</v>
      </c>
      <c r="G1023" s="1" t="s">
        <v>3792</v>
      </c>
      <c r="H1023" s="34"/>
      <c r="I1023" s="1" t="s">
        <v>3792</v>
      </c>
      <c r="J1023" s="1" t="s">
        <v>3794</v>
      </c>
      <c r="K1023" s="44"/>
    </row>
    <row r="1024" customFormat="false" ht="14.25" hidden="false" customHeight="true" outlineLevel="0" collapsed="false">
      <c r="A1024" s="48"/>
      <c r="B1024" s="48"/>
      <c r="C1024" s="1" t="s">
        <v>3795</v>
      </c>
      <c r="D1024" s="1" t="s">
        <v>3796</v>
      </c>
      <c r="E1024" s="1" t="s">
        <v>3797</v>
      </c>
      <c r="F1024" s="1" t="s">
        <v>3798</v>
      </c>
      <c r="G1024" s="50" t="s">
        <v>3799</v>
      </c>
      <c r="H1024" s="37" t="s">
        <v>50</v>
      </c>
      <c r="I1024" s="50" t="s">
        <v>3800</v>
      </c>
      <c r="J1024" s="50" t="s">
        <v>3801</v>
      </c>
      <c r="K1024" s="44"/>
    </row>
    <row r="1025" customFormat="false" ht="14.25" hidden="false" customHeight="true" outlineLevel="0" collapsed="false">
      <c r="A1025" s="48"/>
      <c r="B1025" s="48"/>
      <c r="C1025" s="50"/>
      <c r="D1025" s="50"/>
      <c r="E1025" s="50" t="s">
        <v>3792</v>
      </c>
      <c r="F1025" s="50" t="s">
        <v>3802</v>
      </c>
      <c r="G1025" s="1" t="s">
        <v>3792</v>
      </c>
      <c r="H1025" s="37"/>
      <c r="I1025" s="1" t="s">
        <v>3792</v>
      </c>
      <c r="J1025" s="1" t="s">
        <v>3803</v>
      </c>
      <c r="K1025" s="44"/>
    </row>
    <row r="1026" customFormat="false" ht="14.25" hidden="false" customHeight="true" outlineLevel="0" collapsed="false">
      <c r="A1026" s="48"/>
      <c r="B1026" s="48"/>
      <c r="C1026" s="1" t="s">
        <v>3804</v>
      </c>
      <c r="D1026" s="1" t="s">
        <v>3805</v>
      </c>
      <c r="E1026" s="1" t="s">
        <v>3806</v>
      </c>
      <c r="F1026" s="1" t="s">
        <v>3788</v>
      </c>
      <c r="G1026" s="50" t="s">
        <v>3807</v>
      </c>
      <c r="H1026" s="34" t="s">
        <v>40</v>
      </c>
      <c r="I1026" s="50" t="s">
        <v>3808</v>
      </c>
      <c r="J1026" s="50" t="s">
        <v>3809</v>
      </c>
      <c r="K1026" s="44"/>
    </row>
    <row r="1027" customFormat="false" ht="14.25" hidden="false" customHeight="true" outlineLevel="0" collapsed="false">
      <c r="A1027" s="48"/>
      <c r="B1027" s="48"/>
      <c r="C1027" s="50"/>
      <c r="D1027" s="50"/>
      <c r="E1027" s="50" t="s">
        <v>3792</v>
      </c>
      <c r="F1027" s="50" t="s">
        <v>3810</v>
      </c>
      <c r="G1027" s="1" t="s">
        <v>3792</v>
      </c>
      <c r="H1027" s="34"/>
      <c r="I1027" s="1" t="s">
        <v>3792</v>
      </c>
      <c r="J1027" s="1" t="s">
        <v>3811</v>
      </c>
      <c r="K1027" s="44"/>
    </row>
    <row r="1028" customFormat="false" ht="14.25" hidden="false" customHeight="true" outlineLevel="0" collapsed="false">
      <c r="A1028" s="48"/>
      <c r="B1028" s="48"/>
      <c r="C1028" s="1" t="s">
        <v>3812</v>
      </c>
      <c r="D1028" s="1" t="s">
        <v>3813</v>
      </c>
      <c r="E1028" s="1" t="s">
        <v>3787</v>
      </c>
      <c r="F1028" s="1" t="s">
        <v>3788</v>
      </c>
      <c r="G1028" s="50" t="s">
        <v>3814</v>
      </c>
      <c r="H1028" s="39" t="s">
        <v>67</v>
      </c>
      <c r="I1028" s="50" t="s">
        <v>3815</v>
      </c>
      <c r="J1028" s="50" t="s">
        <v>3816</v>
      </c>
      <c r="K1028" s="44"/>
    </row>
    <row r="1029" customFormat="false" ht="14.25" hidden="false" customHeight="true" outlineLevel="0" collapsed="false">
      <c r="A1029" s="48"/>
      <c r="B1029" s="48"/>
      <c r="C1029" s="50"/>
      <c r="D1029" s="50"/>
      <c r="E1029" s="50" t="s">
        <v>3792</v>
      </c>
      <c r="F1029" s="50" t="s">
        <v>3817</v>
      </c>
      <c r="G1029" s="1" t="s">
        <v>3792</v>
      </c>
      <c r="H1029" s="39"/>
      <c r="I1029" s="1" t="s">
        <v>3792</v>
      </c>
      <c r="J1029" s="1" t="s">
        <v>3818</v>
      </c>
      <c r="K1029" s="44"/>
    </row>
    <row r="1030" customFormat="false" ht="14.25" hidden="false" customHeight="true" outlineLevel="0" collapsed="false">
      <c r="A1030" s="48"/>
      <c r="B1030" s="48"/>
      <c r="C1030" s="1" t="s">
        <v>3819</v>
      </c>
      <c r="D1030" s="1" t="s">
        <v>3820</v>
      </c>
      <c r="E1030" s="1" t="s">
        <v>3806</v>
      </c>
      <c r="F1030" s="1" t="s">
        <v>3821</v>
      </c>
      <c r="G1030" s="51" t="s">
        <v>3822</v>
      </c>
      <c r="H1030" s="34" t="s">
        <v>40</v>
      </c>
      <c r="I1030" s="51" t="s">
        <v>3823</v>
      </c>
      <c r="J1030" s="51" t="s">
        <v>3824</v>
      </c>
      <c r="K1030" s="44"/>
    </row>
    <row r="1031" customFormat="false" ht="14.25" hidden="false" customHeight="true" outlineLevel="0" collapsed="false">
      <c r="A1031" s="48"/>
      <c r="B1031" s="49"/>
      <c r="C1031" s="51"/>
      <c r="D1031" s="51"/>
      <c r="E1031" s="51" t="s">
        <v>3792</v>
      </c>
      <c r="F1031" s="51" t="s">
        <v>3825</v>
      </c>
      <c r="G1031" s="1" t="s">
        <v>3792</v>
      </c>
      <c r="H1031" s="34"/>
      <c r="I1031" s="1" t="s">
        <v>3792</v>
      </c>
      <c r="J1031" s="1" t="s">
        <v>3826</v>
      </c>
      <c r="K1031" s="44"/>
    </row>
    <row r="1032" customFormat="false" ht="12.8" hidden="false" customHeight="true" outlineLevel="0" collapsed="false">
      <c r="A1032" s="48"/>
      <c r="B1032" s="49" t="s">
        <v>3827</v>
      </c>
      <c r="C1032" s="1" t="s">
        <v>3785</v>
      </c>
      <c r="D1032" s="1" t="s">
        <v>3786</v>
      </c>
      <c r="E1032" s="1" t="s">
        <v>3797</v>
      </c>
      <c r="F1032" s="1" t="s">
        <v>3828</v>
      </c>
      <c r="G1032" s="50" t="s">
        <v>3829</v>
      </c>
      <c r="H1032" s="37" t="s">
        <v>50</v>
      </c>
      <c r="I1032" s="50" t="s">
        <v>3830</v>
      </c>
      <c r="J1032" s="50" t="s">
        <v>3831</v>
      </c>
    </row>
    <row r="1033" customFormat="false" ht="12.8" hidden="false" customHeight="false" outlineLevel="0" collapsed="false">
      <c r="A1033" s="48"/>
      <c r="B1033" s="48"/>
      <c r="C1033" s="50"/>
      <c r="D1033" s="50"/>
      <c r="E1033" s="50" t="s">
        <v>3792</v>
      </c>
      <c r="F1033" s="50" t="s">
        <v>3832</v>
      </c>
      <c r="G1033" s="1" t="s">
        <v>3792</v>
      </c>
      <c r="H1033" s="37"/>
      <c r="I1033" s="1" t="s">
        <v>3792</v>
      </c>
      <c r="J1033" s="1" t="s">
        <v>3833</v>
      </c>
    </row>
    <row r="1034" customFormat="false" ht="12.8" hidden="false" customHeight="false" outlineLevel="0" collapsed="false">
      <c r="A1034" s="48"/>
      <c r="B1034" s="48"/>
      <c r="C1034" s="1" t="s">
        <v>3795</v>
      </c>
      <c r="D1034" s="1" t="s">
        <v>3796</v>
      </c>
      <c r="E1034" s="1" t="s">
        <v>3787</v>
      </c>
      <c r="F1034" s="1" t="s">
        <v>3834</v>
      </c>
      <c r="G1034" s="50" t="s">
        <v>3835</v>
      </c>
      <c r="H1034" s="34" t="s">
        <v>40</v>
      </c>
      <c r="I1034" s="50" t="s">
        <v>3836</v>
      </c>
      <c r="J1034" s="50" t="s">
        <v>3837</v>
      </c>
    </row>
    <row r="1035" customFormat="false" ht="12.8" hidden="false" customHeight="false" outlineLevel="0" collapsed="false">
      <c r="A1035" s="48"/>
      <c r="B1035" s="48"/>
      <c r="C1035" s="50"/>
      <c r="D1035" s="50"/>
      <c r="E1035" s="50" t="s">
        <v>3792</v>
      </c>
      <c r="F1035" s="50" t="s">
        <v>3838</v>
      </c>
      <c r="G1035" s="1" t="s">
        <v>3792</v>
      </c>
      <c r="H1035" s="34"/>
      <c r="I1035" s="1" t="s">
        <v>3792</v>
      </c>
      <c r="J1035" s="1" t="s">
        <v>3839</v>
      </c>
    </row>
    <row r="1036" customFormat="false" ht="12.8" hidden="false" customHeight="false" outlineLevel="0" collapsed="false">
      <c r="A1036" s="48"/>
      <c r="B1036" s="48"/>
      <c r="C1036" s="1" t="s">
        <v>3804</v>
      </c>
      <c r="D1036" s="1" t="s">
        <v>3805</v>
      </c>
      <c r="E1036" s="1" t="s">
        <v>3806</v>
      </c>
      <c r="F1036" s="1" t="s">
        <v>3840</v>
      </c>
      <c r="G1036" s="50" t="s">
        <v>3841</v>
      </c>
      <c r="H1036" s="39" t="s">
        <v>67</v>
      </c>
      <c r="I1036" s="50" t="s">
        <v>3842</v>
      </c>
      <c r="J1036" s="50" t="s">
        <v>3843</v>
      </c>
    </row>
    <row r="1037" customFormat="false" ht="12.8" hidden="false" customHeight="false" outlineLevel="0" collapsed="false">
      <c r="A1037" s="48"/>
      <c r="B1037" s="48"/>
      <c r="C1037" s="50"/>
      <c r="D1037" s="50"/>
      <c r="E1037" s="50" t="s">
        <v>3792</v>
      </c>
      <c r="F1037" s="50" t="s">
        <v>3844</v>
      </c>
      <c r="G1037" s="1" t="s">
        <v>3792</v>
      </c>
      <c r="H1037" s="39"/>
      <c r="I1037" s="1" t="s">
        <v>3792</v>
      </c>
      <c r="J1037" s="1" t="s">
        <v>3845</v>
      </c>
    </row>
    <row r="1038" customFormat="false" ht="12.8" hidden="false" customHeight="false" outlineLevel="0" collapsed="false">
      <c r="A1038" s="48"/>
      <c r="B1038" s="48"/>
      <c r="C1038" s="1" t="s">
        <v>3812</v>
      </c>
      <c r="D1038" s="1" t="s">
        <v>3813</v>
      </c>
      <c r="E1038" s="1" t="s">
        <v>3806</v>
      </c>
      <c r="F1038" s="1" t="s">
        <v>3846</v>
      </c>
      <c r="G1038" s="50" t="s">
        <v>3847</v>
      </c>
      <c r="H1038" s="34" t="s">
        <v>40</v>
      </c>
      <c r="I1038" s="50" t="s">
        <v>3848</v>
      </c>
      <c r="J1038" s="50" t="s">
        <v>3849</v>
      </c>
    </row>
    <row r="1039" customFormat="false" ht="12.8" hidden="false" customHeight="false" outlineLevel="0" collapsed="false">
      <c r="A1039" s="48"/>
      <c r="B1039" s="48"/>
      <c r="C1039" s="50"/>
      <c r="D1039" s="50"/>
      <c r="E1039" s="50" t="s">
        <v>3792</v>
      </c>
      <c r="F1039" s="50" t="s">
        <v>3850</v>
      </c>
      <c r="G1039" s="1" t="s">
        <v>3792</v>
      </c>
      <c r="H1039" s="34"/>
      <c r="I1039" s="1" t="s">
        <v>3792</v>
      </c>
      <c r="J1039" s="1" t="s">
        <v>3851</v>
      </c>
    </row>
    <row r="1040" customFormat="false" ht="12.8" hidden="false" customHeight="false" outlineLevel="0" collapsed="false">
      <c r="A1040" s="48"/>
      <c r="B1040" s="48"/>
      <c r="C1040" s="1" t="s">
        <v>3819</v>
      </c>
      <c r="D1040" s="1" t="s">
        <v>3820</v>
      </c>
      <c r="E1040" s="1" t="s">
        <v>3787</v>
      </c>
      <c r="F1040" s="1" t="s">
        <v>3852</v>
      </c>
      <c r="G1040" s="51" t="s">
        <v>3853</v>
      </c>
      <c r="H1040" s="37" t="s">
        <v>50</v>
      </c>
      <c r="I1040" s="51" t="s">
        <v>3854</v>
      </c>
      <c r="J1040" s="51" t="s">
        <v>3855</v>
      </c>
    </row>
    <row r="1041" customFormat="false" ht="12.8" hidden="false" customHeight="false" outlineLevel="0" collapsed="false">
      <c r="A1041" s="48"/>
      <c r="B1041" s="49"/>
      <c r="C1041" s="51"/>
      <c r="D1041" s="51"/>
      <c r="E1041" s="51" t="s">
        <v>3792</v>
      </c>
      <c r="F1041" s="51" t="s">
        <v>3856</v>
      </c>
      <c r="G1041" s="1" t="s">
        <v>3792</v>
      </c>
      <c r="H1041" s="37"/>
      <c r="I1041" s="1" t="s">
        <v>3792</v>
      </c>
      <c r="J1041" s="1" t="s">
        <v>3857</v>
      </c>
    </row>
    <row r="1042" customFormat="false" ht="12.8" hidden="false" customHeight="true" outlineLevel="0" collapsed="false">
      <c r="A1042" s="48"/>
      <c r="B1042" s="49" t="s">
        <v>3858</v>
      </c>
      <c r="C1042" s="1" t="s">
        <v>3859</v>
      </c>
      <c r="D1042" s="1" t="s">
        <v>3860</v>
      </c>
      <c r="E1042" s="1" t="s">
        <v>3797</v>
      </c>
      <c r="F1042" s="1" t="s">
        <v>3861</v>
      </c>
      <c r="G1042" s="50" t="s">
        <v>3862</v>
      </c>
      <c r="H1042" s="34" t="s">
        <v>40</v>
      </c>
      <c r="I1042" s="50" t="s">
        <v>3863</v>
      </c>
      <c r="J1042" s="50" t="s">
        <v>3864</v>
      </c>
    </row>
    <row r="1043" customFormat="false" ht="12.8" hidden="false" customHeight="false" outlineLevel="0" collapsed="false">
      <c r="A1043" s="48"/>
      <c r="B1043" s="48"/>
      <c r="C1043" s="50"/>
      <c r="D1043" s="50"/>
      <c r="E1043" s="50" t="s">
        <v>3792</v>
      </c>
      <c r="F1043" s="50" t="s">
        <v>3865</v>
      </c>
      <c r="G1043" s="1" t="s">
        <v>3792</v>
      </c>
      <c r="H1043" s="34"/>
      <c r="I1043" s="1" t="s">
        <v>3792</v>
      </c>
      <c r="J1043" s="1" t="s">
        <v>3866</v>
      </c>
    </row>
    <row r="1044" customFormat="false" ht="12.8" hidden="false" customHeight="false" outlineLevel="0" collapsed="false">
      <c r="A1044" s="48"/>
      <c r="B1044" s="48"/>
      <c r="C1044" s="1" t="s">
        <v>3867</v>
      </c>
      <c r="D1044" s="1" t="s">
        <v>3868</v>
      </c>
      <c r="E1044" s="1" t="s">
        <v>3797</v>
      </c>
      <c r="F1044" s="1" t="s">
        <v>3869</v>
      </c>
      <c r="G1044" s="50" t="s">
        <v>3870</v>
      </c>
      <c r="H1044" s="39" t="s">
        <v>67</v>
      </c>
      <c r="I1044" s="50" t="s">
        <v>3871</v>
      </c>
      <c r="J1044" s="50" t="s">
        <v>3872</v>
      </c>
    </row>
    <row r="1045" customFormat="false" ht="12.8" hidden="false" customHeight="false" outlineLevel="0" collapsed="false">
      <c r="A1045" s="48"/>
      <c r="B1045" s="48"/>
      <c r="C1045" s="50"/>
      <c r="D1045" s="50"/>
      <c r="E1045" s="50" t="s">
        <v>3792</v>
      </c>
      <c r="F1045" s="50" t="s">
        <v>3873</v>
      </c>
      <c r="G1045" s="1" t="s">
        <v>3792</v>
      </c>
      <c r="H1045" s="39"/>
      <c r="I1045" s="1" t="s">
        <v>3792</v>
      </c>
      <c r="J1045" s="1" t="s">
        <v>3874</v>
      </c>
    </row>
    <row r="1046" customFormat="false" ht="12.8" hidden="false" customHeight="false" outlineLevel="0" collapsed="false">
      <c r="A1046" s="48"/>
      <c r="B1046" s="48"/>
      <c r="C1046" s="1" t="s">
        <v>3875</v>
      </c>
      <c r="D1046" s="1" t="s">
        <v>3876</v>
      </c>
      <c r="E1046" s="1" t="s">
        <v>3806</v>
      </c>
      <c r="F1046" s="1" t="s">
        <v>3877</v>
      </c>
      <c r="G1046" s="50" t="s">
        <v>3878</v>
      </c>
      <c r="H1046" s="34" t="s">
        <v>40</v>
      </c>
      <c r="I1046" s="50" t="s">
        <v>3879</v>
      </c>
      <c r="J1046" s="50" t="s">
        <v>3880</v>
      </c>
    </row>
    <row r="1047" customFormat="false" ht="12.8" hidden="false" customHeight="false" outlineLevel="0" collapsed="false">
      <c r="A1047" s="48"/>
      <c r="B1047" s="48"/>
      <c r="C1047" s="50"/>
      <c r="D1047" s="50"/>
      <c r="E1047" s="50" t="s">
        <v>3792</v>
      </c>
      <c r="F1047" s="50" t="s">
        <v>3881</v>
      </c>
      <c r="G1047" s="1" t="s">
        <v>3792</v>
      </c>
      <c r="H1047" s="34"/>
      <c r="I1047" s="1" t="s">
        <v>3792</v>
      </c>
      <c r="J1047" s="1" t="s">
        <v>3882</v>
      </c>
    </row>
    <row r="1048" customFormat="false" ht="12.8" hidden="false" customHeight="false" outlineLevel="0" collapsed="false">
      <c r="A1048" s="48"/>
      <c r="B1048" s="48"/>
      <c r="C1048" s="1" t="s">
        <v>3883</v>
      </c>
      <c r="D1048" s="1" t="s">
        <v>3884</v>
      </c>
      <c r="E1048" s="1" t="s">
        <v>3787</v>
      </c>
      <c r="F1048" s="1" t="s">
        <v>3885</v>
      </c>
      <c r="G1048" s="50" t="s">
        <v>3886</v>
      </c>
      <c r="H1048" s="37" t="s">
        <v>50</v>
      </c>
      <c r="I1048" s="50" t="s">
        <v>3887</v>
      </c>
      <c r="J1048" s="50" t="s">
        <v>3888</v>
      </c>
    </row>
    <row r="1049" customFormat="false" ht="12.8" hidden="false" customHeight="false" outlineLevel="0" collapsed="false">
      <c r="A1049" s="48"/>
      <c r="B1049" s="48"/>
      <c r="C1049" s="50"/>
      <c r="D1049" s="50"/>
      <c r="E1049" s="50" t="s">
        <v>3792</v>
      </c>
      <c r="F1049" s="50" t="s">
        <v>3889</v>
      </c>
      <c r="G1049" s="1" t="s">
        <v>3792</v>
      </c>
      <c r="H1049" s="37"/>
      <c r="I1049" s="1" t="s">
        <v>3792</v>
      </c>
      <c r="J1049" s="1" t="s">
        <v>3890</v>
      </c>
    </row>
    <row r="1050" customFormat="false" ht="12.8" hidden="false" customHeight="false" outlineLevel="0" collapsed="false">
      <c r="A1050" s="48"/>
      <c r="B1050" s="48"/>
      <c r="C1050" s="1" t="s">
        <v>3891</v>
      </c>
      <c r="D1050" s="1" t="s">
        <v>3892</v>
      </c>
      <c r="E1050" s="1" t="s">
        <v>3806</v>
      </c>
      <c r="F1050" s="1" t="s">
        <v>3893</v>
      </c>
      <c r="G1050" s="51" t="s">
        <v>3894</v>
      </c>
      <c r="H1050" s="34" t="s">
        <v>40</v>
      </c>
      <c r="I1050" s="51" t="s">
        <v>3895</v>
      </c>
      <c r="J1050" s="51" t="s">
        <v>3896</v>
      </c>
    </row>
    <row r="1051" customFormat="false" ht="12.8" hidden="false" customHeight="false" outlineLevel="0" collapsed="false">
      <c r="A1051" s="48"/>
      <c r="B1051" s="49"/>
      <c r="C1051" s="51"/>
      <c r="D1051" s="51"/>
      <c r="E1051" s="51" t="s">
        <v>3792</v>
      </c>
      <c r="F1051" s="51" t="s">
        <v>3897</v>
      </c>
      <c r="G1051" s="1" t="s">
        <v>3792</v>
      </c>
      <c r="H1051" s="34"/>
      <c r="I1051" s="1" t="s">
        <v>3792</v>
      </c>
      <c r="J1051" s="1" t="s">
        <v>3898</v>
      </c>
    </row>
    <row r="1052" customFormat="false" ht="12.8" hidden="false" customHeight="true" outlineLevel="0" collapsed="false">
      <c r="A1052" s="48"/>
      <c r="B1052" s="49" t="s">
        <v>3899</v>
      </c>
      <c r="C1052" s="1" t="s">
        <v>3900</v>
      </c>
      <c r="D1052" s="1" t="s">
        <v>3901</v>
      </c>
      <c r="E1052" s="1" t="s">
        <v>3797</v>
      </c>
      <c r="F1052" s="1" t="s">
        <v>3902</v>
      </c>
      <c r="G1052" s="50" t="s">
        <v>3903</v>
      </c>
      <c r="H1052" s="39" t="s">
        <v>67</v>
      </c>
      <c r="I1052" s="50" t="s">
        <v>3904</v>
      </c>
      <c r="J1052" s="50" t="s">
        <v>3905</v>
      </c>
    </row>
    <row r="1053" customFormat="false" ht="12.8" hidden="false" customHeight="false" outlineLevel="0" collapsed="false">
      <c r="A1053" s="48"/>
      <c r="B1053" s="48"/>
      <c r="C1053" s="50"/>
      <c r="D1053" s="50"/>
      <c r="E1053" s="50" t="s">
        <v>3792</v>
      </c>
      <c r="F1053" s="50" t="s">
        <v>3906</v>
      </c>
      <c r="G1053" s="1" t="s">
        <v>3792</v>
      </c>
      <c r="H1053" s="39"/>
      <c r="I1053" s="1" t="s">
        <v>3792</v>
      </c>
      <c r="J1053" s="1" t="s">
        <v>3907</v>
      </c>
    </row>
    <row r="1054" customFormat="false" ht="12.8" hidden="false" customHeight="false" outlineLevel="0" collapsed="false">
      <c r="A1054" s="48"/>
      <c r="B1054" s="48"/>
      <c r="C1054" s="1" t="s">
        <v>3908</v>
      </c>
      <c r="D1054" s="1" t="s">
        <v>3909</v>
      </c>
      <c r="E1054" s="1" t="s">
        <v>3787</v>
      </c>
      <c r="F1054" s="1" t="s">
        <v>3910</v>
      </c>
      <c r="G1054" s="50" t="s">
        <v>3911</v>
      </c>
      <c r="H1054" s="34" t="s">
        <v>40</v>
      </c>
      <c r="I1054" s="50" t="s">
        <v>3912</v>
      </c>
      <c r="J1054" s="50" t="s">
        <v>3913</v>
      </c>
    </row>
    <row r="1055" customFormat="false" ht="12.8" hidden="false" customHeight="false" outlineLevel="0" collapsed="false">
      <c r="A1055" s="48"/>
      <c r="B1055" s="48"/>
      <c r="C1055" s="50"/>
      <c r="D1055" s="50"/>
      <c r="E1055" s="50" t="s">
        <v>3792</v>
      </c>
      <c r="F1055" s="50" t="s">
        <v>3914</v>
      </c>
      <c r="G1055" s="1" t="s">
        <v>3792</v>
      </c>
      <c r="H1055" s="34"/>
      <c r="I1055" s="1" t="s">
        <v>3792</v>
      </c>
      <c r="J1055" s="1" t="s">
        <v>3915</v>
      </c>
    </row>
    <row r="1056" customFormat="false" ht="12.8" hidden="false" customHeight="false" outlineLevel="0" collapsed="false">
      <c r="A1056" s="48"/>
      <c r="B1056" s="48"/>
      <c r="C1056" s="1" t="s">
        <v>3916</v>
      </c>
      <c r="D1056" s="1" t="s">
        <v>3917</v>
      </c>
      <c r="E1056" s="1" t="s">
        <v>3787</v>
      </c>
      <c r="F1056" s="1" t="s">
        <v>3918</v>
      </c>
      <c r="G1056" s="50" t="s">
        <v>3919</v>
      </c>
      <c r="H1056" s="37" t="s">
        <v>50</v>
      </c>
      <c r="I1056" s="50" t="s">
        <v>3920</v>
      </c>
      <c r="J1056" s="50" t="s">
        <v>3921</v>
      </c>
    </row>
    <row r="1057" customFormat="false" ht="12.8" hidden="false" customHeight="false" outlineLevel="0" collapsed="false">
      <c r="A1057" s="48"/>
      <c r="B1057" s="48"/>
      <c r="C1057" s="50"/>
      <c r="D1057" s="50"/>
      <c r="E1057" s="50" t="s">
        <v>3792</v>
      </c>
      <c r="F1057" s="50" t="s">
        <v>3922</v>
      </c>
      <c r="G1057" s="1" t="s">
        <v>3792</v>
      </c>
      <c r="H1057" s="37"/>
      <c r="I1057" s="1" t="s">
        <v>3792</v>
      </c>
      <c r="J1057" s="1" t="s">
        <v>3923</v>
      </c>
    </row>
    <row r="1058" customFormat="false" ht="12.8" hidden="false" customHeight="false" outlineLevel="0" collapsed="false">
      <c r="A1058" s="48"/>
      <c r="B1058" s="48"/>
      <c r="C1058" s="1" t="s">
        <v>3924</v>
      </c>
      <c r="D1058" s="1" t="s">
        <v>3925</v>
      </c>
      <c r="E1058" s="1" t="s">
        <v>3797</v>
      </c>
      <c r="F1058" s="1" t="s">
        <v>3926</v>
      </c>
      <c r="G1058" s="50" t="s">
        <v>3927</v>
      </c>
      <c r="H1058" s="34" t="s">
        <v>40</v>
      </c>
      <c r="I1058" s="50" t="s">
        <v>3928</v>
      </c>
      <c r="J1058" s="50" t="s">
        <v>3929</v>
      </c>
    </row>
    <row r="1059" customFormat="false" ht="12.8" hidden="false" customHeight="false" outlineLevel="0" collapsed="false">
      <c r="A1059" s="48"/>
      <c r="B1059" s="48"/>
      <c r="C1059" s="50"/>
      <c r="D1059" s="50"/>
      <c r="E1059" s="50" t="s">
        <v>3792</v>
      </c>
      <c r="F1059" s="50" t="s">
        <v>3930</v>
      </c>
      <c r="G1059" s="1" t="s">
        <v>3792</v>
      </c>
      <c r="H1059" s="34"/>
      <c r="I1059" s="1" t="s">
        <v>3792</v>
      </c>
      <c r="J1059" s="1" t="s">
        <v>3931</v>
      </c>
    </row>
    <row r="1060" customFormat="false" ht="12.8" hidden="false" customHeight="false" outlineLevel="0" collapsed="false">
      <c r="A1060" s="48"/>
      <c r="B1060" s="48"/>
      <c r="C1060" s="1" t="s">
        <v>3932</v>
      </c>
      <c r="D1060" s="1" t="s">
        <v>3933</v>
      </c>
      <c r="E1060" s="1" t="s">
        <v>3806</v>
      </c>
      <c r="F1060" s="1" t="s">
        <v>3934</v>
      </c>
      <c r="G1060" s="51" t="s">
        <v>3935</v>
      </c>
      <c r="H1060" s="39" t="s">
        <v>67</v>
      </c>
      <c r="I1060" s="51" t="s">
        <v>3936</v>
      </c>
      <c r="J1060" s="51" t="s">
        <v>3937</v>
      </c>
    </row>
    <row r="1061" customFormat="false" ht="12.8" hidden="false" customHeight="false" outlineLevel="0" collapsed="false">
      <c r="A1061" s="48"/>
      <c r="B1061" s="49"/>
      <c r="C1061" s="51"/>
      <c r="D1061" s="51"/>
      <c r="E1061" s="51" t="s">
        <v>3792</v>
      </c>
      <c r="F1061" s="51" t="s">
        <v>3938</v>
      </c>
      <c r="G1061" s="1" t="s">
        <v>3792</v>
      </c>
      <c r="H1061" s="39"/>
      <c r="I1061" s="1" t="s">
        <v>3792</v>
      </c>
      <c r="J1061" s="1" t="s">
        <v>3939</v>
      </c>
    </row>
    <row r="1062" customFormat="false" ht="12.8" hidden="false" customHeight="false" outlineLevel="0" collapsed="false">
      <c r="A1062" s="48"/>
      <c r="B1062" s="48" t="s">
        <v>3940</v>
      </c>
      <c r="C1062" s="1" t="s">
        <v>3941</v>
      </c>
      <c r="D1062" s="1" t="s">
        <v>3942</v>
      </c>
      <c r="E1062" s="1" t="s">
        <v>3806</v>
      </c>
      <c r="F1062" s="1" t="s">
        <v>3943</v>
      </c>
      <c r="G1062" s="50" t="s">
        <v>3944</v>
      </c>
      <c r="H1062" s="34" t="s">
        <v>40</v>
      </c>
      <c r="I1062" s="50" t="s">
        <v>3945</v>
      </c>
      <c r="J1062" s="50" t="s">
        <v>3946</v>
      </c>
    </row>
    <row r="1063" customFormat="false" ht="12.8" hidden="false" customHeight="false" outlineLevel="0" collapsed="false">
      <c r="A1063" s="48"/>
      <c r="B1063" s="48"/>
      <c r="C1063" s="50"/>
      <c r="D1063" s="50"/>
      <c r="E1063" s="50" t="s">
        <v>3792</v>
      </c>
      <c r="F1063" s="50" t="s">
        <v>3947</v>
      </c>
      <c r="G1063" s="1" t="s">
        <v>3792</v>
      </c>
      <c r="H1063" s="34"/>
      <c r="I1063" s="1" t="s">
        <v>3792</v>
      </c>
      <c r="J1063" s="1" t="s">
        <v>3948</v>
      </c>
    </row>
    <row r="1064" customFormat="false" ht="12.8" hidden="false" customHeight="false" outlineLevel="0" collapsed="false">
      <c r="A1064" s="48"/>
      <c r="B1064" s="48"/>
      <c r="C1064" s="1" t="s">
        <v>3949</v>
      </c>
      <c r="D1064" s="1" t="s">
        <v>3950</v>
      </c>
      <c r="E1064" s="1" t="s">
        <v>3787</v>
      </c>
      <c r="F1064" s="1" t="s">
        <v>3951</v>
      </c>
      <c r="G1064" s="50" t="s">
        <v>3952</v>
      </c>
      <c r="H1064" s="37" t="s">
        <v>50</v>
      </c>
      <c r="I1064" s="50" t="s">
        <v>3953</v>
      </c>
      <c r="J1064" s="50" t="s">
        <v>3954</v>
      </c>
    </row>
    <row r="1065" customFormat="false" ht="12.8" hidden="false" customHeight="false" outlineLevel="0" collapsed="false">
      <c r="A1065" s="48"/>
      <c r="B1065" s="48"/>
      <c r="C1065" s="50"/>
      <c r="D1065" s="50"/>
      <c r="E1065" s="50" t="s">
        <v>3792</v>
      </c>
      <c r="F1065" s="50" t="s">
        <v>3955</v>
      </c>
      <c r="G1065" s="1" t="s">
        <v>3792</v>
      </c>
      <c r="H1065" s="37"/>
      <c r="I1065" s="1" t="s">
        <v>3792</v>
      </c>
      <c r="J1065" s="1" t="s">
        <v>3956</v>
      </c>
    </row>
    <row r="1066" customFormat="false" ht="12.8" hidden="false" customHeight="false" outlineLevel="0" collapsed="false">
      <c r="A1066" s="48"/>
      <c r="B1066" s="48"/>
      <c r="C1066" s="1" t="s">
        <v>3957</v>
      </c>
      <c r="D1066" s="1" t="s">
        <v>3958</v>
      </c>
      <c r="E1066" s="1" t="s">
        <v>3797</v>
      </c>
      <c r="F1066" s="1" t="s">
        <v>3959</v>
      </c>
      <c r="G1066" s="50" t="s">
        <v>3960</v>
      </c>
      <c r="H1066" s="34" t="s">
        <v>40</v>
      </c>
      <c r="I1066" s="50" t="s">
        <v>3961</v>
      </c>
      <c r="J1066" s="50" t="s">
        <v>3962</v>
      </c>
    </row>
    <row r="1067" customFormat="false" ht="12.8" hidden="false" customHeight="false" outlineLevel="0" collapsed="false">
      <c r="A1067" s="48"/>
      <c r="B1067" s="48"/>
      <c r="C1067" s="50"/>
      <c r="D1067" s="50"/>
      <c r="E1067" s="50" t="s">
        <v>3792</v>
      </c>
      <c r="F1067" s="50" t="s">
        <v>3963</v>
      </c>
      <c r="G1067" s="1" t="s">
        <v>3792</v>
      </c>
      <c r="H1067" s="34"/>
      <c r="I1067" s="1" t="s">
        <v>3792</v>
      </c>
      <c r="J1067" s="1" t="s">
        <v>3964</v>
      </c>
    </row>
    <row r="1068" customFormat="false" ht="12.8" hidden="false" customHeight="false" outlineLevel="0" collapsed="false">
      <c r="A1068" s="48"/>
      <c r="B1068" s="48"/>
      <c r="C1068" s="1" t="s">
        <v>3965</v>
      </c>
      <c r="D1068" s="1" t="s">
        <v>3966</v>
      </c>
      <c r="E1068" s="1" t="s">
        <v>3787</v>
      </c>
      <c r="F1068" s="1" t="s">
        <v>3967</v>
      </c>
      <c r="G1068" s="50" t="s">
        <v>3968</v>
      </c>
      <c r="H1068" s="39" t="s">
        <v>67</v>
      </c>
      <c r="I1068" s="50" t="s">
        <v>3969</v>
      </c>
      <c r="J1068" s="50" t="s">
        <v>3970</v>
      </c>
    </row>
    <row r="1069" customFormat="false" ht="12.8" hidden="false" customHeight="false" outlineLevel="0" collapsed="false">
      <c r="A1069" s="48"/>
      <c r="B1069" s="48"/>
      <c r="C1069" s="50"/>
      <c r="D1069" s="50"/>
      <c r="E1069" s="50" t="s">
        <v>3792</v>
      </c>
      <c r="F1069" s="50" t="s">
        <v>3971</v>
      </c>
      <c r="G1069" s="1" t="s">
        <v>3792</v>
      </c>
      <c r="H1069" s="39"/>
      <c r="I1069" s="1" t="s">
        <v>3792</v>
      </c>
      <c r="J1069" s="1" t="s">
        <v>3972</v>
      </c>
    </row>
    <row r="1070" customFormat="false" ht="12.8" hidden="false" customHeight="false" outlineLevel="0" collapsed="false">
      <c r="A1070" s="48"/>
      <c r="B1070" s="48"/>
      <c r="C1070" s="1" t="s">
        <v>3973</v>
      </c>
      <c r="D1070" s="1" t="s">
        <v>3974</v>
      </c>
      <c r="E1070" s="1" t="s">
        <v>3806</v>
      </c>
      <c r="F1070" s="1" t="s">
        <v>3975</v>
      </c>
      <c r="G1070" s="50" t="s">
        <v>3976</v>
      </c>
      <c r="H1070" s="34" t="s">
        <v>40</v>
      </c>
      <c r="I1070" s="50" t="s">
        <v>3977</v>
      </c>
      <c r="J1070" s="50" t="s">
        <v>3978</v>
      </c>
    </row>
    <row r="1071" customFormat="false" ht="12.8" hidden="false" customHeight="false" outlineLevel="0" collapsed="false">
      <c r="A1071" s="48"/>
      <c r="B1071" s="48"/>
      <c r="C1071" s="50"/>
      <c r="D1071" s="50"/>
      <c r="E1071" s="50" t="s">
        <v>3792</v>
      </c>
      <c r="F1071" s="50" t="s">
        <v>3979</v>
      </c>
      <c r="G1071" s="1" t="s">
        <v>3792</v>
      </c>
      <c r="H1071" s="34"/>
      <c r="I1071" s="1" t="s">
        <v>3792</v>
      </c>
      <c r="J1071" s="1" t="s">
        <v>3980</v>
      </c>
    </row>
    <row r="1072" customFormat="false" ht="12.8" hidden="false" customHeight="false" outlineLevel="0" collapsed="false">
      <c r="A1072" s="48"/>
      <c r="B1072" s="48"/>
      <c r="E1072" s="1" t="s">
        <v>3797</v>
      </c>
      <c r="G1072" s="54"/>
      <c r="H1072" s="37" t="s">
        <v>50</v>
      </c>
      <c r="I1072" s="54"/>
      <c r="J1072" s="54" t="s">
        <v>3981</v>
      </c>
    </row>
    <row r="1073" customFormat="false" ht="12.8" hidden="false" customHeight="false" outlineLevel="0" collapsed="false">
      <c r="A1073" s="48"/>
      <c r="B1073" s="48"/>
      <c r="C1073" s="54"/>
      <c r="D1073" s="54"/>
      <c r="E1073" s="54" t="s">
        <v>3792</v>
      </c>
      <c r="F1073" s="54"/>
      <c r="H1073" s="37"/>
      <c r="J1073" s="1" t="s">
        <v>3982</v>
      </c>
    </row>
    <row r="1074" customFormat="false" ht="12.8" hidden="false" customHeight="true" outlineLevel="0" collapsed="false">
      <c r="A1074" s="48" t="s">
        <v>3983</v>
      </c>
      <c r="B1074" s="49" t="s">
        <v>3984</v>
      </c>
      <c r="C1074" s="1" t="s">
        <v>3985</v>
      </c>
      <c r="D1074" s="1" t="s">
        <v>3986</v>
      </c>
      <c r="E1074" s="1" t="s">
        <v>3797</v>
      </c>
      <c r="F1074" s="1" t="s">
        <v>3987</v>
      </c>
      <c r="G1074" s="50" t="s">
        <v>3988</v>
      </c>
      <c r="H1074" s="34" t="s">
        <v>40</v>
      </c>
      <c r="I1074" s="50" t="s">
        <v>3989</v>
      </c>
      <c r="J1074" s="50" t="s">
        <v>3990</v>
      </c>
    </row>
    <row r="1075" customFormat="false" ht="12.8" hidden="false" customHeight="false" outlineLevel="0" collapsed="false">
      <c r="A1075" s="48"/>
      <c r="B1075" s="48"/>
      <c r="C1075" s="50"/>
      <c r="D1075" s="50"/>
      <c r="E1075" s="50" t="s">
        <v>3792</v>
      </c>
      <c r="F1075" s="50" t="s">
        <v>3991</v>
      </c>
      <c r="G1075" s="1" t="s">
        <v>3792</v>
      </c>
      <c r="H1075" s="34"/>
      <c r="I1075" s="1" t="s">
        <v>3792</v>
      </c>
      <c r="J1075" s="1" t="s">
        <v>3992</v>
      </c>
    </row>
    <row r="1076" customFormat="false" ht="12.8" hidden="false" customHeight="false" outlineLevel="0" collapsed="false">
      <c r="A1076" s="48"/>
      <c r="B1076" s="48"/>
      <c r="C1076" s="1" t="s">
        <v>3993</v>
      </c>
      <c r="D1076" s="1" t="s">
        <v>3994</v>
      </c>
      <c r="E1076" s="1" t="s">
        <v>3787</v>
      </c>
      <c r="F1076" s="1" t="s">
        <v>3995</v>
      </c>
      <c r="G1076" s="50" t="s">
        <v>3996</v>
      </c>
      <c r="H1076" s="39" t="s">
        <v>67</v>
      </c>
      <c r="I1076" s="50" t="s">
        <v>3997</v>
      </c>
      <c r="J1076" s="50" t="s">
        <v>3998</v>
      </c>
    </row>
    <row r="1077" customFormat="false" ht="12.8" hidden="false" customHeight="false" outlineLevel="0" collapsed="false">
      <c r="A1077" s="48"/>
      <c r="B1077" s="48"/>
      <c r="C1077" s="50"/>
      <c r="D1077" s="50"/>
      <c r="E1077" s="50" t="s">
        <v>3792</v>
      </c>
      <c r="F1077" s="50" t="s">
        <v>3999</v>
      </c>
      <c r="G1077" s="1" t="s">
        <v>3792</v>
      </c>
      <c r="H1077" s="39"/>
      <c r="I1077" s="1" t="s">
        <v>3792</v>
      </c>
      <c r="J1077" s="1" t="s">
        <v>4000</v>
      </c>
    </row>
    <row r="1078" customFormat="false" ht="12.8" hidden="false" customHeight="false" outlineLevel="0" collapsed="false">
      <c r="A1078" s="48"/>
      <c r="B1078" s="48"/>
      <c r="C1078" s="1" t="s">
        <v>4001</v>
      </c>
      <c r="D1078" s="1" t="s">
        <v>4002</v>
      </c>
      <c r="E1078" s="1" t="s">
        <v>3806</v>
      </c>
      <c r="F1078" s="1" t="s">
        <v>3995</v>
      </c>
      <c r="G1078" s="50" t="s">
        <v>4003</v>
      </c>
      <c r="H1078" s="34" t="s">
        <v>40</v>
      </c>
      <c r="I1078" s="50" t="s">
        <v>4004</v>
      </c>
      <c r="J1078" s="50" t="s">
        <v>4005</v>
      </c>
    </row>
    <row r="1079" customFormat="false" ht="12.8" hidden="false" customHeight="false" outlineLevel="0" collapsed="false">
      <c r="A1079" s="48"/>
      <c r="B1079" s="48"/>
      <c r="C1079" s="50"/>
      <c r="D1079" s="50"/>
      <c r="E1079" s="50" t="s">
        <v>3792</v>
      </c>
      <c r="F1079" s="50" t="s">
        <v>3999</v>
      </c>
      <c r="G1079" s="1" t="s">
        <v>3792</v>
      </c>
      <c r="H1079" s="34"/>
      <c r="I1079" s="1" t="s">
        <v>3792</v>
      </c>
      <c r="J1079" s="1" t="s">
        <v>4006</v>
      </c>
    </row>
    <row r="1080" customFormat="false" ht="12.8" hidden="false" customHeight="false" outlineLevel="0" collapsed="false">
      <c r="A1080" s="48"/>
      <c r="B1080" s="48"/>
      <c r="C1080" s="1" t="s">
        <v>4007</v>
      </c>
      <c r="D1080" s="1" t="s">
        <v>4008</v>
      </c>
      <c r="E1080" s="1" t="s">
        <v>3787</v>
      </c>
      <c r="F1080" s="1" t="s">
        <v>4009</v>
      </c>
      <c r="G1080" s="50" t="s">
        <v>4010</v>
      </c>
      <c r="H1080" s="37" t="s">
        <v>50</v>
      </c>
      <c r="I1080" s="50" t="s">
        <v>4011</v>
      </c>
      <c r="J1080" s="50" t="s">
        <v>4012</v>
      </c>
    </row>
    <row r="1081" customFormat="false" ht="12.8" hidden="false" customHeight="false" outlineLevel="0" collapsed="false">
      <c r="A1081" s="48"/>
      <c r="B1081" s="48"/>
      <c r="C1081" s="50"/>
      <c r="D1081" s="50"/>
      <c r="E1081" s="50" t="s">
        <v>3792</v>
      </c>
      <c r="F1081" s="50" t="s">
        <v>4013</v>
      </c>
      <c r="G1081" s="1" t="s">
        <v>3792</v>
      </c>
      <c r="H1081" s="37"/>
      <c r="I1081" s="1" t="s">
        <v>3792</v>
      </c>
      <c r="J1081" s="1" t="s">
        <v>4014</v>
      </c>
    </row>
    <row r="1082" customFormat="false" ht="12.8" hidden="false" customHeight="false" outlineLevel="0" collapsed="false">
      <c r="A1082" s="48"/>
      <c r="B1082" s="48"/>
      <c r="C1082" s="1" t="s">
        <v>4015</v>
      </c>
      <c r="D1082" s="1" t="s">
        <v>4016</v>
      </c>
      <c r="E1082" s="1" t="s">
        <v>3787</v>
      </c>
      <c r="F1082" s="1" t="s">
        <v>4017</v>
      </c>
      <c r="G1082" s="51" t="s">
        <v>4018</v>
      </c>
      <c r="H1082" s="34" t="s">
        <v>40</v>
      </c>
      <c r="I1082" s="51" t="s">
        <v>4019</v>
      </c>
      <c r="J1082" s="51" t="s">
        <v>4020</v>
      </c>
    </row>
    <row r="1083" customFormat="false" ht="12.8" hidden="false" customHeight="false" outlineLevel="0" collapsed="false">
      <c r="A1083" s="48"/>
      <c r="B1083" s="49"/>
      <c r="C1083" s="51"/>
      <c r="D1083" s="51"/>
      <c r="E1083" s="51" t="s">
        <v>3792</v>
      </c>
      <c r="F1083" s="50" t="s">
        <v>4021</v>
      </c>
      <c r="G1083" s="1" t="s">
        <v>3792</v>
      </c>
      <c r="H1083" s="34"/>
      <c r="I1083" s="1" t="s">
        <v>3792</v>
      </c>
      <c r="J1083" s="1" t="s">
        <v>4022</v>
      </c>
    </row>
    <row r="1084" customFormat="false" ht="12.8" hidden="false" customHeight="true" outlineLevel="0" collapsed="false">
      <c r="A1084" s="48"/>
      <c r="B1084" s="49" t="s">
        <v>4023</v>
      </c>
      <c r="C1084" s="1" t="s">
        <v>4024</v>
      </c>
      <c r="D1084" s="1" t="s">
        <v>4025</v>
      </c>
      <c r="E1084" s="1" t="s">
        <v>3797</v>
      </c>
      <c r="F1084" s="1" t="s">
        <v>4026</v>
      </c>
      <c r="G1084" s="50" t="s">
        <v>4027</v>
      </c>
      <c r="H1084" s="39" t="s">
        <v>67</v>
      </c>
      <c r="I1084" s="50" t="s">
        <v>4028</v>
      </c>
      <c r="J1084" s="50" t="s">
        <v>4029</v>
      </c>
    </row>
    <row r="1085" customFormat="false" ht="12.8" hidden="false" customHeight="false" outlineLevel="0" collapsed="false">
      <c r="A1085" s="48"/>
      <c r="B1085" s="48"/>
      <c r="C1085" s="50"/>
      <c r="D1085" s="50"/>
      <c r="E1085" s="50" t="s">
        <v>3792</v>
      </c>
      <c r="F1085" s="51" t="s">
        <v>4030</v>
      </c>
      <c r="G1085" s="1" t="s">
        <v>3792</v>
      </c>
      <c r="H1085" s="39"/>
      <c r="I1085" s="1" t="s">
        <v>3792</v>
      </c>
      <c r="J1085" s="1" t="s">
        <v>4031</v>
      </c>
    </row>
    <row r="1086" customFormat="false" ht="12.8" hidden="false" customHeight="false" outlineLevel="0" collapsed="false">
      <c r="A1086" s="48"/>
      <c r="B1086" s="48"/>
      <c r="C1086" s="1" t="s">
        <v>4032</v>
      </c>
      <c r="D1086" s="1" t="s">
        <v>4033</v>
      </c>
      <c r="E1086" s="1" t="s">
        <v>3797</v>
      </c>
      <c r="F1086" s="1" t="s">
        <v>4034</v>
      </c>
      <c r="G1086" s="50" t="s">
        <v>4035</v>
      </c>
      <c r="H1086" s="34" t="s">
        <v>40</v>
      </c>
      <c r="I1086" s="50" t="s">
        <v>4036</v>
      </c>
      <c r="J1086" s="50" t="s">
        <v>4037</v>
      </c>
    </row>
    <row r="1087" customFormat="false" ht="12.8" hidden="false" customHeight="false" outlineLevel="0" collapsed="false">
      <c r="A1087" s="48"/>
      <c r="B1087" s="48"/>
      <c r="C1087" s="50"/>
      <c r="D1087" s="50"/>
      <c r="E1087" s="50" t="s">
        <v>3792</v>
      </c>
      <c r="F1087" s="50" t="s">
        <v>4038</v>
      </c>
      <c r="G1087" s="1" t="s">
        <v>3792</v>
      </c>
      <c r="H1087" s="34"/>
      <c r="I1087" s="1" t="s">
        <v>3792</v>
      </c>
      <c r="J1087" s="1" t="s">
        <v>4039</v>
      </c>
    </row>
    <row r="1088" customFormat="false" ht="12.8" hidden="false" customHeight="false" outlineLevel="0" collapsed="false">
      <c r="A1088" s="48"/>
      <c r="B1088" s="48"/>
      <c r="C1088" s="1" t="s">
        <v>4040</v>
      </c>
      <c r="D1088" s="1" t="s">
        <v>4041</v>
      </c>
      <c r="E1088" s="1" t="s">
        <v>3787</v>
      </c>
      <c r="F1088" s="1" t="s">
        <v>4042</v>
      </c>
      <c r="G1088" s="50" t="s">
        <v>4043</v>
      </c>
      <c r="H1088" s="37" t="s">
        <v>50</v>
      </c>
      <c r="I1088" s="50" t="s">
        <v>4044</v>
      </c>
      <c r="J1088" s="50" t="s">
        <v>4045</v>
      </c>
    </row>
    <row r="1089" customFormat="false" ht="12.8" hidden="false" customHeight="false" outlineLevel="0" collapsed="false">
      <c r="A1089" s="48"/>
      <c r="B1089" s="48"/>
      <c r="C1089" s="50"/>
      <c r="D1089" s="50"/>
      <c r="E1089" s="50" t="s">
        <v>3792</v>
      </c>
      <c r="F1089" s="50" t="s">
        <v>4046</v>
      </c>
      <c r="G1089" s="1" t="s">
        <v>3792</v>
      </c>
      <c r="H1089" s="37"/>
      <c r="I1089" s="1" t="s">
        <v>3792</v>
      </c>
      <c r="J1089" s="1" t="s">
        <v>4047</v>
      </c>
    </row>
    <row r="1090" customFormat="false" ht="12.8" hidden="false" customHeight="false" outlineLevel="0" collapsed="false">
      <c r="A1090" s="48"/>
      <c r="B1090" s="48"/>
      <c r="C1090" s="1" t="s">
        <v>4048</v>
      </c>
      <c r="D1090" s="1" t="s">
        <v>4049</v>
      </c>
      <c r="E1090" s="1" t="s">
        <v>3806</v>
      </c>
      <c r="F1090" s="1" t="s">
        <v>4050</v>
      </c>
      <c r="G1090" s="50" t="s">
        <v>4051</v>
      </c>
      <c r="H1090" s="34" t="s">
        <v>40</v>
      </c>
      <c r="I1090" s="50" t="s">
        <v>4052</v>
      </c>
      <c r="J1090" s="50" t="s">
        <v>4053</v>
      </c>
    </row>
    <row r="1091" customFormat="false" ht="12.8" hidden="false" customHeight="false" outlineLevel="0" collapsed="false">
      <c r="A1091" s="48"/>
      <c r="B1091" s="48"/>
      <c r="C1091" s="50"/>
      <c r="D1091" s="50"/>
      <c r="E1091" s="50" t="s">
        <v>3792</v>
      </c>
      <c r="F1091" s="50" t="s">
        <v>4054</v>
      </c>
      <c r="G1091" s="1" t="s">
        <v>3792</v>
      </c>
      <c r="H1091" s="34"/>
      <c r="I1091" s="1" t="s">
        <v>3792</v>
      </c>
      <c r="J1091" s="1" t="s">
        <v>4055</v>
      </c>
    </row>
    <row r="1092" customFormat="false" ht="12.8" hidden="false" customHeight="false" outlineLevel="0" collapsed="false">
      <c r="A1092" s="48"/>
      <c r="B1092" s="48"/>
      <c r="C1092" s="1" t="s">
        <v>4056</v>
      </c>
      <c r="D1092" s="1" t="s">
        <v>4057</v>
      </c>
      <c r="E1092" s="1" t="s">
        <v>3787</v>
      </c>
      <c r="F1092" s="1" t="s">
        <v>4058</v>
      </c>
      <c r="G1092" s="51" t="s">
        <v>4059</v>
      </c>
      <c r="H1092" s="39" t="s">
        <v>67</v>
      </c>
      <c r="I1092" s="51" t="s">
        <v>4060</v>
      </c>
      <c r="J1092" s="51" t="s">
        <v>4061</v>
      </c>
    </row>
    <row r="1093" customFormat="false" ht="12.8" hidden="false" customHeight="false" outlineLevel="0" collapsed="false">
      <c r="A1093" s="48"/>
      <c r="B1093" s="49"/>
      <c r="C1093" s="51"/>
      <c r="D1093" s="51"/>
      <c r="E1093" s="51" t="s">
        <v>3792</v>
      </c>
      <c r="F1093" s="51" t="s">
        <v>4062</v>
      </c>
      <c r="G1093" s="1" t="s">
        <v>3792</v>
      </c>
      <c r="H1093" s="39"/>
      <c r="I1093" s="1" t="s">
        <v>3792</v>
      </c>
      <c r="J1093" s="1" t="s">
        <v>4063</v>
      </c>
    </row>
    <row r="1094" customFormat="false" ht="12.8" hidden="false" customHeight="true" outlineLevel="0" collapsed="false">
      <c r="A1094" s="48"/>
      <c r="B1094" s="49" t="s">
        <v>4064</v>
      </c>
      <c r="C1094" s="1" t="s">
        <v>4065</v>
      </c>
      <c r="D1094" s="1" t="s">
        <v>4066</v>
      </c>
      <c r="E1094" s="1" t="s">
        <v>3797</v>
      </c>
      <c r="F1094" s="1" t="s">
        <v>4067</v>
      </c>
      <c r="G1094" s="50" t="s">
        <v>4068</v>
      </c>
      <c r="H1094" s="34" t="s">
        <v>40</v>
      </c>
      <c r="I1094" s="50" t="s">
        <v>4069</v>
      </c>
      <c r="J1094" s="50" t="s">
        <v>4070</v>
      </c>
    </row>
    <row r="1095" customFormat="false" ht="12.8" hidden="false" customHeight="false" outlineLevel="0" collapsed="false">
      <c r="A1095" s="48"/>
      <c r="B1095" s="48"/>
      <c r="C1095" s="50"/>
      <c r="D1095" s="50"/>
      <c r="E1095" s="50" t="s">
        <v>3792</v>
      </c>
      <c r="F1095" s="50" t="s">
        <v>4071</v>
      </c>
      <c r="G1095" s="1" t="s">
        <v>3792</v>
      </c>
      <c r="H1095" s="34"/>
      <c r="I1095" s="1" t="s">
        <v>3792</v>
      </c>
      <c r="J1095" s="1" t="s">
        <v>4072</v>
      </c>
    </row>
    <row r="1096" customFormat="false" ht="12.8" hidden="false" customHeight="false" outlineLevel="0" collapsed="false">
      <c r="A1096" s="48"/>
      <c r="B1096" s="48"/>
      <c r="C1096" s="1" t="s">
        <v>4073</v>
      </c>
      <c r="D1096" s="1" t="s">
        <v>4074</v>
      </c>
      <c r="E1096" s="1" t="s">
        <v>3806</v>
      </c>
      <c r="F1096" s="1" t="s">
        <v>4075</v>
      </c>
      <c r="G1096" s="50" t="s">
        <v>4076</v>
      </c>
      <c r="H1096" s="37" t="s">
        <v>50</v>
      </c>
      <c r="I1096" s="50" t="s">
        <v>4077</v>
      </c>
      <c r="J1096" s="50" t="s">
        <v>4078</v>
      </c>
    </row>
    <row r="1097" customFormat="false" ht="12.8" hidden="false" customHeight="false" outlineLevel="0" collapsed="false">
      <c r="A1097" s="48"/>
      <c r="B1097" s="48"/>
      <c r="C1097" s="50"/>
      <c r="D1097" s="50"/>
      <c r="E1097" s="50" t="s">
        <v>3792</v>
      </c>
      <c r="F1097" s="50" t="s">
        <v>4079</v>
      </c>
      <c r="G1097" s="1" t="s">
        <v>3792</v>
      </c>
      <c r="H1097" s="37"/>
      <c r="I1097" s="1" t="s">
        <v>3792</v>
      </c>
      <c r="J1097" s="1" t="s">
        <v>4080</v>
      </c>
    </row>
    <row r="1098" customFormat="false" ht="12.8" hidden="false" customHeight="false" outlineLevel="0" collapsed="false">
      <c r="A1098" s="48"/>
      <c r="B1098" s="48"/>
      <c r="C1098" s="1" t="s">
        <v>4081</v>
      </c>
      <c r="D1098" s="1" t="s">
        <v>4082</v>
      </c>
      <c r="E1098" s="1" t="s">
        <v>3787</v>
      </c>
      <c r="F1098" s="1" t="s">
        <v>4083</v>
      </c>
      <c r="G1098" s="50" t="s">
        <v>4084</v>
      </c>
      <c r="H1098" s="34" t="s">
        <v>40</v>
      </c>
      <c r="I1098" s="50" t="s">
        <v>4085</v>
      </c>
      <c r="J1098" s="50" t="s">
        <v>4086</v>
      </c>
    </row>
    <row r="1099" customFormat="false" ht="12.8" hidden="false" customHeight="false" outlineLevel="0" collapsed="false">
      <c r="A1099" s="48"/>
      <c r="B1099" s="48"/>
      <c r="C1099" s="50"/>
      <c r="D1099" s="50"/>
      <c r="E1099" s="50" t="s">
        <v>3792</v>
      </c>
      <c r="F1099" s="50" t="s">
        <v>4087</v>
      </c>
      <c r="G1099" s="1" t="s">
        <v>3792</v>
      </c>
      <c r="H1099" s="34"/>
      <c r="I1099" s="1" t="s">
        <v>3792</v>
      </c>
      <c r="J1099" s="1" t="s">
        <v>4088</v>
      </c>
    </row>
    <row r="1100" customFormat="false" ht="12.8" hidden="false" customHeight="false" outlineLevel="0" collapsed="false">
      <c r="A1100" s="48"/>
      <c r="B1100" s="48"/>
      <c r="C1100" s="1" t="s">
        <v>4089</v>
      </c>
      <c r="D1100" s="1" t="s">
        <v>4090</v>
      </c>
      <c r="E1100" s="1" t="s">
        <v>3787</v>
      </c>
      <c r="F1100" s="1" t="s">
        <v>4091</v>
      </c>
      <c r="G1100" s="50" t="s">
        <v>4092</v>
      </c>
      <c r="H1100" s="39" t="s">
        <v>67</v>
      </c>
      <c r="I1100" s="50" t="s">
        <v>4093</v>
      </c>
      <c r="J1100" s="50" t="s">
        <v>4094</v>
      </c>
    </row>
    <row r="1101" customFormat="false" ht="12.8" hidden="false" customHeight="false" outlineLevel="0" collapsed="false">
      <c r="A1101" s="48"/>
      <c r="B1101" s="48"/>
      <c r="C1101" s="50"/>
      <c r="D1101" s="50"/>
      <c r="E1101" s="50" t="s">
        <v>3792</v>
      </c>
      <c r="F1101" s="50" t="s">
        <v>4095</v>
      </c>
      <c r="G1101" s="1" t="s">
        <v>3792</v>
      </c>
      <c r="H1101" s="39"/>
      <c r="I1101" s="1" t="s">
        <v>3792</v>
      </c>
      <c r="J1101" s="1" t="s">
        <v>4096</v>
      </c>
    </row>
    <row r="1102" customFormat="false" ht="12.8" hidden="false" customHeight="false" outlineLevel="0" collapsed="false">
      <c r="A1102" s="48"/>
      <c r="B1102" s="48"/>
      <c r="C1102" s="1" t="s">
        <v>4097</v>
      </c>
      <c r="D1102" s="1" t="s">
        <v>4098</v>
      </c>
      <c r="E1102" s="1" t="s">
        <v>3797</v>
      </c>
      <c r="F1102" s="1" t="s">
        <v>4099</v>
      </c>
      <c r="G1102" s="51" t="s">
        <v>4100</v>
      </c>
      <c r="H1102" s="34" t="s">
        <v>40</v>
      </c>
      <c r="I1102" s="51" t="s">
        <v>4101</v>
      </c>
      <c r="J1102" s="51" t="s">
        <v>4102</v>
      </c>
    </row>
    <row r="1103" customFormat="false" ht="12.8" hidden="false" customHeight="false" outlineLevel="0" collapsed="false">
      <c r="A1103" s="48"/>
      <c r="B1103" s="49"/>
      <c r="C1103" s="51"/>
      <c r="D1103" s="51"/>
      <c r="E1103" s="51" t="s">
        <v>3792</v>
      </c>
      <c r="F1103" s="51" t="s">
        <v>4103</v>
      </c>
      <c r="G1103" s="1" t="s">
        <v>3792</v>
      </c>
      <c r="H1103" s="34"/>
      <c r="I1103" s="1" t="s">
        <v>3792</v>
      </c>
      <c r="J1103" s="1" t="s">
        <v>4104</v>
      </c>
    </row>
    <row r="1104" customFormat="false" ht="12.8" hidden="false" customHeight="true" outlineLevel="0" collapsed="false">
      <c r="A1104" s="48"/>
      <c r="B1104" s="49" t="s">
        <v>4105</v>
      </c>
      <c r="C1104" s="1" t="s">
        <v>4024</v>
      </c>
      <c r="D1104" s="1" t="s">
        <v>4025</v>
      </c>
      <c r="E1104" s="1" t="s">
        <v>3797</v>
      </c>
      <c r="F1104" s="1" t="s">
        <v>4106</v>
      </c>
      <c r="G1104" s="50" t="s">
        <v>4107</v>
      </c>
      <c r="H1104" s="37" t="s">
        <v>50</v>
      </c>
      <c r="I1104" s="50" t="s">
        <v>4108</v>
      </c>
      <c r="J1104" s="50" t="s">
        <v>4109</v>
      </c>
    </row>
    <row r="1105" customFormat="false" ht="12.8" hidden="false" customHeight="false" outlineLevel="0" collapsed="false">
      <c r="A1105" s="48"/>
      <c r="B1105" s="48"/>
      <c r="C1105" s="50"/>
      <c r="D1105" s="50"/>
      <c r="E1105" s="50" t="s">
        <v>3792</v>
      </c>
      <c r="F1105" s="50" t="s">
        <v>4110</v>
      </c>
      <c r="G1105" s="1" t="s">
        <v>3792</v>
      </c>
      <c r="H1105" s="37"/>
      <c r="I1105" s="1" t="s">
        <v>3792</v>
      </c>
      <c r="J1105" s="1" t="s">
        <v>4111</v>
      </c>
    </row>
    <row r="1106" customFormat="false" ht="12.8" hidden="false" customHeight="false" outlineLevel="0" collapsed="false">
      <c r="A1106" s="48"/>
      <c r="B1106" s="48"/>
      <c r="C1106" s="1" t="s">
        <v>4112</v>
      </c>
      <c r="D1106" s="1" t="s">
        <v>4113</v>
      </c>
      <c r="E1106" s="1" t="s">
        <v>3787</v>
      </c>
      <c r="F1106" s="1" t="s">
        <v>4114</v>
      </c>
      <c r="G1106" s="50" t="s">
        <v>4115</v>
      </c>
      <c r="H1106" s="34" t="s">
        <v>40</v>
      </c>
      <c r="I1106" s="50" t="s">
        <v>4116</v>
      </c>
      <c r="J1106" s="50" t="s">
        <v>4117</v>
      </c>
    </row>
    <row r="1107" customFormat="false" ht="12.8" hidden="false" customHeight="false" outlineLevel="0" collapsed="false">
      <c r="A1107" s="48"/>
      <c r="B1107" s="48"/>
      <c r="C1107" s="50"/>
      <c r="D1107" s="50"/>
      <c r="E1107" s="50" t="s">
        <v>3792</v>
      </c>
      <c r="F1107" s="50" t="s">
        <v>4118</v>
      </c>
      <c r="G1107" s="1" t="s">
        <v>3792</v>
      </c>
      <c r="H1107" s="34"/>
      <c r="I1107" s="1" t="s">
        <v>3792</v>
      </c>
      <c r="J1107" s="1" t="s">
        <v>4119</v>
      </c>
    </row>
    <row r="1108" customFormat="false" ht="12.8" hidden="false" customHeight="false" outlineLevel="0" collapsed="false">
      <c r="A1108" s="48"/>
      <c r="B1108" s="48"/>
      <c r="C1108" s="1" t="s">
        <v>4120</v>
      </c>
      <c r="D1108" s="1" t="s">
        <v>4121</v>
      </c>
      <c r="E1108" s="1" t="s">
        <v>3806</v>
      </c>
      <c r="F1108" s="1" t="s">
        <v>4122</v>
      </c>
      <c r="G1108" s="50" t="s">
        <v>4123</v>
      </c>
      <c r="H1108" s="39" t="s">
        <v>67</v>
      </c>
      <c r="I1108" s="50" t="s">
        <v>4124</v>
      </c>
      <c r="J1108" s="50" t="s">
        <v>4125</v>
      </c>
    </row>
    <row r="1109" customFormat="false" ht="12.8" hidden="false" customHeight="false" outlineLevel="0" collapsed="false">
      <c r="A1109" s="48"/>
      <c r="B1109" s="48"/>
      <c r="C1109" s="50"/>
      <c r="D1109" s="50"/>
      <c r="E1109" s="50" t="s">
        <v>3792</v>
      </c>
      <c r="F1109" s="50" t="s">
        <v>4126</v>
      </c>
      <c r="G1109" s="1" t="s">
        <v>3792</v>
      </c>
      <c r="H1109" s="39"/>
      <c r="I1109" s="1" t="s">
        <v>3792</v>
      </c>
      <c r="J1109" s="1" t="s">
        <v>4127</v>
      </c>
    </row>
    <row r="1110" customFormat="false" ht="12.8" hidden="false" customHeight="false" outlineLevel="0" collapsed="false">
      <c r="A1110" s="48"/>
      <c r="B1110" s="48"/>
      <c r="C1110" s="1" t="s">
        <v>4048</v>
      </c>
      <c r="D1110" s="1" t="s">
        <v>4049</v>
      </c>
      <c r="E1110" s="1" t="s">
        <v>3806</v>
      </c>
      <c r="F1110" s="1" t="s">
        <v>4050</v>
      </c>
      <c r="G1110" s="50" t="s">
        <v>4128</v>
      </c>
      <c r="H1110" s="34" t="s">
        <v>40</v>
      </c>
      <c r="I1110" s="50" t="s">
        <v>4129</v>
      </c>
      <c r="J1110" s="50" t="s">
        <v>4130</v>
      </c>
    </row>
    <row r="1111" customFormat="false" ht="12.8" hidden="false" customHeight="false" outlineLevel="0" collapsed="false">
      <c r="A1111" s="48"/>
      <c r="B1111" s="48"/>
      <c r="C1111" s="50"/>
      <c r="D1111" s="50"/>
      <c r="E1111" s="50" t="s">
        <v>3792</v>
      </c>
      <c r="F1111" s="50" t="s">
        <v>4131</v>
      </c>
      <c r="G1111" s="1" t="s">
        <v>3792</v>
      </c>
      <c r="H1111" s="34"/>
      <c r="I1111" s="1" t="s">
        <v>3792</v>
      </c>
      <c r="J1111" s="1" t="s">
        <v>4132</v>
      </c>
    </row>
    <row r="1112" customFormat="false" ht="12.8" hidden="false" customHeight="false" outlineLevel="0" collapsed="false">
      <c r="A1112" s="48"/>
      <c r="B1112" s="48"/>
      <c r="C1112" s="1" t="s">
        <v>4056</v>
      </c>
      <c r="D1112" s="1" t="s">
        <v>4057</v>
      </c>
      <c r="E1112" s="1" t="s">
        <v>3787</v>
      </c>
      <c r="F1112" s="1" t="s">
        <v>4133</v>
      </c>
      <c r="G1112" s="51" t="s">
        <v>4134</v>
      </c>
      <c r="H1112" s="37" t="s">
        <v>50</v>
      </c>
      <c r="I1112" s="51" t="s">
        <v>4135</v>
      </c>
      <c r="J1112" s="51" t="s">
        <v>4136</v>
      </c>
    </row>
    <row r="1113" customFormat="false" ht="12.8" hidden="false" customHeight="false" outlineLevel="0" collapsed="false">
      <c r="A1113" s="48"/>
      <c r="B1113" s="49"/>
      <c r="C1113" s="51"/>
      <c r="D1113" s="51"/>
      <c r="E1113" s="51" t="s">
        <v>3792</v>
      </c>
      <c r="F1113" s="51" t="s">
        <v>4137</v>
      </c>
      <c r="G1113" s="1" t="s">
        <v>3792</v>
      </c>
      <c r="H1113" s="37"/>
      <c r="I1113" s="1" t="s">
        <v>3792</v>
      </c>
      <c r="J1113" s="1" t="s">
        <v>4138</v>
      </c>
    </row>
    <row r="1114" customFormat="false" ht="12.8" hidden="false" customHeight="true" outlineLevel="0" collapsed="false">
      <c r="A1114" s="48"/>
      <c r="B1114" s="49" t="s">
        <v>4139</v>
      </c>
      <c r="C1114" s="1" t="s">
        <v>4140</v>
      </c>
      <c r="D1114" s="1" t="s">
        <v>4141</v>
      </c>
      <c r="E1114" s="1" t="s">
        <v>3797</v>
      </c>
      <c r="F1114" s="1" t="s">
        <v>4142</v>
      </c>
      <c r="G1114" s="50" t="s">
        <v>4143</v>
      </c>
      <c r="H1114" s="34" t="s">
        <v>40</v>
      </c>
      <c r="I1114" s="50" t="s">
        <v>4144</v>
      </c>
      <c r="J1114" s="50" t="s">
        <v>4145</v>
      </c>
    </row>
    <row r="1115" customFormat="false" ht="12.8" hidden="false" customHeight="false" outlineLevel="0" collapsed="false">
      <c r="A1115" s="48"/>
      <c r="B1115" s="48"/>
      <c r="C1115" s="50"/>
      <c r="D1115" s="50"/>
      <c r="E1115" s="50" t="s">
        <v>3792</v>
      </c>
      <c r="F1115" s="50" t="s">
        <v>4146</v>
      </c>
      <c r="G1115" s="1" t="s">
        <v>3792</v>
      </c>
      <c r="H1115" s="34"/>
      <c r="I1115" s="1" t="s">
        <v>3792</v>
      </c>
      <c r="J1115" s="1" t="s">
        <v>4147</v>
      </c>
    </row>
    <row r="1116" customFormat="false" ht="12.8" hidden="false" customHeight="false" outlineLevel="0" collapsed="false">
      <c r="A1116" s="48"/>
      <c r="B1116" s="48"/>
      <c r="C1116" s="1" t="s">
        <v>4148</v>
      </c>
      <c r="D1116" s="1" t="s">
        <v>4149</v>
      </c>
      <c r="E1116" s="1" t="s">
        <v>3787</v>
      </c>
      <c r="F1116" s="1" t="s">
        <v>4150</v>
      </c>
      <c r="G1116" s="50" t="s">
        <v>4151</v>
      </c>
      <c r="H1116" s="39" t="s">
        <v>67</v>
      </c>
      <c r="I1116" s="50" t="s">
        <v>4152</v>
      </c>
      <c r="J1116" s="50" t="s">
        <v>4153</v>
      </c>
    </row>
    <row r="1117" customFormat="false" ht="12.8" hidden="false" customHeight="false" outlineLevel="0" collapsed="false">
      <c r="A1117" s="48"/>
      <c r="B1117" s="48"/>
      <c r="C1117" s="50"/>
      <c r="D1117" s="50"/>
      <c r="E1117" s="50" t="s">
        <v>3792</v>
      </c>
      <c r="F1117" s="50" t="s">
        <v>4154</v>
      </c>
      <c r="G1117" s="1" t="s">
        <v>3792</v>
      </c>
      <c r="H1117" s="39"/>
      <c r="I1117" s="1" t="s">
        <v>3792</v>
      </c>
      <c r="J1117" s="1" t="s">
        <v>4155</v>
      </c>
    </row>
    <row r="1118" customFormat="false" ht="12.8" hidden="false" customHeight="false" outlineLevel="0" collapsed="false">
      <c r="A1118" s="48"/>
      <c r="B1118" s="48"/>
      <c r="C1118" s="1" t="s">
        <v>4156</v>
      </c>
      <c r="D1118" s="1" t="s">
        <v>4157</v>
      </c>
      <c r="E1118" s="1" t="s">
        <v>3797</v>
      </c>
      <c r="F1118" s="1" t="s">
        <v>4158</v>
      </c>
      <c r="G1118" s="50" t="s">
        <v>4159</v>
      </c>
      <c r="H1118" s="34" t="s">
        <v>40</v>
      </c>
      <c r="I1118" s="50" t="s">
        <v>4160</v>
      </c>
      <c r="J1118" s="50" t="s">
        <v>4161</v>
      </c>
    </row>
    <row r="1119" customFormat="false" ht="12.8" hidden="false" customHeight="false" outlineLevel="0" collapsed="false">
      <c r="A1119" s="48"/>
      <c r="B1119" s="48"/>
      <c r="C1119" s="50"/>
      <c r="D1119" s="50"/>
      <c r="E1119" s="50" t="s">
        <v>3792</v>
      </c>
      <c r="F1119" s="50" t="s">
        <v>4162</v>
      </c>
      <c r="G1119" s="1" t="s">
        <v>3792</v>
      </c>
      <c r="H1119" s="34"/>
      <c r="I1119" s="1" t="s">
        <v>3792</v>
      </c>
    </row>
    <row r="1120" customFormat="false" ht="12.8" hidden="false" customHeight="false" outlineLevel="0" collapsed="false">
      <c r="A1120" s="48"/>
      <c r="B1120" s="48"/>
      <c r="C1120" s="1" t="s">
        <v>4163</v>
      </c>
      <c r="D1120" s="1" t="s">
        <v>4164</v>
      </c>
      <c r="E1120" s="1" t="s">
        <v>3806</v>
      </c>
      <c r="F1120" s="1" t="s">
        <v>4165</v>
      </c>
      <c r="G1120" s="50" t="s">
        <v>4166</v>
      </c>
      <c r="H1120" s="37" t="s">
        <v>50</v>
      </c>
      <c r="I1120" s="50" t="s">
        <v>4167</v>
      </c>
      <c r="J1120" s="50" t="s">
        <v>3791</v>
      </c>
    </row>
    <row r="1121" customFormat="false" ht="12.8" hidden="false" customHeight="false" outlineLevel="0" collapsed="false">
      <c r="A1121" s="48"/>
      <c r="B1121" s="48"/>
      <c r="C1121" s="50"/>
      <c r="D1121" s="50"/>
      <c r="E1121" s="50" t="s">
        <v>3792</v>
      </c>
      <c r="F1121" s="50" t="s">
        <v>4168</v>
      </c>
      <c r="H1121" s="37"/>
      <c r="I1121" s="1" t="s">
        <v>3792</v>
      </c>
      <c r="J1121" s="1" t="s">
        <v>4169</v>
      </c>
    </row>
    <row r="1122" customFormat="false" ht="12.8" hidden="false" customHeight="false" outlineLevel="0" collapsed="false">
      <c r="A1122" s="48"/>
      <c r="B1122" s="48"/>
      <c r="C1122" s="1" t="s">
        <v>4170</v>
      </c>
      <c r="D1122" s="1" t="s">
        <v>4171</v>
      </c>
      <c r="E1122" s="1" t="s">
        <v>3787</v>
      </c>
      <c r="F1122" s="1" t="s">
        <v>4172</v>
      </c>
      <c r="G1122" s="51" t="s">
        <v>4173</v>
      </c>
      <c r="H1122" s="34" t="s">
        <v>40</v>
      </c>
      <c r="I1122" s="51" t="s">
        <v>4174</v>
      </c>
      <c r="J1122" s="51" t="s">
        <v>4175</v>
      </c>
    </row>
    <row r="1123" customFormat="false" ht="12.8" hidden="false" customHeight="false" outlineLevel="0" collapsed="false">
      <c r="A1123" s="48"/>
      <c r="B1123" s="49"/>
      <c r="C1123" s="51"/>
      <c r="D1123" s="51"/>
      <c r="E1123" s="51" t="s">
        <v>3792</v>
      </c>
      <c r="F1123" s="51" t="s">
        <v>4176</v>
      </c>
      <c r="G1123" s="1" t="s">
        <v>3792</v>
      </c>
      <c r="H1123" s="34"/>
      <c r="I1123" s="1" t="s">
        <v>3792</v>
      </c>
      <c r="J1123" s="1" t="s">
        <v>4177</v>
      </c>
    </row>
    <row r="1124" customFormat="false" ht="12.8" hidden="false" customHeight="true" outlineLevel="0" collapsed="false">
      <c r="A1124" s="48"/>
      <c r="B1124" s="55" t="s">
        <v>4178</v>
      </c>
      <c r="C1124" s="1" t="s">
        <v>4179</v>
      </c>
      <c r="D1124" s="1" t="s">
        <v>4180</v>
      </c>
      <c r="E1124" s="1" t="s">
        <v>3806</v>
      </c>
      <c r="F1124" s="1" t="s">
        <v>4181</v>
      </c>
      <c r="G1124" s="50" t="s">
        <v>4182</v>
      </c>
      <c r="H1124" s="39" t="s">
        <v>67</v>
      </c>
      <c r="I1124" s="50" t="s">
        <v>4183</v>
      </c>
      <c r="J1124" s="50" t="s">
        <v>4184</v>
      </c>
    </row>
    <row r="1125" customFormat="false" ht="12.8" hidden="false" customHeight="false" outlineLevel="0" collapsed="false">
      <c r="A1125" s="48"/>
      <c r="B1125" s="48"/>
      <c r="C1125" s="50"/>
      <c r="D1125" s="50"/>
      <c r="E1125" s="50" t="s">
        <v>3792</v>
      </c>
      <c r="F1125" s="50" t="s">
        <v>4185</v>
      </c>
      <c r="G1125" s="1" t="s">
        <v>3792</v>
      </c>
      <c r="H1125" s="39"/>
      <c r="I1125" s="1" t="s">
        <v>3792</v>
      </c>
      <c r="J1125" s="1" t="s">
        <v>4186</v>
      </c>
    </row>
    <row r="1126" customFormat="false" ht="12.8" hidden="false" customHeight="false" outlineLevel="0" collapsed="false">
      <c r="A1126" s="48"/>
      <c r="B1126" s="48"/>
      <c r="C1126" s="1" t="s">
        <v>4187</v>
      </c>
      <c r="D1126" s="1" t="s">
        <v>4188</v>
      </c>
      <c r="E1126" s="1" t="s">
        <v>3797</v>
      </c>
      <c r="F1126" s="1" t="s">
        <v>4189</v>
      </c>
      <c r="G1126" s="50" t="s">
        <v>4190</v>
      </c>
      <c r="H1126" s="34" t="s">
        <v>40</v>
      </c>
      <c r="I1126" s="50" t="s">
        <v>4191</v>
      </c>
      <c r="J1126" s="50" t="s">
        <v>4192</v>
      </c>
    </row>
    <row r="1127" customFormat="false" ht="12.8" hidden="false" customHeight="false" outlineLevel="0" collapsed="false">
      <c r="A1127" s="48"/>
      <c r="B1127" s="48"/>
      <c r="C1127" s="50"/>
      <c r="D1127" s="50"/>
      <c r="E1127" s="50" t="s">
        <v>3792</v>
      </c>
      <c r="F1127" s="50" t="s">
        <v>4193</v>
      </c>
      <c r="G1127" s="1" t="s">
        <v>3792</v>
      </c>
      <c r="H1127" s="34"/>
      <c r="I1127" s="1" t="s">
        <v>3792</v>
      </c>
      <c r="J1127" s="1" t="s">
        <v>4194</v>
      </c>
    </row>
    <row r="1128" customFormat="false" ht="12.8" hidden="false" customHeight="false" outlineLevel="0" collapsed="false">
      <c r="A1128" s="48"/>
      <c r="B1128" s="48"/>
      <c r="C1128" s="1" t="s">
        <v>4195</v>
      </c>
      <c r="D1128" s="1" t="s">
        <v>4196</v>
      </c>
      <c r="E1128" s="1" t="s">
        <v>3787</v>
      </c>
      <c r="F1128" s="1" t="s">
        <v>4197</v>
      </c>
      <c r="G1128" s="50" t="s">
        <v>4198</v>
      </c>
      <c r="H1128" s="37" t="s">
        <v>50</v>
      </c>
      <c r="I1128" s="50" t="s">
        <v>4199</v>
      </c>
      <c r="J1128" s="50" t="s">
        <v>4200</v>
      </c>
    </row>
    <row r="1129" customFormat="false" ht="12.8" hidden="false" customHeight="false" outlineLevel="0" collapsed="false">
      <c r="A1129" s="48"/>
      <c r="B1129" s="48"/>
      <c r="C1129" s="50"/>
      <c r="D1129" s="50"/>
      <c r="E1129" s="50" t="s">
        <v>3792</v>
      </c>
      <c r="F1129" s="50" t="s">
        <v>4201</v>
      </c>
      <c r="G1129" s="1" t="s">
        <v>3792</v>
      </c>
      <c r="H1129" s="37"/>
      <c r="I1129" s="1" t="s">
        <v>3792</v>
      </c>
      <c r="J1129" s="1" t="s">
        <v>4202</v>
      </c>
    </row>
    <row r="1130" customFormat="false" ht="12.8" hidden="false" customHeight="false" outlineLevel="0" collapsed="false">
      <c r="A1130" s="48"/>
      <c r="B1130" s="48"/>
      <c r="C1130" s="1" t="s">
        <v>4203</v>
      </c>
      <c r="D1130" s="1" t="s">
        <v>4204</v>
      </c>
      <c r="E1130" s="1" t="s">
        <v>3787</v>
      </c>
      <c r="F1130" s="1" t="s">
        <v>4205</v>
      </c>
      <c r="G1130" s="50" t="s">
        <v>4206</v>
      </c>
      <c r="H1130" s="34" t="s">
        <v>40</v>
      </c>
      <c r="I1130" s="50" t="s">
        <v>4207</v>
      </c>
      <c r="J1130" s="50" t="s">
        <v>4208</v>
      </c>
    </row>
    <row r="1131" customFormat="false" ht="12.8" hidden="false" customHeight="false" outlineLevel="0" collapsed="false">
      <c r="A1131" s="48"/>
      <c r="B1131" s="48"/>
      <c r="C1131" s="50"/>
      <c r="D1131" s="50"/>
      <c r="E1131" s="50" t="s">
        <v>3792</v>
      </c>
      <c r="F1131" s="50" t="s">
        <v>4209</v>
      </c>
      <c r="G1131" s="1" t="s">
        <v>3792</v>
      </c>
      <c r="H1131" s="34"/>
      <c r="I1131" s="1" t="s">
        <v>3792</v>
      </c>
      <c r="J1131" s="1" t="s">
        <v>4210</v>
      </c>
    </row>
    <row r="1132" customFormat="false" ht="12.8" hidden="false" customHeight="false" outlineLevel="0" collapsed="false">
      <c r="A1132" s="48"/>
      <c r="B1132" s="48"/>
      <c r="C1132" s="1" t="s">
        <v>4211</v>
      </c>
      <c r="D1132" s="1" t="s">
        <v>4212</v>
      </c>
      <c r="E1132" s="1" t="s">
        <v>3806</v>
      </c>
      <c r="F1132" s="1" t="s">
        <v>4213</v>
      </c>
      <c r="G1132" s="54" t="s">
        <v>4214</v>
      </c>
      <c r="H1132" s="39" t="s">
        <v>67</v>
      </c>
      <c r="I1132" s="54" t="s">
        <v>4215</v>
      </c>
      <c r="J1132" s="54" t="s">
        <v>4216</v>
      </c>
    </row>
    <row r="1133" customFormat="false" ht="12.8" hidden="false" customHeight="false" outlineLevel="0" collapsed="false">
      <c r="A1133" s="48"/>
      <c r="B1133" s="48"/>
      <c r="C1133" s="54"/>
      <c r="D1133" s="54"/>
      <c r="E1133" s="54" t="s">
        <v>3792</v>
      </c>
      <c r="F1133" s="54" t="s">
        <v>4217</v>
      </c>
      <c r="G1133" s="1" t="s">
        <v>3792</v>
      </c>
      <c r="H1133" s="39"/>
      <c r="I1133" s="1" t="s">
        <v>3792</v>
      </c>
      <c r="J1133" s="1" t="s">
        <v>4218</v>
      </c>
    </row>
    <row r="1134" customFormat="false" ht="12.8" hidden="false" customHeight="true" outlineLevel="0" collapsed="false">
      <c r="A1134" s="1" t="s">
        <v>4219</v>
      </c>
      <c r="B1134" s="49" t="s">
        <v>4220</v>
      </c>
      <c r="C1134" s="1" t="s">
        <v>4221</v>
      </c>
      <c r="D1134" s="1" t="s">
        <v>4222</v>
      </c>
      <c r="E1134" s="1" t="s">
        <v>3797</v>
      </c>
      <c r="F1134" s="1" t="s">
        <v>4223</v>
      </c>
      <c r="G1134" s="50" t="s">
        <v>4224</v>
      </c>
      <c r="H1134" s="34" t="s">
        <v>40</v>
      </c>
      <c r="I1134" s="50" t="s">
        <v>4225</v>
      </c>
      <c r="J1134" s="50" t="s">
        <v>4226</v>
      </c>
    </row>
    <row r="1135" customFormat="false" ht="12.8" hidden="false" customHeight="false" outlineLevel="0" collapsed="false">
      <c r="B1135" s="49"/>
      <c r="C1135" s="50"/>
      <c r="D1135" s="50"/>
      <c r="E1135" s="50" t="s">
        <v>3792</v>
      </c>
      <c r="F1135" s="50" t="s">
        <v>4227</v>
      </c>
      <c r="G1135" s="1" t="s">
        <v>3792</v>
      </c>
      <c r="H1135" s="34"/>
      <c r="I1135" s="1" t="s">
        <v>3792</v>
      </c>
      <c r="J1135" s="1" t="s">
        <v>4228</v>
      </c>
    </row>
    <row r="1136" customFormat="false" ht="12.8" hidden="false" customHeight="false" outlineLevel="0" collapsed="false">
      <c r="B1136" s="49"/>
      <c r="C1136" s="1" t="s">
        <v>4229</v>
      </c>
      <c r="D1136" s="1" t="s">
        <v>4230</v>
      </c>
      <c r="E1136" s="1" t="s">
        <v>3787</v>
      </c>
      <c r="F1136" s="1" t="s">
        <v>4231</v>
      </c>
      <c r="G1136" s="50" t="s">
        <v>4232</v>
      </c>
      <c r="H1136" s="37" t="s">
        <v>50</v>
      </c>
      <c r="I1136" s="50" t="s">
        <v>4233</v>
      </c>
      <c r="J1136" s="50" t="s">
        <v>4234</v>
      </c>
    </row>
    <row r="1137" customFormat="false" ht="12.8" hidden="false" customHeight="false" outlineLevel="0" collapsed="false">
      <c r="B1137" s="49"/>
      <c r="C1137" s="50"/>
      <c r="D1137" s="50"/>
      <c r="E1137" s="50" t="s">
        <v>3792</v>
      </c>
      <c r="F1137" s="50" t="s">
        <v>4235</v>
      </c>
      <c r="G1137" s="1" t="s">
        <v>3792</v>
      </c>
      <c r="H1137" s="37"/>
      <c r="I1137" s="1" t="s">
        <v>3792</v>
      </c>
      <c r="J1137" s="1" t="s">
        <v>4236</v>
      </c>
    </row>
    <row r="1138" customFormat="false" ht="12.8" hidden="false" customHeight="false" outlineLevel="0" collapsed="false">
      <c r="B1138" s="49"/>
      <c r="C1138" s="1" t="s">
        <v>4237</v>
      </c>
      <c r="D1138" s="1" t="s">
        <v>4238</v>
      </c>
      <c r="E1138" s="1" t="s">
        <v>3797</v>
      </c>
      <c r="F1138" s="1" t="s">
        <v>4239</v>
      </c>
      <c r="G1138" s="50" t="s">
        <v>4240</v>
      </c>
      <c r="H1138" s="34" t="s">
        <v>40</v>
      </c>
      <c r="I1138" s="50" t="s">
        <v>4241</v>
      </c>
      <c r="J1138" s="50" t="s">
        <v>4242</v>
      </c>
    </row>
    <row r="1139" customFormat="false" ht="12.8" hidden="false" customHeight="false" outlineLevel="0" collapsed="false">
      <c r="B1139" s="49"/>
      <c r="C1139" s="50"/>
      <c r="D1139" s="50"/>
      <c r="E1139" s="50" t="s">
        <v>3792</v>
      </c>
      <c r="F1139" s="50" t="s">
        <v>4243</v>
      </c>
      <c r="G1139" s="1" t="s">
        <v>3792</v>
      </c>
      <c r="H1139" s="34"/>
      <c r="I1139" s="1" t="s">
        <v>3792</v>
      </c>
      <c r="J1139" s="1" t="s">
        <v>4244</v>
      </c>
    </row>
    <row r="1140" customFormat="false" ht="12.8" hidden="false" customHeight="false" outlineLevel="0" collapsed="false">
      <c r="B1140" s="49"/>
      <c r="C1140" s="1" t="s">
        <v>4245</v>
      </c>
      <c r="D1140" s="1" t="s">
        <v>4246</v>
      </c>
      <c r="E1140" s="1" t="s">
        <v>3806</v>
      </c>
      <c r="F1140" s="1" t="s">
        <v>4247</v>
      </c>
      <c r="G1140" s="50" t="s">
        <v>4248</v>
      </c>
      <c r="H1140" s="39" t="s">
        <v>67</v>
      </c>
      <c r="I1140" s="50" t="s">
        <v>4249</v>
      </c>
      <c r="J1140" s="50" t="s">
        <v>4250</v>
      </c>
    </row>
    <row r="1141" customFormat="false" ht="12.8" hidden="false" customHeight="false" outlineLevel="0" collapsed="false">
      <c r="B1141" s="49"/>
      <c r="C1141" s="50"/>
      <c r="D1141" s="50"/>
      <c r="E1141" s="50" t="s">
        <v>3792</v>
      </c>
      <c r="F1141" s="50" t="s">
        <v>4251</v>
      </c>
      <c r="G1141" s="1" t="s">
        <v>3792</v>
      </c>
      <c r="H1141" s="39"/>
      <c r="I1141" s="1" t="s">
        <v>3792</v>
      </c>
      <c r="J1141" s="1" t="s">
        <v>4252</v>
      </c>
    </row>
    <row r="1142" customFormat="false" ht="12.8" hidden="false" customHeight="false" outlineLevel="0" collapsed="false">
      <c r="B1142" s="49"/>
      <c r="C1142" s="1" t="s">
        <v>4253</v>
      </c>
      <c r="D1142" s="1" t="s">
        <v>4254</v>
      </c>
      <c r="E1142" s="1" t="s">
        <v>3806</v>
      </c>
      <c r="F1142" s="1" t="s">
        <v>4255</v>
      </c>
      <c r="G1142" s="51" t="s">
        <v>4256</v>
      </c>
      <c r="H1142" s="34" t="s">
        <v>40</v>
      </c>
      <c r="I1142" s="51" t="s">
        <v>4257</v>
      </c>
      <c r="J1142" s="51" t="s">
        <v>4258</v>
      </c>
    </row>
    <row r="1143" customFormat="false" ht="12.8" hidden="false" customHeight="false" outlineLevel="0" collapsed="false">
      <c r="B1143" s="49"/>
      <c r="C1143" s="51"/>
      <c r="D1143" s="51"/>
      <c r="E1143" s="51" t="s">
        <v>3792</v>
      </c>
      <c r="F1143" s="51" t="s">
        <v>4259</v>
      </c>
      <c r="G1143" s="1" t="s">
        <v>3792</v>
      </c>
      <c r="H1143" s="34"/>
      <c r="I1143" s="1" t="s">
        <v>3792</v>
      </c>
      <c r="J1143" s="1" t="s">
        <v>4260</v>
      </c>
    </row>
    <row r="1144" customFormat="false" ht="12.8" hidden="false" customHeight="true" outlineLevel="0" collapsed="false">
      <c r="B1144" s="49" t="s">
        <v>4261</v>
      </c>
      <c r="C1144" s="1" t="s">
        <v>4262</v>
      </c>
      <c r="D1144" s="1" t="s">
        <v>4263</v>
      </c>
      <c r="E1144" s="1" t="s">
        <v>3787</v>
      </c>
      <c r="F1144" s="1" t="s">
        <v>4264</v>
      </c>
      <c r="G1144" s="50" t="s">
        <v>4265</v>
      </c>
      <c r="H1144" s="37" t="s">
        <v>50</v>
      </c>
      <c r="I1144" s="50" t="s">
        <v>4266</v>
      </c>
      <c r="J1144" s="50" t="s">
        <v>4267</v>
      </c>
    </row>
    <row r="1145" customFormat="false" ht="12.8" hidden="false" customHeight="false" outlineLevel="0" collapsed="false">
      <c r="B1145" s="49"/>
      <c r="C1145" s="50"/>
      <c r="D1145" s="50"/>
      <c r="E1145" s="50" t="s">
        <v>3792</v>
      </c>
      <c r="F1145" s="50" t="s">
        <v>4268</v>
      </c>
      <c r="G1145" s="1" t="s">
        <v>3792</v>
      </c>
      <c r="H1145" s="37"/>
      <c r="I1145" s="1" t="s">
        <v>3792</v>
      </c>
      <c r="J1145" s="1" t="s">
        <v>4269</v>
      </c>
    </row>
    <row r="1146" customFormat="false" ht="12.8" hidden="false" customHeight="false" outlineLevel="0" collapsed="false">
      <c r="B1146" s="49"/>
      <c r="C1146" s="1" t="s">
        <v>4270</v>
      </c>
      <c r="D1146" s="1" t="s">
        <v>4271</v>
      </c>
      <c r="E1146" s="1" t="s">
        <v>3787</v>
      </c>
      <c r="F1146" s="1" t="s">
        <v>4272</v>
      </c>
      <c r="G1146" s="50" t="s">
        <v>4273</v>
      </c>
      <c r="H1146" s="34" t="s">
        <v>40</v>
      </c>
      <c r="I1146" s="50" t="s">
        <v>4274</v>
      </c>
      <c r="J1146" s="50" t="s">
        <v>4275</v>
      </c>
    </row>
    <row r="1147" customFormat="false" ht="12.8" hidden="false" customHeight="false" outlineLevel="0" collapsed="false">
      <c r="B1147" s="49"/>
      <c r="C1147" s="50"/>
      <c r="D1147" s="50"/>
      <c r="E1147" s="50" t="s">
        <v>3792</v>
      </c>
      <c r="F1147" s="50" t="s">
        <v>4276</v>
      </c>
      <c r="G1147" s="1" t="s">
        <v>3792</v>
      </c>
      <c r="H1147" s="34"/>
      <c r="I1147" s="1" t="s">
        <v>3792</v>
      </c>
      <c r="J1147" s="1" t="s">
        <v>4277</v>
      </c>
    </row>
    <row r="1148" customFormat="false" ht="12.8" hidden="false" customHeight="false" outlineLevel="0" collapsed="false">
      <c r="B1148" s="49"/>
      <c r="C1148" s="1" t="s">
        <v>4278</v>
      </c>
      <c r="D1148" s="1" t="s">
        <v>4279</v>
      </c>
      <c r="E1148" s="1" t="s">
        <v>3797</v>
      </c>
      <c r="F1148" s="1" t="s">
        <v>4280</v>
      </c>
      <c r="G1148" s="50" t="s">
        <v>4281</v>
      </c>
      <c r="H1148" s="39" t="s">
        <v>67</v>
      </c>
      <c r="I1148" s="50" t="s">
        <v>4282</v>
      </c>
      <c r="J1148" s="50" t="s">
        <v>4283</v>
      </c>
    </row>
    <row r="1149" customFormat="false" ht="12.8" hidden="false" customHeight="false" outlineLevel="0" collapsed="false">
      <c r="B1149" s="49"/>
      <c r="C1149" s="50"/>
      <c r="D1149" s="50"/>
      <c r="E1149" s="50" t="s">
        <v>3792</v>
      </c>
      <c r="F1149" s="50" t="s">
        <v>4284</v>
      </c>
      <c r="G1149" s="1" t="s">
        <v>3792</v>
      </c>
      <c r="H1149" s="39"/>
      <c r="I1149" s="1" t="s">
        <v>3792</v>
      </c>
      <c r="J1149" s="1" t="s">
        <v>4285</v>
      </c>
    </row>
    <row r="1150" customFormat="false" ht="12.8" hidden="false" customHeight="false" outlineLevel="0" collapsed="false">
      <c r="B1150" s="49"/>
      <c r="C1150" s="1" t="s">
        <v>4286</v>
      </c>
      <c r="D1150" s="1" t="s">
        <v>4287</v>
      </c>
      <c r="E1150" s="1" t="s">
        <v>3806</v>
      </c>
      <c r="F1150" s="1" t="s">
        <v>4288</v>
      </c>
      <c r="G1150" s="50" t="s">
        <v>4289</v>
      </c>
      <c r="H1150" s="34" t="s">
        <v>40</v>
      </c>
      <c r="I1150" s="50" t="s">
        <v>4290</v>
      </c>
      <c r="J1150" s="50" t="s">
        <v>4291</v>
      </c>
    </row>
    <row r="1151" customFormat="false" ht="12.8" hidden="false" customHeight="false" outlineLevel="0" collapsed="false">
      <c r="B1151" s="49"/>
      <c r="C1151" s="50"/>
      <c r="D1151" s="50"/>
      <c r="E1151" s="50" t="s">
        <v>3792</v>
      </c>
      <c r="F1151" s="50" t="s">
        <v>4292</v>
      </c>
      <c r="G1151" s="1" t="s">
        <v>3792</v>
      </c>
      <c r="H1151" s="34"/>
      <c r="I1151" s="1" t="s">
        <v>3792</v>
      </c>
      <c r="J1151" s="1" t="s">
        <v>4293</v>
      </c>
    </row>
    <row r="1152" customFormat="false" ht="12.8" hidden="false" customHeight="false" outlineLevel="0" collapsed="false">
      <c r="B1152" s="49"/>
      <c r="C1152" s="1" t="s">
        <v>4294</v>
      </c>
      <c r="D1152" s="1" t="s">
        <v>4295</v>
      </c>
      <c r="E1152" s="1" t="s">
        <v>3797</v>
      </c>
      <c r="F1152" s="1" t="s">
        <v>4296</v>
      </c>
      <c r="G1152" s="51" t="s">
        <v>4297</v>
      </c>
      <c r="H1152" s="37" t="s">
        <v>50</v>
      </c>
      <c r="I1152" s="51" t="s">
        <v>4298</v>
      </c>
      <c r="J1152" s="51" t="s">
        <v>4299</v>
      </c>
    </row>
    <row r="1153" customFormat="false" ht="12.8" hidden="false" customHeight="false" outlineLevel="0" collapsed="false">
      <c r="B1153" s="49"/>
      <c r="C1153" s="51"/>
      <c r="D1153" s="51"/>
      <c r="E1153" s="51" t="s">
        <v>3792</v>
      </c>
      <c r="F1153" s="51" t="s">
        <v>4300</v>
      </c>
      <c r="G1153" s="1" t="s">
        <v>3792</v>
      </c>
      <c r="H1153" s="37"/>
      <c r="I1153" s="1" t="s">
        <v>3792</v>
      </c>
      <c r="J1153" s="1" t="s">
        <v>4301</v>
      </c>
    </row>
    <row r="1154" customFormat="false" ht="12.8" hidden="false" customHeight="true" outlineLevel="0" collapsed="false">
      <c r="B1154" s="49" t="s">
        <v>4302</v>
      </c>
      <c r="C1154" s="1" t="s">
        <v>4303</v>
      </c>
      <c r="D1154" s="1" t="s">
        <v>4304</v>
      </c>
      <c r="E1154" s="1" t="s">
        <v>3787</v>
      </c>
      <c r="F1154" s="1" t="s">
        <v>4305</v>
      </c>
      <c r="G1154" s="50" t="s">
        <v>4306</v>
      </c>
      <c r="H1154" s="34" t="s">
        <v>40</v>
      </c>
      <c r="I1154" s="50" t="s">
        <v>4307</v>
      </c>
      <c r="J1154" s="50" t="s">
        <v>4308</v>
      </c>
    </row>
    <row r="1155" customFormat="false" ht="12.8" hidden="false" customHeight="false" outlineLevel="0" collapsed="false">
      <c r="B1155" s="49"/>
      <c r="C1155" s="50"/>
      <c r="D1155" s="50"/>
      <c r="E1155" s="50" t="s">
        <v>3792</v>
      </c>
      <c r="F1155" s="50" t="s">
        <v>4309</v>
      </c>
      <c r="G1155" s="1" t="s">
        <v>3792</v>
      </c>
      <c r="H1155" s="34"/>
      <c r="I1155" s="1" t="s">
        <v>3792</v>
      </c>
      <c r="J1155" s="1" t="s">
        <v>4310</v>
      </c>
    </row>
    <row r="1156" customFormat="false" ht="12.8" hidden="false" customHeight="false" outlineLevel="0" collapsed="false">
      <c r="B1156" s="49"/>
      <c r="C1156" s="1" t="s">
        <v>4311</v>
      </c>
      <c r="D1156" s="1" t="s">
        <v>4312</v>
      </c>
      <c r="E1156" s="1" t="s">
        <v>3787</v>
      </c>
      <c r="F1156" s="1" t="s">
        <v>4313</v>
      </c>
      <c r="G1156" s="50" t="s">
        <v>4314</v>
      </c>
      <c r="H1156" s="39" t="s">
        <v>67</v>
      </c>
      <c r="I1156" s="50" t="s">
        <v>4315</v>
      </c>
      <c r="J1156" s="50" t="s">
        <v>4316</v>
      </c>
    </row>
    <row r="1157" customFormat="false" ht="12.8" hidden="false" customHeight="false" outlineLevel="0" collapsed="false">
      <c r="B1157" s="49"/>
      <c r="C1157" s="50"/>
      <c r="D1157" s="50"/>
      <c r="E1157" s="50" t="s">
        <v>3792</v>
      </c>
      <c r="F1157" s="50" t="s">
        <v>4317</v>
      </c>
      <c r="G1157" s="1" t="s">
        <v>3792</v>
      </c>
      <c r="H1157" s="39"/>
      <c r="I1157" s="1" t="s">
        <v>3792</v>
      </c>
      <c r="J1157" s="1" t="s">
        <v>4318</v>
      </c>
    </row>
    <row r="1158" customFormat="false" ht="12.8" hidden="false" customHeight="false" outlineLevel="0" collapsed="false">
      <c r="B1158" s="49"/>
      <c r="C1158" s="1" t="s">
        <v>4319</v>
      </c>
      <c r="D1158" s="1" t="s">
        <v>4320</v>
      </c>
      <c r="E1158" s="1" t="s">
        <v>3806</v>
      </c>
      <c r="F1158" s="1" t="s">
        <v>4321</v>
      </c>
      <c r="G1158" s="50" t="s">
        <v>4322</v>
      </c>
      <c r="H1158" s="34" t="s">
        <v>40</v>
      </c>
      <c r="I1158" s="50" t="s">
        <v>4323</v>
      </c>
      <c r="J1158" s="50" t="s">
        <v>4324</v>
      </c>
    </row>
    <row r="1159" customFormat="false" ht="12.8" hidden="false" customHeight="false" outlineLevel="0" collapsed="false">
      <c r="B1159" s="49"/>
      <c r="C1159" s="50"/>
      <c r="D1159" s="50"/>
      <c r="E1159" s="50" t="s">
        <v>3792</v>
      </c>
      <c r="F1159" s="50" t="s">
        <v>4325</v>
      </c>
      <c r="G1159" s="1" t="s">
        <v>3792</v>
      </c>
      <c r="H1159" s="34"/>
      <c r="I1159" s="1" t="s">
        <v>3792</v>
      </c>
      <c r="J1159" s="1" t="s">
        <v>4326</v>
      </c>
    </row>
    <row r="1160" customFormat="false" ht="12.8" hidden="false" customHeight="false" outlineLevel="0" collapsed="false">
      <c r="B1160" s="49"/>
      <c r="C1160" s="1" t="s">
        <v>4327</v>
      </c>
      <c r="D1160" s="1" t="s">
        <v>4328</v>
      </c>
      <c r="E1160" s="1" t="s">
        <v>3797</v>
      </c>
      <c r="F1160" s="1" t="s">
        <v>4329</v>
      </c>
      <c r="G1160" s="50" t="s">
        <v>4330</v>
      </c>
      <c r="H1160" s="37" t="s">
        <v>50</v>
      </c>
      <c r="I1160" s="50" t="s">
        <v>4331</v>
      </c>
      <c r="J1160" s="50" t="s">
        <v>4332</v>
      </c>
    </row>
    <row r="1161" customFormat="false" ht="12.8" hidden="false" customHeight="false" outlineLevel="0" collapsed="false">
      <c r="B1161" s="49"/>
      <c r="C1161" s="50"/>
      <c r="D1161" s="50"/>
      <c r="E1161" s="50" t="s">
        <v>3792</v>
      </c>
      <c r="F1161" s="50" t="s">
        <v>4333</v>
      </c>
      <c r="G1161" s="1" t="s">
        <v>3792</v>
      </c>
      <c r="H1161" s="37"/>
      <c r="I1161" s="1" t="s">
        <v>3792</v>
      </c>
      <c r="J1161" s="1" t="s">
        <v>4334</v>
      </c>
    </row>
    <row r="1162" customFormat="false" ht="12.8" hidden="false" customHeight="false" outlineLevel="0" collapsed="false">
      <c r="B1162" s="49"/>
      <c r="C1162" s="1" t="s">
        <v>4335</v>
      </c>
      <c r="D1162" s="1" t="s">
        <v>4336</v>
      </c>
      <c r="E1162" s="1" t="s">
        <v>3797</v>
      </c>
      <c r="F1162" s="1" t="s">
        <v>4337</v>
      </c>
      <c r="G1162" s="51" t="s">
        <v>4338</v>
      </c>
      <c r="H1162" s="34" t="s">
        <v>40</v>
      </c>
      <c r="I1162" s="51" t="s">
        <v>4339</v>
      </c>
      <c r="J1162" s="51" t="s">
        <v>4340</v>
      </c>
    </row>
    <row r="1163" customFormat="false" ht="12.8" hidden="false" customHeight="false" outlineLevel="0" collapsed="false">
      <c r="B1163" s="49"/>
      <c r="C1163" s="51"/>
      <c r="D1163" s="51"/>
      <c r="E1163" s="51" t="s">
        <v>3792</v>
      </c>
      <c r="F1163" s="51" t="s">
        <v>4341</v>
      </c>
      <c r="G1163" s="1" t="s">
        <v>3792</v>
      </c>
      <c r="H1163" s="34"/>
      <c r="I1163" s="1" t="s">
        <v>3792</v>
      </c>
      <c r="J1163" s="1" t="s">
        <v>4342</v>
      </c>
    </row>
    <row r="1164" customFormat="false" ht="12.8" hidden="false" customHeight="true" outlineLevel="0" collapsed="false">
      <c r="B1164" s="49" t="s">
        <v>4343</v>
      </c>
      <c r="C1164" s="1" t="s">
        <v>4344</v>
      </c>
      <c r="D1164" s="1" t="s">
        <v>4345</v>
      </c>
      <c r="E1164" s="1" t="s">
        <v>3787</v>
      </c>
      <c r="F1164" s="1" t="s">
        <v>4346</v>
      </c>
      <c r="G1164" s="50" t="s">
        <v>4347</v>
      </c>
      <c r="H1164" s="39" t="s">
        <v>67</v>
      </c>
      <c r="I1164" s="50" t="s">
        <v>4348</v>
      </c>
      <c r="J1164" s="50" t="s">
        <v>4349</v>
      </c>
    </row>
    <row r="1165" customFormat="false" ht="12.8" hidden="false" customHeight="false" outlineLevel="0" collapsed="false">
      <c r="B1165" s="49"/>
      <c r="C1165" s="50"/>
      <c r="D1165" s="50"/>
      <c r="E1165" s="50" t="s">
        <v>3792</v>
      </c>
      <c r="F1165" s="50" t="s">
        <v>4350</v>
      </c>
      <c r="G1165" s="1" t="s">
        <v>3792</v>
      </c>
      <c r="H1165" s="39"/>
      <c r="I1165" s="1" t="s">
        <v>3792</v>
      </c>
      <c r="J1165" s="1" t="s">
        <v>4351</v>
      </c>
    </row>
    <row r="1166" customFormat="false" ht="12.8" hidden="false" customHeight="false" outlineLevel="0" collapsed="false">
      <c r="B1166" s="49"/>
      <c r="C1166" s="1" t="s">
        <v>4352</v>
      </c>
      <c r="D1166" s="1" t="s">
        <v>4353</v>
      </c>
      <c r="E1166" s="1" t="s">
        <v>3806</v>
      </c>
      <c r="F1166" s="1" t="s">
        <v>4354</v>
      </c>
      <c r="G1166" s="50" t="s">
        <v>4355</v>
      </c>
      <c r="H1166" s="34" t="s">
        <v>40</v>
      </c>
      <c r="I1166" s="50" t="s">
        <v>4356</v>
      </c>
      <c r="J1166" s="50" t="s">
        <v>4357</v>
      </c>
    </row>
    <row r="1167" customFormat="false" ht="12.8" hidden="false" customHeight="false" outlineLevel="0" collapsed="false">
      <c r="B1167" s="49"/>
      <c r="C1167" s="50"/>
      <c r="D1167" s="50"/>
      <c r="E1167" s="50" t="s">
        <v>3792</v>
      </c>
      <c r="F1167" s="50" t="s">
        <v>4358</v>
      </c>
      <c r="G1167" s="1" t="s">
        <v>3792</v>
      </c>
      <c r="H1167" s="34"/>
      <c r="I1167" s="1" t="s">
        <v>3792</v>
      </c>
      <c r="J1167" s="1" t="s">
        <v>4359</v>
      </c>
    </row>
    <row r="1168" customFormat="false" ht="12.8" hidden="false" customHeight="false" outlineLevel="0" collapsed="false">
      <c r="B1168" s="49"/>
      <c r="C1168" s="1" t="s">
        <v>4360</v>
      </c>
      <c r="D1168" s="1" t="s">
        <v>4361</v>
      </c>
      <c r="E1168" s="1" t="s">
        <v>3797</v>
      </c>
      <c r="F1168" s="1" t="s">
        <v>4362</v>
      </c>
      <c r="G1168" s="50" t="s">
        <v>4363</v>
      </c>
      <c r="H1168" s="37" t="s">
        <v>50</v>
      </c>
      <c r="I1168" s="50" t="s">
        <v>4364</v>
      </c>
      <c r="J1168" s="50" t="s">
        <v>4365</v>
      </c>
    </row>
    <row r="1169" customFormat="false" ht="12.8" hidden="false" customHeight="false" outlineLevel="0" collapsed="false">
      <c r="B1169" s="49"/>
      <c r="C1169" s="50"/>
      <c r="D1169" s="50"/>
      <c r="E1169" s="50" t="s">
        <v>3792</v>
      </c>
      <c r="F1169" s="50" t="s">
        <v>4366</v>
      </c>
      <c r="G1169" s="1" t="s">
        <v>3792</v>
      </c>
      <c r="H1169" s="37"/>
      <c r="I1169" s="1" t="s">
        <v>3792</v>
      </c>
      <c r="J1169" s="1" t="s">
        <v>4367</v>
      </c>
    </row>
    <row r="1170" customFormat="false" ht="12.8" hidden="false" customHeight="false" outlineLevel="0" collapsed="false">
      <c r="B1170" s="49"/>
      <c r="C1170" s="1" t="s">
        <v>4368</v>
      </c>
      <c r="D1170" s="1" t="s">
        <v>4369</v>
      </c>
      <c r="E1170" s="1" t="s">
        <v>3787</v>
      </c>
      <c r="F1170" s="1" t="s">
        <v>4370</v>
      </c>
      <c r="G1170" s="50" t="s">
        <v>4371</v>
      </c>
      <c r="H1170" s="34" t="s">
        <v>40</v>
      </c>
      <c r="I1170" s="50" t="s">
        <v>4372</v>
      </c>
      <c r="J1170" s="50" t="s">
        <v>4373</v>
      </c>
    </row>
    <row r="1171" customFormat="false" ht="12.8" hidden="false" customHeight="false" outlineLevel="0" collapsed="false">
      <c r="B1171" s="49"/>
      <c r="C1171" s="50"/>
      <c r="D1171" s="50"/>
      <c r="E1171" s="50" t="s">
        <v>3792</v>
      </c>
      <c r="F1171" s="50" t="s">
        <v>4374</v>
      </c>
      <c r="G1171" s="1" t="s">
        <v>3792</v>
      </c>
      <c r="H1171" s="34"/>
      <c r="I1171" s="1" t="s">
        <v>3792</v>
      </c>
      <c r="J1171" s="1" t="s">
        <v>4375</v>
      </c>
    </row>
    <row r="1172" customFormat="false" ht="12.8" hidden="false" customHeight="false" outlineLevel="0" collapsed="false">
      <c r="B1172" s="49"/>
      <c r="C1172" s="1" t="s">
        <v>4376</v>
      </c>
      <c r="D1172" s="1" t="s">
        <v>4377</v>
      </c>
      <c r="E1172" s="1" t="s">
        <v>3787</v>
      </c>
      <c r="F1172" s="1" t="s">
        <v>4378</v>
      </c>
      <c r="G1172" s="51" t="s">
        <v>4379</v>
      </c>
      <c r="H1172" s="39" t="s">
        <v>67</v>
      </c>
      <c r="I1172" s="51" t="s">
        <v>4380</v>
      </c>
      <c r="J1172" s="51" t="s">
        <v>4381</v>
      </c>
    </row>
    <row r="1173" customFormat="false" ht="12.8" hidden="false" customHeight="false" outlineLevel="0" collapsed="false">
      <c r="B1173" s="49"/>
      <c r="C1173" s="51"/>
      <c r="D1173" s="51"/>
      <c r="E1173" s="51" t="s">
        <v>3792</v>
      </c>
      <c r="F1173" s="51" t="s">
        <v>4382</v>
      </c>
      <c r="G1173" s="1" t="s">
        <v>3792</v>
      </c>
      <c r="H1173" s="39"/>
      <c r="I1173" s="1" t="s">
        <v>3792</v>
      </c>
      <c r="J1173" s="1" t="s">
        <v>4383</v>
      </c>
    </row>
    <row r="1174" customFormat="false" ht="12.8" hidden="false" customHeight="true" outlineLevel="0" collapsed="false">
      <c r="B1174" s="55" t="s">
        <v>4384</v>
      </c>
      <c r="C1174" s="1" t="s">
        <v>4385</v>
      </c>
      <c r="D1174" s="1" t="s">
        <v>4386</v>
      </c>
      <c r="E1174" s="1" t="s">
        <v>3797</v>
      </c>
      <c r="F1174" s="1" t="s">
        <v>4387</v>
      </c>
      <c r="G1174" s="50" t="s">
        <v>4388</v>
      </c>
      <c r="H1174" s="34" t="s">
        <v>40</v>
      </c>
      <c r="I1174" s="50" t="s">
        <v>4389</v>
      </c>
      <c r="J1174" s="50" t="s">
        <v>4390</v>
      </c>
    </row>
    <row r="1175" customFormat="false" ht="12.8" hidden="false" customHeight="false" outlineLevel="0" collapsed="false">
      <c r="B1175" s="55"/>
      <c r="C1175" s="50"/>
      <c r="D1175" s="50"/>
      <c r="E1175" s="50" t="s">
        <v>3792</v>
      </c>
      <c r="F1175" s="50" t="s">
        <v>4391</v>
      </c>
      <c r="G1175" s="1" t="s">
        <v>3792</v>
      </c>
      <c r="H1175" s="34"/>
      <c r="I1175" s="1" t="s">
        <v>3792</v>
      </c>
      <c r="J1175" s="1" t="s">
        <v>4392</v>
      </c>
    </row>
    <row r="1176" customFormat="false" ht="12.8" hidden="false" customHeight="false" outlineLevel="0" collapsed="false">
      <c r="B1176" s="55"/>
      <c r="C1176" s="1" t="s">
        <v>4393</v>
      </c>
      <c r="D1176" s="1" t="s">
        <v>4394</v>
      </c>
      <c r="E1176" s="1" t="s">
        <v>3797</v>
      </c>
      <c r="F1176" s="1" t="s">
        <v>4395</v>
      </c>
      <c r="G1176" s="50" t="s">
        <v>4396</v>
      </c>
      <c r="H1176" s="34" t="s">
        <v>40</v>
      </c>
      <c r="I1176" s="50" t="s">
        <v>4397</v>
      </c>
      <c r="J1176" s="50" t="s">
        <v>4398</v>
      </c>
    </row>
    <row r="1177" customFormat="false" ht="12.8" hidden="false" customHeight="false" outlineLevel="0" collapsed="false">
      <c r="B1177" s="55"/>
      <c r="C1177" s="50"/>
      <c r="D1177" s="50"/>
      <c r="E1177" s="50" t="s">
        <v>3792</v>
      </c>
      <c r="F1177" s="50" t="s">
        <v>4399</v>
      </c>
      <c r="G1177" s="1" t="s">
        <v>3792</v>
      </c>
      <c r="H1177" s="34"/>
      <c r="I1177" s="1" t="s">
        <v>3792</v>
      </c>
      <c r="J1177" s="1" t="s">
        <v>4400</v>
      </c>
    </row>
    <row r="1178" customFormat="false" ht="12.8" hidden="false" customHeight="false" outlineLevel="0" collapsed="false">
      <c r="B1178" s="55"/>
      <c r="C1178" s="1" t="s">
        <v>4401</v>
      </c>
      <c r="D1178" s="1" t="s">
        <v>4402</v>
      </c>
      <c r="E1178" s="1" t="s">
        <v>3806</v>
      </c>
      <c r="F1178" s="1" t="s">
        <v>4403</v>
      </c>
      <c r="G1178" s="50" t="s">
        <v>4404</v>
      </c>
      <c r="H1178" s="39" t="s">
        <v>67</v>
      </c>
      <c r="I1178" s="50" t="s">
        <v>4405</v>
      </c>
      <c r="J1178" s="50" t="s">
        <v>4406</v>
      </c>
    </row>
    <row r="1179" customFormat="false" ht="12.8" hidden="false" customHeight="false" outlineLevel="0" collapsed="false">
      <c r="B1179" s="55"/>
      <c r="C1179" s="50"/>
      <c r="D1179" s="50"/>
      <c r="E1179" s="50" t="s">
        <v>3792</v>
      </c>
      <c r="F1179" s="50" t="s">
        <v>4407</v>
      </c>
      <c r="G1179" s="1" t="s">
        <v>3792</v>
      </c>
      <c r="H1179" s="39"/>
      <c r="I1179" s="1" t="s">
        <v>3792</v>
      </c>
      <c r="J1179" s="1" t="s">
        <v>4408</v>
      </c>
    </row>
    <row r="1180" customFormat="false" ht="12.8" hidden="false" customHeight="false" outlineLevel="0" collapsed="false">
      <c r="B1180" s="55"/>
      <c r="C1180" s="1" t="s">
        <v>4409</v>
      </c>
      <c r="D1180" s="1" t="s">
        <v>4410</v>
      </c>
      <c r="E1180" s="1" t="s">
        <v>3787</v>
      </c>
      <c r="F1180" s="1" t="s">
        <v>4411</v>
      </c>
      <c r="G1180" s="50" t="s">
        <v>4412</v>
      </c>
      <c r="H1180" s="37" t="s">
        <v>50</v>
      </c>
      <c r="I1180" s="50" t="s">
        <v>4413</v>
      </c>
      <c r="J1180" s="50" t="s">
        <v>4414</v>
      </c>
    </row>
    <row r="1181" customFormat="false" ht="12.8" hidden="false" customHeight="false" outlineLevel="0" collapsed="false">
      <c r="B1181" s="55"/>
      <c r="C1181" s="50"/>
      <c r="D1181" s="50"/>
      <c r="E1181" s="50" t="s">
        <v>3792</v>
      </c>
      <c r="F1181" s="50" t="s">
        <v>4415</v>
      </c>
      <c r="G1181" s="1" t="s">
        <v>3792</v>
      </c>
      <c r="H1181" s="37"/>
      <c r="I1181" s="1" t="s">
        <v>3792</v>
      </c>
      <c r="J1181" s="1" t="s">
        <v>4416</v>
      </c>
    </row>
    <row r="1182" customFormat="false" ht="12.8" hidden="false" customHeight="false" outlineLevel="0" collapsed="false">
      <c r="B1182" s="55"/>
      <c r="C1182" s="1" t="s">
        <v>4417</v>
      </c>
      <c r="D1182" s="1" t="s">
        <v>4418</v>
      </c>
      <c r="E1182" s="1" t="s">
        <v>3787</v>
      </c>
      <c r="F1182" s="1" t="s">
        <v>4419</v>
      </c>
      <c r="G1182" s="54" t="s">
        <v>4420</v>
      </c>
      <c r="H1182" s="37" t="s">
        <v>50</v>
      </c>
      <c r="I1182" s="54" t="s">
        <v>4421</v>
      </c>
      <c r="J1182" s="54" t="s">
        <v>4422</v>
      </c>
    </row>
    <row r="1183" customFormat="false" ht="12.8" hidden="false" customHeight="false" outlineLevel="0" collapsed="false">
      <c r="A1183" s="54"/>
      <c r="B1183" s="55"/>
      <c r="C1183" s="54"/>
      <c r="D1183" s="54"/>
      <c r="E1183" s="54" t="s">
        <v>3792</v>
      </c>
      <c r="F1183" s="54" t="s">
        <v>4423</v>
      </c>
      <c r="G1183" s="1" t="s">
        <v>3792</v>
      </c>
      <c r="H1183" s="37"/>
      <c r="I1183" s="1" t="s">
        <v>3792</v>
      </c>
      <c r="J1183" s="1" t="s">
        <v>4424</v>
      </c>
    </row>
    <row r="1184" customFormat="false" ht="12.8" hidden="false" customHeight="true" outlineLevel="0" collapsed="false">
      <c r="A1184" s="1" t="s">
        <v>4425</v>
      </c>
      <c r="B1184" s="49" t="s">
        <v>4426</v>
      </c>
      <c r="C1184" s="1" t="s">
        <v>4427</v>
      </c>
      <c r="D1184" s="1" t="s">
        <v>4428</v>
      </c>
      <c r="E1184" s="1" t="s">
        <v>3806</v>
      </c>
      <c r="F1184" s="1" t="s">
        <v>4429</v>
      </c>
      <c r="G1184" s="50" t="s">
        <v>4430</v>
      </c>
      <c r="H1184" s="39" t="s">
        <v>67</v>
      </c>
      <c r="I1184" s="50" t="s">
        <v>4431</v>
      </c>
      <c r="J1184" s="50" t="s">
        <v>4432</v>
      </c>
    </row>
    <row r="1185" customFormat="false" ht="12.8" hidden="false" customHeight="false" outlineLevel="0" collapsed="false">
      <c r="B1185" s="49"/>
      <c r="C1185" s="50"/>
      <c r="D1185" s="50"/>
      <c r="E1185" s="50" t="s">
        <v>3792</v>
      </c>
      <c r="F1185" s="50" t="s">
        <v>4433</v>
      </c>
      <c r="G1185" s="1" t="s">
        <v>3792</v>
      </c>
      <c r="H1185" s="39"/>
      <c r="I1185" s="1" t="s">
        <v>3792</v>
      </c>
      <c r="J1185" s="1" t="s">
        <v>4434</v>
      </c>
    </row>
    <row r="1186" customFormat="false" ht="12.8" hidden="false" customHeight="false" outlineLevel="0" collapsed="false">
      <c r="B1186" s="49"/>
      <c r="C1186" s="1" t="s">
        <v>4435</v>
      </c>
      <c r="D1186" s="1" t="s">
        <v>4436</v>
      </c>
      <c r="E1186" s="1" t="s">
        <v>3797</v>
      </c>
      <c r="F1186" s="1" t="s">
        <v>4437</v>
      </c>
      <c r="G1186" s="50" t="s">
        <v>4438</v>
      </c>
      <c r="H1186" s="34" t="s">
        <v>40</v>
      </c>
      <c r="I1186" s="50" t="s">
        <v>4439</v>
      </c>
      <c r="J1186" s="50" t="s">
        <v>4440</v>
      </c>
    </row>
    <row r="1187" customFormat="false" ht="12.8" hidden="false" customHeight="false" outlineLevel="0" collapsed="false">
      <c r="B1187" s="49"/>
      <c r="C1187" s="50"/>
      <c r="D1187" s="50"/>
      <c r="E1187" s="50" t="s">
        <v>3792</v>
      </c>
      <c r="F1187" s="50" t="s">
        <v>4441</v>
      </c>
      <c r="G1187" s="1" t="s">
        <v>3792</v>
      </c>
      <c r="H1187" s="34"/>
      <c r="I1187" s="1" t="s">
        <v>3792</v>
      </c>
      <c r="J1187" s="1" t="s">
        <v>4442</v>
      </c>
    </row>
    <row r="1188" customFormat="false" ht="12.8" hidden="false" customHeight="false" outlineLevel="0" collapsed="false">
      <c r="B1188" s="49"/>
      <c r="C1188" s="1" t="s">
        <v>4443</v>
      </c>
      <c r="D1188" s="1" t="s">
        <v>4444</v>
      </c>
      <c r="E1188" s="1" t="s">
        <v>3806</v>
      </c>
      <c r="F1188" s="1" t="s">
        <v>4231</v>
      </c>
      <c r="G1188" s="50" t="s">
        <v>4445</v>
      </c>
      <c r="H1188" s="39" t="s">
        <v>67</v>
      </c>
      <c r="I1188" s="50" t="s">
        <v>4446</v>
      </c>
      <c r="J1188" s="50" t="s">
        <v>4447</v>
      </c>
    </row>
    <row r="1189" customFormat="false" ht="12.8" hidden="false" customHeight="false" outlineLevel="0" collapsed="false">
      <c r="B1189" s="49"/>
      <c r="C1189" s="50"/>
      <c r="D1189" s="50"/>
      <c r="E1189" s="50" t="s">
        <v>3792</v>
      </c>
      <c r="F1189" s="50" t="s">
        <v>4448</v>
      </c>
      <c r="G1189" s="1" t="s">
        <v>3792</v>
      </c>
      <c r="H1189" s="39"/>
      <c r="I1189" s="1" t="s">
        <v>3792</v>
      </c>
      <c r="J1189" s="1" t="s">
        <v>4449</v>
      </c>
    </row>
    <row r="1190" customFormat="false" ht="12.8" hidden="false" customHeight="false" outlineLevel="0" collapsed="false">
      <c r="B1190" s="49"/>
      <c r="C1190" s="1" t="s">
        <v>4450</v>
      </c>
      <c r="D1190" s="1" t="s">
        <v>4451</v>
      </c>
      <c r="E1190" s="1" t="s">
        <v>3797</v>
      </c>
      <c r="F1190" s="1" t="s">
        <v>4452</v>
      </c>
      <c r="G1190" s="50" t="s">
        <v>4453</v>
      </c>
      <c r="H1190" s="37" t="s">
        <v>50</v>
      </c>
      <c r="I1190" s="50" t="s">
        <v>4233</v>
      </c>
      <c r="J1190" s="50" t="s">
        <v>4454</v>
      </c>
    </row>
    <row r="1191" customFormat="false" ht="12.8" hidden="false" customHeight="false" outlineLevel="0" collapsed="false">
      <c r="B1191" s="49"/>
      <c r="C1191" s="50"/>
      <c r="D1191" s="50"/>
      <c r="E1191" s="50" t="s">
        <v>3792</v>
      </c>
      <c r="F1191" s="50" t="s">
        <v>4455</v>
      </c>
      <c r="G1191" s="1" t="s">
        <v>3792</v>
      </c>
      <c r="H1191" s="37"/>
      <c r="I1191" s="1" t="s">
        <v>3792</v>
      </c>
      <c r="J1191" s="1" t="s">
        <v>4456</v>
      </c>
    </row>
    <row r="1192" customFormat="false" ht="12.8" hidden="false" customHeight="false" outlineLevel="0" collapsed="false">
      <c r="B1192" s="49"/>
      <c r="C1192" s="1" t="s">
        <v>4457</v>
      </c>
      <c r="D1192" s="1" t="s">
        <v>4458</v>
      </c>
      <c r="E1192" s="1" t="s">
        <v>3787</v>
      </c>
      <c r="F1192" s="1" t="s">
        <v>4459</v>
      </c>
      <c r="G1192" s="51" t="s">
        <v>4460</v>
      </c>
      <c r="H1192" s="37" t="s">
        <v>50</v>
      </c>
      <c r="I1192" s="51" t="s">
        <v>4461</v>
      </c>
      <c r="J1192" s="51" t="s">
        <v>4462</v>
      </c>
    </row>
    <row r="1193" customFormat="false" ht="12.8" hidden="false" customHeight="false" outlineLevel="0" collapsed="false">
      <c r="B1193" s="49"/>
      <c r="C1193" s="51"/>
      <c r="D1193" s="51"/>
      <c r="E1193" s="51" t="s">
        <v>3792</v>
      </c>
      <c r="F1193" s="51" t="s">
        <v>4463</v>
      </c>
      <c r="G1193" s="1" t="s">
        <v>3792</v>
      </c>
      <c r="H1193" s="37"/>
      <c r="I1193" s="1" t="s">
        <v>3792</v>
      </c>
      <c r="J1193" s="1" t="s">
        <v>4464</v>
      </c>
    </row>
    <row r="1194" customFormat="false" ht="12.8" hidden="false" customHeight="true" outlineLevel="0" collapsed="false">
      <c r="B1194" s="49" t="s">
        <v>4465</v>
      </c>
      <c r="C1194" s="1" t="s">
        <v>4466</v>
      </c>
      <c r="D1194" s="1" t="s">
        <v>4467</v>
      </c>
      <c r="E1194" s="1" t="s">
        <v>3787</v>
      </c>
      <c r="F1194" s="1" t="s">
        <v>4468</v>
      </c>
      <c r="G1194" s="50" t="s">
        <v>4469</v>
      </c>
      <c r="H1194" s="39" t="s">
        <v>67</v>
      </c>
      <c r="I1194" s="50" t="s">
        <v>4470</v>
      </c>
      <c r="J1194" s="50" t="s">
        <v>4471</v>
      </c>
    </row>
    <row r="1195" customFormat="false" ht="12.8" hidden="false" customHeight="false" outlineLevel="0" collapsed="false">
      <c r="B1195" s="49"/>
      <c r="C1195" s="50"/>
      <c r="D1195" s="50"/>
      <c r="E1195" s="50" t="s">
        <v>3792</v>
      </c>
      <c r="F1195" s="50" t="s">
        <v>4472</v>
      </c>
      <c r="G1195" s="1" t="s">
        <v>3792</v>
      </c>
      <c r="H1195" s="39"/>
      <c r="I1195" s="1" t="s">
        <v>3792</v>
      </c>
      <c r="J1195" s="1" t="s">
        <v>4473</v>
      </c>
    </row>
    <row r="1196" customFormat="false" ht="12.8" hidden="false" customHeight="false" outlineLevel="0" collapsed="false">
      <c r="B1196" s="49"/>
      <c r="C1196" s="1" t="s">
        <v>4474</v>
      </c>
      <c r="D1196" s="1" t="s">
        <v>4475</v>
      </c>
      <c r="E1196" s="1" t="s">
        <v>3797</v>
      </c>
      <c r="F1196" s="1" t="s">
        <v>4476</v>
      </c>
      <c r="G1196" s="50" t="s">
        <v>4477</v>
      </c>
      <c r="H1196" s="34" t="s">
        <v>40</v>
      </c>
      <c r="I1196" s="50" t="s">
        <v>4478</v>
      </c>
      <c r="J1196" s="50" t="s">
        <v>4479</v>
      </c>
    </row>
    <row r="1197" customFormat="false" ht="12.8" hidden="false" customHeight="false" outlineLevel="0" collapsed="false">
      <c r="B1197" s="49"/>
      <c r="C1197" s="50"/>
      <c r="D1197" s="50"/>
      <c r="E1197" s="50" t="s">
        <v>3792</v>
      </c>
      <c r="F1197" s="50" t="s">
        <v>4480</v>
      </c>
      <c r="G1197" s="1" t="s">
        <v>3792</v>
      </c>
      <c r="H1197" s="34"/>
      <c r="I1197" s="1" t="s">
        <v>3792</v>
      </c>
      <c r="J1197" s="1" t="s">
        <v>4481</v>
      </c>
    </row>
    <row r="1198" customFormat="false" ht="12.8" hidden="false" customHeight="false" outlineLevel="0" collapsed="false">
      <c r="B1198" s="49"/>
      <c r="C1198" s="1" t="s">
        <v>4482</v>
      </c>
      <c r="D1198" s="1" t="s">
        <v>4483</v>
      </c>
      <c r="E1198" s="1" t="s">
        <v>3797</v>
      </c>
      <c r="F1198" s="1" t="s">
        <v>4484</v>
      </c>
      <c r="G1198" s="50" t="s">
        <v>4485</v>
      </c>
      <c r="H1198" s="39" t="s">
        <v>67</v>
      </c>
      <c r="I1198" s="50" t="s">
        <v>4486</v>
      </c>
      <c r="J1198" s="50" t="s">
        <v>4487</v>
      </c>
    </row>
    <row r="1199" customFormat="false" ht="12.8" hidden="false" customHeight="false" outlineLevel="0" collapsed="false">
      <c r="B1199" s="49"/>
      <c r="C1199" s="50"/>
      <c r="D1199" s="50"/>
      <c r="E1199" s="50" t="s">
        <v>3792</v>
      </c>
      <c r="F1199" s="50" t="s">
        <v>4488</v>
      </c>
      <c r="G1199" s="1" t="s">
        <v>3792</v>
      </c>
      <c r="H1199" s="39"/>
      <c r="I1199" s="1" t="s">
        <v>3792</v>
      </c>
      <c r="J1199" s="1" t="s">
        <v>4489</v>
      </c>
    </row>
    <row r="1200" customFormat="false" ht="12.8" hidden="false" customHeight="false" outlineLevel="0" collapsed="false">
      <c r="B1200" s="49"/>
      <c r="C1200" s="1" t="s">
        <v>4490</v>
      </c>
      <c r="D1200" s="1" t="s">
        <v>4491</v>
      </c>
      <c r="E1200" s="1" t="s">
        <v>3806</v>
      </c>
      <c r="F1200" s="1" t="s">
        <v>4492</v>
      </c>
      <c r="G1200" s="50" t="s">
        <v>4493</v>
      </c>
      <c r="H1200" s="37" t="s">
        <v>50</v>
      </c>
      <c r="I1200" s="50" t="s">
        <v>4494</v>
      </c>
      <c r="J1200" s="50" t="s">
        <v>4495</v>
      </c>
    </row>
    <row r="1201" customFormat="false" ht="12.8" hidden="false" customHeight="false" outlineLevel="0" collapsed="false">
      <c r="B1201" s="49"/>
      <c r="C1201" s="50"/>
      <c r="D1201" s="50"/>
      <c r="E1201" s="50" t="s">
        <v>3792</v>
      </c>
      <c r="F1201" s="50" t="s">
        <v>4496</v>
      </c>
      <c r="G1201" s="1" t="s">
        <v>3792</v>
      </c>
      <c r="H1201" s="37"/>
      <c r="I1201" s="1" t="s">
        <v>3792</v>
      </c>
      <c r="J1201" s="1" t="s">
        <v>4497</v>
      </c>
    </row>
    <row r="1202" customFormat="false" ht="12.8" hidden="false" customHeight="false" outlineLevel="0" collapsed="false">
      <c r="B1202" s="49"/>
      <c r="C1202" s="1" t="s">
        <v>4498</v>
      </c>
      <c r="D1202" s="1" t="s">
        <v>4499</v>
      </c>
      <c r="E1202" s="1" t="s">
        <v>3787</v>
      </c>
      <c r="F1202" s="1" t="s">
        <v>4500</v>
      </c>
      <c r="G1202" s="51" t="s">
        <v>4501</v>
      </c>
      <c r="H1202" s="37" t="s">
        <v>50</v>
      </c>
      <c r="I1202" s="51" t="s">
        <v>4502</v>
      </c>
      <c r="J1202" s="51" t="s">
        <v>4503</v>
      </c>
    </row>
    <row r="1203" customFormat="false" ht="12.8" hidden="false" customHeight="false" outlineLevel="0" collapsed="false">
      <c r="B1203" s="49"/>
      <c r="C1203" s="51"/>
      <c r="D1203" s="51"/>
      <c r="E1203" s="51" t="s">
        <v>3792</v>
      </c>
      <c r="F1203" s="51" t="s">
        <v>4504</v>
      </c>
      <c r="G1203" s="1" t="s">
        <v>3792</v>
      </c>
      <c r="H1203" s="37"/>
      <c r="I1203" s="1" t="s">
        <v>3792</v>
      </c>
      <c r="J1203" s="1" t="s">
        <v>4505</v>
      </c>
    </row>
    <row r="1204" customFormat="false" ht="12.8" hidden="false" customHeight="true" outlineLevel="0" collapsed="false">
      <c r="B1204" s="49" t="s">
        <v>4506</v>
      </c>
      <c r="C1204" s="1" t="s">
        <v>4507</v>
      </c>
      <c r="D1204" s="1" t="s">
        <v>4508</v>
      </c>
      <c r="E1204" s="1" t="s">
        <v>3787</v>
      </c>
      <c r="F1204" s="1" t="s">
        <v>4509</v>
      </c>
      <c r="G1204" s="50" t="s">
        <v>4510</v>
      </c>
      <c r="H1204" s="39" t="s">
        <v>67</v>
      </c>
      <c r="I1204" s="50" t="s">
        <v>4511</v>
      </c>
      <c r="J1204" s="50" t="s">
        <v>4512</v>
      </c>
    </row>
    <row r="1205" customFormat="false" ht="12.8" hidden="false" customHeight="false" outlineLevel="0" collapsed="false">
      <c r="B1205" s="49"/>
      <c r="C1205" s="50"/>
      <c r="D1205" s="50"/>
      <c r="E1205" s="50" t="s">
        <v>3792</v>
      </c>
      <c r="F1205" s="50" t="s">
        <v>4513</v>
      </c>
      <c r="G1205" s="1" t="s">
        <v>3792</v>
      </c>
      <c r="H1205" s="39"/>
      <c r="I1205" s="1" t="s">
        <v>3792</v>
      </c>
      <c r="J1205" s="1" t="s">
        <v>4514</v>
      </c>
    </row>
    <row r="1206" customFormat="false" ht="12.8" hidden="false" customHeight="false" outlineLevel="0" collapsed="false">
      <c r="B1206" s="49"/>
      <c r="C1206" s="1" t="s">
        <v>4515</v>
      </c>
      <c r="D1206" s="1" t="s">
        <v>4516</v>
      </c>
      <c r="E1206" s="1" t="s">
        <v>3797</v>
      </c>
      <c r="F1206" s="1" t="s">
        <v>4517</v>
      </c>
      <c r="G1206" s="50" t="s">
        <v>4518</v>
      </c>
      <c r="H1206" s="34" t="s">
        <v>40</v>
      </c>
      <c r="I1206" s="50" t="s">
        <v>4519</v>
      </c>
      <c r="J1206" s="50" t="s">
        <v>4520</v>
      </c>
    </row>
    <row r="1207" customFormat="false" ht="12.8" hidden="false" customHeight="false" outlineLevel="0" collapsed="false">
      <c r="B1207" s="49"/>
      <c r="C1207" s="50"/>
      <c r="D1207" s="50"/>
      <c r="E1207" s="50" t="s">
        <v>3792</v>
      </c>
      <c r="F1207" s="50" t="s">
        <v>4521</v>
      </c>
      <c r="G1207" s="1" t="s">
        <v>3792</v>
      </c>
      <c r="H1207" s="34"/>
      <c r="I1207" s="1" t="s">
        <v>3792</v>
      </c>
      <c r="J1207" s="1" t="s">
        <v>4522</v>
      </c>
    </row>
    <row r="1208" customFormat="false" ht="12.8" hidden="false" customHeight="false" outlineLevel="0" collapsed="false">
      <c r="B1208" s="49"/>
      <c r="C1208" s="1" t="s">
        <v>4523</v>
      </c>
      <c r="D1208" s="1" t="s">
        <v>4524</v>
      </c>
      <c r="E1208" s="1" t="s">
        <v>3806</v>
      </c>
      <c r="F1208" s="1" t="s">
        <v>4525</v>
      </c>
      <c r="G1208" s="50" t="s">
        <v>4526</v>
      </c>
      <c r="H1208" s="39" t="s">
        <v>67</v>
      </c>
      <c r="I1208" s="50" t="s">
        <v>4527</v>
      </c>
      <c r="J1208" s="50" t="s">
        <v>4528</v>
      </c>
    </row>
    <row r="1209" customFormat="false" ht="12.8" hidden="false" customHeight="false" outlineLevel="0" collapsed="false">
      <c r="B1209" s="49"/>
      <c r="C1209" s="50"/>
      <c r="D1209" s="50"/>
      <c r="E1209" s="50" t="s">
        <v>3792</v>
      </c>
      <c r="F1209" s="50" t="s">
        <v>4529</v>
      </c>
      <c r="G1209" s="1" t="s">
        <v>3792</v>
      </c>
      <c r="H1209" s="39"/>
      <c r="I1209" s="1" t="s">
        <v>3792</v>
      </c>
      <c r="J1209" s="1" t="s">
        <v>4530</v>
      </c>
    </row>
    <row r="1210" customFormat="false" ht="12.8" hidden="false" customHeight="false" outlineLevel="0" collapsed="false">
      <c r="B1210" s="49"/>
      <c r="C1210" s="1" t="s">
        <v>4531</v>
      </c>
      <c r="D1210" s="1" t="s">
        <v>4532</v>
      </c>
      <c r="E1210" s="1" t="s">
        <v>3787</v>
      </c>
      <c r="F1210" s="1" t="s">
        <v>4533</v>
      </c>
      <c r="G1210" s="50" t="s">
        <v>4534</v>
      </c>
      <c r="H1210" s="37" t="s">
        <v>50</v>
      </c>
      <c r="I1210" s="50" t="s">
        <v>4535</v>
      </c>
      <c r="J1210" s="50" t="s">
        <v>4536</v>
      </c>
    </row>
    <row r="1211" customFormat="false" ht="12.8" hidden="false" customHeight="false" outlineLevel="0" collapsed="false">
      <c r="B1211" s="49"/>
      <c r="C1211" s="50"/>
      <c r="D1211" s="50"/>
      <c r="E1211" s="50" t="s">
        <v>3792</v>
      </c>
      <c r="F1211" s="50" t="s">
        <v>4537</v>
      </c>
      <c r="G1211" s="1" t="s">
        <v>3792</v>
      </c>
      <c r="H1211" s="37"/>
      <c r="I1211" s="1" t="s">
        <v>3792</v>
      </c>
      <c r="J1211" s="1" t="s">
        <v>4538</v>
      </c>
    </row>
    <row r="1212" customFormat="false" ht="12.8" hidden="false" customHeight="false" outlineLevel="0" collapsed="false">
      <c r="B1212" s="49"/>
      <c r="C1212" s="1" t="s">
        <v>4539</v>
      </c>
      <c r="D1212" s="1" t="s">
        <v>4540</v>
      </c>
      <c r="E1212" s="1" t="s">
        <v>3797</v>
      </c>
      <c r="F1212" s="1" t="s">
        <v>4541</v>
      </c>
      <c r="G1212" s="51" t="s">
        <v>4542</v>
      </c>
      <c r="H1212" s="37" t="s">
        <v>50</v>
      </c>
      <c r="I1212" s="51" t="s">
        <v>4543</v>
      </c>
      <c r="J1212" s="51" t="s">
        <v>4544</v>
      </c>
    </row>
    <row r="1213" customFormat="false" ht="12.8" hidden="false" customHeight="false" outlineLevel="0" collapsed="false">
      <c r="B1213" s="49"/>
      <c r="C1213" s="51"/>
      <c r="D1213" s="51"/>
      <c r="E1213" s="51" t="s">
        <v>3792</v>
      </c>
      <c r="F1213" s="51" t="s">
        <v>4545</v>
      </c>
      <c r="G1213" s="1" t="s">
        <v>3792</v>
      </c>
      <c r="H1213" s="37"/>
      <c r="I1213" s="1" t="s">
        <v>3792</v>
      </c>
      <c r="J1213" s="1" t="s">
        <v>4546</v>
      </c>
    </row>
    <row r="1214" customFormat="false" ht="12.8" hidden="false" customHeight="true" outlineLevel="0" collapsed="false">
      <c r="B1214" s="49" t="s">
        <v>4547</v>
      </c>
      <c r="C1214" s="1" t="s">
        <v>4466</v>
      </c>
      <c r="D1214" s="1" t="s">
        <v>4467</v>
      </c>
      <c r="E1214" s="1" t="s">
        <v>3806</v>
      </c>
      <c r="F1214" s="1" t="s">
        <v>4548</v>
      </c>
      <c r="G1214" s="50" t="s">
        <v>4549</v>
      </c>
      <c r="H1214" s="39" t="s">
        <v>67</v>
      </c>
      <c r="I1214" s="50" t="s">
        <v>4550</v>
      </c>
      <c r="J1214" s="50" t="s">
        <v>4551</v>
      </c>
    </row>
    <row r="1215" customFormat="false" ht="12.8" hidden="false" customHeight="false" outlineLevel="0" collapsed="false">
      <c r="B1215" s="49"/>
      <c r="C1215" s="50"/>
      <c r="D1215" s="50"/>
      <c r="E1215" s="50" t="s">
        <v>3792</v>
      </c>
      <c r="F1215" s="50" t="s">
        <v>4552</v>
      </c>
      <c r="G1215" s="1" t="s">
        <v>3792</v>
      </c>
      <c r="H1215" s="39"/>
      <c r="I1215" s="1" t="s">
        <v>3792</v>
      </c>
      <c r="J1215" s="1" t="s">
        <v>4553</v>
      </c>
    </row>
    <row r="1216" customFormat="false" ht="12.8" hidden="false" customHeight="false" outlineLevel="0" collapsed="false">
      <c r="B1216" s="49"/>
      <c r="C1216" s="1" t="s">
        <v>4554</v>
      </c>
      <c r="D1216" s="1" t="s">
        <v>4475</v>
      </c>
      <c r="E1216" s="1" t="s">
        <v>3787</v>
      </c>
      <c r="F1216" s="1" t="s">
        <v>4555</v>
      </c>
      <c r="G1216" s="50" t="s">
        <v>4556</v>
      </c>
      <c r="H1216" s="34" t="s">
        <v>40</v>
      </c>
      <c r="I1216" s="50" t="s">
        <v>4557</v>
      </c>
      <c r="J1216" s="50" t="s">
        <v>4558</v>
      </c>
    </row>
    <row r="1217" customFormat="false" ht="12.8" hidden="false" customHeight="false" outlineLevel="0" collapsed="false">
      <c r="B1217" s="49"/>
      <c r="C1217" s="50"/>
      <c r="D1217" s="50"/>
      <c r="E1217" s="50" t="s">
        <v>3792</v>
      </c>
      <c r="F1217" s="50" t="s">
        <v>4559</v>
      </c>
      <c r="G1217" s="1" t="s">
        <v>3792</v>
      </c>
      <c r="H1217" s="34"/>
      <c r="I1217" s="1" t="s">
        <v>3792</v>
      </c>
      <c r="J1217" s="1" t="s">
        <v>4560</v>
      </c>
    </row>
    <row r="1218" customFormat="false" ht="12.8" hidden="false" customHeight="false" outlineLevel="0" collapsed="false">
      <c r="B1218" s="49"/>
      <c r="C1218" s="1" t="s">
        <v>4482</v>
      </c>
      <c r="D1218" s="1" t="s">
        <v>4483</v>
      </c>
      <c r="E1218" s="1" t="s">
        <v>3797</v>
      </c>
      <c r="F1218" s="1" t="s">
        <v>4561</v>
      </c>
      <c r="G1218" s="50" t="s">
        <v>4562</v>
      </c>
      <c r="H1218" s="39" t="s">
        <v>67</v>
      </c>
      <c r="I1218" s="50" t="s">
        <v>4563</v>
      </c>
      <c r="J1218" s="50" t="s">
        <v>4564</v>
      </c>
    </row>
    <row r="1219" customFormat="false" ht="12.8" hidden="false" customHeight="false" outlineLevel="0" collapsed="false">
      <c r="B1219" s="49"/>
      <c r="C1219" s="50"/>
      <c r="D1219" s="50"/>
      <c r="E1219" s="50" t="s">
        <v>3792</v>
      </c>
      <c r="F1219" s="50" t="s">
        <v>4565</v>
      </c>
      <c r="G1219" s="1" t="s">
        <v>3792</v>
      </c>
      <c r="H1219" s="39"/>
      <c r="J1219" s="1" t="s">
        <v>4566</v>
      </c>
    </row>
    <row r="1220" customFormat="false" ht="12.8" hidden="false" customHeight="false" outlineLevel="0" collapsed="false">
      <c r="B1220" s="49"/>
      <c r="C1220" s="1" t="s">
        <v>4490</v>
      </c>
      <c r="D1220" s="1" t="s">
        <v>4491</v>
      </c>
      <c r="E1220" s="1" t="s">
        <v>3797</v>
      </c>
      <c r="F1220" s="1" t="s">
        <v>4567</v>
      </c>
      <c r="G1220" s="50"/>
      <c r="H1220" s="37" t="s">
        <v>50</v>
      </c>
      <c r="I1220" s="50"/>
      <c r="J1220" s="50" t="s">
        <v>4568</v>
      </c>
    </row>
    <row r="1221" customFormat="false" ht="12.8" hidden="false" customHeight="false" outlineLevel="0" collapsed="false">
      <c r="B1221" s="49"/>
      <c r="C1221" s="50"/>
      <c r="D1221" s="50"/>
      <c r="E1221" s="50" t="s">
        <v>3792</v>
      </c>
      <c r="F1221" s="50" t="s">
        <v>4569</v>
      </c>
      <c r="H1221" s="37"/>
      <c r="J1221" s="1" t="s">
        <v>4570</v>
      </c>
    </row>
    <row r="1222" customFormat="false" ht="12.8" hidden="false" customHeight="false" outlineLevel="0" collapsed="false">
      <c r="B1222" s="49"/>
      <c r="C1222" s="1" t="s">
        <v>4498</v>
      </c>
      <c r="D1222" s="1" t="s">
        <v>4499</v>
      </c>
      <c r="E1222" s="1" t="s">
        <v>3806</v>
      </c>
      <c r="F1222" s="1" t="s">
        <v>4571</v>
      </c>
      <c r="G1222" s="51" t="s">
        <v>4572</v>
      </c>
      <c r="H1222" s="34" t="s">
        <v>40</v>
      </c>
      <c r="I1222" s="51" t="s">
        <v>4573</v>
      </c>
      <c r="J1222" s="51" t="s">
        <v>4574</v>
      </c>
    </row>
    <row r="1223" customFormat="false" ht="12.8" hidden="false" customHeight="false" outlineLevel="0" collapsed="false">
      <c r="B1223" s="49"/>
      <c r="C1223" s="51"/>
      <c r="D1223" s="51"/>
      <c r="E1223" s="51" t="s">
        <v>3792</v>
      </c>
      <c r="F1223" s="51" t="s">
        <v>4575</v>
      </c>
      <c r="G1223" s="1" t="s">
        <v>3792</v>
      </c>
      <c r="H1223" s="34"/>
      <c r="I1223" s="1" t="s">
        <v>3792</v>
      </c>
      <c r="J1223" s="1" t="s">
        <v>4576</v>
      </c>
    </row>
    <row r="1224" customFormat="false" ht="12.8" hidden="false" customHeight="true" outlineLevel="0" collapsed="false">
      <c r="B1224" s="55" t="s">
        <v>4577</v>
      </c>
      <c r="C1224" s="1" t="s">
        <v>4578</v>
      </c>
      <c r="D1224" s="1" t="s">
        <v>4579</v>
      </c>
      <c r="E1224" s="1" t="s">
        <v>3787</v>
      </c>
      <c r="F1224" s="1" t="s">
        <v>4580</v>
      </c>
      <c r="G1224" s="50" t="s">
        <v>4581</v>
      </c>
      <c r="H1224" s="37" t="s">
        <v>50</v>
      </c>
      <c r="I1224" s="50" t="s">
        <v>4582</v>
      </c>
      <c r="J1224" s="50" t="s">
        <v>4583</v>
      </c>
    </row>
    <row r="1225" customFormat="false" ht="12.8" hidden="false" customHeight="false" outlineLevel="0" collapsed="false">
      <c r="B1225" s="55"/>
      <c r="C1225" s="50"/>
      <c r="D1225" s="50"/>
      <c r="E1225" s="50" t="s">
        <v>3792</v>
      </c>
      <c r="F1225" s="50" t="s">
        <v>4584</v>
      </c>
      <c r="G1225" s="1" t="s">
        <v>3792</v>
      </c>
      <c r="H1225" s="37"/>
      <c r="I1225" s="1" t="s">
        <v>3792</v>
      </c>
      <c r="J1225" s="1" t="s">
        <v>4585</v>
      </c>
    </row>
    <row r="1226" customFormat="false" ht="12.8" hidden="false" customHeight="false" outlineLevel="0" collapsed="false">
      <c r="B1226" s="55"/>
      <c r="C1226" s="1" t="s">
        <v>4586</v>
      </c>
      <c r="D1226" s="1" t="s">
        <v>4587</v>
      </c>
      <c r="E1226" s="1" t="s">
        <v>3806</v>
      </c>
      <c r="F1226" s="1" t="s">
        <v>4588</v>
      </c>
      <c r="G1226" s="50" t="s">
        <v>4589</v>
      </c>
      <c r="H1226" s="34" t="s">
        <v>40</v>
      </c>
      <c r="I1226" s="50" t="s">
        <v>4590</v>
      </c>
      <c r="J1226" s="50" t="s">
        <v>4591</v>
      </c>
    </row>
    <row r="1227" customFormat="false" ht="12.8" hidden="false" customHeight="false" outlineLevel="0" collapsed="false">
      <c r="B1227" s="55"/>
      <c r="C1227" s="50"/>
      <c r="D1227" s="50"/>
      <c r="E1227" s="50" t="s">
        <v>3792</v>
      </c>
      <c r="F1227" s="50" t="s">
        <v>4592</v>
      </c>
      <c r="G1227" s="1" t="s">
        <v>3792</v>
      </c>
      <c r="H1227" s="34"/>
      <c r="I1227" s="1" t="s">
        <v>3792</v>
      </c>
      <c r="J1227" s="1" t="s">
        <v>4593</v>
      </c>
    </row>
    <row r="1228" customFormat="false" ht="12.8" hidden="false" customHeight="false" outlineLevel="0" collapsed="false">
      <c r="B1228" s="55"/>
      <c r="C1228" s="1" t="s">
        <v>4594</v>
      </c>
      <c r="D1228" s="1" t="s">
        <v>4595</v>
      </c>
      <c r="E1228" s="1" t="s">
        <v>3797</v>
      </c>
      <c r="F1228" s="1" t="s">
        <v>4596</v>
      </c>
      <c r="G1228" s="50" t="s">
        <v>4597</v>
      </c>
      <c r="H1228" s="39" t="s">
        <v>67</v>
      </c>
      <c r="I1228" s="50" t="s">
        <v>4598</v>
      </c>
      <c r="J1228" s="50" t="s">
        <v>4599</v>
      </c>
    </row>
    <row r="1229" customFormat="false" ht="12.8" hidden="false" customHeight="false" outlineLevel="0" collapsed="false">
      <c r="B1229" s="55"/>
      <c r="C1229" s="50"/>
      <c r="D1229" s="50"/>
      <c r="E1229" s="50" t="s">
        <v>3792</v>
      </c>
      <c r="F1229" s="50" t="s">
        <v>4600</v>
      </c>
      <c r="G1229" s="1" t="s">
        <v>3792</v>
      </c>
      <c r="H1229" s="39"/>
      <c r="I1229" s="1" t="s">
        <v>3792</v>
      </c>
      <c r="J1229" s="1" t="s">
        <v>4601</v>
      </c>
    </row>
    <row r="1230" customFormat="false" ht="12.8" hidden="false" customHeight="false" outlineLevel="0" collapsed="false">
      <c r="B1230" s="55"/>
      <c r="C1230" s="1" t="s">
        <v>4602</v>
      </c>
      <c r="D1230" s="1" t="s">
        <v>4603</v>
      </c>
      <c r="E1230" s="1" t="s">
        <v>3787</v>
      </c>
      <c r="F1230" s="1" t="s">
        <v>4604</v>
      </c>
      <c r="G1230" s="50" t="s">
        <v>4605</v>
      </c>
      <c r="H1230" s="34" t="s">
        <v>40</v>
      </c>
      <c r="I1230" s="50" t="s">
        <v>4606</v>
      </c>
      <c r="J1230" s="50" t="s">
        <v>4607</v>
      </c>
    </row>
    <row r="1231" customFormat="false" ht="12.8" hidden="false" customHeight="false" outlineLevel="0" collapsed="false">
      <c r="B1231" s="55"/>
      <c r="C1231" s="50"/>
      <c r="D1231" s="50"/>
      <c r="E1231" s="50" t="s">
        <v>3792</v>
      </c>
      <c r="F1231" s="50" t="s">
        <v>4608</v>
      </c>
      <c r="G1231" s="1" t="s">
        <v>3792</v>
      </c>
      <c r="H1231" s="34"/>
      <c r="I1231" s="1" t="s">
        <v>3792</v>
      </c>
      <c r="J1231" s="1" t="s">
        <v>4609</v>
      </c>
    </row>
    <row r="1232" customFormat="false" ht="12.8" hidden="false" customHeight="false" outlineLevel="0" collapsed="false">
      <c r="B1232" s="55"/>
      <c r="C1232" s="1" t="s">
        <v>4610</v>
      </c>
      <c r="D1232" s="1" t="s">
        <v>4611</v>
      </c>
      <c r="E1232" s="1" t="s">
        <v>3787</v>
      </c>
      <c r="F1232" s="1" t="s">
        <v>4612</v>
      </c>
      <c r="G1232" s="54" t="s">
        <v>4613</v>
      </c>
      <c r="H1232" s="37" t="s">
        <v>50</v>
      </c>
      <c r="I1232" s="54" t="s">
        <v>4614</v>
      </c>
      <c r="J1232" s="54" t="s">
        <v>4615</v>
      </c>
    </row>
    <row r="1233" customFormat="false" ht="12.8" hidden="false" customHeight="false" outlineLevel="0" collapsed="false">
      <c r="A1233" s="54"/>
      <c r="B1233" s="55"/>
      <c r="C1233" s="54"/>
      <c r="D1233" s="54"/>
      <c r="E1233" s="54" t="s">
        <v>3792</v>
      </c>
      <c r="F1233" s="54" t="s">
        <v>4616</v>
      </c>
      <c r="G1233" s="1" t="s">
        <v>3792</v>
      </c>
      <c r="H1233" s="37"/>
      <c r="I1233" s="1" t="s">
        <v>3792</v>
      </c>
      <c r="J1233" s="1" t="s">
        <v>4617</v>
      </c>
    </row>
    <row r="1234" customFormat="false" ht="12.8" hidden="false" customHeight="true" outlineLevel="0" collapsed="false">
      <c r="A1234" s="1" t="s">
        <v>4618</v>
      </c>
      <c r="B1234" s="49" t="s">
        <v>4619</v>
      </c>
      <c r="C1234" s="1" t="s">
        <v>4620</v>
      </c>
      <c r="D1234" s="1" t="s">
        <v>4621</v>
      </c>
      <c r="E1234" s="1" t="s">
        <v>3806</v>
      </c>
      <c r="F1234" s="1" t="s">
        <v>4622</v>
      </c>
      <c r="G1234" s="50" t="s">
        <v>4623</v>
      </c>
      <c r="H1234" s="34" t="s">
        <v>40</v>
      </c>
      <c r="I1234" s="50" t="s">
        <v>4624</v>
      </c>
      <c r="J1234" s="50" t="s">
        <v>4625</v>
      </c>
    </row>
    <row r="1235" customFormat="false" ht="12.8" hidden="false" customHeight="false" outlineLevel="0" collapsed="false">
      <c r="B1235" s="49"/>
      <c r="C1235" s="50"/>
      <c r="D1235" s="50"/>
      <c r="E1235" s="50" t="s">
        <v>3792</v>
      </c>
      <c r="F1235" s="50" t="s">
        <v>4626</v>
      </c>
      <c r="G1235" s="1" t="s">
        <v>3792</v>
      </c>
      <c r="H1235" s="34"/>
      <c r="I1235" s="1" t="s">
        <v>3792</v>
      </c>
      <c r="J1235" s="1" t="s">
        <v>4627</v>
      </c>
    </row>
    <row r="1236" customFormat="false" ht="12.8" hidden="false" customHeight="false" outlineLevel="0" collapsed="false">
      <c r="B1236" s="49"/>
      <c r="C1236" s="1" t="s">
        <v>4628</v>
      </c>
      <c r="D1236" s="1" t="s">
        <v>507</v>
      </c>
      <c r="E1236" s="1" t="s">
        <v>3806</v>
      </c>
      <c r="F1236" s="1" t="s">
        <v>4629</v>
      </c>
      <c r="G1236" s="50" t="s">
        <v>4630</v>
      </c>
      <c r="H1236" s="39" t="s">
        <v>67</v>
      </c>
      <c r="I1236" s="50" t="s">
        <v>4631</v>
      </c>
      <c r="J1236" s="50" t="s">
        <v>4632</v>
      </c>
    </row>
    <row r="1237" customFormat="false" ht="12.8" hidden="false" customHeight="false" outlineLevel="0" collapsed="false">
      <c r="B1237" s="49"/>
      <c r="C1237" s="50"/>
      <c r="D1237" s="50"/>
      <c r="E1237" s="50" t="s">
        <v>3792</v>
      </c>
      <c r="F1237" s="50" t="s">
        <v>4633</v>
      </c>
      <c r="G1237" s="1" t="s">
        <v>3792</v>
      </c>
      <c r="H1237" s="39"/>
      <c r="I1237" s="1" t="s">
        <v>3792</v>
      </c>
      <c r="J1237" s="1" t="s">
        <v>4634</v>
      </c>
    </row>
    <row r="1238" customFormat="false" ht="12.8" hidden="false" customHeight="false" outlineLevel="0" collapsed="false">
      <c r="B1238" s="49"/>
      <c r="C1238" s="1" t="s">
        <v>4635</v>
      </c>
      <c r="D1238" s="1" t="s">
        <v>4636</v>
      </c>
      <c r="E1238" s="1" t="s">
        <v>3797</v>
      </c>
      <c r="F1238" s="1" t="s">
        <v>4637</v>
      </c>
      <c r="G1238" s="50" t="s">
        <v>4638</v>
      </c>
      <c r="H1238" s="34" t="s">
        <v>40</v>
      </c>
      <c r="I1238" s="50" t="s">
        <v>4639</v>
      </c>
      <c r="J1238" s="50" t="s">
        <v>4640</v>
      </c>
    </row>
    <row r="1239" customFormat="false" ht="12.8" hidden="false" customHeight="false" outlineLevel="0" collapsed="false">
      <c r="B1239" s="49"/>
      <c r="C1239" s="50"/>
      <c r="D1239" s="50"/>
      <c r="E1239" s="50" t="s">
        <v>3792</v>
      </c>
      <c r="F1239" s="50" t="s">
        <v>4641</v>
      </c>
      <c r="G1239" s="1" t="s">
        <v>3792</v>
      </c>
      <c r="H1239" s="34"/>
      <c r="I1239" s="1" t="s">
        <v>3792</v>
      </c>
      <c r="J1239" s="1" t="s">
        <v>4642</v>
      </c>
    </row>
    <row r="1240" customFormat="false" ht="12.8" hidden="false" customHeight="false" outlineLevel="0" collapsed="false">
      <c r="B1240" s="49"/>
      <c r="C1240" s="1" t="s">
        <v>4081</v>
      </c>
      <c r="D1240" s="1" t="s">
        <v>4643</v>
      </c>
      <c r="E1240" s="1" t="s">
        <v>3787</v>
      </c>
      <c r="F1240" s="1" t="s">
        <v>4644</v>
      </c>
      <c r="G1240" s="50" t="s">
        <v>4645</v>
      </c>
      <c r="H1240" s="37" t="s">
        <v>50</v>
      </c>
      <c r="I1240" s="50" t="s">
        <v>4646</v>
      </c>
      <c r="J1240" s="50" t="s">
        <v>4647</v>
      </c>
    </row>
    <row r="1241" customFormat="false" ht="12.8" hidden="false" customHeight="false" outlineLevel="0" collapsed="false">
      <c r="B1241" s="49"/>
      <c r="C1241" s="50"/>
      <c r="D1241" s="50"/>
      <c r="E1241" s="50" t="s">
        <v>3792</v>
      </c>
      <c r="F1241" s="50" t="s">
        <v>4648</v>
      </c>
      <c r="G1241" s="1" t="s">
        <v>3792</v>
      </c>
      <c r="H1241" s="37"/>
      <c r="I1241" s="1" t="s">
        <v>3792</v>
      </c>
      <c r="J1241" s="1" t="s">
        <v>4649</v>
      </c>
    </row>
    <row r="1242" customFormat="false" ht="12.8" hidden="false" customHeight="false" outlineLevel="0" collapsed="false">
      <c r="B1242" s="49"/>
      <c r="C1242" s="1" t="s">
        <v>4650</v>
      </c>
      <c r="D1242" s="1" t="s">
        <v>4651</v>
      </c>
      <c r="E1242" s="1" t="s">
        <v>3806</v>
      </c>
      <c r="F1242" s="1" t="s">
        <v>4652</v>
      </c>
      <c r="G1242" s="51" t="s">
        <v>4653</v>
      </c>
      <c r="H1242" s="34" t="s">
        <v>40</v>
      </c>
      <c r="I1242" s="51" t="s">
        <v>4654</v>
      </c>
      <c r="J1242" s="51" t="s">
        <v>4655</v>
      </c>
    </row>
    <row r="1243" customFormat="false" ht="12.8" hidden="false" customHeight="false" outlineLevel="0" collapsed="false">
      <c r="B1243" s="49"/>
      <c r="C1243" s="51"/>
      <c r="D1243" s="51"/>
      <c r="E1243" s="51" t="s">
        <v>3792</v>
      </c>
      <c r="F1243" s="51" t="s">
        <v>4656</v>
      </c>
      <c r="G1243" s="1" t="s">
        <v>3792</v>
      </c>
      <c r="H1243" s="34"/>
      <c r="I1243" s="1" t="s">
        <v>3792</v>
      </c>
      <c r="J1243" s="1" t="s">
        <v>4657</v>
      </c>
    </row>
    <row r="1244" customFormat="false" ht="12.8" hidden="false" customHeight="true" outlineLevel="0" collapsed="false">
      <c r="B1244" s="49" t="s">
        <v>4658</v>
      </c>
      <c r="C1244" s="1" t="s">
        <v>4659</v>
      </c>
      <c r="D1244" s="1" t="s">
        <v>4660</v>
      </c>
      <c r="E1244" s="1" t="s">
        <v>3787</v>
      </c>
      <c r="F1244" s="1" t="s">
        <v>4661</v>
      </c>
      <c r="G1244" s="50" t="s">
        <v>4662</v>
      </c>
      <c r="H1244" s="39" t="s">
        <v>67</v>
      </c>
      <c r="I1244" s="50" t="s">
        <v>4663</v>
      </c>
      <c r="J1244" s="50" t="s">
        <v>4664</v>
      </c>
    </row>
    <row r="1245" customFormat="false" ht="12.8" hidden="false" customHeight="false" outlineLevel="0" collapsed="false">
      <c r="B1245" s="49"/>
      <c r="C1245" s="50"/>
      <c r="D1245" s="50"/>
      <c r="E1245" s="50" t="s">
        <v>3792</v>
      </c>
      <c r="F1245" s="50" t="s">
        <v>4665</v>
      </c>
      <c r="G1245" s="1" t="s">
        <v>3792</v>
      </c>
      <c r="H1245" s="39"/>
      <c r="I1245" s="1" t="s">
        <v>3792</v>
      </c>
      <c r="J1245" s="1" t="s">
        <v>4666</v>
      </c>
    </row>
    <row r="1246" customFormat="false" ht="12.8" hidden="false" customHeight="false" outlineLevel="0" collapsed="false">
      <c r="B1246" s="49"/>
      <c r="C1246" s="1" t="s">
        <v>4667</v>
      </c>
      <c r="D1246" s="1" t="s">
        <v>4668</v>
      </c>
      <c r="E1246" s="1" t="s">
        <v>3797</v>
      </c>
      <c r="F1246" s="1" t="s">
        <v>4669</v>
      </c>
      <c r="G1246" s="50" t="s">
        <v>4670</v>
      </c>
      <c r="H1246" s="34" t="s">
        <v>40</v>
      </c>
      <c r="I1246" s="50" t="s">
        <v>4671</v>
      </c>
      <c r="J1246" s="50" t="s">
        <v>4672</v>
      </c>
    </row>
    <row r="1247" customFormat="false" ht="12.8" hidden="false" customHeight="false" outlineLevel="0" collapsed="false">
      <c r="B1247" s="49"/>
      <c r="C1247" s="50"/>
      <c r="D1247" s="50"/>
      <c r="E1247" s="50" t="s">
        <v>3792</v>
      </c>
      <c r="F1247" s="50" t="s">
        <v>4673</v>
      </c>
      <c r="G1247" s="1" t="s">
        <v>3792</v>
      </c>
      <c r="H1247" s="34"/>
      <c r="I1247" s="1" t="s">
        <v>3792</v>
      </c>
      <c r="J1247" s="1" t="s">
        <v>4674</v>
      </c>
    </row>
    <row r="1248" customFormat="false" ht="12.8" hidden="false" customHeight="false" outlineLevel="0" collapsed="false">
      <c r="B1248" s="49"/>
      <c r="C1248" s="1" t="s">
        <v>4675</v>
      </c>
      <c r="D1248" s="1" t="s">
        <v>4676</v>
      </c>
      <c r="E1248" s="1" t="s">
        <v>3797</v>
      </c>
      <c r="F1248" s="1" t="s">
        <v>4677</v>
      </c>
      <c r="G1248" s="50" t="s">
        <v>4678</v>
      </c>
      <c r="H1248" s="37" t="s">
        <v>50</v>
      </c>
      <c r="I1248" s="50" t="s">
        <v>4679</v>
      </c>
      <c r="J1248" s="50" t="s">
        <v>4680</v>
      </c>
    </row>
    <row r="1249" customFormat="false" ht="12.8" hidden="false" customHeight="false" outlineLevel="0" collapsed="false">
      <c r="B1249" s="49"/>
      <c r="C1249" s="50"/>
      <c r="D1249" s="50"/>
      <c r="E1249" s="50" t="s">
        <v>3792</v>
      </c>
      <c r="F1249" s="50" t="s">
        <v>4681</v>
      </c>
      <c r="G1249" s="1" t="s">
        <v>3792</v>
      </c>
      <c r="H1249" s="37"/>
      <c r="I1249" s="1" t="s">
        <v>3792</v>
      </c>
      <c r="J1249" s="1" t="s">
        <v>4682</v>
      </c>
    </row>
    <row r="1250" customFormat="false" ht="12.8" hidden="false" customHeight="false" outlineLevel="0" collapsed="false">
      <c r="B1250" s="49"/>
      <c r="C1250" s="1" t="s">
        <v>4683</v>
      </c>
      <c r="D1250" s="1" t="s">
        <v>4684</v>
      </c>
      <c r="E1250" s="1" t="s">
        <v>3787</v>
      </c>
      <c r="F1250" s="1" t="s">
        <v>4685</v>
      </c>
      <c r="G1250" s="50" t="s">
        <v>4686</v>
      </c>
      <c r="H1250" s="34" t="s">
        <v>40</v>
      </c>
      <c r="I1250" s="50" t="s">
        <v>4687</v>
      </c>
      <c r="J1250" s="50" t="s">
        <v>4688</v>
      </c>
    </row>
    <row r="1251" customFormat="false" ht="12.8" hidden="false" customHeight="false" outlineLevel="0" collapsed="false">
      <c r="B1251" s="49"/>
      <c r="C1251" s="50"/>
      <c r="D1251" s="50"/>
      <c r="E1251" s="50" t="s">
        <v>3792</v>
      </c>
      <c r="F1251" s="50" t="s">
        <v>4689</v>
      </c>
      <c r="G1251" s="1" t="s">
        <v>3792</v>
      </c>
      <c r="H1251" s="34"/>
      <c r="I1251" s="1" t="s">
        <v>3792</v>
      </c>
      <c r="J1251" s="1" t="s">
        <v>4690</v>
      </c>
    </row>
    <row r="1252" customFormat="false" ht="12.8" hidden="false" customHeight="false" outlineLevel="0" collapsed="false">
      <c r="B1252" s="49"/>
      <c r="C1252" s="1" t="s">
        <v>4691</v>
      </c>
      <c r="D1252" s="1" t="s">
        <v>4692</v>
      </c>
      <c r="E1252" s="1" t="s">
        <v>3806</v>
      </c>
      <c r="F1252" s="1" t="s">
        <v>4693</v>
      </c>
      <c r="G1252" s="51" t="s">
        <v>4694</v>
      </c>
      <c r="H1252" s="39" t="s">
        <v>67</v>
      </c>
      <c r="I1252" s="51" t="s">
        <v>4695</v>
      </c>
      <c r="J1252" s="51" t="s">
        <v>4696</v>
      </c>
    </row>
    <row r="1253" customFormat="false" ht="12.8" hidden="false" customHeight="false" outlineLevel="0" collapsed="false">
      <c r="B1253" s="49"/>
      <c r="C1253" s="51"/>
      <c r="D1253" s="51"/>
      <c r="E1253" s="51" t="s">
        <v>3792</v>
      </c>
      <c r="F1253" s="51" t="s">
        <v>4697</v>
      </c>
      <c r="G1253" s="1" t="s">
        <v>3792</v>
      </c>
      <c r="H1253" s="39"/>
      <c r="I1253" s="1" t="s">
        <v>3792</v>
      </c>
      <c r="J1253" s="1" t="s">
        <v>4698</v>
      </c>
    </row>
    <row r="1254" customFormat="false" ht="12.8" hidden="false" customHeight="true" outlineLevel="0" collapsed="false">
      <c r="B1254" s="49" t="s">
        <v>4699</v>
      </c>
      <c r="C1254" s="1" t="s">
        <v>4700</v>
      </c>
      <c r="D1254" s="1" t="s">
        <v>4701</v>
      </c>
      <c r="E1254" s="1" t="s">
        <v>3797</v>
      </c>
      <c r="F1254" s="1" t="s">
        <v>4702</v>
      </c>
      <c r="G1254" s="50" t="s">
        <v>4703</v>
      </c>
      <c r="H1254" s="34" t="s">
        <v>40</v>
      </c>
      <c r="I1254" s="50" t="s">
        <v>4704</v>
      </c>
      <c r="J1254" s="50" t="s">
        <v>4705</v>
      </c>
    </row>
    <row r="1255" customFormat="false" ht="12.8" hidden="false" customHeight="false" outlineLevel="0" collapsed="false">
      <c r="B1255" s="49"/>
      <c r="C1255" s="50"/>
      <c r="D1255" s="50"/>
      <c r="E1255" s="50" t="s">
        <v>3792</v>
      </c>
      <c r="F1255" s="50" t="s">
        <v>4706</v>
      </c>
      <c r="G1255" s="1" t="s">
        <v>3792</v>
      </c>
      <c r="H1255" s="34"/>
      <c r="I1255" s="1" t="s">
        <v>3792</v>
      </c>
      <c r="J1255" s="1" t="s">
        <v>4707</v>
      </c>
    </row>
    <row r="1256" customFormat="false" ht="12.8" hidden="false" customHeight="false" outlineLevel="0" collapsed="false">
      <c r="B1256" s="49"/>
      <c r="C1256" s="1" t="s">
        <v>4708</v>
      </c>
      <c r="D1256" s="1" t="s">
        <v>4709</v>
      </c>
      <c r="E1256" s="1" t="s">
        <v>3787</v>
      </c>
      <c r="F1256" s="1" t="s">
        <v>4710</v>
      </c>
      <c r="G1256" s="50" t="s">
        <v>4711</v>
      </c>
      <c r="H1256" s="37" t="s">
        <v>50</v>
      </c>
      <c r="I1256" s="50" t="s">
        <v>4712</v>
      </c>
      <c r="J1256" s="50" t="s">
        <v>4713</v>
      </c>
    </row>
    <row r="1257" customFormat="false" ht="12.8" hidden="false" customHeight="false" outlineLevel="0" collapsed="false">
      <c r="B1257" s="49"/>
      <c r="C1257" s="50"/>
      <c r="D1257" s="50"/>
      <c r="E1257" s="50" t="s">
        <v>3792</v>
      </c>
      <c r="F1257" s="50" t="s">
        <v>4714</v>
      </c>
      <c r="G1257" s="1" t="s">
        <v>3792</v>
      </c>
      <c r="H1257" s="37"/>
      <c r="I1257" s="1" t="s">
        <v>3792</v>
      </c>
      <c r="J1257" s="1" t="s">
        <v>4715</v>
      </c>
    </row>
    <row r="1258" customFormat="false" ht="12.8" hidden="false" customHeight="false" outlineLevel="0" collapsed="false">
      <c r="B1258" s="49"/>
      <c r="C1258" s="1" t="s">
        <v>4716</v>
      </c>
      <c r="D1258" s="1" t="s">
        <v>4717</v>
      </c>
      <c r="E1258" s="1" t="s">
        <v>3806</v>
      </c>
      <c r="F1258" s="1" t="s">
        <v>4718</v>
      </c>
      <c r="G1258" s="50" t="s">
        <v>4719</v>
      </c>
      <c r="H1258" s="34" t="s">
        <v>40</v>
      </c>
      <c r="I1258" s="50" t="s">
        <v>4720</v>
      </c>
      <c r="J1258" s="50" t="s">
        <v>4721</v>
      </c>
    </row>
    <row r="1259" customFormat="false" ht="12.8" hidden="false" customHeight="false" outlineLevel="0" collapsed="false">
      <c r="B1259" s="49"/>
      <c r="C1259" s="50"/>
      <c r="D1259" s="50"/>
      <c r="E1259" s="50" t="s">
        <v>3792</v>
      </c>
      <c r="F1259" s="50" t="s">
        <v>4722</v>
      </c>
      <c r="G1259" s="1" t="s">
        <v>3792</v>
      </c>
      <c r="H1259" s="34"/>
      <c r="I1259" s="1" t="s">
        <v>3792</v>
      </c>
      <c r="J1259" s="1" t="s">
        <v>4723</v>
      </c>
    </row>
    <row r="1260" customFormat="false" ht="12.8" hidden="false" customHeight="false" outlineLevel="0" collapsed="false">
      <c r="B1260" s="49"/>
      <c r="C1260" s="1" t="s">
        <v>4675</v>
      </c>
      <c r="D1260" s="1" t="s">
        <v>4724</v>
      </c>
      <c r="E1260" s="1" t="s">
        <v>3797</v>
      </c>
      <c r="F1260" s="1" t="s">
        <v>4725</v>
      </c>
      <c r="G1260" s="50" t="s">
        <v>4726</v>
      </c>
      <c r="H1260" s="39" t="s">
        <v>67</v>
      </c>
      <c r="I1260" s="50" t="s">
        <v>4727</v>
      </c>
      <c r="J1260" s="50" t="s">
        <v>4728</v>
      </c>
    </row>
    <row r="1261" customFormat="false" ht="12.8" hidden="false" customHeight="false" outlineLevel="0" collapsed="false">
      <c r="B1261" s="49"/>
      <c r="C1261" s="50"/>
      <c r="D1261" s="50"/>
      <c r="E1261" s="50" t="s">
        <v>3792</v>
      </c>
      <c r="F1261" s="50" t="s">
        <v>4729</v>
      </c>
      <c r="G1261" s="1" t="s">
        <v>3792</v>
      </c>
      <c r="H1261" s="39"/>
      <c r="I1261" s="1" t="s">
        <v>3792</v>
      </c>
      <c r="J1261" s="1" t="s">
        <v>4730</v>
      </c>
    </row>
    <row r="1262" customFormat="false" ht="12.8" hidden="false" customHeight="false" outlineLevel="0" collapsed="false">
      <c r="B1262" s="49"/>
      <c r="C1262" s="1" t="s">
        <v>4731</v>
      </c>
      <c r="D1262" s="1" t="s">
        <v>4732</v>
      </c>
      <c r="E1262" s="1" t="s">
        <v>3787</v>
      </c>
      <c r="F1262" s="1" t="s">
        <v>4725</v>
      </c>
      <c r="G1262" s="51" t="s">
        <v>4733</v>
      </c>
      <c r="H1262" s="34" t="s">
        <v>40</v>
      </c>
      <c r="I1262" s="51" t="s">
        <v>4734</v>
      </c>
      <c r="J1262" s="51" t="s">
        <v>4735</v>
      </c>
    </row>
    <row r="1263" customFormat="false" ht="12.8" hidden="false" customHeight="false" outlineLevel="0" collapsed="false">
      <c r="B1263" s="49"/>
      <c r="C1263" s="51"/>
      <c r="D1263" s="51"/>
      <c r="E1263" s="51" t="s">
        <v>3792</v>
      </c>
      <c r="F1263" s="51" t="s">
        <v>4729</v>
      </c>
      <c r="G1263" s="1" t="s">
        <v>3792</v>
      </c>
      <c r="H1263" s="34"/>
      <c r="I1263" s="1" t="s">
        <v>3792</v>
      </c>
      <c r="J1263" s="1" t="s">
        <v>4736</v>
      </c>
    </row>
    <row r="1264" customFormat="false" ht="12.8" hidden="false" customHeight="true" outlineLevel="0" collapsed="false">
      <c r="B1264" s="49" t="s">
        <v>4737</v>
      </c>
      <c r="C1264" s="1" t="s">
        <v>4738</v>
      </c>
      <c r="D1264" s="1" t="s">
        <v>4739</v>
      </c>
      <c r="E1264" s="1" t="s">
        <v>3797</v>
      </c>
      <c r="F1264" s="1" t="s">
        <v>4740</v>
      </c>
      <c r="G1264" s="50" t="s">
        <v>4741</v>
      </c>
      <c r="H1264" s="37" t="s">
        <v>50</v>
      </c>
      <c r="I1264" s="50" t="s">
        <v>4742</v>
      </c>
      <c r="J1264" s="50" t="s">
        <v>4743</v>
      </c>
    </row>
    <row r="1265" customFormat="false" ht="12.8" hidden="false" customHeight="false" outlineLevel="0" collapsed="false">
      <c r="B1265" s="49"/>
      <c r="C1265" s="50"/>
      <c r="D1265" s="50"/>
      <c r="E1265" s="50" t="s">
        <v>3792</v>
      </c>
      <c r="F1265" s="50" t="s">
        <v>4744</v>
      </c>
      <c r="G1265" s="1" t="s">
        <v>3792</v>
      </c>
      <c r="H1265" s="37"/>
      <c r="I1265" s="1" t="s">
        <v>3792</v>
      </c>
      <c r="J1265" s="1" t="s">
        <v>4745</v>
      </c>
    </row>
    <row r="1266" customFormat="false" ht="12.8" hidden="false" customHeight="false" outlineLevel="0" collapsed="false">
      <c r="B1266" s="49"/>
      <c r="C1266" s="1" t="s">
        <v>4746</v>
      </c>
      <c r="D1266" s="1" t="s">
        <v>4747</v>
      </c>
      <c r="E1266" s="1" t="s">
        <v>3797</v>
      </c>
      <c r="F1266" s="1" t="s">
        <v>4748</v>
      </c>
      <c r="G1266" s="50" t="s">
        <v>4749</v>
      </c>
      <c r="H1266" s="34" t="s">
        <v>40</v>
      </c>
      <c r="I1266" s="50" t="s">
        <v>4750</v>
      </c>
      <c r="J1266" s="50" t="s">
        <v>4751</v>
      </c>
    </row>
    <row r="1267" customFormat="false" ht="12.8" hidden="false" customHeight="false" outlineLevel="0" collapsed="false">
      <c r="B1267" s="49"/>
      <c r="C1267" s="50"/>
      <c r="D1267" s="50"/>
      <c r="E1267" s="50" t="s">
        <v>3792</v>
      </c>
      <c r="F1267" s="50" t="s">
        <v>4752</v>
      </c>
      <c r="G1267" s="1" t="s">
        <v>3792</v>
      </c>
      <c r="H1267" s="34"/>
      <c r="I1267" s="1" t="s">
        <v>3792</v>
      </c>
      <c r="J1267" s="1" t="s">
        <v>4753</v>
      </c>
    </row>
    <row r="1268" customFormat="false" ht="12.8" hidden="false" customHeight="false" outlineLevel="0" collapsed="false">
      <c r="B1268" s="49"/>
      <c r="C1268" s="1" t="s">
        <v>4015</v>
      </c>
      <c r="D1268" s="1" t="s">
        <v>4754</v>
      </c>
      <c r="E1268" s="1" t="s">
        <v>3806</v>
      </c>
      <c r="F1268" s="1" t="s">
        <v>4755</v>
      </c>
      <c r="G1268" s="50" t="s">
        <v>4018</v>
      </c>
      <c r="H1268" s="39" t="s">
        <v>67</v>
      </c>
      <c r="I1268" s="50" t="s">
        <v>4756</v>
      </c>
      <c r="J1268" s="50" t="s">
        <v>4757</v>
      </c>
    </row>
    <row r="1269" customFormat="false" ht="12.8" hidden="false" customHeight="false" outlineLevel="0" collapsed="false">
      <c r="B1269" s="49"/>
      <c r="C1269" s="50"/>
      <c r="D1269" s="50"/>
      <c r="E1269" s="50" t="s">
        <v>3792</v>
      </c>
      <c r="F1269" s="50" t="s">
        <v>4758</v>
      </c>
      <c r="G1269" s="1" t="s">
        <v>3792</v>
      </c>
      <c r="H1269" s="39"/>
      <c r="I1269" s="1" t="s">
        <v>3792</v>
      </c>
      <c r="J1269" s="1" t="s">
        <v>4759</v>
      </c>
    </row>
    <row r="1270" customFormat="false" ht="12.8" hidden="false" customHeight="false" outlineLevel="0" collapsed="false">
      <c r="B1270" s="49"/>
      <c r="C1270" s="1" t="s">
        <v>4760</v>
      </c>
      <c r="D1270" s="1" t="s">
        <v>4761</v>
      </c>
      <c r="E1270" s="1" t="s">
        <v>3787</v>
      </c>
      <c r="F1270" s="1" t="s">
        <v>4762</v>
      </c>
      <c r="G1270" s="50" t="s">
        <v>4763</v>
      </c>
      <c r="H1270" s="34" t="s">
        <v>40</v>
      </c>
      <c r="I1270" s="50" t="s">
        <v>4764</v>
      </c>
      <c r="J1270" s="50" t="s">
        <v>4765</v>
      </c>
    </row>
    <row r="1271" customFormat="false" ht="12.8" hidden="false" customHeight="false" outlineLevel="0" collapsed="false">
      <c r="B1271" s="49"/>
      <c r="C1271" s="50"/>
      <c r="D1271" s="50"/>
      <c r="E1271" s="50" t="s">
        <v>3792</v>
      </c>
      <c r="F1271" s="50" t="s">
        <v>4766</v>
      </c>
      <c r="G1271" s="1" t="s">
        <v>3792</v>
      </c>
      <c r="H1271" s="34"/>
      <c r="I1271" s="1" t="s">
        <v>3792</v>
      </c>
      <c r="J1271" s="1" t="s">
        <v>4767</v>
      </c>
    </row>
    <row r="1272" customFormat="false" ht="12.8" hidden="false" customHeight="false" outlineLevel="0" collapsed="false">
      <c r="B1272" s="49"/>
      <c r="C1272" s="1" t="s">
        <v>4768</v>
      </c>
      <c r="D1272" s="1" t="s">
        <v>4769</v>
      </c>
      <c r="E1272" s="1" t="s">
        <v>3787</v>
      </c>
      <c r="F1272" s="1" t="s">
        <v>4770</v>
      </c>
      <c r="G1272" s="51" t="s">
        <v>4771</v>
      </c>
      <c r="H1272" s="37" t="s">
        <v>50</v>
      </c>
      <c r="I1272" s="51" t="s">
        <v>4772</v>
      </c>
      <c r="J1272" s="51" t="s">
        <v>4773</v>
      </c>
    </row>
    <row r="1273" customFormat="false" ht="12.8" hidden="false" customHeight="false" outlineLevel="0" collapsed="false">
      <c r="B1273" s="49"/>
      <c r="C1273" s="51"/>
      <c r="D1273" s="51"/>
      <c r="E1273" s="51" t="s">
        <v>3792</v>
      </c>
      <c r="F1273" s="51" t="s">
        <v>4774</v>
      </c>
      <c r="G1273" s="1" t="s">
        <v>3792</v>
      </c>
      <c r="H1273" s="37"/>
      <c r="I1273" s="1" t="s">
        <v>3792</v>
      </c>
      <c r="J1273" s="1" t="s">
        <v>3791</v>
      </c>
    </row>
    <row r="1274" customFormat="false" ht="12.8" hidden="false" customHeight="true" outlineLevel="0" collapsed="false">
      <c r="B1274" s="49" t="s">
        <v>4775</v>
      </c>
      <c r="C1274" s="1" t="s">
        <v>4776</v>
      </c>
      <c r="D1274" s="1" t="s">
        <v>4777</v>
      </c>
      <c r="E1274" s="1" t="s">
        <v>3806</v>
      </c>
      <c r="F1274" s="1" t="s">
        <v>4778</v>
      </c>
      <c r="G1274" s="50" t="s">
        <v>4779</v>
      </c>
      <c r="H1274" s="34" t="s">
        <v>40</v>
      </c>
      <c r="I1274" s="50" t="s">
        <v>4780</v>
      </c>
      <c r="J1274" s="50" t="s">
        <v>3794</v>
      </c>
    </row>
    <row r="1275" customFormat="false" ht="12.8" hidden="false" customHeight="false" outlineLevel="0" collapsed="false">
      <c r="B1275" s="49"/>
      <c r="C1275" s="50"/>
      <c r="D1275" s="50"/>
      <c r="E1275" s="50" t="s">
        <v>3792</v>
      </c>
      <c r="F1275" s="50" t="s">
        <v>4781</v>
      </c>
      <c r="G1275" s="1" t="s">
        <v>3792</v>
      </c>
      <c r="H1275" s="34"/>
      <c r="I1275" s="1" t="s">
        <v>3792</v>
      </c>
      <c r="J1275" s="1" t="s">
        <v>3801</v>
      </c>
    </row>
    <row r="1276" customFormat="false" ht="12.8" hidden="false" customHeight="false" outlineLevel="0" collapsed="false">
      <c r="B1276" s="49"/>
      <c r="C1276" s="1" t="s">
        <v>4782</v>
      </c>
      <c r="D1276" s="1" t="s">
        <v>4783</v>
      </c>
      <c r="E1276" s="1" t="s">
        <v>3797</v>
      </c>
      <c r="F1276" s="1" t="s">
        <v>4784</v>
      </c>
      <c r="G1276" s="50" t="s">
        <v>4785</v>
      </c>
      <c r="H1276" s="39" t="s">
        <v>67</v>
      </c>
      <c r="I1276" s="50" t="s">
        <v>4786</v>
      </c>
      <c r="J1276" s="50" t="s">
        <v>3803</v>
      </c>
    </row>
    <row r="1277" customFormat="false" ht="12.8" hidden="false" customHeight="false" outlineLevel="0" collapsed="false">
      <c r="B1277" s="49"/>
      <c r="C1277" s="50"/>
      <c r="D1277" s="50"/>
      <c r="E1277" s="50" t="s">
        <v>3792</v>
      </c>
      <c r="F1277" s="50" t="s">
        <v>4787</v>
      </c>
      <c r="G1277" s="1" t="s">
        <v>3792</v>
      </c>
      <c r="H1277" s="39"/>
      <c r="I1277" s="1" t="s">
        <v>3792</v>
      </c>
      <c r="J1277" s="1" t="s">
        <v>3809</v>
      </c>
    </row>
    <row r="1278" customFormat="false" ht="12.8" hidden="false" customHeight="false" outlineLevel="0" collapsed="false">
      <c r="B1278" s="49"/>
      <c r="C1278" s="1" t="s">
        <v>4788</v>
      </c>
      <c r="D1278" s="1" t="s">
        <v>4789</v>
      </c>
      <c r="E1278" s="1" t="s">
        <v>3797</v>
      </c>
      <c r="F1278" s="1" t="s">
        <v>4790</v>
      </c>
      <c r="G1278" s="50" t="s">
        <v>4791</v>
      </c>
      <c r="H1278" s="34" t="s">
        <v>40</v>
      </c>
      <c r="I1278" s="50" t="s">
        <v>4792</v>
      </c>
      <c r="J1278" s="50" t="s">
        <v>3811</v>
      </c>
    </row>
    <row r="1279" customFormat="false" ht="12.8" hidden="false" customHeight="false" outlineLevel="0" collapsed="false">
      <c r="B1279" s="49"/>
      <c r="C1279" s="50"/>
      <c r="D1279" s="50"/>
      <c r="E1279" s="50" t="s">
        <v>3792</v>
      </c>
      <c r="F1279" s="50" t="s">
        <v>4793</v>
      </c>
      <c r="G1279" s="1" t="s">
        <v>3792</v>
      </c>
      <c r="H1279" s="34"/>
      <c r="I1279" s="1" t="s">
        <v>3792</v>
      </c>
      <c r="J1279" s="1" t="s">
        <v>3816</v>
      </c>
    </row>
    <row r="1280" customFormat="false" ht="12.8" hidden="false" customHeight="false" outlineLevel="0" collapsed="false">
      <c r="B1280" s="49"/>
      <c r="C1280" s="1" t="s">
        <v>4794</v>
      </c>
      <c r="D1280" s="1" t="s">
        <v>4795</v>
      </c>
      <c r="E1280" s="1" t="s">
        <v>3787</v>
      </c>
      <c r="F1280" s="1" t="s">
        <v>4796</v>
      </c>
      <c r="G1280" s="50" t="s">
        <v>4797</v>
      </c>
      <c r="H1280" s="37" t="s">
        <v>50</v>
      </c>
      <c r="I1280" s="50" t="s">
        <v>4798</v>
      </c>
      <c r="J1280" s="50" t="s">
        <v>3818</v>
      </c>
    </row>
    <row r="1281" customFormat="false" ht="12.8" hidden="false" customHeight="false" outlineLevel="0" collapsed="false">
      <c r="B1281" s="49"/>
      <c r="C1281" s="50"/>
      <c r="D1281" s="50"/>
      <c r="E1281" s="50" t="s">
        <v>3792</v>
      </c>
      <c r="F1281" s="50" t="s">
        <v>4799</v>
      </c>
      <c r="G1281" s="1" t="s">
        <v>3792</v>
      </c>
      <c r="H1281" s="37"/>
      <c r="I1281" s="1" t="s">
        <v>3792</v>
      </c>
      <c r="J1281" s="1" t="s">
        <v>3824</v>
      </c>
    </row>
    <row r="1282" customFormat="false" ht="12.8" hidden="false" customHeight="false" outlineLevel="0" collapsed="false">
      <c r="B1282" s="49"/>
      <c r="C1282" s="1" t="s">
        <v>4800</v>
      </c>
      <c r="D1282" s="1" t="s">
        <v>4801</v>
      </c>
      <c r="E1282" s="1" t="s">
        <v>3806</v>
      </c>
      <c r="F1282" s="1" t="s">
        <v>4802</v>
      </c>
      <c r="G1282" s="51" t="s">
        <v>4803</v>
      </c>
      <c r="H1282" s="34" t="s">
        <v>40</v>
      </c>
      <c r="I1282" s="51" t="s">
        <v>4804</v>
      </c>
      <c r="J1282" s="51" t="s">
        <v>3826</v>
      </c>
    </row>
    <row r="1283" customFormat="false" ht="12.8" hidden="false" customHeight="false" outlineLevel="0" collapsed="false">
      <c r="B1283" s="49"/>
      <c r="C1283" s="51"/>
      <c r="D1283" s="51"/>
      <c r="E1283" s="51" t="s">
        <v>3792</v>
      </c>
      <c r="F1283" s="51" t="s">
        <v>4805</v>
      </c>
      <c r="G1283" s="1" t="s">
        <v>3792</v>
      </c>
      <c r="H1283" s="34"/>
      <c r="I1283" s="1" t="s">
        <v>3792</v>
      </c>
      <c r="J1283" s="1" t="s">
        <v>3831</v>
      </c>
    </row>
    <row r="1284" customFormat="false" ht="12.8" hidden="false" customHeight="true" outlineLevel="0" collapsed="false">
      <c r="B1284" s="49" t="s">
        <v>4806</v>
      </c>
      <c r="C1284" s="1" t="s">
        <v>4807</v>
      </c>
      <c r="D1284" s="1" t="s">
        <v>4808</v>
      </c>
      <c r="E1284" s="1" t="s">
        <v>3787</v>
      </c>
      <c r="F1284" s="1" t="s">
        <v>4809</v>
      </c>
      <c r="G1284" s="50" t="s">
        <v>4810</v>
      </c>
      <c r="H1284" s="39" t="s">
        <v>67</v>
      </c>
      <c r="I1284" s="50" t="s">
        <v>4811</v>
      </c>
      <c r="J1284" s="50" t="s">
        <v>3833</v>
      </c>
    </row>
    <row r="1285" customFormat="false" ht="12.8" hidden="false" customHeight="false" outlineLevel="0" collapsed="false">
      <c r="B1285" s="49"/>
      <c r="C1285" s="50"/>
      <c r="D1285" s="50"/>
      <c r="E1285" s="50" t="s">
        <v>3792</v>
      </c>
      <c r="F1285" s="50" t="s">
        <v>4812</v>
      </c>
      <c r="G1285" s="1" t="s">
        <v>3792</v>
      </c>
      <c r="H1285" s="39"/>
      <c r="I1285" s="1" t="s">
        <v>3792</v>
      </c>
      <c r="J1285" s="1" t="s">
        <v>3837</v>
      </c>
    </row>
    <row r="1286" customFormat="false" ht="12.8" hidden="false" customHeight="false" outlineLevel="0" collapsed="false">
      <c r="B1286" s="49"/>
      <c r="C1286" s="1" t="s">
        <v>4813</v>
      </c>
      <c r="D1286" s="1" t="s">
        <v>4814</v>
      </c>
      <c r="E1286" s="1" t="s">
        <v>3797</v>
      </c>
      <c r="F1286" s="1" t="s">
        <v>4809</v>
      </c>
      <c r="G1286" s="50" t="s">
        <v>4815</v>
      </c>
      <c r="H1286" s="34" t="s">
        <v>40</v>
      </c>
      <c r="I1286" s="50" t="s">
        <v>4816</v>
      </c>
      <c r="J1286" s="50" t="s">
        <v>3839</v>
      </c>
    </row>
    <row r="1287" customFormat="false" ht="12.8" hidden="false" customHeight="false" outlineLevel="0" collapsed="false">
      <c r="B1287" s="49"/>
      <c r="C1287" s="50"/>
      <c r="D1287" s="50"/>
      <c r="E1287" s="50" t="s">
        <v>3792</v>
      </c>
      <c r="F1287" s="50" t="s">
        <v>4812</v>
      </c>
      <c r="G1287" s="1" t="s">
        <v>3792</v>
      </c>
      <c r="H1287" s="34"/>
      <c r="I1287" s="1" t="s">
        <v>3792</v>
      </c>
      <c r="J1287" s="1" t="s">
        <v>3843</v>
      </c>
    </row>
    <row r="1288" customFormat="false" ht="12.8" hidden="false" customHeight="false" outlineLevel="0" collapsed="false">
      <c r="B1288" s="49"/>
      <c r="C1288" s="1" t="s">
        <v>4817</v>
      </c>
      <c r="D1288" s="1" t="s">
        <v>4818</v>
      </c>
      <c r="E1288" s="1" t="s">
        <v>3797</v>
      </c>
      <c r="F1288" s="1" t="s">
        <v>4819</v>
      </c>
      <c r="G1288" s="50" t="s">
        <v>4820</v>
      </c>
      <c r="H1288" s="37" t="s">
        <v>50</v>
      </c>
      <c r="I1288" s="50" t="s">
        <v>4821</v>
      </c>
      <c r="J1288" s="50" t="s">
        <v>3845</v>
      </c>
    </row>
    <row r="1289" customFormat="false" ht="12.8" hidden="false" customHeight="false" outlineLevel="0" collapsed="false">
      <c r="B1289" s="49"/>
      <c r="C1289" s="50"/>
      <c r="D1289" s="50"/>
      <c r="E1289" s="50" t="s">
        <v>3792</v>
      </c>
      <c r="F1289" s="50" t="s">
        <v>4822</v>
      </c>
      <c r="G1289" s="1" t="s">
        <v>3792</v>
      </c>
      <c r="H1289" s="37"/>
      <c r="I1289" s="1" t="s">
        <v>3792</v>
      </c>
      <c r="J1289" s="1" t="s">
        <v>3849</v>
      </c>
    </row>
    <row r="1290" customFormat="false" ht="12.8" hidden="false" customHeight="false" outlineLevel="0" collapsed="false">
      <c r="B1290" s="49"/>
      <c r="C1290" s="1" t="s">
        <v>4823</v>
      </c>
      <c r="D1290" s="1" t="s">
        <v>4824</v>
      </c>
      <c r="E1290" s="1" t="s">
        <v>3787</v>
      </c>
      <c r="F1290" s="1" t="s">
        <v>4825</v>
      </c>
      <c r="G1290" s="50" t="s">
        <v>4826</v>
      </c>
      <c r="H1290" s="34" t="s">
        <v>40</v>
      </c>
      <c r="I1290" s="50" t="s">
        <v>4827</v>
      </c>
      <c r="J1290" s="50" t="s">
        <v>3851</v>
      </c>
    </row>
    <row r="1291" customFormat="false" ht="12.8" hidden="false" customHeight="false" outlineLevel="0" collapsed="false">
      <c r="B1291" s="49"/>
      <c r="C1291" s="50"/>
      <c r="D1291" s="50"/>
      <c r="E1291" s="50" t="s">
        <v>3792</v>
      </c>
      <c r="F1291" s="50" t="s">
        <v>4828</v>
      </c>
      <c r="G1291" s="1" t="s">
        <v>3792</v>
      </c>
      <c r="H1291" s="34"/>
      <c r="I1291" s="1" t="s">
        <v>3792</v>
      </c>
      <c r="J1291" s="1" t="s">
        <v>3855</v>
      </c>
    </row>
    <row r="1292" customFormat="false" ht="12.8" hidden="false" customHeight="false" outlineLevel="0" collapsed="false">
      <c r="B1292" s="49"/>
      <c r="C1292" s="1" t="s">
        <v>4829</v>
      </c>
      <c r="D1292" s="1" t="s">
        <v>4830</v>
      </c>
      <c r="E1292" s="1" t="s">
        <v>3806</v>
      </c>
      <c r="F1292" s="1" t="s">
        <v>4831</v>
      </c>
      <c r="G1292" s="51" t="s">
        <v>4832</v>
      </c>
      <c r="H1292" s="39" t="s">
        <v>67</v>
      </c>
      <c r="I1292" s="51" t="s">
        <v>4833</v>
      </c>
      <c r="J1292" s="51" t="s">
        <v>3857</v>
      </c>
    </row>
    <row r="1293" customFormat="false" ht="12.8" hidden="false" customHeight="false" outlineLevel="0" collapsed="false">
      <c r="B1293" s="49"/>
      <c r="C1293" s="51"/>
      <c r="D1293" s="51"/>
      <c r="E1293" s="51" t="s">
        <v>3792</v>
      </c>
      <c r="F1293" s="51" t="s">
        <v>4834</v>
      </c>
      <c r="G1293" s="1" t="s">
        <v>3792</v>
      </c>
      <c r="H1293" s="39"/>
      <c r="I1293" s="1" t="s">
        <v>3792</v>
      </c>
      <c r="J1293" s="1" t="s">
        <v>3864</v>
      </c>
    </row>
    <row r="1294" customFormat="false" ht="12.8" hidden="false" customHeight="true" outlineLevel="0" collapsed="false">
      <c r="B1294" s="49" t="s">
        <v>4835</v>
      </c>
      <c r="C1294" s="1" t="s">
        <v>4836</v>
      </c>
      <c r="D1294" s="1" t="s">
        <v>4837</v>
      </c>
      <c r="E1294" s="1" t="s">
        <v>3806</v>
      </c>
      <c r="F1294" s="1" t="s">
        <v>4838</v>
      </c>
      <c r="G1294" s="50" t="s">
        <v>4839</v>
      </c>
      <c r="H1294" s="34" t="s">
        <v>40</v>
      </c>
      <c r="I1294" s="50" t="s">
        <v>4840</v>
      </c>
      <c r="J1294" s="50" t="s">
        <v>3866</v>
      </c>
    </row>
    <row r="1295" customFormat="false" ht="12.8" hidden="false" customHeight="false" outlineLevel="0" collapsed="false">
      <c r="B1295" s="49"/>
      <c r="C1295" s="50"/>
      <c r="D1295" s="50"/>
      <c r="E1295" s="50" t="s">
        <v>3792</v>
      </c>
      <c r="F1295" s="50" t="s">
        <v>1910</v>
      </c>
      <c r="G1295" s="1" t="s">
        <v>3792</v>
      </c>
      <c r="H1295" s="34"/>
      <c r="I1295" s="1" t="s">
        <v>3792</v>
      </c>
      <c r="J1295" s="1" t="s">
        <v>3872</v>
      </c>
    </row>
    <row r="1296" customFormat="false" ht="12.8" hidden="false" customHeight="false" outlineLevel="0" collapsed="false">
      <c r="B1296" s="49"/>
      <c r="C1296" s="1" t="s">
        <v>4841</v>
      </c>
      <c r="D1296" s="1" t="s">
        <v>4842</v>
      </c>
      <c r="E1296" s="1" t="s">
        <v>3787</v>
      </c>
      <c r="F1296" s="1" t="s">
        <v>4843</v>
      </c>
      <c r="G1296" s="50" t="s">
        <v>4844</v>
      </c>
      <c r="H1296" s="37" t="s">
        <v>50</v>
      </c>
      <c r="I1296" s="50" t="s">
        <v>4845</v>
      </c>
      <c r="J1296" s="50" t="s">
        <v>3874</v>
      </c>
    </row>
    <row r="1297" customFormat="false" ht="12.8" hidden="false" customHeight="false" outlineLevel="0" collapsed="false">
      <c r="B1297" s="49"/>
      <c r="C1297" s="50"/>
      <c r="D1297" s="50"/>
      <c r="E1297" s="50" t="s">
        <v>3792</v>
      </c>
      <c r="F1297" s="50" t="s">
        <v>4846</v>
      </c>
      <c r="G1297" s="1" t="s">
        <v>3792</v>
      </c>
      <c r="H1297" s="37"/>
      <c r="I1297" s="1" t="s">
        <v>3792</v>
      </c>
      <c r="J1297" s="1" t="s">
        <v>3880</v>
      </c>
    </row>
    <row r="1298" customFormat="false" ht="12.8" hidden="false" customHeight="false" outlineLevel="0" collapsed="false">
      <c r="B1298" s="49"/>
      <c r="C1298" s="1" t="s">
        <v>4847</v>
      </c>
      <c r="D1298" s="1" t="s">
        <v>4848</v>
      </c>
      <c r="E1298" s="1" t="s">
        <v>3797</v>
      </c>
      <c r="F1298" s="1" t="s">
        <v>4849</v>
      </c>
      <c r="G1298" s="50" t="s">
        <v>4850</v>
      </c>
      <c r="H1298" s="34" t="s">
        <v>40</v>
      </c>
      <c r="I1298" s="50" t="s">
        <v>4851</v>
      </c>
      <c r="J1298" s="50" t="s">
        <v>3882</v>
      </c>
    </row>
    <row r="1299" customFormat="false" ht="12.8" hidden="false" customHeight="false" outlineLevel="0" collapsed="false">
      <c r="B1299" s="49"/>
      <c r="C1299" s="50"/>
      <c r="D1299" s="50"/>
      <c r="E1299" s="50" t="s">
        <v>3792</v>
      </c>
      <c r="F1299" s="50" t="s">
        <v>4852</v>
      </c>
      <c r="G1299" s="1" t="s">
        <v>3792</v>
      </c>
      <c r="H1299" s="34"/>
      <c r="I1299" s="1" t="s">
        <v>3792</v>
      </c>
      <c r="J1299" s="1" t="s">
        <v>3888</v>
      </c>
    </row>
    <row r="1300" customFormat="false" ht="12.8" hidden="false" customHeight="false" outlineLevel="0" collapsed="false">
      <c r="B1300" s="49"/>
      <c r="C1300" s="1" t="s">
        <v>4853</v>
      </c>
      <c r="D1300" s="1" t="s">
        <v>4854</v>
      </c>
      <c r="E1300" s="1" t="s">
        <v>3797</v>
      </c>
      <c r="F1300" s="1" t="s">
        <v>4855</v>
      </c>
      <c r="G1300" s="50" t="s">
        <v>4856</v>
      </c>
      <c r="H1300" s="39" t="s">
        <v>67</v>
      </c>
      <c r="I1300" s="50" t="s">
        <v>4857</v>
      </c>
      <c r="J1300" s="50" t="s">
        <v>3890</v>
      </c>
    </row>
    <row r="1301" customFormat="false" ht="12.8" hidden="false" customHeight="false" outlineLevel="0" collapsed="false">
      <c r="B1301" s="49"/>
      <c r="C1301" s="50"/>
      <c r="D1301" s="50"/>
      <c r="E1301" s="50" t="s">
        <v>3792</v>
      </c>
      <c r="F1301" s="50" t="s">
        <v>4858</v>
      </c>
      <c r="G1301" s="1" t="s">
        <v>3792</v>
      </c>
      <c r="H1301" s="39"/>
      <c r="I1301" s="1" t="s">
        <v>3792</v>
      </c>
      <c r="J1301" s="1" t="s">
        <v>3896</v>
      </c>
    </row>
    <row r="1302" customFormat="false" ht="12.8" hidden="false" customHeight="false" outlineLevel="0" collapsed="false">
      <c r="B1302" s="49"/>
      <c r="C1302" s="1" t="s">
        <v>4859</v>
      </c>
      <c r="D1302" s="1" t="s">
        <v>4860</v>
      </c>
      <c r="E1302" s="1" t="s">
        <v>3806</v>
      </c>
      <c r="F1302" s="1" t="s">
        <v>4861</v>
      </c>
      <c r="G1302" s="51" t="s">
        <v>4862</v>
      </c>
      <c r="H1302" s="34" t="s">
        <v>40</v>
      </c>
      <c r="I1302" s="51" t="s">
        <v>4863</v>
      </c>
      <c r="J1302" s="51" t="s">
        <v>3898</v>
      </c>
    </row>
    <row r="1303" customFormat="false" ht="12.8" hidden="false" customHeight="false" outlineLevel="0" collapsed="false">
      <c r="B1303" s="49"/>
      <c r="C1303" s="51"/>
      <c r="D1303" s="51"/>
      <c r="E1303" s="51" t="s">
        <v>3792</v>
      </c>
      <c r="F1303" s="51" t="s">
        <v>4864</v>
      </c>
      <c r="G1303" s="1" t="s">
        <v>3792</v>
      </c>
      <c r="H1303" s="34"/>
      <c r="I1303" s="1" t="s">
        <v>3792</v>
      </c>
      <c r="J1303" s="1" t="s">
        <v>3905</v>
      </c>
    </row>
    <row r="1304" customFormat="false" ht="12.8" hidden="false" customHeight="true" outlineLevel="0" collapsed="false">
      <c r="B1304" s="49" t="s">
        <v>4865</v>
      </c>
      <c r="C1304" s="1" t="s">
        <v>4866</v>
      </c>
      <c r="D1304" s="1" t="s">
        <v>4866</v>
      </c>
      <c r="E1304" s="1" t="s">
        <v>3787</v>
      </c>
      <c r="F1304" s="1" t="s">
        <v>4867</v>
      </c>
      <c r="G1304" s="50" t="s">
        <v>4868</v>
      </c>
      <c r="H1304" s="37" t="s">
        <v>50</v>
      </c>
      <c r="I1304" s="50" t="s">
        <v>4869</v>
      </c>
      <c r="J1304" s="50" t="s">
        <v>3907</v>
      </c>
    </row>
    <row r="1305" customFormat="false" ht="12.8" hidden="false" customHeight="false" outlineLevel="0" collapsed="false">
      <c r="B1305" s="49"/>
      <c r="C1305" s="50"/>
      <c r="D1305" s="50"/>
      <c r="E1305" s="50" t="s">
        <v>3792</v>
      </c>
      <c r="F1305" s="50" t="s">
        <v>4870</v>
      </c>
      <c r="G1305" s="1" t="s">
        <v>3792</v>
      </c>
      <c r="H1305" s="37"/>
      <c r="I1305" s="1" t="s">
        <v>3792</v>
      </c>
      <c r="J1305" s="1" t="s">
        <v>3913</v>
      </c>
    </row>
    <row r="1306" customFormat="false" ht="12.8" hidden="false" customHeight="false" outlineLevel="0" collapsed="false">
      <c r="B1306" s="49"/>
      <c r="C1306" s="1" t="s">
        <v>4871</v>
      </c>
      <c r="D1306" s="1" t="s">
        <v>4871</v>
      </c>
      <c r="E1306" s="1" t="s">
        <v>3787</v>
      </c>
      <c r="F1306" s="1" t="s">
        <v>4872</v>
      </c>
      <c r="G1306" s="50" t="s">
        <v>4873</v>
      </c>
      <c r="H1306" s="34" t="s">
        <v>40</v>
      </c>
      <c r="I1306" s="50" t="s">
        <v>4874</v>
      </c>
      <c r="J1306" s="50" t="s">
        <v>3915</v>
      </c>
    </row>
    <row r="1307" customFormat="false" ht="12.8" hidden="false" customHeight="false" outlineLevel="0" collapsed="false">
      <c r="B1307" s="49"/>
      <c r="C1307" s="50"/>
      <c r="D1307" s="50"/>
      <c r="E1307" s="50" t="s">
        <v>3792</v>
      </c>
      <c r="F1307" s="50" t="s">
        <v>4875</v>
      </c>
      <c r="G1307" s="1" t="s">
        <v>3792</v>
      </c>
      <c r="H1307" s="34"/>
      <c r="I1307" s="1" t="s">
        <v>3792</v>
      </c>
      <c r="J1307" s="1" t="s">
        <v>3921</v>
      </c>
    </row>
    <row r="1308" customFormat="false" ht="12.8" hidden="false" customHeight="false" outlineLevel="0" collapsed="false">
      <c r="B1308" s="49"/>
      <c r="C1308" s="1" t="s">
        <v>4876</v>
      </c>
      <c r="D1308" s="1" t="s">
        <v>4876</v>
      </c>
      <c r="E1308" s="1" t="s">
        <v>3797</v>
      </c>
      <c r="F1308" s="1" t="s">
        <v>4877</v>
      </c>
      <c r="G1308" s="50" t="s">
        <v>4878</v>
      </c>
      <c r="H1308" s="39" t="s">
        <v>67</v>
      </c>
      <c r="I1308" s="50" t="s">
        <v>4879</v>
      </c>
      <c r="J1308" s="50" t="s">
        <v>3923</v>
      </c>
    </row>
    <row r="1309" customFormat="false" ht="12.8" hidden="false" customHeight="false" outlineLevel="0" collapsed="false">
      <c r="B1309" s="49"/>
      <c r="C1309" s="50"/>
      <c r="D1309" s="50"/>
      <c r="E1309" s="50" t="s">
        <v>3792</v>
      </c>
      <c r="F1309" s="50" t="s">
        <v>4880</v>
      </c>
      <c r="G1309" s="1" t="s">
        <v>3792</v>
      </c>
      <c r="H1309" s="39"/>
      <c r="I1309" s="1" t="s">
        <v>3792</v>
      </c>
      <c r="J1309" s="1" t="s">
        <v>3929</v>
      </c>
    </row>
    <row r="1310" customFormat="false" ht="12.8" hidden="false" customHeight="false" outlineLevel="0" collapsed="false">
      <c r="B1310" s="49"/>
      <c r="C1310" s="1" t="s">
        <v>4881</v>
      </c>
      <c r="D1310" s="1" t="s">
        <v>4881</v>
      </c>
      <c r="E1310" s="1" t="s">
        <v>3806</v>
      </c>
      <c r="F1310" s="1" t="s">
        <v>4882</v>
      </c>
      <c r="G1310" s="50" t="s">
        <v>4883</v>
      </c>
      <c r="H1310" s="34" t="s">
        <v>40</v>
      </c>
      <c r="I1310" s="50" t="s">
        <v>4884</v>
      </c>
      <c r="J1310" s="50" t="s">
        <v>3931</v>
      </c>
    </row>
    <row r="1311" customFormat="false" ht="12.8" hidden="false" customHeight="false" outlineLevel="0" collapsed="false">
      <c r="B1311" s="49"/>
      <c r="C1311" s="50"/>
      <c r="D1311" s="50"/>
      <c r="E1311" s="50" t="s">
        <v>3792</v>
      </c>
      <c r="F1311" s="50" t="s">
        <v>4885</v>
      </c>
      <c r="G1311" s="1" t="s">
        <v>3792</v>
      </c>
      <c r="H1311" s="34"/>
      <c r="I1311" s="1" t="s">
        <v>3792</v>
      </c>
      <c r="J1311" s="1" t="s">
        <v>3937</v>
      </c>
    </row>
    <row r="1312" customFormat="false" ht="12.8" hidden="false" customHeight="false" outlineLevel="0" collapsed="false">
      <c r="B1312" s="49"/>
      <c r="C1312" s="1" t="s">
        <v>4886</v>
      </c>
      <c r="D1312" s="1" t="s">
        <v>4886</v>
      </c>
      <c r="E1312" s="1" t="s">
        <v>3797</v>
      </c>
      <c r="F1312" s="1" t="s">
        <v>4887</v>
      </c>
      <c r="G1312" s="51" t="s">
        <v>4888</v>
      </c>
      <c r="H1312" s="37" t="s">
        <v>50</v>
      </c>
      <c r="I1312" s="51" t="s">
        <v>4889</v>
      </c>
      <c r="J1312" s="51" t="s">
        <v>3939</v>
      </c>
    </row>
    <row r="1313" customFormat="false" ht="12.8" hidden="false" customHeight="false" outlineLevel="0" collapsed="false">
      <c r="B1313" s="49"/>
      <c r="C1313" s="51"/>
      <c r="D1313" s="51"/>
      <c r="E1313" s="51" t="s">
        <v>3792</v>
      </c>
      <c r="F1313" s="51" t="s">
        <v>4890</v>
      </c>
      <c r="G1313" s="1" t="s">
        <v>3792</v>
      </c>
      <c r="H1313" s="37"/>
      <c r="I1313" s="1" t="s">
        <v>3792</v>
      </c>
      <c r="J1313" s="1" t="s">
        <v>3946</v>
      </c>
    </row>
    <row r="1314" customFormat="false" ht="12.8" hidden="false" customHeight="true" outlineLevel="0" collapsed="false">
      <c r="B1314" s="49" t="s">
        <v>4891</v>
      </c>
      <c r="C1314" s="1" t="s">
        <v>4836</v>
      </c>
      <c r="D1314" s="1" t="s">
        <v>4837</v>
      </c>
      <c r="E1314" s="1" t="s">
        <v>3787</v>
      </c>
      <c r="F1314" s="1" t="s">
        <v>4892</v>
      </c>
      <c r="G1314" s="50" t="s">
        <v>4893</v>
      </c>
      <c r="H1314" s="34" t="s">
        <v>40</v>
      </c>
      <c r="I1314" s="50" t="s">
        <v>4894</v>
      </c>
      <c r="J1314" s="50" t="s">
        <v>3948</v>
      </c>
    </row>
    <row r="1315" customFormat="false" ht="12.8" hidden="false" customHeight="false" outlineLevel="0" collapsed="false">
      <c r="B1315" s="49"/>
      <c r="C1315" s="50"/>
      <c r="D1315" s="50"/>
      <c r="E1315" s="50" t="s">
        <v>3792</v>
      </c>
      <c r="F1315" s="50" t="s">
        <v>4895</v>
      </c>
      <c r="G1315" s="1" t="s">
        <v>3792</v>
      </c>
      <c r="H1315" s="34"/>
      <c r="I1315" s="1" t="s">
        <v>3792</v>
      </c>
      <c r="J1315" s="1" t="s">
        <v>3954</v>
      </c>
    </row>
    <row r="1316" customFormat="false" ht="12.8" hidden="false" customHeight="false" outlineLevel="0" collapsed="false">
      <c r="B1316" s="49"/>
      <c r="C1316" s="1" t="s">
        <v>4841</v>
      </c>
      <c r="D1316" s="1" t="s">
        <v>4842</v>
      </c>
      <c r="E1316" s="1" t="s">
        <v>3787</v>
      </c>
      <c r="F1316" s="1" t="s">
        <v>4896</v>
      </c>
      <c r="G1316" s="50" t="s">
        <v>4897</v>
      </c>
      <c r="H1316" s="39" t="s">
        <v>67</v>
      </c>
      <c r="I1316" s="50" t="s">
        <v>4898</v>
      </c>
      <c r="J1316" s="50" t="s">
        <v>3956</v>
      </c>
    </row>
    <row r="1317" customFormat="false" ht="12.8" hidden="false" customHeight="false" outlineLevel="0" collapsed="false">
      <c r="B1317" s="49"/>
      <c r="C1317" s="50"/>
      <c r="D1317" s="50"/>
      <c r="E1317" s="50" t="s">
        <v>3792</v>
      </c>
      <c r="F1317" s="50" t="s">
        <v>4899</v>
      </c>
      <c r="G1317" s="1" t="s">
        <v>3792</v>
      </c>
      <c r="H1317" s="39"/>
      <c r="I1317" s="1" t="s">
        <v>3792</v>
      </c>
      <c r="J1317" s="1" t="s">
        <v>3962</v>
      </c>
    </row>
    <row r="1318" customFormat="false" ht="12.8" hidden="false" customHeight="false" outlineLevel="0" collapsed="false">
      <c r="B1318" s="49"/>
      <c r="C1318" s="1" t="s">
        <v>4847</v>
      </c>
      <c r="D1318" s="1" t="s">
        <v>4848</v>
      </c>
      <c r="E1318" s="1" t="s">
        <v>3806</v>
      </c>
      <c r="F1318" s="1" t="s">
        <v>4896</v>
      </c>
      <c r="G1318" s="50" t="s">
        <v>4900</v>
      </c>
      <c r="H1318" s="34" t="s">
        <v>40</v>
      </c>
      <c r="I1318" s="50" t="s">
        <v>4901</v>
      </c>
      <c r="J1318" s="50" t="s">
        <v>3964</v>
      </c>
    </row>
    <row r="1319" customFormat="false" ht="12.8" hidden="false" customHeight="false" outlineLevel="0" collapsed="false">
      <c r="B1319" s="49"/>
      <c r="C1319" s="50"/>
      <c r="D1319" s="50"/>
      <c r="E1319" s="50" t="s">
        <v>3792</v>
      </c>
      <c r="F1319" s="50" t="s">
        <v>4899</v>
      </c>
      <c r="G1319" s="1" t="s">
        <v>3792</v>
      </c>
      <c r="H1319" s="34"/>
      <c r="I1319" s="1" t="s">
        <v>3792</v>
      </c>
      <c r="J1319" s="1" t="s">
        <v>3970</v>
      </c>
    </row>
    <row r="1320" customFormat="false" ht="12.8" hidden="false" customHeight="false" outlineLevel="0" collapsed="false">
      <c r="B1320" s="49"/>
      <c r="C1320" s="1" t="s">
        <v>4853</v>
      </c>
      <c r="D1320" s="1" t="s">
        <v>4854</v>
      </c>
      <c r="E1320" s="1" t="s">
        <v>3797</v>
      </c>
      <c r="F1320" s="1" t="s">
        <v>4902</v>
      </c>
      <c r="G1320" s="50" t="s">
        <v>4903</v>
      </c>
      <c r="H1320" s="37" t="s">
        <v>50</v>
      </c>
      <c r="I1320" s="50" t="s">
        <v>4904</v>
      </c>
      <c r="J1320" s="50" t="s">
        <v>3972</v>
      </c>
    </row>
    <row r="1321" customFormat="false" ht="12.8" hidden="false" customHeight="false" outlineLevel="0" collapsed="false">
      <c r="B1321" s="49"/>
      <c r="C1321" s="50"/>
      <c r="D1321" s="50"/>
      <c r="E1321" s="50" t="s">
        <v>3792</v>
      </c>
      <c r="F1321" s="50" t="s">
        <v>4905</v>
      </c>
      <c r="H1321" s="37"/>
      <c r="I1321" s="1" t="s">
        <v>3792</v>
      </c>
      <c r="J1321" s="1" t="s">
        <v>3978</v>
      </c>
    </row>
    <row r="1322" customFormat="false" ht="12.8" hidden="false" customHeight="false" outlineLevel="0" collapsed="false">
      <c r="B1322" s="49"/>
      <c r="C1322" s="1" t="s">
        <v>4859</v>
      </c>
      <c r="D1322" s="1" t="s">
        <v>4860</v>
      </c>
      <c r="E1322" s="1" t="s">
        <v>3787</v>
      </c>
      <c r="F1322" s="1" t="s">
        <v>4906</v>
      </c>
      <c r="G1322" s="51" t="s">
        <v>4907</v>
      </c>
      <c r="H1322" s="34" t="s">
        <v>40</v>
      </c>
      <c r="I1322" s="51" t="s">
        <v>4908</v>
      </c>
      <c r="J1322" s="51" t="s">
        <v>3980</v>
      </c>
    </row>
    <row r="1323" customFormat="false" ht="12.8" hidden="false" customHeight="false" outlineLevel="0" collapsed="false">
      <c r="B1323" s="49"/>
      <c r="C1323" s="51"/>
      <c r="D1323" s="51"/>
      <c r="E1323" s="51" t="s">
        <v>3792</v>
      </c>
      <c r="F1323" s="51" t="s">
        <v>4909</v>
      </c>
      <c r="G1323" s="1" t="s">
        <v>3792</v>
      </c>
      <c r="H1323" s="34"/>
      <c r="I1323" s="1" t="s">
        <v>4910</v>
      </c>
      <c r="J1323" s="1" t="s">
        <v>3981</v>
      </c>
    </row>
    <row r="1324" customFormat="false" ht="12.8" hidden="false" customHeight="true" outlineLevel="0" collapsed="false">
      <c r="B1324" s="49" t="s">
        <v>4911</v>
      </c>
      <c r="C1324" s="1" t="s">
        <v>4912</v>
      </c>
      <c r="D1324" s="1" t="s">
        <v>4913</v>
      </c>
      <c r="E1324" s="1" t="s">
        <v>3797</v>
      </c>
      <c r="F1324" s="1" t="s">
        <v>4914</v>
      </c>
      <c r="G1324" s="50" t="s">
        <v>4915</v>
      </c>
      <c r="H1324" s="39" t="s">
        <v>67</v>
      </c>
      <c r="I1324" s="50" t="s">
        <v>3792</v>
      </c>
      <c r="J1324" s="50" t="s">
        <v>3982</v>
      </c>
    </row>
    <row r="1325" customFormat="false" ht="12.8" hidden="false" customHeight="false" outlineLevel="0" collapsed="false">
      <c r="B1325" s="49"/>
      <c r="C1325" s="50"/>
      <c r="D1325" s="50"/>
      <c r="E1325" s="50" t="s">
        <v>3792</v>
      </c>
      <c r="F1325" s="50" t="s">
        <v>4916</v>
      </c>
      <c r="G1325" s="1" t="s">
        <v>3792</v>
      </c>
      <c r="H1325" s="39"/>
      <c r="I1325" s="1" t="s">
        <v>4917</v>
      </c>
      <c r="J1325" s="1" t="s">
        <v>3990</v>
      </c>
    </row>
    <row r="1326" customFormat="false" ht="12.8" hidden="false" customHeight="false" outlineLevel="0" collapsed="false">
      <c r="B1326" s="49"/>
      <c r="C1326" s="1" t="s">
        <v>4918</v>
      </c>
      <c r="D1326" s="1" t="s">
        <v>4919</v>
      </c>
      <c r="E1326" s="1" t="s">
        <v>3787</v>
      </c>
      <c r="F1326" s="1" t="s">
        <v>4920</v>
      </c>
      <c r="G1326" s="50" t="s">
        <v>4921</v>
      </c>
      <c r="H1326" s="34" t="s">
        <v>40</v>
      </c>
      <c r="I1326" s="50" t="s">
        <v>3792</v>
      </c>
      <c r="J1326" s="50" t="s">
        <v>3992</v>
      </c>
    </row>
    <row r="1327" customFormat="false" ht="12.8" hidden="false" customHeight="false" outlineLevel="0" collapsed="false">
      <c r="B1327" s="49"/>
      <c r="C1327" s="50"/>
      <c r="D1327" s="50"/>
      <c r="E1327" s="50" t="s">
        <v>3792</v>
      </c>
      <c r="F1327" s="50" t="s">
        <v>4922</v>
      </c>
      <c r="G1327" s="1" t="s">
        <v>3792</v>
      </c>
      <c r="H1327" s="34"/>
      <c r="I1327" s="1" t="s">
        <v>4923</v>
      </c>
      <c r="J1327" s="1" t="s">
        <v>3998</v>
      </c>
    </row>
    <row r="1328" customFormat="false" ht="12.8" hidden="false" customHeight="false" outlineLevel="0" collapsed="false">
      <c r="B1328" s="49"/>
      <c r="C1328" s="1" t="s">
        <v>4924</v>
      </c>
      <c r="D1328" s="1" t="s">
        <v>4789</v>
      </c>
      <c r="E1328" s="1" t="s">
        <v>3806</v>
      </c>
      <c r="F1328" s="1" t="s">
        <v>4925</v>
      </c>
      <c r="G1328" s="50" t="s">
        <v>4926</v>
      </c>
      <c r="H1328" s="37" t="s">
        <v>50</v>
      </c>
      <c r="I1328" s="50" t="s">
        <v>3792</v>
      </c>
      <c r="J1328" s="50" t="s">
        <v>4000</v>
      </c>
    </row>
    <row r="1329" customFormat="false" ht="12.8" hidden="false" customHeight="false" outlineLevel="0" collapsed="false">
      <c r="B1329" s="49"/>
      <c r="C1329" s="50"/>
      <c r="D1329" s="50"/>
      <c r="E1329" s="50" t="s">
        <v>3792</v>
      </c>
      <c r="F1329" s="50" t="s">
        <v>4927</v>
      </c>
      <c r="G1329" s="1" t="s">
        <v>3792</v>
      </c>
      <c r="H1329" s="37"/>
      <c r="I1329" s="1" t="s">
        <v>4928</v>
      </c>
      <c r="J1329" s="1" t="s">
        <v>4005</v>
      </c>
    </row>
    <row r="1330" customFormat="false" ht="12.8" hidden="false" customHeight="false" outlineLevel="0" collapsed="false">
      <c r="B1330" s="49"/>
      <c r="C1330" s="1" t="s">
        <v>4929</v>
      </c>
      <c r="D1330" s="1" t="s">
        <v>4930</v>
      </c>
      <c r="E1330" s="1" t="s">
        <v>3797</v>
      </c>
      <c r="F1330" s="1" t="s">
        <v>4931</v>
      </c>
      <c r="G1330" s="50" t="s">
        <v>4932</v>
      </c>
      <c r="H1330" s="34" t="s">
        <v>40</v>
      </c>
      <c r="I1330" s="50" t="s">
        <v>3792</v>
      </c>
      <c r="J1330" s="50" t="s">
        <v>4006</v>
      </c>
    </row>
    <row r="1331" customFormat="false" ht="12.8" hidden="false" customHeight="false" outlineLevel="0" collapsed="false">
      <c r="B1331" s="49"/>
      <c r="C1331" s="50"/>
      <c r="D1331" s="50"/>
      <c r="E1331" s="50" t="s">
        <v>3792</v>
      </c>
      <c r="F1331" s="50" t="s">
        <v>4933</v>
      </c>
      <c r="G1331" s="1" t="s">
        <v>3792</v>
      </c>
      <c r="H1331" s="34"/>
      <c r="I1331" s="1" t="s">
        <v>4934</v>
      </c>
      <c r="J1331" s="1" t="s">
        <v>4012</v>
      </c>
    </row>
    <row r="1332" customFormat="false" ht="12.8" hidden="false" customHeight="false" outlineLevel="0" collapsed="false">
      <c r="B1332" s="49"/>
      <c r="C1332" s="1" t="s">
        <v>4935</v>
      </c>
      <c r="D1332" s="1" t="s">
        <v>4936</v>
      </c>
      <c r="E1332" s="1" t="s">
        <v>3787</v>
      </c>
      <c r="F1332" s="1" t="s">
        <v>4937</v>
      </c>
      <c r="G1332" s="51" t="s">
        <v>4938</v>
      </c>
      <c r="H1332" s="39" t="s">
        <v>67</v>
      </c>
      <c r="I1332" s="51" t="s">
        <v>3792</v>
      </c>
      <c r="J1332" s="51" t="s">
        <v>4014</v>
      </c>
    </row>
    <row r="1333" customFormat="false" ht="12.8" hidden="false" customHeight="false" outlineLevel="0" collapsed="false">
      <c r="B1333" s="49"/>
      <c r="C1333" s="51"/>
      <c r="D1333" s="51"/>
      <c r="E1333" s="51" t="s">
        <v>3792</v>
      </c>
      <c r="F1333" s="51" t="s">
        <v>4939</v>
      </c>
      <c r="G1333" s="1" t="s">
        <v>3792</v>
      </c>
      <c r="H1333" s="39"/>
      <c r="I1333" s="1" t="s">
        <v>4940</v>
      </c>
      <c r="J1333" s="1" t="s">
        <v>4020</v>
      </c>
    </row>
    <row r="1334" customFormat="false" ht="12.8" hidden="false" customHeight="true" outlineLevel="0" collapsed="false">
      <c r="B1334" s="49" t="s">
        <v>4941</v>
      </c>
      <c r="C1334" s="1" t="s">
        <v>4942</v>
      </c>
      <c r="D1334" s="1" t="s">
        <v>4943</v>
      </c>
      <c r="E1334" s="1" t="s">
        <v>3806</v>
      </c>
      <c r="F1334" s="1" t="s">
        <v>4944</v>
      </c>
      <c r="G1334" s="50" t="s">
        <v>4945</v>
      </c>
      <c r="H1334" s="34" t="s">
        <v>40</v>
      </c>
      <c r="I1334" s="50" t="s">
        <v>3792</v>
      </c>
      <c r="J1334" s="50" t="s">
        <v>4022</v>
      </c>
    </row>
    <row r="1335" customFormat="false" ht="12.8" hidden="false" customHeight="false" outlineLevel="0" collapsed="false">
      <c r="B1335" s="49"/>
      <c r="C1335" s="50"/>
      <c r="D1335" s="50"/>
      <c r="E1335" s="50" t="s">
        <v>3792</v>
      </c>
      <c r="F1335" s="50" t="s">
        <v>4946</v>
      </c>
      <c r="G1335" s="1" t="s">
        <v>3792</v>
      </c>
      <c r="H1335" s="34"/>
      <c r="I1335" s="1" t="s">
        <v>4947</v>
      </c>
      <c r="J1335" s="1" t="s">
        <v>4029</v>
      </c>
    </row>
    <row r="1336" customFormat="false" ht="12.8" hidden="false" customHeight="false" outlineLevel="0" collapsed="false">
      <c r="B1336" s="49"/>
      <c r="C1336" s="1" t="s">
        <v>4948</v>
      </c>
      <c r="D1336" s="1" t="s">
        <v>4949</v>
      </c>
      <c r="E1336" s="1" t="s">
        <v>3787</v>
      </c>
      <c r="F1336" s="1" t="s">
        <v>4950</v>
      </c>
      <c r="G1336" s="50" t="s">
        <v>4951</v>
      </c>
      <c r="H1336" s="37" t="s">
        <v>50</v>
      </c>
      <c r="I1336" s="50" t="s">
        <v>3792</v>
      </c>
      <c r="J1336" s="50" t="s">
        <v>4031</v>
      </c>
    </row>
    <row r="1337" customFormat="false" ht="12.8" hidden="false" customHeight="false" outlineLevel="0" collapsed="false">
      <c r="B1337" s="49"/>
      <c r="C1337" s="50"/>
      <c r="D1337" s="50"/>
      <c r="E1337" s="50" t="s">
        <v>3792</v>
      </c>
      <c r="F1337" s="50" t="s">
        <v>4952</v>
      </c>
      <c r="G1337" s="1" t="s">
        <v>3792</v>
      </c>
      <c r="H1337" s="37"/>
      <c r="I1337" s="1" t="s">
        <v>4953</v>
      </c>
      <c r="J1337" s="1" t="s">
        <v>4037</v>
      </c>
    </row>
    <row r="1338" customFormat="false" ht="12.8" hidden="false" customHeight="false" outlineLevel="0" collapsed="false">
      <c r="B1338" s="49"/>
      <c r="C1338" s="1" t="s">
        <v>4954</v>
      </c>
      <c r="D1338" s="1" t="s">
        <v>4955</v>
      </c>
      <c r="E1338" s="1" t="s">
        <v>3797</v>
      </c>
      <c r="F1338" s="1" t="s">
        <v>4956</v>
      </c>
      <c r="G1338" s="50" t="s">
        <v>4957</v>
      </c>
      <c r="H1338" s="34" t="s">
        <v>40</v>
      </c>
      <c r="I1338" s="50" t="s">
        <v>3792</v>
      </c>
      <c r="J1338" s="50" t="s">
        <v>4039</v>
      </c>
    </row>
    <row r="1339" customFormat="false" ht="12.8" hidden="false" customHeight="false" outlineLevel="0" collapsed="false">
      <c r="B1339" s="49"/>
      <c r="C1339" s="50"/>
      <c r="D1339" s="50"/>
      <c r="E1339" s="50" t="s">
        <v>3792</v>
      </c>
      <c r="F1339" s="50" t="s">
        <v>4958</v>
      </c>
      <c r="G1339" s="1" t="s">
        <v>3792</v>
      </c>
      <c r="H1339" s="34"/>
      <c r="I1339" s="1" t="s">
        <v>4959</v>
      </c>
      <c r="J1339" s="1" t="s">
        <v>4045</v>
      </c>
    </row>
    <row r="1340" customFormat="false" ht="12.8" hidden="false" customHeight="false" outlineLevel="0" collapsed="false">
      <c r="B1340" s="49"/>
      <c r="C1340" s="1" t="s">
        <v>4960</v>
      </c>
      <c r="D1340" s="1" t="s">
        <v>4961</v>
      </c>
      <c r="E1340" s="1" t="s">
        <v>3797</v>
      </c>
      <c r="F1340" s="1" t="s">
        <v>4962</v>
      </c>
      <c r="G1340" s="50" t="s">
        <v>4963</v>
      </c>
      <c r="H1340" s="39" t="s">
        <v>67</v>
      </c>
      <c r="I1340" s="50" t="s">
        <v>3792</v>
      </c>
      <c r="J1340" s="50" t="s">
        <v>4047</v>
      </c>
    </row>
    <row r="1341" customFormat="false" ht="12.8" hidden="false" customHeight="false" outlineLevel="0" collapsed="false">
      <c r="B1341" s="49"/>
      <c r="C1341" s="50"/>
      <c r="D1341" s="50"/>
      <c r="E1341" s="50" t="s">
        <v>3792</v>
      </c>
      <c r="F1341" s="50" t="s">
        <v>4964</v>
      </c>
      <c r="G1341" s="1" t="s">
        <v>3792</v>
      </c>
      <c r="H1341" s="39"/>
      <c r="I1341" s="1" t="s">
        <v>4965</v>
      </c>
      <c r="J1341" s="1" t="s">
        <v>4053</v>
      </c>
    </row>
    <row r="1342" customFormat="false" ht="12.8" hidden="false" customHeight="false" outlineLevel="0" collapsed="false">
      <c r="B1342" s="49"/>
      <c r="C1342" s="1" t="s">
        <v>4966</v>
      </c>
      <c r="D1342" s="1" t="s">
        <v>4967</v>
      </c>
      <c r="E1342" s="1" t="s">
        <v>3787</v>
      </c>
      <c r="F1342" s="1" t="s">
        <v>4968</v>
      </c>
      <c r="G1342" s="51" t="s">
        <v>4969</v>
      </c>
      <c r="H1342" s="34" t="s">
        <v>40</v>
      </c>
      <c r="I1342" s="51" t="s">
        <v>3792</v>
      </c>
      <c r="J1342" s="51" t="s">
        <v>4055</v>
      </c>
    </row>
    <row r="1343" customFormat="false" ht="12.8" hidden="false" customHeight="false" outlineLevel="0" collapsed="false">
      <c r="B1343" s="49"/>
      <c r="C1343" s="51"/>
      <c r="D1343" s="51"/>
      <c r="E1343" s="51" t="s">
        <v>3792</v>
      </c>
      <c r="F1343" s="51" t="s">
        <v>4970</v>
      </c>
      <c r="G1343" s="1" t="s">
        <v>3792</v>
      </c>
      <c r="H1343" s="34"/>
      <c r="I1343" s="1" t="s">
        <v>4971</v>
      </c>
      <c r="J1343" s="1" t="s">
        <v>4061</v>
      </c>
    </row>
    <row r="1344" customFormat="false" ht="12.8" hidden="false" customHeight="true" outlineLevel="0" collapsed="false">
      <c r="B1344" s="49" t="s">
        <v>4972</v>
      </c>
      <c r="C1344" s="1" t="s">
        <v>4973</v>
      </c>
      <c r="D1344" s="1" t="s">
        <v>4974</v>
      </c>
      <c r="E1344" s="1" t="s">
        <v>3806</v>
      </c>
      <c r="F1344" s="1" t="s">
        <v>4975</v>
      </c>
      <c r="G1344" s="50" t="s">
        <v>4976</v>
      </c>
      <c r="H1344" s="37" t="s">
        <v>50</v>
      </c>
      <c r="I1344" s="50" t="s">
        <v>3792</v>
      </c>
      <c r="J1344" s="50" t="s">
        <v>4063</v>
      </c>
    </row>
    <row r="1345" customFormat="false" ht="12.8" hidden="false" customHeight="false" outlineLevel="0" collapsed="false">
      <c r="B1345" s="49"/>
      <c r="C1345" s="50"/>
      <c r="D1345" s="50"/>
      <c r="E1345" s="50" t="s">
        <v>3792</v>
      </c>
      <c r="F1345" s="50" t="s">
        <v>4977</v>
      </c>
      <c r="G1345" s="1" t="s">
        <v>3792</v>
      </c>
      <c r="H1345" s="37"/>
      <c r="I1345" s="1" t="s">
        <v>4978</v>
      </c>
      <c r="J1345" s="1" t="s">
        <v>4070</v>
      </c>
    </row>
    <row r="1346" customFormat="false" ht="12.8" hidden="false" customHeight="false" outlineLevel="0" collapsed="false">
      <c r="B1346" s="49"/>
      <c r="C1346" s="1" t="s">
        <v>4979</v>
      </c>
      <c r="D1346" s="1" t="s">
        <v>4980</v>
      </c>
      <c r="E1346" s="1" t="s">
        <v>3806</v>
      </c>
      <c r="F1346" s="1" t="s">
        <v>4981</v>
      </c>
      <c r="G1346" s="50" t="s">
        <v>4982</v>
      </c>
      <c r="H1346" s="34" t="s">
        <v>40</v>
      </c>
      <c r="I1346" s="50" t="s">
        <v>3792</v>
      </c>
      <c r="J1346" s="50" t="s">
        <v>4072</v>
      </c>
    </row>
    <row r="1347" customFormat="false" ht="12.8" hidden="false" customHeight="false" outlineLevel="0" collapsed="false">
      <c r="B1347" s="49"/>
      <c r="C1347" s="50"/>
      <c r="D1347" s="50"/>
      <c r="E1347" s="50" t="s">
        <v>3792</v>
      </c>
      <c r="F1347" s="50" t="s">
        <v>4983</v>
      </c>
      <c r="G1347" s="1" t="s">
        <v>3792</v>
      </c>
      <c r="H1347" s="34"/>
      <c r="I1347" s="1" t="s">
        <v>4984</v>
      </c>
      <c r="J1347" s="1" t="s">
        <v>4078</v>
      </c>
    </row>
    <row r="1348" customFormat="false" ht="12.8" hidden="false" customHeight="false" outlineLevel="0" collapsed="false">
      <c r="B1348" s="49"/>
      <c r="C1348" s="1" t="s">
        <v>4985</v>
      </c>
      <c r="D1348" s="1" t="s">
        <v>4986</v>
      </c>
      <c r="E1348" s="1" t="s">
        <v>3787</v>
      </c>
      <c r="F1348" s="1" t="s">
        <v>4987</v>
      </c>
      <c r="G1348" s="50" t="s">
        <v>4988</v>
      </c>
      <c r="H1348" s="39" t="s">
        <v>67</v>
      </c>
      <c r="I1348" s="50" t="s">
        <v>3792</v>
      </c>
      <c r="J1348" s="50" t="s">
        <v>4080</v>
      </c>
    </row>
    <row r="1349" customFormat="false" ht="12.8" hidden="false" customHeight="false" outlineLevel="0" collapsed="false">
      <c r="B1349" s="49"/>
      <c r="C1349" s="50"/>
      <c r="D1349" s="50"/>
      <c r="E1349" s="50" t="s">
        <v>3792</v>
      </c>
      <c r="F1349" s="50" t="s">
        <v>4989</v>
      </c>
      <c r="G1349" s="1" t="s">
        <v>3792</v>
      </c>
      <c r="H1349" s="39"/>
      <c r="I1349" s="1" t="s">
        <v>4990</v>
      </c>
      <c r="J1349" s="1" t="s">
        <v>4086</v>
      </c>
    </row>
    <row r="1350" customFormat="false" ht="12.8" hidden="false" customHeight="false" outlineLevel="0" collapsed="false">
      <c r="B1350" s="49"/>
      <c r="C1350" s="1" t="s">
        <v>4991</v>
      </c>
      <c r="D1350" s="1" t="s">
        <v>4992</v>
      </c>
      <c r="E1350" s="1" t="s">
        <v>3797</v>
      </c>
      <c r="F1350" s="1" t="s">
        <v>4993</v>
      </c>
      <c r="G1350" s="50" t="s">
        <v>4994</v>
      </c>
      <c r="H1350" s="34" t="s">
        <v>40</v>
      </c>
      <c r="I1350" s="50" t="s">
        <v>3792</v>
      </c>
      <c r="J1350" s="50" t="s">
        <v>4088</v>
      </c>
    </row>
    <row r="1351" customFormat="false" ht="12.8" hidden="false" customHeight="false" outlineLevel="0" collapsed="false">
      <c r="B1351" s="49"/>
      <c r="C1351" s="50" t="s">
        <v>4995</v>
      </c>
      <c r="D1351" s="50"/>
      <c r="E1351" s="50" t="s">
        <v>3792</v>
      </c>
      <c r="F1351" s="50" t="s">
        <v>4996</v>
      </c>
      <c r="G1351" s="1" t="s">
        <v>3792</v>
      </c>
      <c r="H1351" s="34"/>
      <c r="I1351" s="1" t="s">
        <v>4997</v>
      </c>
      <c r="J1351" s="1" t="s">
        <v>4094</v>
      </c>
    </row>
    <row r="1352" customFormat="false" ht="12.8" hidden="false" customHeight="false" outlineLevel="0" collapsed="false">
      <c r="B1352" s="49"/>
      <c r="C1352" s="1" t="s">
        <v>4998</v>
      </c>
      <c r="D1352" s="1" t="s">
        <v>4999</v>
      </c>
      <c r="E1352" s="1" t="s">
        <v>3787</v>
      </c>
      <c r="F1352" s="1" t="s">
        <v>5000</v>
      </c>
      <c r="G1352" s="51" t="s">
        <v>5001</v>
      </c>
      <c r="H1352" s="37" t="s">
        <v>50</v>
      </c>
      <c r="I1352" s="51" t="s">
        <v>3792</v>
      </c>
      <c r="J1352" s="51" t="s">
        <v>4096</v>
      </c>
    </row>
    <row r="1353" customFormat="false" ht="12.8" hidden="false" customHeight="false" outlineLevel="0" collapsed="false">
      <c r="B1353" s="49"/>
      <c r="C1353" s="51"/>
      <c r="D1353" s="51"/>
      <c r="E1353" s="51" t="s">
        <v>3792</v>
      </c>
      <c r="F1353" s="51" t="s">
        <v>5002</v>
      </c>
      <c r="G1353" s="1" t="s">
        <v>3792</v>
      </c>
      <c r="H1353" s="37"/>
      <c r="I1353" s="1" t="s">
        <v>5003</v>
      </c>
      <c r="J1353" s="1" t="s">
        <v>4102</v>
      </c>
    </row>
    <row r="1354" customFormat="false" ht="12.8" hidden="false" customHeight="true" outlineLevel="0" collapsed="false">
      <c r="B1354" s="49" t="s">
        <v>5004</v>
      </c>
      <c r="C1354" s="1" t="s">
        <v>5005</v>
      </c>
      <c r="D1354" s="1" t="s">
        <v>5006</v>
      </c>
      <c r="E1354" s="1" t="s">
        <v>3806</v>
      </c>
      <c r="F1354" s="1" t="s">
        <v>5007</v>
      </c>
      <c r="G1354" s="50" t="s">
        <v>5008</v>
      </c>
      <c r="H1354" s="34" t="s">
        <v>40</v>
      </c>
      <c r="I1354" s="50" t="s">
        <v>3792</v>
      </c>
      <c r="J1354" s="50" t="s">
        <v>4104</v>
      </c>
    </row>
    <row r="1355" customFormat="false" ht="12.8" hidden="false" customHeight="false" outlineLevel="0" collapsed="false">
      <c r="B1355" s="49"/>
      <c r="C1355" s="50"/>
      <c r="D1355" s="50"/>
      <c r="E1355" s="50" t="s">
        <v>3792</v>
      </c>
      <c r="F1355" s="50" t="s">
        <v>5009</v>
      </c>
      <c r="G1355" s="1" t="s">
        <v>3792</v>
      </c>
      <c r="H1355" s="34"/>
      <c r="I1355" s="1" t="s">
        <v>5010</v>
      </c>
      <c r="J1355" s="1" t="s">
        <v>4109</v>
      </c>
    </row>
    <row r="1356" customFormat="false" ht="12.8" hidden="false" customHeight="false" outlineLevel="0" collapsed="false">
      <c r="B1356" s="49"/>
      <c r="C1356" s="1" t="s">
        <v>5011</v>
      </c>
      <c r="D1356" s="1" t="s">
        <v>5012</v>
      </c>
      <c r="E1356" s="1" t="s">
        <v>3797</v>
      </c>
      <c r="F1356" s="1" t="s">
        <v>5013</v>
      </c>
      <c r="G1356" s="50" t="s">
        <v>5014</v>
      </c>
      <c r="H1356" s="39" t="s">
        <v>67</v>
      </c>
      <c r="I1356" s="50" t="s">
        <v>3792</v>
      </c>
      <c r="J1356" s="50" t="s">
        <v>4111</v>
      </c>
    </row>
    <row r="1357" customFormat="false" ht="12.8" hidden="false" customHeight="false" outlineLevel="0" collapsed="false">
      <c r="B1357" s="49"/>
      <c r="C1357" s="50"/>
      <c r="D1357" s="50"/>
      <c r="E1357" s="50" t="s">
        <v>3792</v>
      </c>
      <c r="F1357" s="50" t="s">
        <v>5015</v>
      </c>
      <c r="G1357" s="1" t="s">
        <v>3792</v>
      </c>
      <c r="H1357" s="39"/>
      <c r="I1357" s="1" t="s">
        <v>5016</v>
      </c>
      <c r="J1357" s="1" t="s">
        <v>4117</v>
      </c>
    </row>
    <row r="1358" customFormat="false" ht="12.8" hidden="false" customHeight="false" outlineLevel="0" collapsed="false">
      <c r="B1358" s="49"/>
      <c r="C1358" s="1" t="s">
        <v>5017</v>
      </c>
      <c r="D1358" s="1" t="s">
        <v>5018</v>
      </c>
      <c r="E1358" s="1" t="s">
        <v>3787</v>
      </c>
      <c r="F1358" s="1" t="s">
        <v>5019</v>
      </c>
      <c r="G1358" s="50" t="s">
        <v>5020</v>
      </c>
      <c r="H1358" s="34" t="s">
        <v>40</v>
      </c>
      <c r="I1358" s="50" t="s">
        <v>3792</v>
      </c>
      <c r="J1358" s="50" t="s">
        <v>4119</v>
      </c>
    </row>
    <row r="1359" customFormat="false" ht="12.8" hidden="false" customHeight="false" outlineLevel="0" collapsed="false">
      <c r="B1359" s="49"/>
      <c r="C1359" s="50"/>
      <c r="D1359" s="50"/>
      <c r="E1359" s="50" t="s">
        <v>3792</v>
      </c>
      <c r="F1359" s="50" t="s">
        <v>5021</v>
      </c>
      <c r="G1359" s="1" t="s">
        <v>3792</v>
      </c>
      <c r="H1359" s="34"/>
      <c r="I1359" s="1" t="s">
        <v>5022</v>
      </c>
      <c r="J1359" s="1" t="s">
        <v>4125</v>
      </c>
    </row>
    <row r="1360" customFormat="false" ht="12.8" hidden="false" customHeight="false" outlineLevel="0" collapsed="false">
      <c r="B1360" s="49"/>
      <c r="C1360" s="1" t="s">
        <v>5023</v>
      </c>
      <c r="D1360" s="1" t="s">
        <v>5024</v>
      </c>
      <c r="E1360" s="1" t="s">
        <v>3797</v>
      </c>
      <c r="F1360" s="1" t="s">
        <v>5025</v>
      </c>
      <c r="G1360" s="50" t="s">
        <v>5026</v>
      </c>
      <c r="H1360" s="37" t="s">
        <v>50</v>
      </c>
      <c r="I1360" s="50" t="s">
        <v>3792</v>
      </c>
      <c r="J1360" s="50" t="s">
        <v>4127</v>
      </c>
    </row>
    <row r="1361" customFormat="false" ht="12.8" hidden="false" customHeight="false" outlineLevel="0" collapsed="false">
      <c r="B1361" s="49"/>
      <c r="C1361" s="50"/>
      <c r="D1361" s="50"/>
      <c r="E1361" s="50" t="s">
        <v>3792</v>
      </c>
      <c r="F1361" s="50" t="s">
        <v>5027</v>
      </c>
      <c r="G1361" s="1" t="s">
        <v>3792</v>
      </c>
      <c r="H1361" s="37"/>
      <c r="I1361" s="1" t="s">
        <v>5028</v>
      </c>
      <c r="J1361" s="1" t="s">
        <v>4130</v>
      </c>
    </row>
    <row r="1362" customFormat="false" ht="12.8" hidden="false" customHeight="false" outlineLevel="0" collapsed="false">
      <c r="B1362" s="49"/>
      <c r="C1362" s="1" t="s">
        <v>5029</v>
      </c>
      <c r="D1362" s="1" t="s">
        <v>5030</v>
      </c>
      <c r="E1362" s="1" t="s">
        <v>3806</v>
      </c>
      <c r="F1362" s="1" t="s">
        <v>5031</v>
      </c>
      <c r="G1362" s="51" t="s">
        <v>5032</v>
      </c>
      <c r="H1362" s="34" t="s">
        <v>40</v>
      </c>
      <c r="I1362" s="51" t="s">
        <v>3792</v>
      </c>
      <c r="J1362" s="51" t="s">
        <v>4132</v>
      </c>
    </row>
    <row r="1363" customFormat="false" ht="12.8" hidden="false" customHeight="false" outlineLevel="0" collapsed="false">
      <c r="B1363" s="49"/>
      <c r="C1363" s="51"/>
      <c r="D1363" s="51"/>
      <c r="E1363" s="51" t="s">
        <v>3792</v>
      </c>
      <c r="F1363" s="51" t="s">
        <v>5033</v>
      </c>
      <c r="G1363" s="1" t="s">
        <v>3792</v>
      </c>
      <c r="H1363" s="34"/>
      <c r="I1363" s="1" t="s">
        <v>5034</v>
      </c>
      <c r="J1363" s="1" t="s">
        <v>4136</v>
      </c>
    </row>
    <row r="1364" customFormat="false" ht="12.8" hidden="false" customHeight="true" outlineLevel="0" collapsed="false">
      <c r="B1364" s="49" t="s">
        <v>5035</v>
      </c>
      <c r="C1364" s="1" t="s">
        <v>5036</v>
      </c>
      <c r="D1364" s="1" t="s">
        <v>5037</v>
      </c>
      <c r="E1364" s="1" t="s">
        <v>3787</v>
      </c>
      <c r="F1364" s="1" t="s">
        <v>5038</v>
      </c>
      <c r="G1364" s="50" t="s">
        <v>5039</v>
      </c>
      <c r="H1364" s="39" t="s">
        <v>67</v>
      </c>
      <c r="I1364" s="50" t="s">
        <v>3792</v>
      </c>
      <c r="J1364" s="50" t="s">
        <v>4138</v>
      </c>
    </row>
    <row r="1365" customFormat="false" ht="12.8" hidden="false" customHeight="false" outlineLevel="0" collapsed="false">
      <c r="B1365" s="49"/>
      <c r="C1365" s="50"/>
      <c r="D1365" s="50"/>
      <c r="E1365" s="50" t="s">
        <v>3792</v>
      </c>
      <c r="F1365" s="50" t="s">
        <v>5040</v>
      </c>
      <c r="G1365" s="1" t="s">
        <v>3792</v>
      </c>
      <c r="H1365" s="39"/>
      <c r="I1365" s="1" t="s">
        <v>5041</v>
      </c>
      <c r="J1365" s="1" t="s">
        <v>4145</v>
      </c>
    </row>
    <row r="1366" customFormat="false" ht="12.8" hidden="false" customHeight="false" outlineLevel="0" collapsed="false">
      <c r="B1366" s="49"/>
      <c r="C1366" s="1" t="s">
        <v>5042</v>
      </c>
      <c r="D1366" s="1" t="s">
        <v>5043</v>
      </c>
      <c r="E1366" s="1" t="s">
        <v>3797</v>
      </c>
      <c r="F1366" s="1" t="s">
        <v>5044</v>
      </c>
      <c r="G1366" s="50" t="s">
        <v>5045</v>
      </c>
      <c r="H1366" s="34" t="s">
        <v>40</v>
      </c>
      <c r="I1366" s="50" t="s">
        <v>3792</v>
      </c>
      <c r="J1366" s="50" t="s">
        <v>4147</v>
      </c>
    </row>
    <row r="1367" customFormat="false" ht="12.8" hidden="false" customHeight="false" outlineLevel="0" collapsed="false">
      <c r="B1367" s="49"/>
      <c r="C1367" s="50"/>
      <c r="D1367" s="50"/>
      <c r="E1367" s="50" t="s">
        <v>3792</v>
      </c>
      <c r="F1367" s="50" t="s">
        <v>5046</v>
      </c>
      <c r="G1367" s="1" t="s">
        <v>3792</v>
      </c>
      <c r="H1367" s="34"/>
      <c r="I1367" s="1" t="s">
        <v>5047</v>
      </c>
      <c r="J1367" s="1" t="s">
        <v>4153</v>
      </c>
    </row>
    <row r="1368" customFormat="false" ht="12.8" hidden="false" customHeight="false" outlineLevel="0" collapsed="false">
      <c r="B1368" s="49"/>
      <c r="C1368" s="1" t="s">
        <v>5048</v>
      </c>
      <c r="D1368" s="1" t="s">
        <v>5049</v>
      </c>
      <c r="E1368" s="1" t="s">
        <v>3797</v>
      </c>
      <c r="F1368" s="1" t="s">
        <v>5050</v>
      </c>
      <c r="G1368" s="50" t="s">
        <v>5051</v>
      </c>
      <c r="H1368" s="37" t="s">
        <v>50</v>
      </c>
      <c r="I1368" s="50" t="s">
        <v>3792</v>
      </c>
      <c r="J1368" s="50" t="s">
        <v>4155</v>
      </c>
    </row>
    <row r="1369" customFormat="false" ht="12.8" hidden="false" customHeight="false" outlineLevel="0" collapsed="false">
      <c r="B1369" s="49"/>
      <c r="C1369" s="50"/>
      <c r="D1369" s="50"/>
      <c r="E1369" s="50" t="s">
        <v>3792</v>
      </c>
      <c r="F1369" s="50" t="s">
        <v>5052</v>
      </c>
      <c r="G1369" s="1" t="s">
        <v>3792</v>
      </c>
      <c r="H1369" s="37"/>
      <c r="I1369" s="1" t="s">
        <v>5053</v>
      </c>
      <c r="J1369" s="1" t="s">
        <v>4161</v>
      </c>
    </row>
    <row r="1370" customFormat="false" ht="12.8" hidden="false" customHeight="false" outlineLevel="0" collapsed="false">
      <c r="B1370" s="49"/>
      <c r="C1370" s="1" t="s">
        <v>5054</v>
      </c>
      <c r="D1370" s="1" t="s">
        <v>5055</v>
      </c>
      <c r="E1370" s="1" t="s">
        <v>3787</v>
      </c>
      <c r="F1370" s="1" t="s">
        <v>5056</v>
      </c>
      <c r="G1370" s="50" t="s">
        <v>5057</v>
      </c>
      <c r="H1370" s="34" t="s">
        <v>40</v>
      </c>
      <c r="I1370" s="50" t="s">
        <v>3792</v>
      </c>
      <c r="J1370" s="50"/>
    </row>
    <row r="1371" customFormat="false" ht="12.8" hidden="false" customHeight="false" outlineLevel="0" collapsed="false">
      <c r="B1371" s="49"/>
      <c r="C1371" s="50"/>
      <c r="D1371" s="50"/>
      <c r="E1371" s="50" t="s">
        <v>3792</v>
      </c>
      <c r="F1371" s="50" t="s">
        <v>5058</v>
      </c>
      <c r="G1371" s="1" t="s">
        <v>3792</v>
      </c>
      <c r="H1371" s="34"/>
      <c r="I1371" s="1" t="s">
        <v>5059</v>
      </c>
      <c r="J1371" s="1" t="s">
        <v>3791</v>
      </c>
    </row>
    <row r="1372" customFormat="false" ht="12.8" hidden="false" customHeight="false" outlineLevel="0" collapsed="false">
      <c r="B1372" s="49"/>
      <c r="C1372" s="1" t="s">
        <v>5060</v>
      </c>
      <c r="D1372" s="1" t="s">
        <v>5061</v>
      </c>
      <c r="E1372" s="1" t="s">
        <v>3787</v>
      </c>
      <c r="F1372" s="1" t="s">
        <v>5062</v>
      </c>
      <c r="G1372" s="51" t="s">
        <v>5063</v>
      </c>
      <c r="H1372" s="39" t="s">
        <v>67</v>
      </c>
      <c r="I1372" s="51" t="s">
        <v>3792</v>
      </c>
      <c r="J1372" s="51" t="s">
        <v>4169</v>
      </c>
    </row>
    <row r="1373" customFormat="false" ht="12.8" hidden="false" customHeight="false" outlineLevel="0" collapsed="false">
      <c r="B1373" s="49"/>
      <c r="C1373" s="51"/>
      <c r="D1373" s="51"/>
      <c r="E1373" s="51" t="s">
        <v>3792</v>
      </c>
      <c r="F1373" s="51" t="s">
        <v>5064</v>
      </c>
      <c r="G1373" s="1" t="s">
        <v>3792</v>
      </c>
      <c r="H1373" s="39"/>
      <c r="I1373" s="1" t="s">
        <v>5065</v>
      </c>
      <c r="J1373" s="1" t="s">
        <v>4175</v>
      </c>
    </row>
    <row r="1374" customFormat="false" ht="12.8" hidden="false" customHeight="true" outlineLevel="0" collapsed="false">
      <c r="B1374" s="49" t="s">
        <v>5066</v>
      </c>
      <c r="C1374" s="1" t="s">
        <v>5067</v>
      </c>
      <c r="D1374" s="1" t="s">
        <v>5068</v>
      </c>
      <c r="E1374" s="1" t="s">
        <v>3797</v>
      </c>
      <c r="F1374" s="1" t="s">
        <v>5069</v>
      </c>
      <c r="G1374" s="50" t="s">
        <v>5070</v>
      </c>
      <c r="H1374" s="34" t="s">
        <v>40</v>
      </c>
      <c r="I1374" s="50" t="s">
        <v>3792</v>
      </c>
      <c r="J1374" s="50" t="s">
        <v>4177</v>
      </c>
    </row>
    <row r="1375" customFormat="false" ht="12.8" hidden="false" customHeight="false" outlineLevel="0" collapsed="false">
      <c r="B1375" s="49"/>
      <c r="C1375" s="50"/>
      <c r="D1375" s="50"/>
      <c r="E1375" s="50" t="s">
        <v>3792</v>
      </c>
      <c r="F1375" s="50" t="s">
        <v>5071</v>
      </c>
      <c r="G1375" s="1" t="s">
        <v>3792</v>
      </c>
      <c r="H1375" s="34"/>
      <c r="I1375" s="1" t="s">
        <v>5072</v>
      </c>
      <c r="J1375" s="1" t="s">
        <v>4184</v>
      </c>
    </row>
    <row r="1376" customFormat="false" ht="12.8" hidden="false" customHeight="false" outlineLevel="0" collapsed="false">
      <c r="B1376" s="49"/>
      <c r="C1376" s="1" t="s">
        <v>5073</v>
      </c>
      <c r="D1376" s="1" t="s">
        <v>5074</v>
      </c>
      <c r="E1376" s="1" t="s">
        <v>3806</v>
      </c>
      <c r="F1376" s="1" t="s">
        <v>5075</v>
      </c>
      <c r="G1376" s="50" t="s">
        <v>5076</v>
      </c>
      <c r="H1376" s="34" t="s">
        <v>40</v>
      </c>
      <c r="I1376" s="50" t="s">
        <v>3792</v>
      </c>
      <c r="J1376" s="50" t="s">
        <v>4186</v>
      </c>
    </row>
    <row r="1377" customFormat="false" ht="12.8" hidden="false" customHeight="false" outlineLevel="0" collapsed="false">
      <c r="B1377" s="49"/>
      <c r="C1377" s="50"/>
      <c r="D1377" s="50"/>
      <c r="E1377" s="50" t="s">
        <v>3792</v>
      </c>
      <c r="F1377" s="50" t="s">
        <v>5077</v>
      </c>
      <c r="G1377" s="1" t="s">
        <v>3792</v>
      </c>
      <c r="H1377" s="34"/>
      <c r="I1377" s="1" t="s">
        <v>5078</v>
      </c>
      <c r="J1377" s="1" t="s">
        <v>4192</v>
      </c>
    </row>
    <row r="1378" customFormat="false" ht="12.8" hidden="false" customHeight="false" outlineLevel="0" collapsed="false">
      <c r="B1378" s="49"/>
      <c r="C1378" s="1" t="s">
        <v>5079</v>
      </c>
      <c r="D1378" s="1" t="s">
        <v>5080</v>
      </c>
      <c r="E1378" s="1" t="s">
        <v>3787</v>
      </c>
      <c r="F1378" s="1" t="s">
        <v>5081</v>
      </c>
      <c r="G1378" s="50" t="s">
        <v>5082</v>
      </c>
      <c r="H1378" s="39" t="s">
        <v>67</v>
      </c>
      <c r="I1378" s="50" t="s">
        <v>3792</v>
      </c>
      <c r="J1378" s="50" t="s">
        <v>4194</v>
      </c>
    </row>
    <row r="1379" customFormat="false" ht="12.8" hidden="false" customHeight="false" outlineLevel="0" collapsed="false">
      <c r="B1379" s="49"/>
      <c r="C1379" s="50"/>
      <c r="D1379" s="50"/>
      <c r="E1379" s="50" t="s">
        <v>3792</v>
      </c>
      <c r="F1379" s="50" t="s">
        <v>5083</v>
      </c>
      <c r="G1379" s="1" t="s">
        <v>3792</v>
      </c>
      <c r="H1379" s="39"/>
      <c r="I1379" s="1" t="s">
        <v>5084</v>
      </c>
      <c r="J1379" s="1" t="s">
        <v>4200</v>
      </c>
    </row>
    <row r="1380" customFormat="false" ht="12.8" hidden="false" customHeight="false" outlineLevel="0" collapsed="false">
      <c r="B1380" s="49"/>
      <c r="C1380" s="1" t="s">
        <v>5085</v>
      </c>
      <c r="D1380" s="1" t="s">
        <v>5086</v>
      </c>
      <c r="E1380" s="1" t="s">
        <v>3806</v>
      </c>
      <c r="F1380" s="1" t="s">
        <v>5087</v>
      </c>
      <c r="G1380" s="50" t="s">
        <v>5088</v>
      </c>
      <c r="H1380" s="37" t="s">
        <v>50</v>
      </c>
      <c r="I1380" s="50" t="s">
        <v>3792</v>
      </c>
      <c r="J1380" s="50" t="s">
        <v>4202</v>
      </c>
    </row>
    <row r="1381" customFormat="false" ht="12.8" hidden="false" customHeight="false" outlineLevel="0" collapsed="false">
      <c r="B1381" s="49"/>
      <c r="C1381" s="50"/>
      <c r="D1381" s="50"/>
      <c r="E1381" s="50" t="s">
        <v>3792</v>
      </c>
      <c r="F1381" s="50" t="s">
        <v>5089</v>
      </c>
      <c r="G1381" s="1" t="s">
        <v>3792</v>
      </c>
      <c r="H1381" s="37"/>
      <c r="I1381" s="1" t="s">
        <v>5090</v>
      </c>
      <c r="J1381" s="1" t="s">
        <v>4208</v>
      </c>
    </row>
    <row r="1382" customFormat="false" ht="12.8" hidden="false" customHeight="false" outlineLevel="0" collapsed="false">
      <c r="B1382" s="49"/>
      <c r="C1382" s="1" t="s">
        <v>5091</v>
      </c>
      <c r="D1382" s="1" t="s">
        <v>5092</v>
      </c>
      <c r="E1382" s="1" t="s">
        <v>3797</v>
      </c>
      <c r="F1382" s="1" t="s">
        <v>5087</v>
      </c>
      <c r="G1382" s="51" t="s">
        <v>5093</v>
      </c>
      <c r="H1382" s="37" t="s">
        <v>50</v>
      </c>
      <c r="I1382" s="51" t="s">
        <v>3792</v>
      </c>
      <c r="J1382" s="51" t="s">
        <v>4210</v>
      </c>
    </row>
    <row r="1383" customFormat="false" ht="12.8" hidden="false" customHeight="false" outlineLevel="0" collapsed="false">
      <c r="B1383" s="49"/>
      <c r="C1383" s="51"/>
      <c r="D1383" s="51"/>
      <c r="E1383" s="51" t="s">
        <v>3792</v>
      </c>
      <c r="F1383" s="51" t="s">
        <v>5089</v>
      </c>
      <c r="G1383" s="1" t="s">
        <v>3792</v>
      </c>
      <c r="H1383" s="37"/>
      <c r="I1383" s="1" t="s">
        <v>5094</v>
      </c>
      <c r="J1383" s="1" t="s">
        <v>4216</v>
      </c>
    </row>
    <row r="1384" customFormat="false" ht="12.8" hidden="false" customHeight="true" outlineLevel="0" collapsed="false">
      <c r="B1384" s="49" t="s">
        <v>5095</v>
      </c>
      <c r="C1384" s="1" t="s">
        <v>5096</v>
      </c>
      <c r="D1384" s="1" t="s">
        <v>5097</v>
      </c>
      <c r="E1384" s="1" t="s">
        <v>3787</v>
      </c>
      <c r="F1384" s="1" t="s">
        <v>5098</v>
      </c>
      <c r="G1384" s="50" t="s">
        <v>5099</v>
      </c>
      <c r="H1384" s="39" t="s">
        <v>67</v>
      </c>
      <c r="I1384" s="50" t="s">
        <v>3792</v>
      </c>
      <c r="J1384" s="50" t="s">
        <v>4218</v>
      </c>
    </row>
    <row r="1385" customFormat="false" ht="12.8" hidden="false" customHeight="false" outlineLevel="0" collapsed="false">
      <c r="B1385" s="49"/>
      <c r="C1385" s="50"/>
      <c r="D1385" s="50"/>
      <c r="E1385" s="50" t="s">
        <v>3792</v>
      </c>
      <c r="F1385" s="50" t="s">
        <v>5100</v>
      </c>
      <c r="G1385" s="1" t="s">
        <v>3792</v>
      </c>
      <c r="H1385" s="39"/>
      <c r="I1385" s="1" t="s">
        <v>5101</v>
      </c>
      <c r="J1385" s="1" t="s">
        <v>4226</v>
      </c>
    </row>
    <row r="1386" customFormat="false" ht="12.8" hidden="false" customHeight="false" outlineLevel="0" collapsed="false">
      <c r="B1386" s="49"/>
      <c r="C1386" s="1" t="s">
        <v>5102</v>
      </c>
      <c r="D1386" s="1" t="s">
        <v>5103</v>
      </c>
      <c r="E1386" s="1" t="s">
        <v>3787</v>
      </c>
      <c r="F1386" s="1" t="s">
        <v>5104</v>
      </c>
      <c r="G1386" s="50" t="s">
        <v>5105</v>
      </c>
      <c r="H1386" s="34" t="s">
        <v>40</v>
      </c>
      <c r="I1386" s="50" t="s">
        <v>3792</v>
      </c>
      <c r="J1386" s="50" t="s">
        <v>4228</v>
      </c>
    </row>
    <row r="1387" customFormat="false" ht="12.8" hidden="false" customHeight="false" outlineLevel="0" collapsed="false">
      <c r="B1387" s="49"/>
      <c r="C1387" s="50"/>
      <c r="D1387" s="50"/>
      <c r="E1387" s="50" t="s">
        <v>3792</v>
      </c>
      <c r="F1387" s="50" t="s">
        <v>5106</v>
      </c>
      <c r="G1387" s="1" t="s">
        <v>3792</v>
      </c>
      <c r="H1387" s="34"/>
      <c r="I1387" s="1" t="s">
        <v>5107</v>
      </c>
      <c r="J1387" s="1" t="s">
        <v>4234</v>
      </c>
    </row>
    <row r="1388" customFormat="false" ht="12.8" hidden="false" customHeight="false" outlineLevel="0" collapsed="false">
      <c r="B1388" s="49"/>
      <c r="C1388" s="1" t="s">
        <v>5108</v>
      </c>
      <c r="D1388" s="1" t="s">
        <v>5109</v>
      </c>
      <c r="E1388" s="1" t="s">
        <v>3806</v>
      </c>
      <c r="F1388" s="1" t="s">
        <v>5110</v>
      </c>
      <c r="G1388" s="50" t="s">
        <v>5111</v>
      </c>
      <c r="H1388" s="39" t="s">
        <v>67</v>
      </c>
      <c r="I1388" s="50" t="s">
        <v>3792</v>
      </c>
      <c r="J1388" s="50" t="s">
        <v>4236</v>
      </c>
    </row>
    <row r="1389" customFormat="false" ht="12.8" hidden="false" customHeight="false" outlineLevel="0" collapsed="false">
      <c r="B1389" s="49"/>
      <c r="C1389" s="50"/>
      <c r="D1389" s="50"/>
      <c r="E1389" s="50" t="s">
        <v>3792</v>
      </c>
      <c r="F1389" s="50" t="s">
        <v>5112</v>
      </c>
      <c r="G1389" s="1" t="s">
        <v>3792</v>
      </c>
      <c r="H1389" s="39"/>
      <c r="I1389" s="1" t="s">
        <v>5113</v>
      </c>
      <c r="J1389" s="1" t="s">
        <v>4242</v>
      </c>
    </row>
    <row r="1390" customFormat="false" ht="12.8" hidden="false" customHeight="false" outlineLevel="0" collapsed="false">
      <c r="B1390" s="49"/>
      <c r="C1390" s="1" t="s">
        <v>5114</v>
      </c>
      <c r="D1390" s="1" t="s">
        <v>5115</v>
      </c>
      <c r="E1390" s="1" t="s">
        <v>3806</v>
      </c>
      <c r="F1390" s="1" t="s">
        <v>5116</v>
      </c>
      <c r="G1390" s="50" t="s">
        <v>5117</v>
      </c>
      <c r="H1390" s="37" t="s">
        <v>50</v>
      </c>
      <c r="I1390" s="50" t="s">
        <v>3792</v>
      </c>
      <c r="J1390" s="50" t="s">
        <v>4244</v>
      </c>
    </row>
    <row r="1391" customFormat="false" ht="12.8" hidden="false" customHeight="false" outlineLevel="0" collapsed="false">
      <c r="B1391" s="49"/>
      <c r="C1391" s="50"/>
      <c r="D1391" s="50"/>
      <c r="E1391" s="50" t="s">
        <v>3792</v>
      </c>
      <c r="F1391" s="50" t="s">
        <v>5118</v>
      </c>
      <c r="G1391" s="1" t="s">
        <v>3792</v>
      </c>
      <c r="H1391" s="37"/>
      <c r="I1391" s="1" t="s">
        <v>5119</v>
      </c>
      <c r="J1391" s="1" t="s">
        <v>4250</v>
      </c>
    </row>
    <row r="1392" customFormat="false" ht="12.8" hidden="false" customHeight="false" outlineLevel="0" collapsed="false">
      <c r="B1392" s="49"/>
      <c r="C1392" s="1" t="s">
        <v>5120</v>
      </c>
      <c r="D1392" s="1" t="s">
        <v>5121</v>
      </c>
      <c r="E1392" s="1" t="s">
        <v>3797</v>
      </c>
      <c r="F1392" s="1" t="s">
        <v>5122</v>
      </c>
      <c r="G1392" s="51" t="s">
        <v>5123</v>
      </c>
      <c r="H1392" s="37" t="s">
        <v>50</v>
      </c>
      <c r="I1392" s="51" t="s">
        <v>3792</v>
      </c>
      <c r="J1392" s="51" t="s">
        <v>4252</v>
      </c>
    </row>
    <row r="1393" customFormat="false" ht="12.8" hidden="false" customHeight="false" outlineLevel="0" collapsed="false">
      <c r="B1393" s="49"/>
      <c r="C1393" s="51"/>
      <c r="D1393" s="51"/>
      <c r="E1393" s="51" t="s">
        <v>3792</v>
      </c>
      <c r="F1393" s="51" t="s">
        <v>5124</v>
      </c>
      <c r="G1393" s="1" t="s">
        <v>3792</v>
      </c>
      <c r="H1393" s="37"/>
      <c r="I1393" s="1" t="s">
        <v>5125</v>
      </c>
      <c r="J1393" s="1" t="s">
        <v>4258</v>
      </c>
    </row>
    <row r="1394" customFormat="false" ht="12.8" hidden="false" customHeight="true" outlineLevel="0" collapsed="false">
      <c r="B1394" s="49" t="s">
        <v>5126</v>
      </c>
      <c r="C1394" s="1" t="s">
        <v>5127</v>
      </c>
      <c r="D1394" s="1" t="s">
        <v>5128</v>
      </c>
      <c r="E1394" s="1" t="s">
        <v>3787</v>
      </c>
      <c r="F1394" s="1" t="s">
        <v>5129</v>
      </c>
      <c r="G1394" s="50" t="s">
        <v>5130</v>
      </c>
      <c r="H1394" s="39" t="s">
        <v>67</v>
      </c>
      <c r="I1394" s="50" t="s">
        <v>3792</v>
      </c>
      <c r="J1394" s="50" t="s">
        <v>4260</v>
      </c>
    </row>
    <row r="1395" customFormat="false" ht="12.8" hidden="false" customHeight="false" outlineLevel="0" collapsed="false">
      <c r="B1395" s="49"/>
      <c r="C1395" s="50"/>
      <c r="D1395" s="50"/>
      <c r="E1395" s="50" t="s">
        <v>3792</v>
      </c>
      <c r="F1395" s="50" t="s">
        <v>5131</v>
      </c>
      <c r="G1395" s="1" t="s">
        <v>3792</v>
      </c>
      <c r="H1395" s="39"/>
      <c r="I1395" s="1" t="s">
        <v>5132</v>
      </c>
      <c r="J1395" s="1" t="s">
        <v>4267</v>
      </c>
    </row>
    <row r="1396" customFormat="false" ht="12.8" hidden="false" customHeight="false" outlineLevel="0" collapsed="false">
      <c r="B1396" s="49"/>
      <c r="C1396" s="1" t="s">
        <v>5133</v>
      </c>
      <c r="D1396" s="1" t="s">
        <v>5134</v>
      </c>
      <c r="E1396" s="1" t="s">
        <v>3797</v>
      </c>
      <c r="F1396" s="1" t="s">
        <v>5135</v>
      </c>
      <c r="G1396" s="50" t="s">
        <v>5136</v>
      </c>
      <c r="H1396" s="34" t="s">
        <v>40</v>
      </c>
      <c r="I1396" s="50" t="s">
        <v>3792</v>
      </c>
      <c r="J1396" s="50" t="s">
        <v>4269</v>
      </c>
    </row>
    <row r="1397" customFormat="false" ht="12.8" hidden="false" customHeight="false" outlineLevel="0" collapsed="false">
      <c r="B1397" s="49"/>
      <c r="C1397" s="50"/>
      <c r="D1397" s="50"/>
      <c r="E1397" s="50" t="s">
        <v>3792</v>
      </c>
      <c r="F1397" s="50" t="s">
        <v>5137</v>
      </c>
      <c r="G1397" s="1" t="s">
        <v>3792</v>
      </c>
      <c r="H1397" s="34"/>
      <c r="I1397" s="1" t="s">
        <v>5138</v>
      </c>
      <c r="J1397" s="1" t="s">
        <v>4275</v>
      </c>
    </row>
    <row r="1398" customFormat="false" ht="12.8" hidden="false" customHeight="false" outlineLevel="0" collapsed="false">
      <c r="B1398" s="49"/>
      <c r="C1398" s="1" t="s">
        <v>5139</v>
      </c>
      <c r="D1398" s="1" t="s">
        <v>5140</v>
      </c>
      <c r="E1398" s="1" t="s">
        <v>3787</v>
      </c>
      <c r="F1398" s="1" t="s">
        <v>5141</v>
      </c>
      <c r="G1398" s="50" t="s">
        <v>5142</v>
      </c>
      <c r="H1398" s="39" t="s">
        <v>67</v>
      </c>
      <c r="I1398" s="50" t="s">
        <v>3792</v>
      </c>
      <c r="J1398" s="50" t="s">
        <v>4277</v>
      </c>
    </row>
    <row r="1399" customFormat="false" ht="12.8" hidden="false" customHeight="false" outlineLevel="0" collapsed="false">
      <c r="B1399" s="49"/>
      <c r="C1399" s="50"/>
      <c r="D1399" s="50"/>
      <c r="E1399" s="50" t="s">
        <v>3792</v>
      </c>
      <c r="F1399" s="50" t="s">
        <v>5143</v>
      </c>
      <c r="G1399" s="1" t="s">
        <v>3792</v>
      </c>
      <c r="H1399" s="39"/>
      <c r="I1399" s="1" t="s">
        <v>5144</v>
      </c>
      <c r="J1399" s="1" t="s">
        <v>4283</v>
      </c>
    </row>
    <row r="1400" customFormat="false" ht="12.8" hidden="false" customHeight="false" outlineLevel="0" collapsed="false">
      <c r="B1400" s="49"/>
      <c r="C1400" s="1" t="s">
        <v>5145</v>
      </c>
      <c r="D1400" s="1" t="s">
        <v>5146</v>
      </c>
      <c r="E1400" s="1" t="s">
        <v>3806</v>
      </c>
      <c r="F1400" s="1" t="s">
        <v>5147</v>
      </c>
      <c r="G1400" s="50" t="s">
        <v>5148</v>
      </c>
      <c r="H1400" s="37" t="s">
        <v>50</v>
      </c>
      <c r="I1400" s="50" t="s">
        <v>3792</v>
      </c>
      <c r="J1400" s="50" t="s">
        <v>4285</v>
      </c>
    </row>
    <row r="1401" customFormat="false" ht="12.8" hidden="false" customHeight="false" outlineLevel="0" collapsed="false">
      <c r="B1401" s="49"/>
      <c r="C1401" s="50"/>
      <c r="D1401" s="50"/>
      <c r="E1401" s="50" t="s">
        <v>3792</v>
      </c>
      <c r="F1401" s="50" t="s">
        <v>5149</v>
      </c>
      <c r="G1401" s="1" t="s">
        <v>3792</v>
      </c>
      <c r="H1401" s="37"/>
      <c r="I1401" s="1" t="s">
        <v>5150</v>
      </c>
      <c r="J1401" s="1" t="s">
        <v>4291</v>
      </c>
    </row>
    <row r="1402" customFormat="false" ht="12.8" hidden="false" customHeight="false" outlineLevel="0" collapsed="false">
      <c r="B1402" s="49"/>
      <c r="C1402" s="1" t="s">
        <v>5151</v>
      </c>
      <c r="D1402" s="1" t="s">
        <v>5152</v>
      </c>
      <c r="E1402" s="1" t="s">
        <v>3787</v>
      </c>
      <c r="F1402" s="1" t="s">
        <v>5153</v>
      </c>
      <c r="G1402" s="51" t="s">
        <v>5154</v>
      </c>
      <c r="H1402" s="37" t="s">
        <v>50</v>
      </c>
      <c r="I1402" s="51" t="s">
        <v>3792</v>
      </c>
      <c r="J1402" s="51" t="s">
        <v>4293</v>
      </c>
    </row>
    <row r="1403" customFormat="false" ht="12.8" hidden="false" customHeight="false" outlineLevel="0" collapsed="false">
      <c r="B1403" s="49"/>
      <c r="C1403" s="51"/>
      <c r="D1403" s="51"/>
      <c r="E1403" s="51" t="s">
        <v>3792</v>
      </c>
      <c r="F1403" s="51" t="s">
        <v>5155</v>
      </c>
      <c r="G1403" s="1" t="s">
        <v>3792</v>
      </c>
      <c r="H1403" s="37"/>
      <c r="I1403" s="1" t="s">
        <v>5156</v>
      </c>
      <c r="J1403" s="1" t="s">
        <v>4299</v>
      </c>
    </row>
    <row r="1404" customFormat="false" ht="12.8" hidden="false" customHeight="true" outlineLevel="0" collapsed="false">
      <c r="B1404" s="55" t="s">
        <v>5157</v>
      </c>
      <c r="C1404" s="1" t="s">
        <v>4229</v>
      </c>
      <c r="D1404" s="1" t="s">
        <v>5158</v>
      </c>
      <c r="E1404" s="1" t="s">
        <v>3806</v>
      </c>
      <c r="F1404" s="1" t="s">
        <v>5159</v>
      </c>
      <c r="G1404" s="50" t="s">
        <v>5160</v>
      </c>
      <c r="H1404" s="39" t="s">
        <v>67</v>
      </c>
      <c r="I1404" s="50" t="s">
        <v>3792</v>
      </c>
      <c r="J1404" s="50" t="s">
        <v>4301</v>
      </c>
    </row>
    <row r="1405" customFormat="false" ht="12.8" hidden="false" customHeight="false" outlineLevel="0" collapsed="false">
      <c r="B1405" s="55"/>
      <c r="C1405" s="50"/>
      <c r="D1405" s="50"/>
      <c r="E1405" s="50" t="s">
        <v>3792</v>
      </c>
      <c r="F1405" s="50" t="s">
        <v>5161</v>
      </c>
      <c r="G1405" s="1" t="s">
        <v>3792</v>
      </c>
      <c r="H1405" s="39"/>
      <c r="I1405" s="1" t="s">
        <v>5162</v>
      </c>
      <c r="J1405" s="1" t="s">
        <v>4308</v>
      </c>
    </row>
    <row r="1406" customFormat="false" ht="12.8" hidden="false" customHeight="false" outlineLevel="0" collapsed="false">
      <c r="B1406" s="55"/>
      <c r="C1406" s="1" t="s">
        <v>5163</v>
      </c>
      <c r="D1406" s="1" t="s">
        <v>5164</v>
      </c>
      <c r="E1406" s="1" t="s">
        <v>3797</v>
      </c>
      <c r="F1406" s="1" t="s">
        <v>5165</v>
      </c>
      <c r="G1406" s="50" t="s">
        <v>5166</v>
      </c>
      <c r="H1406" s="34" t="s">
        <v>40</v>
      </c>
      <c r="I1406" s="50" t="s">
        <v>3792</v>
      </c>
      <c r="J1406" s="50" t="s">
        <v>4310</v>
      </c>
    </row>
    <row r="1407" customFormat="false" ht="12.8" hidden="false" customHeight="false" outlineLevel="0" collapsed="false">
      <c r="B1407" s="55"/>
      <c r="C1407" s="50"/>
      <c r="D1407" s="50"/>
      <c r="E1407" s="50" t="s">
        <v>3792</v>
      </c>
      <c r="F1407" s="50" t="s">
        <v>5167</v>
      </c>
      <c r="G1407" s="1" t="s">
        <v>3792</v>
      </c>
      <c r="H1407" s="34"/>
      <c r="I1407" s="1" t="s">
        <v>5168</v>
      </c>
      <c r="J1407" s="1" t="s">
        <v>4316</v>
      </c>
    </row>
    <row r="1408" customFormat="false" ht="12.8" hidden="false" customHeight="false" outlineLevel="0" collapsed="false">
      <c r="B1408" s="55"/>
      <c r="C1408" s="1" t="s">
        <v>5169</v>
      </c>
      <c r="D1408" s="1" t="s">
        <v>5170</v>
      </c>
      <c r="E1408" s="1" t="s">
        <v>3787</v>
      </c>
      <c r="F1408" s="1" t="s">
        <v>5171</v>
      </c>
      <c r="G1408" s="50" t="s">
        <v>5172</v>
      </c>
      <c r="H1408" s="39" t="s">
        <v>67</v>
      </c>
      <c r="I1408" s="50" t="s">
        <v>3792</v>
      </c>
      <c r="J1408" s="50" t="s">
        <v>4318</v>
      </c>
    </row>
    <row r="1409" customFormat="false" ht="12.8" hidden="false" customHeight="false" outlineLevel="0" collapsed="false">
      <c r="B1409" s="55"/>
      <c r="C1409" s="50"/>
      <c r="D1409" s="50"/>
      <c r="E1409" s="50" t="s">
        <v>3792</v>
      </c>
      <c r="F1409" s="50" t="s">
        <v>5173</v>
      </c>
      <c r="G1409" s="1" t="s">
        <v>3792</v>
      </c>
      <c r="H1409" s="39"/>
      <c r="I1409" s="1" t="s">
        <v>5174</v>
      </c>
      <c r="J1409" s="1" t="s">
        <v>4324</v>
      </c>
    </row>
    <row r="1410" customFormat="false" ht="12.8" hidden="false" customHeight="false" outlineLevel="0" collapsed="false">
      <c r="B1410" s="55"/>
      <c r="C1410" s="1" t="s">
        <v>5175</v>
      </c>
      <c r="D1410" s="1" t="s">
        <v>5176</v>
      </c>
      <c r="E1410" s="1" t="s">
        <v>3797</v>
      </c>
      <c r="F1410" s="1" t="s">
        <v>5177</v>
      </c>
      <c r="G1410" s="50" t="s">
        <v>5178</v>
      </c>
      <c r="H1410" s="37" t="s">
        <v>50</v>
      </c>
      <c r="I1410" s="50" t="s">
        <v>3792</v>
      </c>
      <c r="J1410" s="50" t="s">
        <v>4326</v>
      </c>
    </row>
    <row r="1411" customFormat="false" ht="12.8" hidden="false" customHeight="false" outlineLevel="0" collapsed="false">
      <c r="B1411" s="55"/>
      <c r="C1411" s="50"/>
      <c r="D1411" s="50"/>
      <c r="E1411" s="50" t="s">
        <v>3792</v>
      </c>
      <c r="F1411" s="50" t="s">
        <v>5179</v>
      </c>
      <c r="G1411" s="1" t="s">
        <v>3792</v>
      </c>
      <c r="H1411" s="37"/>
      <c r="I1411" s="1" t="s">
        <v>5180</v>
      </c>
      <c r="J1411" s="1" t="s">
        <v>4332</v>
      </c>
    </row>
    <row r="1412" customFormat="false" ht="12.8" hidden="false" customHeight="false" outlineLevel="0" collapsed="false">
      <c r="B1412" s="55"/>
      <c r="C1412" s="1" t="s">
        <v>5181</v>
      </c>
      <c r="D1412" s="1" t="s">
        <v>5182</v>
      </c>
      <c r="E1412" s="1" t="s">
        <v>3806</v>
      </c>
      <c r="F1412" s="1" t="s">
        <v>5183</v>
      </c>
      <c r="G1412" s="54" t="s">
        <v>5184</v>
      </c>
      <c r="H1412" s="37" t="s">
        <v>50</v>
      </c>
      <c r="I1412" s="54" t="s">
        <v>3792</v>
      </c>
      <c r="J1412" s="54" t="s">
        <v>4334</v>
      </c>
    </row>
    <row r="1413" customFormat="false" ht="12.8" hidden="false" customHeight="false" outlineLevel="0" collapsed="false">
      <c r="A1413" s="54"/>
      <c r="B1413" s="55"/>
      <c r="C1413" s="54"/>
      <c r="D1413" s="54"/>
      <c r="E1413" s="54" t="s">
        <v>3792</v>
      </c>
      <c r="F1413" s="54" t="s">
        <v>5185</v>
      </c>
      <c r="G1413" s="56" t="s">
        <v>3792</v>
      </c>
      <c r="H1413" s="37"/>
      <c r="I1413" s="56" t="s">
        <v>5186</v>
      </c>
      <c r="J1413" s="56" t="s">
        <v>4340</v>
      </c>
    </row>
    <row r="1414" customFormat="false" ht="12.8" hidden="false" customHeight="true" outlineLevel="0" collapsed="false">
      <c r="A1414" s="1" t="s">
        <v>4995</v>
      </c>
      <c r="B1414" s="49" t="s">
        <v>5187</v>
      </c>
      <c r="C1414" s="56" t="s">
        <v>5188</v>
      </c>
      <c r="D1414" s="56" t="s">
        <v>5189</v>
      </c>
      <c r="E1414" s="56" t="s">
        <v>3797</v>
      </c>
      <c r="F1414" s="56" t="s">
        <v>5190</v>
      </c>
      <c r="G1414" s="50" t="s">
        <v>5191</v>
      </c>
      <c r="H1414" s="39" t="s">
        <v>67</v>
      </c>
      <c r="I1414" s="50" t="s">
        <v>3792</v>
      </c>
      <c r="J1414" s="50" t="s">
        <v>4342</v>
      </c>
    </row>
    <row r="1415" customFormat="false" ht="12.8" hidden="false" customHeight="false" outlineLevel="0" collapsed="false">
      <c r="B1415" s="49"/>
      <c r="C1415" s="50"/>
      <c r="D1415" s="50"/>
      <c r="E1415" s="50" t="s">
        <v>3792</v>
      </c>
      <c r="F1415" s="50" t="s">
        <v>5192</v>
      </c>
      <c r="G1415" s="56" t="s">
        <v>3792</v>
      </c>
      <c r="H1415" s="39"/>
      <c r="I1415" s="56" t="s">
        <v>5193</v>
      </c>
      <c r="J1415" s="56" t="s">
        <v>4349</v>
      </c>
    </row>
    <row r="1416" customFormat="false" ht="12.8" hidden="false" customHeight="false" outlineLevel="0" collapsed="false">
      <c r="B1416" s="49"/>
      <c r="C1416" s="56" t="s">
        <v>5194</v>
      </c>
      <c r="D1416" s="56" t="s">
        <v>5195</v>
      </c>
      <c r="E1416" s="56" t="s">
        <v>3787</v>
      </c>
      <c r="F1416" s="56" t="s">
        <v>5196</v>
      </c>
      <c r="G1416" s="50" t="s">
        <v>5197</v>
      </c>
      <c r="H1416" s="34" t="s">
        <v>40</v>
      </c>
      <c r="I1416" s="50" t="s">
        <v>3792</v>
      </c>
      <c r="J1416" s="50" t="s">
        <v>4351</v>
      </c>
    </row>
    <row r="1417" customFormat="false" ht="12.8" hidden="false" customHeight="false" outlineLevel="0" collapsed="false">
      <c r="B1417" s="49"/>
      <c r="C1417" s="50"/>
      <c r="D1417" s="50"/>
      <c r="E1417" s="50" t="s">
        <v>3792</v>
      </c>
      <c r="F1417" s="50" t="s">
        <v>5198</v>
      </c>
      <c r="G1417" s="56" t="s">
        <v>3792</v>
      </c>
      <c r="H1417" s="34"/>
      <c r="I1417" s="56" t="s">
        <v>5199</v>
      </c>
      <c r="J1417" s="56" t="s">
        <v>4357</v>
      </c>
    </row>
    <row r="1418" customFormat="false" ht="12.8" hidden="false" customHeight="false" outlineLevel="0" collapsed="false">
      <c r="B1418" s="49"/>
      <c r="C1418" s="56" t="s">
        <v>5200</v>
      </c>
      <c r="D1418" s="56" t="s">
        <v>5201</v>
      </c>
      <c r="E1418" s="56" t="s">
        <v>3806</v>
      </c>
      <c r="F1418" s="56" t="s">
        <v>5202</v>
      </c>
      <c r="G1418" s="50" t="s">
        <v>5203</v>
      </c>
      <c r="H1418" s="39" t="s">
        <v>67</v>
      </c>
      <c r="I1418" s="50" t="s">
        <v>3792</v>
      </c>
      <c r="J1418" s="50" t="s">
        <v>4359</v>
      </c>
    </row>
    <row r="1419" customFormat="false" ht="12.8" hidden="false" customHeight="false" outlineLevel="0" collapsed="false">
      <c r="B1419" s="49"/>
      <c r="C1419" s="50"/>
      <c r="D1419" s="50"/>
      <c r="E1419" s="50" t="s">
        <v>3792</v>
      </c>
      <c r="F1419" s="50" t="s">
        <v>5204</v>
      </c>
      <c r="G1419" s="56" t="s">
        <v>3792</v>
      </c>
      <c r="H1419" s="39"/>
      <c r="I1419" s="56" t="s">
        <v>5205</v>
      </c>
      <c r="J1419" s="56" t="s">
        <v>4365</v>
      </c>
    </row>
    <row r="1420" customFormat="false" ht="12.8" hidden="false" customHeight="false" outlineLevel="0" collapsed="false">
      <c r="B1420" s="49"/>
      <c r="C1420" s="56" t="s">
        <v>5206</v>
      </c>
      <c r="D1420" s="56" t="s">
        <v>5207</v>
      </c>
      <c r="E1420" s="56" t="s">
        <v>3787</v>
      </c>
      <c r="F1420" s="56" t="s">
        <v>5208</v>
      </c>
      <c r="G1420" s="50" t="s">
        <v>5209</v>
      </c>
      <c r="H1420" s="37" t="s">
        <v>50</v>
      </c>
      <c r="I1420" s="50" t="s">
        <v>3792</v>
      </c>
      <c r="J1420" s="50" t="s">
        <v>4367</v>
      </c>
    </row>
    <row r="1421" customFormat="false" ht="12.8" hidden="false" customHeight="false" outlineLevel="0" collapsed="false">
      <c r="B1421" s="49"/>
      <c r="C1421" s="50"/>
      <c r="D1421" s="50"/>
      <c r="E1421" s="50" t="s">
        <v>3792</v>
      </c>
      <c r="F1421" s="50" t="s">
        <v>5210</v>
      </c>
      <c r="G1421" s="56" t="s">
        <v>3792</v>
      </c>
      <c r="H1421" s="37"/>
      <c r="I1421" s="56" t="s">
        <v>5211</v>
      </c>
      <c r="J1421" s="56" t="s">
        <v>4373</v>
      </c>
    </row>
    <row r="1422" customFormat="false" ht="12.8" hidden="false" customHeight="false" outlineLevel="0" collapsed="false">
      <c r="B1422" s="49"/>
      <c r="C1422" s="56" t="s">
        <v>5212</v>
      </c>
      <c r="D1422" s="56" t="s">
        <v>5213</v>
      </c>
      <c r="E1422" s="56" t="s">
        <v>3797</v>
      </c>
      <c r="F1422" s="56" t="s">
        <v>5214</v>
      </c>
      <c r="G1422" s="51" t="s">
        <v>5215</v>
      </c>
      <c r="H1422" s="34" t="s">
        <v>40</v>
      </c>
      <c r="I1422" s="51" t="s">
        <v>5216</v>
      </c>
      <c r="J1422" s="51" t="s">
        <v>4375</v>
      </c>
    </row>
    <row r="1423" customFormat="false" ht="12.8" hidden="false" customHeight="false" outlineLevel="0" collapsed="false">
      <c r="B1423" s="49"/>
      <c r="C1423" s="51"/>
      <c r="D1423" s="51"/>
      <c r="E1423" s="51" t="s">
        <v>3792</v>
      </c>
      <c r="F1423" s="51" t="s">
        <v>5217</v>
      </c>
      <c r="G1423" s="0"/>
      <c r="H1423" s="34"/>
      <c r="I1423" s="0" t="s">
        <v>3792</v>
      </c>
      <c r="J1423" s="0" t="s">
        <v>4381</v>
      </c>
    </row>
    <row r="1424" customFormat="false" ht="12.8" hidden="false" customHeight="true" outlineLevel="0" collapsed="false">
      <c r="B1424" s="49" t="s">
        <v>5218</v>
      </c>
      <c r="C1424" s="56" t="s">
        <v>5219</v>
      </c>
      <c r="D1424" s="0"/>
      <c r="E1424" s="0" t="s">
        <v>3787</v>
      </c>
      <c r="F1424" s="0" t="s">
        <v>5220</v>
      </c>
      <c r="G1424" s="0" t="s">
        <v>5221</v>
      </c>
      <c r="H1424" s="37" t="s">
        <v>50</v>
      </c>
      <c r="I1424" s="0" t="s">
        <v>5222</v>
      </c>
      <c r="J1424" s="0" t="s">
        <v>4383</v>
      </c>
    </row>
    <row r="1425" customFormat="false" ht="12.8" hidden="false" customHeight="false" outlineLevel="0" collapsed="false">
      <c r="B1425" s="49"/>
      <c r="C1425" s="50"/>
      <c r="D1425" s="0"/>
      <c r="E1425" s="0" t="s">
        <v>3792</v>
      </c>
      <c r="F1425" s="0" t="s">
        <v>5223</v>
      </c>
      <c r="G1425" s="0" t="s">
        <v>3792</v>
      </c>
      <c r="H1425" s="37"/>
      <c r="I1425" s="0" t="s">
        <v>3792</v>
      </c>
      <c r="J1425" s="0" t="s">
        <v>4390</v>
      </c>
    </row>
    <row r="1426" customFormat="false" ht="12.8" hidden="false" customHeight="false" outlineLevel="0" collapsed="false">
      <c r="B1426" s="49"/>
      <c r="C1426" s="56" t="s">
        <v>5224</v>
      </c>
      <c r="D1426" s="0"/>
      <c r="E1426" s="0" t="s">
        <v>3806</v>
      </c>
      <c r="F1426" s="0" t="s">
        <v>5225</v>
      </c>
      <c r="G1426" s="0" t="s">
        <v>5226</v>
      </c>
      <c r="H1426" s="34" t="s">
        <v>40</v>
      </c>
      <c r="I1426" s="0" t="s">
        <v>5227</v>
      </c>
      <c r="J1426" s="0" t="s">
        <v>4392</v>
      </c>
    </row>
    <row r="1427" customFormat="false" ht="12.8" hidden="false" customHeight="false" outlineLevel="0" collapsed="false">
      <c r="B1427" s="49"/>
      <c r="C1427" s="50"/>
      <c r="D1427" s="0"/>
      <c r="E1427" s="0" t="s">
        <v>3792</v>
      </c>
      <c r="F1427" s="0" t="s">
        <v>5228</v>
      </c>
      <c r="G1427" s="0" t="s">
        <v>3792</v>
      </c>
      <c r="H1427" s="34"/>
      <c r="I1427" s="0" t="s">
        <v>3792</v>
      </c>
      <c r="J1427" s="0" t="s">
        <v>4398</v>
      </c>
    </row>
    <row r="1428" customFormat="false" ht="12.8" hidden="false" customHeight="false" outlineLevel="0" collapsed="false">
      <c r="B1428" s="49"/>
      <c r="C1428" s="56" t="s">
        <v>5229</v>
      </c>
      <c r="D1428" s="0"/>
      <c r="E1428" s="0" t="s">
        <v>3797</v>
      </c>
      <c r="F1428" s="0" t="s">
        <v>5230</v>
      </c>
      <c r="G1428" s="0" t="s">
        <v>5231</v>
      </c>
      <c r="H1428" s="39" t="s">
        <v>67</v>
      </c>
      <c r="I1428" s="0" t="s">
        <v>5232</v>
      </c>
      <c r="J1428" s="0" t="s">
        <v>4400</v>
      </c>
    </row>
    <row r="1429" customFormat="false" ht="12.8" hidden="false" customHeight="false" outlineLevel="0" collapsed="false">
      <c r="B1429" s="49"/>
      <c r="C1429" s="50"/>
      <c r="D1429" s="0"/>
      <c r="E1429" s="0" t="s">
        <v>3792</v>
      </c>
      <c r="F1429" s="0" t="s">
        <v>5233</v>
      </c>
      <c r="G1429" s="0" t="s">
        <v>3792</v>
      </c>
      <c r="H1429" s="39"/>
      <c r="I1429" s="0" t="s">
        <v>3792</v>
      </c>
      <c r="J1429" s="0" t="s">
        <v>4406</v>
      </c>
    </row>
    <row r="1430" customFormat="false" ht="12.8" hidden="false" customHeight="false" outlineLevel="0" collapsed="false">
      <c r="B1430" s="49"/>
      <c r="C1430" s="56" t="s">
        <v>5234</v>
      </c>
      <c r="D1430" s="0"/>
      <c r="E1430" s="0" t="s">
        <v>3787</v>
      </c>
      <c r="F1430" s="0" t="s">
        <v>5235</v>
      </c>
      <c r="G1430" s="0" t="s">
        <v>5236</v>
      </c>
      <c r="H1430" s="34" t="s">
        <v>40</v>
      </c>
      <c r="I1430" s="0" t="s">
        <v>5237</v>
      </c>
      <c r="J1430" s="0" t="s">
        <v>4408</v>
      </c>
    </row>
    <row r="1431" customFormat="false" ht="12.8" hidden="false" customHeight="false" outlineLevel="0" collapsed="false">
      <c r="B1431" s="49"/>
      <c r="C1431" s="50"/>
      <c r="D1431" s="0"/>
      <c r="E1431" s="0" t="s">
        <v>3792</v>
      </c>
      <c r="F1431" s="0" t="s">
        <v>5238</v>
      </c>
      <c r="G1431" s="0" t="s">
        <v>3792</v>
      </c>
      <c r="H1431" s="34"/>
      <c r="I1431" s="0" t="s">
        <v>3792</v>
      </c>
      <c r="J1431" s="0" t="s">
        <v>4414</v>
      </c>
    </row>
    <row r="1432" customFormat="false" ht="12.8" hidden="false" customHeight="false" outlineLevel="0" collapsed="false">
      <c r="B1432" s="49"/>
      <c r="C1432" s="56" t="s">
        <v>5239</v>
      </c>
      <c r="D1432" s="0"/>
      <c r="E1432" s="0" t="s">
        <v>3797</v>
      </c>
      <c r="F1432" s="0" t="s">
        <v>5240</v>
      </c>
      <c r="G1432" s="51" t="s">
        <v>5241</v>
      </c>
      <c r="H1432" s="37" t="s">
        <v>50</v>
      </c>
      <c r="I1432" s="51" t="s">
        <v>5242</v>
      </c>
      <c r="J1432" s="51" t="s">
        <v>4416</v>
      </c>
    </row>
    <row r="1433" customFormat="false" ht="12.8" hidden="false" customHeight="false" outlineLevel="0" collapsed="false">
      <c r="B1433" s="49"/>
      <c r="C1433" s="51"/>
      <c r="D1433" s="51"/>
      <c r="E1433" s="51" t="s">
        <v>3792</v>
      </c>
      <c r="F1433" s="51" t="s">
        <v>5243</v>
      </c>
      <c r="G1433" s="56" t="s">
        <v>3792</v>
      </c>
      <c r="H1433" s="37"/>
      <c r="I1433" s="56" t="s">
        <v>3792</v>
      </c>
      <c r="J1433" s="56" t="s">
        <v>4422</v>
      </c>
    </row>
    <row r="1434" customFormat="false" ht="12.8" hidden="false" customHeight="true" outlineLevel="0" collapsed="false">
      <c r="B1434" s="49" t="s">
        <v>5244</v>
      </c>
      <c r="C1434" s="56" t="s">
        <v>5245</v>
      </c>
      <c r="D1434" s="56" t="s">
        <v>5246</v>
      </c>
      <c r="E1434" s="56" t="s">
        <v>3806</v>
      </c>
      <c r="F1434" s="56" t="s">
        <v>5247</v>
      </c>
      <c r="G1434" s="50" t="s">
        <v>5248</v>
      </c>
      <c r="H1434" s="34" t="s">
        <v>40</v>
      </c>
      <c r="I1434" s="50" t="s">
        <v>5249</v>
      </c>
      <c r="J1434" s="50" t="s">
        <v>4424</v>
      </c>
    </row>
    <row r="1435" customFormat="false" ht="12.8" hidden="false" customHeight="false" outlineLevel="0" collapsed="false">
      <c r="B1435" s="49"/>
      <c r="C1435" s="50"/>
      <c r="D1435" s="50"/>
      <c r="E1435" s="50" t="s">
        <v>3792</v>
      </c>
      <c r="F1435" s="50" t="s">
        <v>5250</v>
      </c>
      <c r="G1435" s="56" t="s">
        <v>3792</v>
      </c>
      <c r="H1435" s="34"/>
      <c r="I1435" s="56" t="s">
        <v>3792</v>
      </c>
      <c r="J1435" s="56" t="s">
        <v>4432</v>
      </c>
    </row>
    <row r="1436" customFormat="false" ht="12.8" hidden="false" customHeight="false" outlineLevel="0" collapsed="false">
      <c r="B1436" s="49"/>
      <c r="C1436" s="56" t="s">
        <v>5251</v>
      </c>
      <c r="D1436" s="56" t="s">
        <v>5252</v>
      </c>
      <c r="E1436" s="56" t="s">
        <v>3787</v>
      </c>
      <c r="F1436" s="56" t="s">
        <v>5253</v>
      </c>
      <c r="G1436" s="50" t="s">
        <v>5254</v>
      </c>
      <c r="H1436" s="39" t="s">
        <v>67</v>
      </c>
      <c r="I1436" s="50" t="s">
        <v>5255</v>
      </c>
      <c r="J1436" s="50" t="s">
        <v>4434</v>
      </c>
    </row>
    <row r="1437" customFormat="false" ht="12.8" hidden="false" customHeight="false" outlineLevel="0" collapsed="false">
      <c r="B1437" s="49"/>
      <c r="C1437" s="50"/>
      <c r="D1437" s="50"/>
      <c r="E1437" s="50" t="s">
        <v>3792</v>
      </c>
      <c r="F1437" s="50" t="s">
        <v>5256</v>
      </c>
      <c r="G1437" s="56" t="s">
        <v>3792</v>
      </c>
      <c r="H1437" s="39"/>
      <c r="I1437" s="56" t="s">
        <v>3792</v>
      </c>
      <c r="J1437" s="56" t="s">
        <v>4440</v>
      </c>
    </row>
    <row r="1438" customFormat="false" ht="12.8" hidden="false" customHeight="false" outlineLevel="0" collapsed="false">
      <c r="B1438" s="49"/>
      <c r="C1438" s="56" t="s">
        <v>5257</v>
      </c>
      <c r="D1438" s="56" t="s">
        <v>5258</v>
      </c>
      <c r="E1438" s="56" t="s">
        <v>3787</v>
      </c>
      <c r="F1438" s="56" t="s">
        <v>5259</v>
      </c>
      <c r="G1438" s="50" t="s">
        <v>5260</v>
      </c>
      <c r="H1438" s="34" t="s">
        <v>40</v>
      </c>
      <c r="I1438" s="50" t="s">
        <v>5261</v>
      </c>
      <c r="J1438" s="50" t="s">
        <v>4442</v>
      </c>
    </row>
    <row r="1439" customFormat="false" ht="12.8" hidden="false" customHeight="false" outlineLevel="0" collapsed="false">
      <c r="B1439" s="49"/>
      <c r="C1439" s="50"/>
      <c r="D1439" s="50"/>
      <c r="E1439" s="50" t="s">
        <v>3792</v>
      </c>
      <c r="F1439" s="50" t="s">
        <v>5262</v>
      </c>
      <c r="G1439" s="56" t="s">
        <v>3792</v>
      </c>
      <c r="H1439" s="34"/>
      <c r="I1439" s="56" t="s">
        <v>3792</v>
      </c>
      <c r="J1439" s="56" t="s">
        <v>4447</v>
      </c>
    </row>
    <row r="1440" customFormat="false" ht="12.8" hidden="false" customHeight="false" outlineLevel="0" collapsed="false">
      <c r="B1440" s="49"/>
      <c r="C1440" s="56" t="s">
        <v>5263</v>
      </c>
      <c r="D1440" s="56" t="s">
        <v>5264</v>
      </c>
      <c r="E1440" s="56" t="s">
        <v>3806</v>
      </c>
      <c r="F1440" s="56" t="s">
        <v>5265</v>
      </c>
      <c r="G1440" s="50" t="s">
        <v>5266</v>
      </c>
      <c r="H1440" s="37" t="s">
        <v>50</v>
      </c>
      <c r="I1440" s="50" t="s">
        <v>5267</v>
      </c>
      <c r="J1440" s="50" t="s">
        <v>4449</v>
      </c>
    </row>
    <row r="1441" customFormat="false" ht="12.8" hidden="false" customHeight="false" outlineLevel="0" collapsed="false">
      <c r="B1441" s="49"/>
      <c r="C1441" s="50"/>
      <c r="D1441" s="50"/>
      <c r="E1441" s="50" t="s">
        <v>3792</v>
      </c>
      <c r="F1441" s="50" t="s">
        <v>5268</v>
      </c>
      <c r="G1441" s="56" t="s">
        <v>3792</v>
      </c>
      <c r="H1441" s="37"/>
      <c r="I1441" s="56" t="s">
        <v>3792</v>
      </c>
      <c r="J1441" s="56" t="s">
        <v>4454</v>
      </c>
    </row>
    <row r="1442" customFormat="false" ht="12.8" hidden="false" customHeight="false" outlineLevel="0" collapsed="false">
      <c r="B1442" s="49"/>
      <c r="C1442" s="56" t="s">
        <v>5269</v>
      </c>
      <c r="D1442" s="56" t="s">
        <v>5270</v>
      </c>
      <c r="E1442" s="56" t="s">
        <v>3797</v>
      </c>
      <c r="F1442" s="56" t="s">
        <v>5271</v>
      </c>
      <c r="G1442" s="51" t="s">
        <v>5272</v>
      </c>
      <c r="H1442" s="34" t="s">
        <v>40</v>
      </c>
      <c r="I1442" s="51" t="s">
        <v>5273</v>
      </c>
      <c r="J1442" s="51" t="s">
        <v>4456</v>
      </c>
    </row>
    <row r="1443" customFormat="false" ht="12.8" hidden="false" customHeight="false" outlineLevel="0" collapsed="false">
      <c r="B1443" s="49"/>
      <c r="C1443" s="51"/>
      <c r="D1443" s="51"/>
      <c r="E1443" s="51" t="s">
        <v>3792</v>
      </c>
      <c r="F1443" s="51" t="s">
        <v>5274</v>
      </c>
      <c r="G1443" s="56" t="s">
        <v>3792</v>
      </c>
      <c r="H1443" s="34"/>
      <c r="I1443" s="56" t="s">
        <v>3792</v>
      </c>
      <c r="J1443" s="56" t="s">
        <v>4462</v>
      </c>
    </row>
    <row r="1444" customFormat="false" ht="12.8" hidden="false" customHeight="true" outlineLevel="0" collapsed="false">
      <c r="B1444" s="49" t="s">
        <v>5275</v>
      </c>
      <c r="C1444" s="56" t="s">
        <v>5276</v>
      </c>
      <c r="D1444" s="56" t="s">
        <v>5277</v>
      </c>
      <c r="E1444" s="56" t="s">
        <v>3787</v>
      </c>
      <c r="F1444" s="56" t="s">
        <v>5278</v>
      </c>
      <c r="G1444" s="50" t="s">
        <v>5279</v>
      </c>
      <c r="H1444" s="39" t="s">
        <v>67</v>
      </c>
      <c r="I1444" s="50" t="s">
        <v>5280</v>
      </c>
      <c r="J1444" s="50" t="s">
        <v>4464</v>
      </c>
    </row>
    <row r="1445" customFormat="false" ht="12.8" hidden="false" customHeight="false" outlineLevel="0" collapsed="false">
      <c r="B1445" s="49"/>
      <c r="C1445" s="50"/>
      <c r="D1445" s="50"/>
      <c r="E1445" s="50" t="s">
        <v>3792</v>
      </c>
      <c r="F1445" s="50" t="s">
        <v>5281</v>
      </c>
      <c r="G1445" s="56" t="s">
        <v>3792</v>
      </c>
      <c r="H1445" s="39"/>
      <c r="I1445" s="56" t="s">
        <v>3792</v>
      </c>
      <c r="J1445" s="56" t="s">
        <v>4471</v>
      </c>
    </row>
    <row r="1446" customFormat="false" ht="12.8" hidden="false" customHeight="false" outlineLevel="0" collapsed="false">
      <c r="B1446" s="49"/>
      <c r="C1446" s="56" t="s">
        <v>5282</v>
      </c>
      <c r="D1446" s="56" t="s">
        <v>5283</v>
      </c>
      <c r="E1446" s="56" t="s">
        <v>3797</v>
      </c>
      <c r="F1446" s="56" t="s">
        <v>5284</v>
      </c>
      <c r="G1446" s="50" t="s">
        <v>5285</v>
      </c>
      <c r="H1446" s="34" t="s">
        <v>40</v>
      </c>
      <c r="I1446" s="50" t="s">
        <v>5286</v>
      </c>
      <c r="J1446" s="50" t="s">
        <v>4473</v>
      </c>
    </row>
    <row r="1447" customFormat="false" ht="12.8" hidden="false" customHeight="false" outlineLevel="0" collapsed="false">
      <c r="B1447" s="49"/>
      <c r="C1447" s="50"/>
      <c r="D1447" s="50"/>
      <c r="E1447" s="50" t="s">
        <v>3792</v>
      </c>
      <c r="F1447" s="50" t="s">
        <v>5287</v>
      </c>
      <c r="G1447" s="56" t="s">
        <v>3792</v>
      </c>
      <c r="H1447" s="34"/>
      <c r="I1447" s="56" t="s">
        <v>3792</v>
      </c>
      <c r="J1447" s="56" t="s">
        <v>4479</v>
      </c>
    </row>
    <row r="1448" customFormat="false" ht="12.8" hidden="false" customHeight="false" outlineLevel="0" collapsed="false">
      <c r="B1448" s="49"/>
      <c r="C1448" s="56" t="s">
        <v>5288</v>
      </c>
      <c r="D1448" s="56" t="s">
        <v>5289</v>
      </c>
      <c r="E1448" s="56" t="s">
        <v>3787</v>
      </c>
      <c r="F1448" s="56" t="s">
        <v>5290</v>
      </c>
      <c r="G1448" s="50" t="s">
        <v>5291</v>
      </c>
      <c r="H1448" s="37" t="s">
        <v>50</v>
      </c>
      <c r="I1448" s="50" t="s">
        <v>5292</v>
      </c>
      <c r="J1448" s="50" t="s">
        <v>4481</v>
      </c>
    </row>
    <row r="1449" customFormat="false" ht="12.8" hidden="false" customHeight="false" outlineLevel="0" collapsed="false">
      <c r="B1449" s="49"/>
      <c r="C1449" s="50"/>
      <c r="D1449" s="50"/>
      <c r="E1449" s="50" t="s">
        <v>3792</v>
      </c>
      <c r="F1449" s="50" t="s">
        <v>5293</v>
      </c>
      <c r="G1449" s="56" t="s">
        <v>3792</v>
      </c>
      <c r="H1449" s="37"/>
      <c r="I1449" s="56" t="s">
        <v>3792</v>
      </c>
      <c r="J1449" s="56" t="s">
        <v>4487</v>
      </c>
    </row>
    <row r="1450" customFormat="false" ht="12.8" hidden="false" customHeight="false" outlineLevel="0" collapsed="false">
      <c r="B1450" s="49"/>
      <c r="C1450" s="56" t="s">
        <v>5294</v>
      </c>
      <c r="D1450" s="56" t="s">
        <v>5295</v>
      </c>
      <c r="E1450" s="56" t="s">
        <v>3797</v>
      </c>
      <c r="F1450" s="56" t="s">
        <v>5296</v>
      </c>
      <c r="G1450" s="50" t="s">
        <v>5297</v>
      </c>
      <c r="H1450" s="34" t="s">
        <v>40</v>
      </c>
      <c r="I1450" s="50" t="s">
        <v>5298</v>
      </c>
      <c r="J1450" s="50" t="s">
        <v>4489</v>
      </c>
    </row>
    <row r="1451" customFormat="false" ht="12.8" hidden="false" customHeight="false" outlineLevel="0" collapsed="false">
      <c r="B1451" s="49"/>
      <c r="C1451" s="50"/>
      <c r="D1451" s="50"/>
      <c r="E1451" s="50" t="s">
        <v>3792</v>
      </c>
      <c r="F1451" s="50" t="s">
        <v>5299</v>
      </c>
      <c r="G1451" s="56" t="s">
        <v>3792</v>
      </c>
      <c r="H1451" s="34"/>
      <c r="I1451" s="56" t="s">
        <v>3792</v>
      </c>
      <c r="J1451" s="56" t="s">
        <v>4495</v>
      </c>
    </row>
    <row r="1452" customFormat="false" ht="12.8" hidden="false" customHeight="false" outlineLevel="0" collapsed="false">
      <c r="B1452" s="49"/>
      <c r="C1452" s="56" t="s">
        <v>5300</v>
      </c>
      <c r="D1452" s="56" t="s">
        <v>5301</v>
      </c>
      <c r="E1452" s="56" t="s">
        <v>3787</v>
      </c>
      <c r="F1452" s="56" t="s">
        <v>5302</v>
      </c>
      <c r="G1452" s="51" t="s">
        <v>5303</v>
      </c>
      <c r="H1452" s="39" t="s">
        <v>67</v>
      </c>
      <c r="I1452" s="51" t="s">
        <v>5304</v>
      </c>
      <c r="J1452" s="51" t="s">
        <v>4497</v>
      </c>
    </row>
    <row r="1453" customFormat="false" ht="12.8" hidden="false" customHeight="false" outlineLevel="0" collapsed="false">
      <c r="B1453" s="49"/>
      <c r="C1453" s="51"/>
      <c r="D1453" s="51"/>
      <c r="E1453" s="51" t="s">
        <v>3792</v>
      </c>
      <c r="F1453" s="51" t="s">
        <v>5305</v>
      </c>
      <c r="G1453" s="56" t="s">
        <v>3792</v>
      </c>
      <c r="H1453" s="39"/>
      <c r="I1453" s="56" t="s">
        <v>3792</v>
      </c>
      <c r="J1453" s="56" t="s">
        <v>4503</v>
      </c>
    </row>
    <row r="1454" customFormat="false" ht="12.8" hidden="false" customHeight="true" outlineLevel="0" collapsed="false">
      <c r="B1454" s="55" t="s">
        <v>5306</v>
      </c>
      <c r="C1454" s="56" t="s">
        <v>5307</v>
      </c>
      <c r="D1454" s="56" t="s">
        <v>5308</v>
      </c>
      <c r="E1454" s="56" t="s">
        <v>3797</v>
      </c>
      <c r="F1454" s="56" t="s">
        <v>5281</v>
      </c>
      <c r="G1454" s="50" t="s">
        <v>5309</v>
      </c>
      <c r="H1454" s="34" t="s">
        <v>40</v>
      </c>
      <c r="I1454" s="50" t="s">
        <v>5310</v>
      </c>
      <c r="J1454" s="50" t="s">
        <v>4505</v>
      </c>
    </row>
    <row r="1455" customFormat="false" ht="12.8" hidden="false" customHeight="false" outlineLevel="0" collapsed="false">
      <c r="B1455" s="55"/>
      <c r="C1455" s="50"/>
      <c r="D1455" s="50"/>
      <c r="E1455" s="50" t="s">
        <v>3792</v>
      </c>
      <c r="F1455" s="50" t="s">
        <v>5284</v>
      </c>
      <c r="G1455" s="56" t="s">
        <v>3792</v>
      </c>
      <c r="H1455" s="34"/>
      <c r="I1455" s="56" t="s">
        <v>3792</v>
      </c>
      <c r="J1455" s="56" t="s">
        <v>4512</v>
      </c>
    </row>
    <row r="1456" customFormat="false" ht="12.8" hidden="false" customHeight="false" outlineLevel="0" collapsed="false">
      <c r="B1456" s="55"/>
      <c r="C1456" s="56" t="s">
        <v>5311</v>
      </c>
      <c r="D1456" s="56" t="s">
        <v>5312</v>
      </c>
      <c r="E1456" s="56" t="s">
        <v>3806</v>
      </c>
      <c r="F1456" s="56" t="s">
        <v>5287</v>
      </c>
      <c r="G1456" s="50" t="s">
        <v>5313</v>
      </c>
      <c r="H1456" s="37" t="s">
        <v>50</v>
      </c>
      <c r="I1456" s="50" t="s">
        <v>5314</v>
      </c>
      <c r="J1456" s="50" t="s">
        <v>4514</v>
      </c>
    </row>
    <row r="1457" customFormat="false" ht="12.8" hidden="false" customHeight="false" outlineLevel="0" collapsed="false">
      <c r="B1457" s="55"/>
      <c r="C1457" s="50"/>
      <c r="D1457" s="50"/>
      <c r="E1457" s="50" t="s">
        <v>3792</v>
      </c>
      <c r="F1457" s="50" t="s">
        <v>5290</v>
      </c>
      <c r="G1457" s="56" t="s">
        <v>3792</v>
      </c>
      <c r="H1457" s="37"/>
      <c r="I1457" s="56" t="s">
        <v>3792</v>
      </c>
      <c r="J1457" s="56" t="s">
        <v>4520</v>
      </c>
    </row>
    <row r="1458" customFormat="false" ht="12.8" hidden="false" customHeight="false" outlineLevel="0" collapsed="false">
      <c r="B1458" s="55"/>
      <c r="C1458" s="56" t="s">
        <v>5315</v>
      </c>
      <c r="D1458" s="56" t="s">
        <v>5316</v>
      </c>
      <c r="E1458" s="56" t="s">
        <v>3787</v>
      </c>
      <c r="F1458" s="56" t="s">
        <v>5293</v>
      </c>
      <c r="G1458" s="50" t="s">
        <v>5317</v>
      </c>
      <c r="H1458" s="34" t="s">
        <v>40</v>
      </c>
      <c r="I1458" s="50" t="s">
        <v>5318</v>
      </c>
      <c r="J1458" s="50" t="s">
        <v>4522</v>
      </c>
    </row>
    <row r="1459" customFormat="false" ht="12.8" hidden="false" customHeight="false" outlineLevel="0" collapsed="false">
      <c r="B1459" s="55"/>
      <c r="C1459" s="50"/>
      <c r="D1459" s="50"/>
      <c r="E1459" s="50" t="s">
        <v>3792</v>
      </c>
      <c r="F1459" s="50" t="s">
        <v>5296</v>
      </c>
      <c r="G1459" s="56" t="s">
        <v>3792</v>
      </c>
      <c r="H1459" s="34"/>
      <c r="I1459" s="56" t="s">
        <v>3792</v>
      </c>
      <c r="J1459" s="56" t="s">
        <v>4528</v>
      </c>
    </row>
    <row r="1460" customFormat="false" ht="12.8" hidden="false" customHeight="false" outlineLevel="0" collapsed="false">
      <c r="B1460" s="55"/>
      <c r="C1460" s="56" t="s">
        <v>5319</v>
      </c>
      <c r="D1460" s="56" t="s">
        <v>5320</v>
      </c>
      <c r="E1460" s="56" t="s">
        <v>3797</v>
      </c>
      <c r="F1460" s="56" t="s">
        <v>5299</v>
      </c>
      <c r="G1460" s="50" t="s">
        <v>5321</v>
      </c>
      <c r="H1460" s="34" t="s">
        <v>40</v>
      </c>
      <c r="I1460" s="50" t="s">
        <v>5322</v>
      </c>
      <c r="J1460" s="50" t="s">
        <v>4530</v>
      </c>
    </row>
    <row r="1461" customFormat="false" ht="12.8" hidden="false" customHeight="false" outlineLevel="0" collapsed="false">
      <c r="B1461" s="55"/>
      <c r="C1461" s="50"/>
      <c r="D1461" s="50"/>
      <c r="E1461" s="50" t="s">
        <v>3792</v>
      </c>
      <c r="F1461" s="50" t="s">
        <v>5302</v>
      </c>
      <c r="G1461" s="56" t="s">
        <v>3792</v>
      </c>
      <c r="H1461" s="34"/>
      <c r="I1461" s="56" t="s">
        <v>3792</v>
      </c>
      <c r="J1461" s="56" t="s">
        <v>4536</v>
      </c>
    </row>
    <row r="1462" customFormat="false" ht="12.8" hidden="false" customHeight="false" outlineLevel="0" collapsed="false">
      <c r="B1462" s="55"/>
      <c r="C1462" s="56" t="s">
        <v>5323</v>
      </c>
      <c r="D1462" s="56" t="s">
        <v>5324</v>
      </c>
      <c r="E1462" s="56" t="s">
        <v>3806</v>
      </c>
      <c r="F1462" s="56" t="s">
        <v>5305</v>
      </c>
      <c r="G1462" s="1" t="s">
        <v>5325</v>
      </c>
      <c r="H1462" s="37" t="s">
        <v>50</v>
      </c>
      <c r="I1462" s="1" t="s">
        <v>5326</v>
      </c>
      <c r="J1462" s="1" t="s">
        <v>4538</v>
      </c>
    </row>
    <row r="1463" customFormat="false" ht="12.8" hidden="false" customHeight="false" outlineLevel="0" collapsed="false">
      <c r="B1463" s="55"/>
      <c r="C1463" s="54"/>
      <c r="D1463" s="54"/>
      <c r="E1463" s="54" t="s">
        <v>3792</v>
      </c>
      <c r="F1463" s="54" t="s">
        <v>5327</v>
      </c>
      <c r="H1463" s="37"/>
      <c r="I1463" s="50"/>
      <c r="J1463" s="50" t="s">
        <v>4544</v>
      </c>
    </row>
    <row r="1465" customFormat="false" ht="15" hidden="false" customHeight="false" outlineLevel="0" collapsed="false">
      <c r="A1465" s="45" t="s">
        <v>5328</v>
      </c>
      <c r="B1465" s="45" t="s">
        <v>3775</v>
      </c>
      <c r="C1465" s="46" t="s">
        <v>3776</v>
      </c>
      <c r="D1465" s="46" t="s">
        <v>3777</v>
      </c>
      <c r="E1465" s="46" t="s">
        <v>3778</v>
      </c>
      <c r="F1465" s="46" t="s">
        <v>27</v>
      </c>
      <c r="G1465" s="46" t="s">
        <v>3779</v>
      </c>
      <c r="H1465" s="46" t="s">
        <v>28</v>
      </c>
      <c r="I1465" s="45" t="s">
        <v>29</v>
      </c>
      <c r="J1465" s="46" t="s">
        <v>3780</v>
      </c>
      <c r="K1465" s="58" t="s">
        <v>3781</v>
      </c>
    </row>
    <row r="1466" customFormat="false" ht="34.2" hidden="false" customHeight="false" outlineLevel="0" collapsed="false">
      <c r="A1466" s="1" t="s">
        <v>5329</v>
      </c>
      <c r="B1466" s="1" t="s">
        <v>5330</v>
      </c>
      <c r="C1466" s="59" t="s">
        <v>5331</v>
      </c>
      <c r="D1466" s="1" t="s">
        <v>5332</v>
      </c>
      <c r="E1466" s="1" t="s">
        <v>5333</v>
      </c>
      <c r="F1466" s="57" t="s">
        <v>5334</v>
      </c>
      <c r="G1466" s="57" t="s">
        <v>5335</v>
      </c>
      <c r="H1466" s="57" t="s">
        <v>5336</v>
      </c>
      <c r="I1466" s="34" t="s">
        <v>40</v>
      </c>
      <c r="J1466" s="57" t="s">
        <v>5337</v>
      </c>
      <c r="K1466" s="57" t="s">
        <v>5338</v>
      </c>
    </row>
    <row r="1467" customFormat="false" ht="34.2" hidden="false" customHeight="false" outlineLevel="0" collapsed="false">
      <c r="D1467" s="60"/>
      <c r="E1467" s="60"/>
      <c r="F1467" s="61"/>
      <c r="G1467" s="57" t="s">
        <v>5339</v>
      </c>
      <c r="H1467" s="57" t="s">
        <v>3792</v>
      </c>
      <c r="I1467" s="34"/>
      <c r="J1467" s="57" t="s">
        <v>3792</v>
      </c>
      <c r="K1467" s="57" t="s">
        <v>3792</v>
      </c>
    </row>
    <row r="1468" customFormat="false" ht="45.05" hidden="false" customHeight="false" outlineLevel="0" collapsed="false">
      <c r="D1468" s="1" t="s">
        <v>5340</v>
      </c>
      <c r="E1468" s="1" t="s">
        <v>5341</v>
      </c>
      <c r="F1468" s="57" t="s">
        <v>5342</v>
      </c>
      <c r="G1468" s="57" t="s">
        <v>5343</v>
      </c>
      <c r="H1468" s="57" t="s">
        <v>5344</v>
      </c>
      <c r="I1468" s="37" t="s">
        <v>50</v>
      </c>
      <c r="J1468" s="57" t="s">
        <v>5345</v>
      </c>
      <c r="K1468" s="57" t="s">
        <v>5346</v>
      </c>
    </row>
    <row r="1469" customFormat="false" ht="66.85" hidden="false" customHeight="false" outlineLevel="0" collapsed="false">
      <c r="D1469" s="60"/>
      <c r="E1469" s="60"/>
      <c r="F1469" s="61"/>
      <c r="G1469" s="57" t="s">
        <v>5347</v>
      </c>
      <c r="H1469" s="57" t="s">
        <v>3792</v>
      </c>
      <c r="I1469" s="37"/>
      <c r="J1469" s="57" t="s">
        <v>3792</v>
      </c>
      <c r="K1469" s="57" t="s">
        <v>3792</v>
      </c>
    </row>
    <row r="1470" customFormat="false" ht="34.2" hidden="false" customHeight="false" outlineLevel="0" collapsed="false">
      <c r="D1470" s="1" t="s">
        <v>5348</v>
      </c>
      <c r="E1470" s="1" t="s">
        <v>5349</v>
      </c>
      <c r="F1470" s="0" t="s">
        <v>5334</v>
      </c>
      <c r="G1470" s="57" t="s">
        <v>5350</v>
      </c>
      <c r="H1470" s="57" t="s">
        <v>5351</v>
      </c>
      <c r="I1470" s="34" t="s">
        <v>40</v>
      </c>
      <c r="J1470" s="57" t="s">
        <v>5352</v>
      </c>
      <c r="K1470" s="57" t="s">
        <v>5353</v>
      </c>
    </row>
    <row r="1471" customFormat="false" ht="45.05" hidden="false" customHeight="false" outlineLevel="0" collapsed="false">
      <c r="D1471" s="60"/>
      <c r="E1471" s="60"/>
      <c r="F1471" s="62"/>
      <c r="G1471" s="57" t="s">
        <v>5354</v>
      </c>
      <c r="H1471" s="57" t="s">
        <v>3792</v>
      </c>
      <c r="I1471" s="34"/>
      <c r="J1471" s="57" t="s">
        <v>3792</v>
      </c>
      <c r="K1471" s="57" t="s">
        <v>3792</v>
      </c>
    </row>
    <row r="1472" customFormat="false" ht="34.2" hidden="false" customHeight="false" outlineLevel="0" collapsed="false">
      <c r="D1472" s="1" t="s">
        <v>5355</v>
      </c>
      <c r="E1472" s="1" t="s">
        <v>5356</v>
      </c>
      <c r="F1472" s="0" t="s">
        <v>5334</v>
      </c>
      <c r="G1472" s="57" t="s">
        <v>5357</v>
      </c>
      <c r="H1472" s="57" t="s">
        <v>5358</v>
      </c>
      <c r="I1472" s="39" t="s">
        <v>67</v>
      </c>
      <c r="J1472" s="57" t="s">
        <v>5359</v>
      </c>
      <c r="K1472" s="57" t="s">
        <v>5360</v>
      </c>
    </row>
    <row r="1473" customFormat="false" ht="45.05" hidden="false" customHeight="false" outlineLevel="0" collapsed="false">
      <c r="D1473" s="60"/>
      <c r="E1473" s="60"/>
      <c r="F1473" s="62"/>
      <c r="G1473" s="57" t="s">
        <v>5361</v>
      </c>
      <c r="H1473" s="57" t="s">
        <v>3792</v>
      </c>
      <c r="I1473" s="39"/>
      <c r="J1473" s="57" t="s">
        <v>3792</v>
      </c>
      <c r="K1473" s="57" t="s">
        <v>3792</v>
      </c>
    </row>
    <row r="1474" customFormat="false" ht="45.05" hidden="false" customHeight="false" outlineLevel="0" collapsed="false">
      <c r="C1474" s="63"/>
      <c r="D1474" s="63" t="s">
        <v>5362</v>
      </c>
      <c r="E1474" s="63" t="s">
        <v>5363</v>
      </c>
      <c r="F1474" s="0" t="s">
        <v>5342</v>
      </c>
      <c r="G1474" s="57" t="s">
        <v>5364</v>
      </c>
      <c r="H1474" s="57" t="s">
        <v>5365</v>
      </c>
      <c r="I1474" s="34" t="s">
        <v>40</v>
      </c>
      <c r="J1474" s="57" t="s">
        <v>5366</v>
      </c>
      <c r="K1474" s="57" t="s">
        <v>5367</v>
      </c>
    </row>
    <row r="1475" customFormat="false" ht="45.05" hidden="false" customHeight="false" outlineLevel="0" collapsed="false">
      <c r="C1475" s="64"/>
      <c r="D1475" s="64"/>
      <c r="E1475" s="64"/>
      <c r="F1475" s="65"/>
      <c r="G1475" s="57" t="s">
        <v>5368</v>
      </c>
      <c r="H1475" s="57" t="s">
        <v>3792</v>
      </c>
      <c r="I1475" s="34"/>
      <c r="J1475" s="57" t="s">
        <v>3792</v>
      </c>
      <c r="K1475" s="57" t="s">
        <v>3792</v>
      </c>
    </row>
    <row r="1476" customFormat="false" ht="55.95" hidden="false" customHeight="false" outlineLevel="0" collapsed="false">
      <c r="C1476" s="59" t="s">
        <v>5369</v>
      </c>
      <c r="D1476" s="1" t="s">
        <v>5370</v>
      </c>
      <c r="E1476" s="1" t="s">
        <v>5371</v>
      </c>
      <c r="F1476" s="0" t="s">
        <v>5334</v>
      </c>
      <c r="G1476" s="57" t="s">
        <v>5372</v>
      </c>
      <c r="H1476" s="57" t="s">
        <v>5373</v>
      </c>
      <c r="I1476" s="37" t="s">
        <v>50</v>
      </c>
      <c r="J1476" s="57" t="s">
        <v>5374</v>
      </c>
      <c r="K1476" s="57" t="s">
        <v>5375</v>
      </c>
    </row>
    <row r="1477" customFormat="false" ht="45.05" hidden="false" customHeight="false" outlineLevel="0" collapsed="false">
      <c r="D1477" s="60"/>
      <c r="E1477" s="60"/>
      <c r="F1477" s="62"/>
      <c r="G1477" s="57" t="s">
        <v>5376</v>
      </c>
      <c r="H1477" s="57" t="s">
        <v>3792</v>
      </c>
      <c r="I1477" s="37"/>
      <c r="J1477" s="57" t="s">
        <v>3792</v>
      </c>
      <c r="K1477" s="57" t="s">
        <v>3792</v>
      </c>
    </row>
    <row r="1478" customFormat="false" ht="34.2" hidden="false" customHeight="false" outlineLevel="0" collapsed="false">
      <c r="F1478" s="0" t="s">
        <v>5342</v>
      </c>
      <c r="G1478" s="57" t="s">
        <v>5377</v>
      </c>
      <c r="H1478" s="57" t="s">
        <v>5378</v>
      </c>
      <c r="I1478" s="34" t="s">
        <v>40</v>
      </c>
      <c r="J1478" s="57" t="s">
        <v>5379</v>
      </c>
      <c r="K1478" s="57" t="s">
        <v>5380</v>
      </c>
    </row>
    <row r="1479" customFormat="false" ht="55.95" hidden="false" customHeight="false" outlineLevel="0" collapsed="false">
      <c r="D1479" s="60" t="s">
        <v>5381</v>
      </c>
      <c r="E1479" s="60" t="s">
        <v>5382</v>
      </c>
      <c r="F1479" s="62"/>
      <c r="G1479" s="57" t="s">
        <v>5383</v>
      </c>
      <c r="H1479" s="57" t="s">
        <v>3792</v>
      </c>
      <c r="I1479" s="34"/>
      <c r="J1479" s="57" t="s">
        <v>3792</v>
      </c>
      <c r="K1479" s="57" t="s">
        <v>3792</v>
      </c>
    </row>
    <row r="1480" customFormat="false" ht="45.05" hidden="false" customHeight="false" outlineLevel="0" collapsed="false">
      <c r="F1480" s="0" t="s">
        <v>5342</v>
      </c>
      <c r="G1480" s="57" t="s">
        <v>5384</v>
      </c>
      <c r="H1480" s="57" t="s">
        <v>5385</v>
      </c>
      <c r="I1480" s="39" t="s">
        <v>67</v>
      </c>
      <c r="J1480" s="57" t="s">
        <v>5386</v>
      </c>
      <c r="K1480" s="57" t="s">
        <v>5387</v>
      </c>
    </row>
    <row r="1481" customFormat="false" ht="34.2" hidden="false" customHeight="false" outlineLevel="0" collapsed="false">
      <c r="D1481" s="60" t="s">
        <v>5388</v>
      </c>
      <c r="E1481" s="60" t="s">
        <v>5389</v>
      </c>
      <c r="F1481" s="62"/>
      <c r="G1481" s="57" t="s">
        <v>5390</v>
      </c>
      <c r="H1481" s="57" t="s">
        <v>3792</v>
      </c>
      <c r="I1481" s="39"/>
      <c r="J1481" s="57" t="s">
        <v>3792</v>
      </c>
      <c r="K1481" s="57" t="s">
        <v>3792</v>
      </c>
    </row>
    <row r="1482" customFormat="false" ht="34.2" hidden="false" customHeight="false" outlineLevel="0" collapsed="false">
      <c r="F1482" s="0" t="s">
        <v>5334</v>
      </c>
      <c r="G1482" s="57" t="s">
        <v>5391</v>
      </c>
      <c r="H1482" s="57" t="s">
        <v>5392</v>
      </c>
      <c r="I1482" s="34" t="s">
        <v>40</v>
      </c>
      <c r="J1482" s="57" t="s">
        <v>5393</v>
      </c>
      <c r="K1482" s="57" t="s">
        <v>5394</v>
      </c>
    </row>
    <row r="1483" customFormat="false" ht="21.75" hidden="false" customHeight="false" outlineLevel="0" collapsed="false">
      <c r="D1483" s="60" t="s">
        <v>5395</v>
      </c>
      <c r="E1483" s="60" t="s">
        <v>5396</v>
      </c>
      <c r="F1483" s="62"/>
      <c r="G1483" s="57" t="s">
        <v>5397</v>
      </c>
      <c r="H1483" s="57" t="s">
        <v>3792</v>
      </c>
      <c r="I1483" s="34"/>
      <c r="J1483" s="57" t="s">
        <v>3792</v>
      </c>
      <c r="K1483" s="57" t="s">
        <v>3792</v>
      </c>
    </row>
    <row r="1484" customFormat="false" ht="34.2" hidden="false" customHeight="false" outlineLevel="0" collapsed="false">
      <c r="F1484" s="0" t="s">
        <v>5342</v>
      </c>
      <c r="G1484" s="57" t="s">
        <v>5398</v>
      </c>
      <c r="H1484" s="57" t="s">
        <v>5399</v>
      </c>
      <c r="I1484" s="37" t="s">
        <v>50</v>
      </c>
      <c r="J1484" s="57" t="s">
        <v>5400</v>
      </c>
      <c r="K1484" s="57" t="s">
        <v>5401</v>
      </c>
    </row>
    <row r="1485" customFormat="false" ht="45.05" hidden="false" customHeight="false" outlineLevel="0" collapsed="false">
      <c r="C1485" s="64"/>
      <c r="D1485" s="66" t="s">
        <v>5402</v>
      </c>
      <c r="E1485" s="66" t="s">
        <v>5403</v>
      </c>
      <c r="F1485" s="65"/>
      <c r="G1485" s="57" t="s">
        <v>5404</v>
      </c>
      <c r="H1485" s="57" t="s">
        <v>3792</v>
      </c>
      <c r="I1485" s="37"/>
      <c r="J1485" s="57" t="s">
        <v>3792</v>
      </c>
      <c r="K1485" s="57" t="s">
        <v>3792</v>
      </c>
    </row>
    <row r="1486" customFormat="false" ht="55.95" hidden="false" customHeight="false" outlineLevel="0" collapsed="false">
      <c r="C1486" s="59" t="s">
        <v>5405</v>
      </c>
      <c r="D1486" s="1" t="s">
        <v>5406</v>
      </c>
      <c r="E1486" s="1" t="s">
        <v>5407</v>
      </c>
      <c r="F1486" s="0" t="s">
        <v>5334</v>
      </c>
      <c r="G1486" s="57" t="s">
        <v>5408</v>
      </c>
      <c r="H1486" s="57" t="s">
        <v>5409</v>
      </c>
      <c r="I1486" s="34" t="s">
        <v>40</v>
      </c>
      <c r="J1486" s="57" t="s">
        <v>5410</v>
      </c>
      <c r="K1486" s="57" t="s">
        <v>5411</v>
      </c>
    </row>
    <row r="1487" customFormat="false" ht="34.2" hidden="false" customHeight="false" outlineLevel="0" collapsed="false">
      <c r="D1487" s="60"/>
      <c r="E1487" s="60"/>
      <c r="F1487" s="62"/>
      <c r="G1487" s="57" t="s">
        <v>5412</v>
      </c>
      <c r="H1487" s="57" t="s">
        <v>3792</v>
      </c>
      <c r="I1487" s="34"/>
      <c r="J1487" s="57" t="s">
        <v>3792</v>
      </c>
      <c r="K1487" s="57" t="s">
        <v>3792</v>
      </c>
    </row>
    <row r="1488" customFormat="false" ht="45.05" hidden="false" customHeight="false" outlineLevel="0" collapsed="false">
      <c r="D1488" s="1" t="s">
        <v>5413</v>
      </c>
      <c r="E1488" s="1" t="s">
        <v>5414</v>
      </c>
      <c r="F1488" s="0" t="s">
        <v>5342</v>
      </c>
      <c r="G1488" s="57" t="s">
        <v>5415</v>
      </c>
      <c r="H1488" s="57" t="s">
        <v>5416</v>
      </c>
      <c r="I1488" s="39" t="s">
        <v>67</v>
      </c>
      <c r="J1488" s="57" t="s">
        <v>5417</v>
      </c>
      <c r="K1488" s="57" t="s">
        <v>5418</v>
      </c>
    </row>
    <row r="1489" customFormat="false" ht="55.95" hidden="false" customHeight="false" outlineLevel="0" collapsed="false">
      <c r="D1489" s="60"/>
      <c r="E1489" s="60"/>
      <c r="F1489" s="62"/>
      <c r="G1489" s="57" t="s">
        <v>5419</v>
      </c>
      <c r="H1489" s="57" t="s">
        <v>3792</v>
      </c>
      <c r="I1489" s="39"/>
      <c r="J1489" s="57" t="s">
        <v>3792</v>
      </c>
      <c r="K1489" s="57" t="s">
        <v>3792</v>
      </c>
    </row>
    <row r="1490" customFormat="false" ht="34.2" hidden="false" customHeight="false" outlineLevel="0" collapsed="false">
      <c r="D1490" s="1" t="s">
        <v>5420</v>
      </c>
      <c r="E1490" s="1" t="s">
        <v>5421</v>
      </c>
      <c r="F1490" s="0" t="s">
        <v>5334</v>
      </c>
      <c r="G1490" s="57" t="s">
        <v>5422</v>
      </c>
      <c r="H1490" s="57" t="s">
        <v>5423</v>
      </c>
      <c r="I1490" s="34" t="s">
        <v>40</v>
      </c>
      <c r="J1490" s="57" t="s">
        <v>5424</v>
      </c>
      <c r="K1490" s="57" t="s">
        <v>5425</v>
      </c>
    </row>
    <row r="1491" customFormat="false" ht="34.2" hidden="false" customHeight="false" outlineLevel="0" collapsed="false">
      <c r="D1491" s="60"/>
      <c r="E1491" s="60"/>
      <c r="F1491" s="62"/>
      <c r="G1491" s="57" t="s">
        <v>5426</v>
      </c>
      <c r="H1491" s="57" t="s">
        <v>3792</v>
      </c>
      <c r="I1491" s="34"/>
      <c r="J1491" s="57" t="s">
        <v>3792</v>
      </c>
      <c r="K1491" s="57" t="s">
        <v>3792</v>
      </c>
    </row>
    <row r="1492" customFormat="false" ht="55.95" hidden="false" customHeight="false" outlineLevel="0" collapsed="false">
      <c r="D1492" s="1" t="s">
        <v>5427</v>
      </c>
      <c r="E1492" s="1" t="s">
        <v>5428</v>
      </c>
      <c r="F1492" s="0" t="s">
        <v>5334</v>
      </c>
      <c r="G1492" s="57" t="s">
        <v>5429</v>
      </c>
      <c r="H1492" s="57" t="s">
        <v>5430</v>
      </c>
      <c r="I1492" s="37" t="s">
        <v>50</v>
      </c>
      <c r="J1492" s="57" t="s">
        <v>5431</v>
      </c>
      <c r="K1492" s="57" t="s">
        <v>5432</v>
      </c>
    </row>
    <row r="1493" customFormat="false" ht="66.85" hidden="false" customHeight="false" outlineLevel="0" collapsed="false">
      <c r="D1493" s="60"/>
      <c r="E1493" s="60"/>
      <c r="F1493" s="62"/>
      <c r="G1493" s="57" t="s">
        <v>5433</v>
      </c>
      <c r="H1493" s="57" t="s">
        <v>3792</v>
      </c>
      <c r="I1493" s="37"/>
      <c r="J1493" s="57" t="s">
        <v>3792</v>
      </c>
      <c r="K1493" s="57" t="s">
        <v>3792</v>
      </c>
    </row>
    <row r="1494" customFormat="false" ht="34.2" hidden="false" customHeight="false" outlineLevel="0" collapsed="false">
      <c r="D1494" s="1" t="s">
        <v>5434</v>
      </c>
      <c r="E1494" s="1" t="s">
        <v>5435</v>
      </c>
      <c r="F1494" s="0" t="s">
        <v>5342</v>
      </c>
      <c r="G1494" s="57" t="s">
        <v>689</v>
      </c>
      <c r="H1494" s="57" t="s">
        <v>5436</v>
      </c>
      <c r="I1494" s="34" t="s">
        <v>40</v>
      </c>
      <c r="J1494" s="57" t="s">
        <v>5437</v>
      </c>
      <c r="K1494" s="57" t="s">
        <v>5438</v>
      </c>
    </row>
    <row r="1495" customFormat="false" ht="34.2" hidden="false" customHeight="false" outlineLevel="0" collapsed="false">
      <c r="C1495" s="64"/>
      <c r="D1495" s="66"/>
      <c r="E1495" s="66"/>
      <c r="F1495" s="65"/>
      <c r="G1495" s="57" t="s">
        <v>5439</v>
      </c>
      <c r="H1495" s="57" t="s">
        <v>3792</v>
      </c>
      <c r="I1495" s="34"/>
      <c r="J1495" s="57" t="s">
        <v>3792</v>
      </c>
      <c r="K1495" s="57" t="s">
        <v>3792</v>
      </c>
    </row>
    <row r="1496" customFormat="false" ht="34.2" hidden="false" customHeight="false" outlineLevel="0" collapsed="false">
      <c r="C1496" s="59" t="s">
        <v>5440</v>
      </c>
      <c r="D1496" s="1" t="s">
        <v>5441</v>
      </c>
      <c r="E1496" s="1" t="s">
        <v>5442</v>
      </c>
      <c r="F1496" s="0" t="s">
        <v>5342</v>
      </c>
      <c r="G1496" s="57" t="s">
        <v>5443</v>
      </c>
      <c r="H1496" s="57" t="s">
        <v>5444</v>
      </c>
      <c r="I1496" s="39" t="s">
        <v>67</v>
      </c>
      <c r="J1496" s="57" t="s">
        <v>5445</v>
      </c>
      <c r="K1496" s="57" t="s">
        <v>5446</v>
      </c>
    </row>
    <row r="1497" customFormat="false" ht="34.2" hidden="false" customHeight="false" outlineLevel="0" collapsed="false">
      <c r="D1497" s="60"/>
      <c r="E1497" s="60"/>
      <c r="F1497" s="62"/>
      <c r="G1497" s="57" t="s">
        <v>5447</v>
      </c>
      <c r="H1497" s="57" t="s">
        <v>3792</v>
      </c>
      <c r="I1497" s="39"/>
      <c r="J1497" s="57" t="s">
        <v>3792</v>
      </c>
      <c r="K1497" s="57" t="s">
        <v>3792</v>
      </c>
    </row>
    <row r="1498" customFormat="false" ht="66.85" hidden="false" customHeight="false" outlineLevel="0" collapsed="false">
      <c r="D1498" s="1" t="s">
        <v>5448</v>
      </c>
      <c r="E1498" s="1" t="s">
        <v>5449</v>
      </c>
      <c r="F1498" s="0" t="s">
        <v>5334</v>
      </c>
      <c r="G1498" s="57" t="s">
        <v>5450</v>
      </c>
      <c r="H1498" s="57" t="s">
        <v>5451</v>
      </c>
      <c r="I1498" s="34" t="s">
        <v>40</v>
      </c>
      <c r="J1498" s="57" t="s">
        <v>5452</v>
      </c>
      <c r="K1498" s="57" t="s">
        <v>5453</v>
      </c>
    </row>
    <row r="1499" customFormat="false" ht="34.2" hidden="false" customHeight="false" outlineLevel="0" collapsed="false">
      <c r="D1499" s="60"/>
      <c r="E1499" s="60"/>
      <c r="F1499" s="62"/>
      <c r="G1499" s="57" t="s">
        <v>5454</v>
      </c>
      <c r="H1499" s="57" t="s">
        <v>3792</v>
      </c>
      <c r="I1499" s="34"/>
      <c r="J1499" s="57" t="s">
        <v>3792</v>
      </c>
      <c r="K1499" s="57" t="s">
        <v>3792</v>
      </c>
    </row>
    <row r="1500" customFormat="false" ht="34.2" hidden="false" customHeight="false" outlineLevel="0" collapsed="false">
      <c r="D1500" s="1" t="s">
        <v>5455</v>
      </c>
      <c r="E1500" s="1" t="s">
        <v>5456</v>
      </c>
      <c r="F1500" s="0" t="s">
        <v>5334</v>
      </c>
      <c r="G1500" s="57" t="s">
        <v>5457</v>
      </c>
      <c r="H1500" s="57" t="s">
        <v>5458</v>
      </c>
      <c r="I1500" s="37" t="s">
        <v>50</v>
      </c>
      <c r="J1500" s="57" t="s">
        <v>5459</v>
      </c>
      <c r="K1500" s="57" t="s">
        <v>5460</v>
      </c>
    </row>
    <row r="1501" customFormat="false" ht="34.2" hidden="false" customHeight="false" outlineLevel="0" collapsed="false">
      <c r="D1501" s="60"/>
      <c r="E1501" s="60"/>
      <c r="F1501" s="62"/>
      <c r="G1501" s="57" t="s">
        <v>5461</v>
      </c>
      <c r="H1501" s="57" t="s">
        <v>3792</v>
      </c>
      <c r="I1501" s="37"/>
      <c r="J1501" s="57" t="s">
        <v>3792</v>
      </c>
      <c r="K1501" s="57" t="s">
        <v>3792</v>
      </c>
    </row>
    <row r="1502" customFormat="false" ht="21.75" hidden="false" customHeight="false" outlineLevel="0" collapsed="false">
      <c r="D1502" s="1" t="s">
        <v>5462</v>
      </c>
      <c r="E1502" s="1" t="s">
        <v>5463</v>
      </c>
      <c r="F1502" s="0" t="s">
        <v>5342</v>
      </c>
      <c r="G1502" s="57" t="s">
        <v>5464</v>
      </c>
      <c r="H1502" s="57" t="s">
        <v>5465</v>
      </c>
      <c r="I1502" s="34" t="s">
        <v>40</v>
      </c>
      <c r="J1502" s="57" t="s">
        <v>5466</v>
      </c>
      <c r="K1502" s="57" t="s">
        <v>5467</v>
      </c>
    </row>
    <row r="1503" customFormat="false" ht="34.2" hidden="false" customHeight="false" outlineLevel="0" collapsed="false">
      <c r="D1503" s="60"/>
      <c r="E1503" s="60"/>
      <c r="F1503" s="62"/>
      <c r="G1503" s="57" t="s">
        <v>5468</v>
      </c>
      <c r="H1503" s="57" t="s">
        <v>3792</v>
      </c>
      <c r="I1503" s="34"/>
      <c r="J1503" s="57" t="s">
        <v>3792</v>
      </c>
      <c r="K1503" s="57" t="s">
        <v>3792</v>
      </c>
    </row>
    <row r="1504" customFormat="false" ht="21.75" hidden="false" customHeight="false" outlineLevel="0" collapsed="false">
      <c r="D1504" s="1" t="s">
        <v>5469</v>
      </c>
      <c r="E1504" s="1" t="s">
        <v>5470</v>
      </c>
      <c r="F1504" s="0" t="s">
        <v>5342</v>
      </c>
      <c r="G1504" s="57" t="s">
        <v>5471</v>
      </c>
      <c r="H1504" s="57" t="s">
        <v>5472</v>
      </c>
      <c r="I1504" s="39" t="s">
        <v>67</v>
      </c>
      <c r="J1504" s="57" t="s">
        <v>5473</v>
      </c>
      <c r="K1504" s="57" t="s">
        <v>5474</v>
      </c>
    </row>
    <row r="1505" customFormat="false" ht="34.2" hidden="false" customHeight="false" outlineLevel="0" collapsed="false">
      <c r="C1505" s="64"/>
      <c r="D1505" s="66"/>
      <c r="E1505" s="66"/>
      <c r="F1505" s="65"/>
      <c r="G1505" s="57" t="s">
        <v>5475</v>
      </c>
      <c r="H1505" s="57" t="s">
        <v>3792</v>
      </c>
      <c r="I1505" s="39"/>
      <c r="J1505" s="57" t="s">
        <v>3792</v>
      </c>
      <c r="K1505" s="57" t="s">
        <v>3792</v>
      </c>
    </row>
    <row r="1506" customFormat="false" ht="45.05" hidden="false" customHeight="false" outlineLevel="0" collapsed="false">
      <c r="C1506" s="59" t="s">
        <v>5476</v>
      </c>
      <c r="D1506" s="1" t="s">
        <v>5477</v>
      </c>
      <c r="E1506" s="1" t="s">
        <v>5478</v>
      </c>
      <c r="F1506" s="0" t="s">
        <v>5334</v>
      </c>
      <c r="G1506" s="57" t="s">
        <v>5479</v>
      </c>
      <c r="H1506" s="57" t="s">
        <v>5480</v>
      </c>
      <c r="I1506" s="34" t="s">
        <v>40</v>
      </c>
      <c r="J1506" s="57" t="s">
        <v>5481</v>
      </c>
      <c r="K1506" s="57" t="s">
        <v>5482</v>
      </c>
    </row>
    <row r="1507" customFormat="false" ht="34.2" hidden="false" customHeight="false" outlineLevel="0" collapsed="false">
      <c r="D1507" s="60"/>
      <c r="E1507" s="60"/>
      <c r="F1507" s="62"/>
      <c r="G1507" s="57" t="s">
        <v>5483</v>
      </c>
      <c r="H1507" s="57" t="s">
        <v>3792</v>
      </c>
      <c r="I1507" s="34"/>
      <c r="J1507" s="57" t="s">
        <v>3792</v>
      </c>
      <c r="K1507" s="57" t="s">
        <v>3792</v>
      </c>
    </row>
    <row r="1508" customFormat="false" ht="21.75" hidden="false" customHeight="false" outlineLevel="0" collapsed="false">
      <c r="D1508" s="1" t="s">
        <v>5484</v>
      </c>
      <c r="E1508" s="1" t="s">
        <v>5485</v>
      </c>
      <c r="F1508" s="0" t="s">
        <v>5342</v>
      </c>
      <c r="G1508" s="57" t="s">
        <v>5486</v>
      </c>
      <c r="H1508" s="57" t="s">
        <v>5487</v>
      </c>
      <c r="I1508" s="37" t="s">
        <v>50</v>
      </c>
      <c r="J1508" s="57" t="s">
        <v>5488</v>
      </c>
      <c r="K1508" s="57" t="s">
        <v>5489</v>
      </c>
    </row>
    <row r="1509" customFormat="false" ht="45.05" hidden="false" customHeight="false" outlineLevel="0" collapsed="false">
      <c r="D1509" s="60"/>
      <c r="E1509" s="60"/>
      <c r="F1509" s="62"/>
      <c r="G1509" s="57" t="s">
        <v>5490</v>
      </c>
      <c r="H1509" s="57" t="s">
        <v>3792</v>
      </c>
      <c r="I1509" s="37"/>
      <c r="J1509" s="57" t="s">
        <v>3792</v>
      </c>
      <c r="K1509" s="57" t="s">
        <v>3792</v>
      </c>
    </row>
    <row r="1510" customFormat="false" ht="34.2" hidden="false" customHeight="false" outlineLevel="0" collapsed="false">
      <c r="D1510" s="1" t="s">
        <v>5491</v>
      </c>
      <c r="E1510" s="1" t="s">
        <v>5492</v>
      </c>
      <c r="F1510" s="0" t="s">
        <v>5342</v>
      </c>
      <c r="G1510" s="57" t="s">
        <v>5493</v>
      </c>
      <c r="H1510" s="57" t="s">
        <v>5494</v>
      </c>
      <c r="I1510" s="34" t="s">
        <v>40</v>
      </c>
      <c r="J1510" s="57" t="s">
        <v>5495</v>
      </c>
      <c r="K1510" s="57" t="s">
        <v>5496</v>
      </c>
    </row>
    <row r="1511" customFormat="false" ht="34.2" hidden="false" customHeight="false" outlineLevel="0" collapsed="false">
      <c r="D1511" s="60"/>
      <c r="E1511" s="60"/>
      <c r="F1511" s="62"/>
      <c r="G1511" s="57" t="s">
        <v>5497</v>
      </c>
      <c r="H1511" s="57" t="s">
        <v>3792</v>
      </c>
      <c r="I1511" s="34"/>
      <c r="J1511" s="57" t="s">
        <v>3792</v>
      </c>
      <c r="K1511" s="57" t="s">
        <v>3792</v>
      </c>
    </row>
    <row r="1512" customFormat="false" ht="34.2" hidden="false" customHeight="false" outlineLevel="0" collapsed="false">
      <c r="D1512" s="1" t="s">
        <v>5498</v>
      </c>
      <c r="E1512" s="1" t="s">
        <v>5499</v>
      </c>
      <c r="F1512" s="0" t="s">
        <v>5334</v>
      </c>
      <c r="G1512" s="57" t="s">
        <v>5500</v>
      </c>
      <c r="H1512" s="57" t="s">
        <v>5501</v>
      </c>
      <c r="I1512" s="39" t="s">
        <v>67</v>
      </c>
      <c r="J1512" s="57" t="s">
        <v>5502</v>
      </c>
      <c r="K1512" s="57" t="s">
        <v>5503</v>
      </c>
    </row>
    <row r="1513" customFormat="false" ht="45.05" hidden="false" customHeight="false" outlineLevel="0" collapsed="false">
      <c r="D1513" s="60"/>
      <c r="E1513" s="60"/>
      <c r="F1513" s="62"/>
      <c r="G1513" s="57" t="s">
        <v>5504</v>
      </c>
      <c r="H1513" s="57" t="s">
        <v>3792</v>
      </c>
      <c r="I1513" s="39"/>
      <c r="J1513" s="57" t="s">
        <v>3792</v>
      </c>
      <c r="K1513" s="57" t="s">
        <v>3792</v>
      </c>
    </row>
    <row r="1514" customFormat="false" ht="45.05" hidden="false" customHeight="false" outlineLevel="0" collapsed="false">
      <c r="D1514" s="1" t="s">
        <v>5505</v>
      </c>
      <c r="E1514" s="1" t="s">
        <v>5506</v>
      </c>
      <c r="F1514" s="0" t="s">
        <v>5342</v>
      </c>
      <c r="G1514" s="57" t="s">
        <v>5507</v>
      </c>
      <c r="H1514" s="57" t="s">
        <v>5508</v>
      </c>
      <c r="I1514" s="34" t="s">
        <v>40</v>
      </c>
      <c r="J1514" s="57" t="s">
        <v>5509</v>
      </c>
      <c r="K1514" s="57" t="s">
        <v>5510</v>
      </c>
    </row>
    <row r="1515" customFormat="false" ht="45.05" hidden="false" customHeight="false" outlineLevel="0" collapsed="false">
      <c r="C1515" s="64"/>
      <c r="D1515" s="66"/>
      <c r="E1515" s="66"/>
      <c r="F1515" s="65"/>
      <c r="G1515" s="57" t="s">
        <v>5511</v>
      </c>
      <c r="H1515" s="57" t="s">
        <v>3792</v>
      </c>
      <c r="I1515" s="34"/>
      <c r="J1515" s="57" t="s">
        <v>3792</v>
      </c>
      <c r="K1515" s="57" t="s">
        <v>3792</v>
      </c>
    </row>
    <row r="1516" customFormat="false" ht="45.05" hidden="false" customHeight="false" outlineLevel="0" collapsed="false">
      <c r="C1516" s="1" t="s">
        <v>5512</v>
      </c>
      <c r="D1516" s="1" t="s">
        <v>5513</v>
      </c>
      <c r="E1516" s="1" t="s">
        <v>5514</v>
      </c>
      <c r="F1516" s="0" t="s">
        <v>5334</v>
      </c>
      <c r="G1516" s="57" t="s">
        <v>5515</v>
      </c>
      <c r="H1516" s="57" t="s">
        <v>5516</v>
      </c>
      <c r="I1516" s="37" t="s">
        <v>50</v>
      </c>
      <c r="J1516" s="57" t="s">
        <v>5517</v>
      </c>
      <c r="K1516" s="57" t="s">
        <v>5518</v>
      </c>
    </row>
    <row r="1517" customFormat="false" ht="45.05" hidden="false" customHeight="false" outlineLevel="0" collapsed="false">
      <c r="D1517" s="60"/>
      <c r="E1517" s="60"/>
      <c r="F1517" s="62"/>
      <c r="G1517" s="57" t="s">
        <v>5519</v>
      </c>
      <c r="H1517" s="57" t="s">
        <v>3792</v>
      </c>
      <c r="I1517" s="37"/>
      <c r="J1517" s="57" t="s">
        <v>3792</v>
      </c>
      <c r="K1517" s="57" t="s">
        <v>3792</v>
      </c>
    </row>
    <row r="1518" customFormat="false" ht="21.75" hidden="false" customHeight="false" outlineLevel="0" collapsed="false">
      <c r="D1518" s="1" t="s">
        <v>5520</v>
      </c>
      <c r="E1518" s="1" t="s">
        <v>5521</v>
      </c>
      <c r="F1518" s="0" t="s">
        <v>5334</v>
      </c>
      <c r="G1518" s="57" t="s">
        <v>5522</v>
      </c>
      <c r="H1518" s="57" t="s">
        <v>5523</v>
      </c>
      <c r="I1518" s="34" t="s">
        <v>40</v>
      </c>
      <c r="J1518" s="57" t="s">
        <v>5524</v>
      </c>
      <c r="K1518" s="57" t="s">
        <v>5525</v>
      </c>
    </row>
    <row r="1519" customFormat="false" ht="45.05" hidden="false" customHeight="false" outlineLevel="0" collapsed="false">
      <c r="D1519" s="60"/>
      <c r="E1519" s="60"/>
      <c r="F1519" s="62"/>
      <c r="G1519" s="57" t="s">
        <v>5526</v>
      </c>
      <c r="H1519" s="57" t="s">
        <v>3792</v>
      </c>
      <c r="I1519" s="34"/>
      <c r="J1519" s="57" t="s">
        <v>3792</v>
      </c>
      <c r="K1519" s="57" t="s">
        <v>3792</v>
      </c>
    </row>
    <row r="1520" customFormat="false" ht="34.2" hidden="false" customHeight="false" outlineLevel="0" collapsed="false">
      <c r="D1520" s="1" t="s">
        <v>5527</v>
      </c>
      <c r="E1520" s="1" t="s">
        <v>5528</v>
      </c>
      <c r="F1520" s="0" t="s">
        <v>5342</v>
      </c>
      <c r="G1520" s="57" t="s">
        <v>5529</v>
      </c>
      <c r="H1520" s="57" t="s">
        <v>5530</v>
      </c>
      <c r="I1520" s="39" t="s">
        <v>67</v>
      </c>
      <c r="J1520" s="57" t="s">
        <v>5531</v>
      </c>
      <c r="K1520" s="57" t="s">
        <v>5532</v>
      </c>
    </row>
    <row r="1521" customFormat="false" ht="45.05" hidden="false" customHeight="false" outlineLevel="0" collapsed="false">
      <c r="D1521" s="60"/>
      <c r="E1521" s="60"/>
      <c r="F1521" s="62"/>
      <c r="G1521" s="57" t="s">
        <v>5533</v>
      </c>
      <c r="H1521" s="57" t="s">
        <v>3792</v>
      </c>
      <c r="I1521" s="39"/>
      <c r="J1521" s="57" t="s">
        <v>3792</v>
      </c>
      <c r="K1521" s="57" t="s">
        <v>3792</v>
      </c>
    </row>
    <row r="1522" customFormat="false" ht="55.95" hidden="false" customHeight="false" outlineLevel="0" collapsed="false">
      <c r="D1522" s="1" t="s">
        <v>5534</v>
      </c>
      <c r="E1522" s="1" t="s">
        <v>5535</v>
      </c>
      <c r="F1522" s="0" t="s">
        <v>5334</v>
      </c>
      <c r="G1522" s="57" t="s">
        <v>5536</v>
      </c>
      <c r="H1522" s="57" t="s">
        <v>5537</v>
      </c>
      <c r="I1522" s="34" t="s">
        <v>40</v>
      </c>
      <c r="J1522" s="57" t="s">
        <v>5538</v>
      </c>
      <c r="K1522" s="57" t="s">
        <v>5539</v>
      </c>
    </row>
    <row r="1523" customFormat="false" ht="45.05" hidden="false" customHeight="false" outlineLevel="0" collapsed="false">
      <c r="D1523" s="60"/>
      <c r="E1523" s="60"/>
      <c r="F1523" s="62"/>
      <c r="G1523" s="57" t="s">
        <v>5540</v>
      </c>
      <c r="H1523" s="57" t="s">
        <v>3792</v>
      </c>
      <c r="I1523" s="34"/>
      <c r="J1523" s="57" t="s">
        <v>3792</v>
      </c>
      <c r="K1523" s="57" t="s">
        <v>3792</v>
      </c>
    </row>
    <row r="1524" customFormat="false" ht="77.7" hidden="false" customHeight="false" outlineLevel="0" collapsed="false">
      <c r="D1524" s="1" t="s">
        <v>5541</v>
      </c>
      <c r="E1524" s="1" t="s">
        <v>5542</v>
      </c>
      <c r="F1524" s="0" t="s">
        <v>5334</v>
      </c>
      <c r="G1524" s="57" t="s">
        <v>5543</v>
      </c>
      <c r="H1524" s="57" t="s">
        <v>5544</v>
      </c>
      <c r="I1524" s="37" t="s">
        <v>50</v>
      </c>
      <c r="J1524" s="57" t="s">
        <v>5545</v>
      </c>
      <c r="K1524" s="57" t="s">
        <v>5546</v>
      </c>
    </row>
    <row r="1525" customFormat="false" ht="34.2" hidden="false" customHeight="false" outlineLevel="0" collapsed="false">
      <c r="B1525" s="67"/>
      <c r="C1525" s="68"/>
      <c r="D1525" s="68"/>
      <c r="E1525" s="68"/>
      <c r="F1525" s="65"/>
      <c r="G1525" s="57" t="s">
        <v>5547</v>
      </c>
      <c r="H1525" s="57" t="s">
        <v>3792</v>
      </c>
      <c r="I1525" s="37"/>
      <c r="J1525" s="57" t="s">
        <v>3792</v>
      </c>
      <c r="K1525" s="57" t="s">
        <v>3792</v>
      </c>
    </row>
    <row r="1526" customFormat="false" ht="45.05" hidden="false" customHeight="false" outlineLevel="0" collapsed="false">
      <c r="B1526" s="1" t="s">
        <v>5548</v>
      </c>
      <c r="C1526" s="59" t="s">
        <v>5549</v>
      </c>
      <c r="D1526" s="1" t="s">
        <v>5550</v>
      </c>
      <c r="E1526" s="1" t="s">
        <v>5551</v>
      </c>
      <c r="F1526" s="0" t="s">
        <v>5342</v>
      </c>
      <c r="G1526" s="57" t="s">
        <v>5552</v>
      </c>
      <c r="H1526" s="57" t="s">
        <v>5553</v>
      </c>
      <c r="I1526" s="34" t="s">
        <v>40</v>
      </c>
      <c r="J1526" s="57" t="s">
        <v>5554</v>
      </c>
      <c r="K1526" s="57" t="s">
        <v>5555</v>
      </c>
    </row>
    <row r="1527" customFormat="false" ht="45.05" hidden="false" customHeight="false" outlineLevel="0" collapsed="false">
      <c r="D1527" s="60"/>
      <c r="E1527" s="60"/>
      <c r="F1527" s="62"/>
      <c r="G1527" s="57" t="s">
        <v>5556</v>
      </c>
      <c r="H1527" s="57" t="s">
        <v>3792</v>
      </c>
      <c r="I1527" s="34"/>
      <c r="J1527" s="57" t="s">
        <v>3792</v>
      </c>
      <c r="K1527" s="57" t="s">
        <v>3792</v>
      </c>
    </row>
    <row r="1528" customFormat="false" ht="45.05" hidden="false" customHeight="false" outlineLevel="0" collapsed="false">
      <c r="D1528" s="1" t="s">
        <v>5557</v>
      </c>
      <c r="E1528" s="1" t="s">
        <v>5558</v>
      </c>
      <c r="F1528" s="0" t="s">
        <v>5334</v>
      </c>
      <c r="G1528" s="57" t="s">
        <v>5559</v>
      </c>
      <c r="H1528" s="57" t="s">
        <v>5560</v>
      </c>
      <c r="I1528" s="39" t="s">
        <v>67</v>
      </c>
      <c r="J1528" s="57" t="s">
        <v>5561</v>
      </c>
      <c r="K1528" s="57" t="s">
        <v>5562</v>
      </c>
    </row>
    <row r="1529" customFormat="false" ht="55.95" hidden="false" customHeight="false" outlineLevel="0" collapsed="false">
      <c r="D1529" s="60"/>
      <c r="E1529" s="60"/>
      <c r="F1529" s="62"/>
      <c r="G1529" s="57" t="s">
        <v>5563</v>
      </c>
      <c r="H1529" s="57" t="s">
        <v>3792</v>
      </c>
      <c r="I1529" s="39"/>
      <c r="J1529" s="57" t="s">
        <v>3792</v>
      </c>
      <c r="K1529" s="57" t="s">
        <v>3792</v>
      </c>
    </row>
    <row r="1530" customFormat="false" ht="34.2" hidden="false" customHeight="false" outlineLevel="0" collapsed="false">
      <c r="D1530" s="1" t="s">
        <v>5564</v>
      </c>
      <c r="E1530" s="1" t="s">
        <v>5565</v>
      </c>
      <c r="F1530" s="0" t="s">
        <v>5342</v>
      </c>
      <c r="G1530" s="57" t="s">
        <v>5335</v>
      </c>
      <c r="H1530" s="57" t="s">
        <v>5566</v>
      </c>
      <c r="I1530" s="34" t="s">
        <v>40</v>
      </c>
      <c r="J1530" s="57" t="s">
        <v>5567</v>
      </c>
      <c r="K1530" s="57" t="s">
        <v>5568</v>
      </c>
    </row>
    <row r="1531" customFormat="false" ht="34.2" hidden="false" customHeight="false" outlineLevel="0" collapsed="false">
      <c r="D1531" s="60"/>
      <c r="E1531" s="60"/>
      <c r="F1531" s="62"/>
      <c r="G1531" s="57" t="s">
        <v>5339</v>
      </c>
      <c r="H1531" s="57" t="s">
        <v>3792</v>
      </c>
      <c r="I1531" s="34"/>
      <c r="J1531" s="57" t="s">
        <v>3792</v>
      </c>
      <c r="K1531" s="57" t="s">
        <v>3792</v>
      </c>
    </row>
    <row r="1532" customFormat="false" ht="45.05" hidden="false" customHeight="false" outlineLevel="0" collapsed="false">
      <c r="D1532" s="1" t="s">
        <v>5569</v>
      </c>
      <c r="E1532" s="1" t="s">
        <v>5570</v>
      </c>
      <c r="F1532" s="0" t="s">
        <v>5342</v>
      </c>
      <c r="G1532" s="57" t="s">
        <v>5343</v>
      </c>
      <c r="H1532" s="57" t="s">
        <v>5571</v>
      </c>
      <c r="I1532" s="37" t="s">
        <v>50</v>
      </c>
      <c r="J1532" s="57" t="s">
        <v>5572</v>
      </c>
      <c r="K1532" s="57" t="s">
        <v>5573</v>
      </c>
    </row>
    <row r="1533" customFormat="false" ht="66.85" hidden="false" customHeight="false" outlineLevel="0" collapsed="false">
      <c r="D1533" s="60"/>
      <c r="E1533" s="60"/>
      <c r="F1533" s="62"/>
      <c r="G1533" s="57" t="s">
        <v>5347</v>
      </c>
      <c r="H1533" s="57" t="s">
        <v>3792</v>
      </c>
      <c r="I1533" s="37"/>
      <c r="J1533" s="57" t="s">
        <v>3792</v>
      </c>
      <c r="K1533" s="57" t="s">
        <v>3792</v>
      </c>
    </row>
    <row r="1534" customFormat="false" ht="34.2" hidden="false" customHeight="false" outlineLevel="0" collapsed="false">
      <c r="D1534" s="1" t="s">
        <v>5574</v>
      </c>
      <c r="E1534" s="1" t="s">
        <v>5575</v>
      </c>
      <c r="F1534" s="0" t="s">
        <v>5334</v>
      </c>
      <c r="G1534" s="57" t="s">
        <v>5350</v>
      </c>
      <c r="H1534" s="57" t="s">
        <v>5576</v>
      </c>
      <c r="I1534" s="34" t="s">
        <v>40</v>
      </c>
      <c r="J1534" s="57" t="s">
        <v>5577</v>
      </c>
      <c r="K1534" s="57" t="s">
        <v>5578</v>
      </c>
    </row>
    <row r="1535" customFormat="false" ht="45.05" hidden="false" customHeight="false" outlineLevel="0" collapsed="false">
      <c r="C1535" s="64"/>
      <c r="D1535" s="66"/>
      <c r="E1535" s="66"/>
      <c r="F1535" s="65"/>
      <c r="G1535" s="57" t="s">
        <v>5354</v>
      </c>
      <c r="H1535" s="57" t="s">
        <v>3792</v>
      </c>
      <c r="I1535" s="34"/>
      <c r="J1535" s="57" t="s">
        <v>3792</v>
      </c>
      <c r="K1535" s="57" t="s">
        <v>3792</v>
      </c>
    </row>
    <row r="1536" customFormat="false" ht="34.2" hidden="false" customHeight="false" outlineLevel="0" collapsed="false">
      <c r="C1536" s="59" t="s">
        <v>5579</v>
      </c>
      <c r="D1536" s="1" t="s">
        <v>5580</v>
      </c>
      <c r="E1536" s="1" t="s">
        <v>5581</v>
      </c>
      <c r="F1536" s="0" t="s">
        <v>5334</v>
      </c>
      <c r="G1536" s="57" t="s">
        <v>5357</v>
      </c>
      <c r="H1536" s="57" t="s">
        <v>5582</v>
      </c>
      <c r="I1536" s="39" t="s">
        <v>67</v>
      </c>
      <c r="J1536" s="57" t="s">
        <v>5583</v>
      </c>
      <c r="K1536" s="57" t="s">
        <v>5584</v>
      </c>
    </row>
    <row r="1537" customFormat="false" ht="45.05" hidden="false" customHeight="false" outlineLevel="0" collapsed="false">
      <c r="D1537" s="60"/>
      <c r="E1537" s="60"/>
      <c r="F1537" s="62"/>
      <c r="G1537" s="57" t="s">
        <v>5361</v>
      </c>
      <c r="H1537" s="57" t="s">
        <v>3792</v>
      </c>
      <c r="I1537" s="39"/>
      <c r="J1537" s="57" t="s">
        <v>3792</v>
      </c>
      <c r="K1537" s="57" t="s">
        <v>3792</v>
      </c>
    </row>
    <row r="1538" customFormat="false" ht="45.05" hidden="false" customHeight="false" outlineLevel="0" collapsed="false">
      <c r="D1538" s="1" t="s">
        <v>5585</v>
      </c>
      <c r="E1538" s="1" t="s">
        <v>5586</v>
      </c>
      <c r="F1538" s="0" t="s">
        <v>5342</v>
      </c>
      <c r="G1538" s="57" t="s">
        <v>5364</v>
      </c>
      <c r="H1538" s="57" t="s">
        <v>5587</v>
      </c>
      <c r="I1538" s="34" t="s">
        <v>40</v>
      </c>
      <c r="J1538" s="57" t="s">
        <v>5588</v>
      </c>
      <c r="K1538" s="57" t="s">
        <v>5589</v>
      </c>
    </row>
    <row r="1539" customFormat="false" ht="45.05" hidden="false" customHeight="false" outlineLevel="0" collapsed="false">
      <c r="D1539" s="60"/>
      <c r="E1539" s="60"/>
      <c r="F1539" s="62"/>
      <c r="G1539" s="57" t="s">
        <v>5368</v>
      </c>
      <c r="H1539" s="57" t="s">
        <v>3792</v>
      </c>
      <c r="I1539" s="34"/>
      <c r="J1539" s="57" t="s">
        <v>3792</v>
      </c>
      <c r="K1539" s="57" t="s">
        <v>3792</v>
      </c>
    </row>
    <row r="1540" customFormat="false" ht="55.95" hidden="false" customHeight="false" outlineLevel="0" collapsed="false">
      <c r="D1540" s="1" t="s">
        <v>5590</v>
      </c>
      <c r="E1540" s="1" t="s">
        <v>5591</v>
      </c>
      <c r="F1540" s="0" t="s">
        <v>5334</v>
      </c>
      <c r="G1540" s="57" t="s">
        <v>5372</v>
      </c>
      <c r="H1540" s="57" t="s">
        <v>5592</v>
      </c>
      <c r="I1540" s="37" t="s">
        <v>50</v>
      </c>
      <c r="J1540" s="57" t="s">
        <v>5593</v>
      </c>
      <c r="K1540" s="57" t="s">
        <v>5594</v>
      </c>
    </row>
    <row r="1541" customFormat="false" ht="45.05" hidden="false" customHeight="false" outlineLevel="0" collapsed="false">
      <c r="D1541" s="60"/>
      <c r="E1541" s="60"/>
      <c r="F1541" s="62"/>
      <c r="G1541" s="57" t="s">
        <v>5376</v>
      </c>
      <c r="H1541" s="57" t="s">
        <v>3792</v>
      </c>
      <c r="I1541" s="37"/>
      <c r="J1541" s="57" t="s">
        <v>3792</v>
      </c>
      <c r="K1541" s="57" t="s">
        <v>3792</v>
      </c>
    </row>
    <row r="1542" customFormat="false" ht="34.2" hidden="false" customHeight="false" outlineLevel="0" collapsed="false">
      <c r="D1542" s="1" t="s">
        <v>5595</v>
      </c>
      <c r="E1542" s="1" t="s">
        <v>5596</v>
      </c>
      <c r="F1542" s="0" t="s">
        <v>5334</v>
      </c>
      <c r="G1542" s="57" t="s">
        <v>5377</v>
      </c>
      <c r="H1542" s="57" t="s">
        <v>5597</v>
      </c>
      <c r="I1542" s="34" t="s">
        <v>40</v>
      </c>
      <c r="J1542" s="57" t="s">
        <v>5598</v>
      </c>
      <c r="K1542" s="57" t="s">
        <v>5599</v>
      </c>
    </row>
    <row r="1543" customFormat="false" ht="55.95" hidden="false" customHeight="false" outlineLevel="0" collapsed="false">
      <c r="D1543" s="60"/>
      <c r="E1543" s="60"/>
      <c r="F1543" s="62"/>
      <c r="G1543" s="57" t="s">
        <v>5383</v>
      </c>
      <c r="H1543" s="57" t="s">
        <v>3792</v>
      </c>
      <c r="I1543" s="34"/>
      <c r="J1543" s="57" t="s">
        <v>3792</v>
      </c>
      <c r="K1543" s="57" t="s">
        <v>3792</v>
      </c>
    </row>
    <row r="1544" customFormat="false" ht="45.05" hidden="false" customHeight="false" outlineLevel="0" collapsed="false">
      <c r="D1544" s="1" t="s">
        <v>5600</v>
      </c>
      <c r="E1544" s="1" t="s">
        <v>5601</v>
      </c>
      <c r="F1544" s="0" t="s">
        <v>5334</v>
      </c>
      <c r="G1544" s="57" t="s">
        <v>5384</v>
      </c>
      <c r="H1544" s="57" t="s">
        <v>5602</v>
      </c>
      <c r="I1544" s="39" t="s">
        <v>67</v>
      </c>
      <c r="J1544" s="57" t="s">
        <v>5603</v>
      </c>
      <c r="K1544" s="57" t="s">
        <v>5604</v>
      </c>
    </row>
    <row r="1545" customFormat="false" ht="34.2" hidden="false" customHeight="false" outlineLevel="0" collapsed="false">
      <c r="C1545" s="64"/>
      <c r="D1545" s="66"/>
      <c r="E1545" s="66"/>
      <c r="F1545" s="65"/>
      <c r="G1545" s="57" t="s">
        <v>5390</v>
      </c>
      <c r="H1545" s="57" t="s">
        <v>3792</v>
      </c>
      <c r="I1545" s="39"/>
      <c r="J1545" s="57" t="s">
        <v>3792</v>
      </c>
      <c r="K1545" s="57" t="s">
        <v>3792</v>
      </c>
    </row>
    <row r="1546" customFormat="false" ht="34.2" hidden="false" customHeight="false" outlineLevel="0" collapsed="false">
      <c r="C1546" s="59" t="s">
        <v>5605</v>
      </c>
      <c r="D1546" s="1" t="s">
        <v>5606</v>
      </c>
      <c r="E1546" s="1" t="s">
        <v>5607</v>
      </c>
      <c r="F1546" s="0" t="s">
        <v>5342</v>
      </c>
      <c r="G1546" s="57" t="s">
        <v>5391</v>
      </c>
      <c r="H1546" s="57" t="s">
        <v>5608</v>
      </c>
      <c r="I1546" s="34" t="s">
        <v>40</v>
      </c>
      <c r="J1546" s="57" t="s">
        <v>5609</v>
      </c>
      <c r="K1546" s="57" t="s">
        <v>5610</v>
      </c>
    </row>
    <row r="1547" customFormat="false" ht="21.75" hidden="false" customHeight="false" outlineLevel="0" collapsed="false">
      <c r="D1547" s="60"/>
      <c r="E1547" s="60"/>
      <c r="F1547" s="62"/>
      <c r="G1547" s="57" t="s">
        <v>5397</v>
      </c>
      <c r="H1547" s="57" t="s">
        <v>3792</v>
      </c>
      <c r="I1547" s="34"/>
      <c r="J1547" s="57" t="s">
        <v>3792</v>
      </c>
      <c r="K1547" s="57" t="s">
        <v>3792</v>
      </c>
    </row>
    <row r="1548" customFormat="false" ht="34.2" hidden="false" customHeight="false" outlineLevel="0" collapsed="false">
      <c r="D1548" s="1" t="s">
        <v>5611</v>
      </c>
      <c r="E1548" s="1" t="s">
        <v>5612</v>
      </c>
      <c r="F1548" s="0" t="s">
        <v>5334</v>
      </c>
      <c r="G1548" s="57" t="s">
        <v>5398</v>
      </c>
      <c r="H1548" s="57" t="s">
        <v>5613</v>
      </c>
      <c r="I1548" s="37" t="s">
        <v>50</v>
      </c>
      <c r="J1548" s="57" t="s">
        <v>5614</v>
      </c>
      <c r="K1548" s="57" t="s">
        <v>5615</v>
      </c>
    </row>
    <row r="1549" customFormat="false" ht="45.05" hidden="false" customHeight="false" outlineLevel="0" collapsed="false">
      <c r="D1549" s="60"/>
      <c r="E1549" s="60"/>
      <c r="F1549" s="62"/>
      <c r="G1549" s="57" t="s">
        <v>5404</v>
      </c>
      <c r="H1549" s="57" t="s">
        <v>3792</v>
      </c>
      <c r="I1549" s="37"/>
      <c r="J1549" s="57" t="s">
        <v>3792</v>
      </c>
      <c r="K1549" s="57" t="s">
        <v>3792</v>
      </c>
    </row>
    <row r="1550" customFormat="false" ht="55.95" hidden="false" customHeight="false" outlineLevel="0" collapsed="false">
      <c r="D1550" s="1" t="s">
        <v>5616</v>
      </c>
      <c r="E1550" s="1" t="s">
        <v>5617</v>
      </c>
      <c r="F1550" s="0" t="s">
        <v>5334</v>
      </c>
      <c r="G1550" s="57" t="s">
        <v>5408</v>
      </c>
      <c r="H1550" s="57" t="s">
        <v>5618</v>
      </c>
      <c r="I1550" s="34" t="s">
        <v>40</v>
      </c>
      <c r="J1550" s="57" t="s">
        <v>5619</v>
      </c>
      <c r="K1550" s="57" t="s">
        <v>5620</v>
      </c>
    </row>
    <row r="1551" customFormat="false" ht="34.2" hidden="false" customHeight="false" outlineLevel="0" collapsed="false">
      <c r="D1551" s="60"/>
      <c r="E1551" s="60"/>
      <c r="F1551" s="62"/>
      <c r="G1551" s="57" t="s">
        <v>5412</v>
      </c>
      <c r="H1551" s="57" t="s">
        <v>3792</v>
      </c>
      <c r="I1551" s="34"/>
      <c r="J1551" s="57" t="s">
        <v>3792</v>
      </c>
      <c r="K1551" s="57" t="s">
        <v>3792</v>
      </c>
    </row>
    <row r="1552" customFormat="false" ht="45.05" hidden="false" customHeight="false" outlineLevel="0" collapsed="false">
      <c r="D1552" s="1" t="s">
        <v>5621</v>
      </c>
      <c r="E1552" s="1" t="s">
        <v>5622</v>
      </c>
      <c r="F1552" s="0" t="s">
        <v>5342</v>
      </c>
      <c r="G1552" s="57" t="s">
        <v>5415</v>
      </c>
      <c r="H1552" s="57" t="s">
        <v>5623</v>
      </c>
      <c r="I1552" s="39" t="s">
        <v>67</v>
      </c>
      <c r="J1552" s="57" t="s">
        <v>5624</v>
      </c>
      <c r="K1552" s="57" t="s">
        <v>5625</v>
      </c>
    </row>
    <row r="1553" customFormat="false" ht="55.95" hidden="false" customHeight="false" outlineLevel="0" collapsed="false">
      <c r="D1553" s="60"/>
      <c r="E1553" s="60"/>
      <c r="F1553" s="62"/>
      <c r="G1553" s="57" t="s">
        <v>5419</v>
      </c>
      <c r="H1553" s="57" t="s">
        <v>3792</v>
      </c>
      <c r="I1553" s="39"/>
      <c r="J1553" s="57" t="s">
        <v>3792</v>
      </c>
      <c r="K1553" s="57" t="s">
        <v>3792</v>
      </c>
    </row>
    <row r="1554" customFormat="false" ht="34.2" hidden="false" customHeight="false" outlineLevel="0" collapsed="false">
      <c r="D1554" s="1" t="s">
        <v>5626</v>
      </c>
      <c r="E1554" s="1" t="s">
        <v>5627</v>
      </c>
      <c r="F1554" s="0" t="s">
        <v>5342</v>
      </c>
      <c r="G1554" s="57" t="s">
        <v>5422</v>
      </c>
      <c r="H1554" s="57" t="s">
        <v>5628</v>
      </c>
      <c r="I1554" s="34" t="s">
        <v>40</v>
      </c>
      <c r="J1554" s="57" t="s">
        <v>5629</v>
      </c>
      <c r="K1554" s="57" t="s">
        <v>5630</v>
      </c>
    </row>
    <row r="1555" customFormat="false" ht="34.2" hidden="false" customHeight="false" outlineLevel="0" collapsed="false">
      <c r="C1555" s="64"/>
      <c r="D1555" s="66"/>
      <c r="E1555" s="66"/>
      <c r="F1555" s="65"/>
      <c r="G1555" s="57" t="s">
        <v>5426</v>
      </c>
      <c r="H1555" s="57" t="s">
        <v>3792</v>
      </c>
      <c r="I1555" s="34"/>
      <c r="J1555" s="57" t="s">
        <v>3792</v>
      </c>
      <c r="K1555" s="57" t="s">
        <v>3792</v>
      </c>
    </row>
    <row r="1556" customFormat="false" ht="55.95" hidden="false" customHeight="false" outlineLevel="0" collapsed="false">
      <c r="C1556" s="59" t="s">
        <v>5631</v>
      </c>
      <c r="D1556" s="1" t="s">
        <v>5632</v>
      </c>
      <c r="E1556" s="1" t="s">
        <v>5633</v>
      </c>
      <c r="F1556" s="0" t="s">
        <v>5334</v>
      </c>
      <c r="G1556" s="57" t="s">
        <v>5429</v>
      </c>
      <c r="H1556" s="57" t="s">
        <v>5634</v>
      </c>
      <c r="I1556" s="37" t="s">
        <v>50</v>
      </c>
      <c r="J1556" s="57" t="s">
        <v>5635</v>
      </c>
      <c r="K1556" s="57" t="s">
        <v>5636</v>
      </c>
    </row>
    <row r="1557" customFormat="false" ht="66.85" hidden="false" customHeight="false" outlineLevel="0" collapsed="false">
      <c r="D1557" s="60"/>
      <c r="E1557" s="60"/>
      <c r="F1557" s="62"/>
      <c r="G1557" s="57" t="s">
        <v>5433</v>
      </c>
      <c r="H1557" s="57" t="s">
        <v>3792</v>
      </c>
      <c r="I1557" s="37"/>
      <c r="J1557" s="57" t="s">
        <v>3792</v>
      </c>
      <c r="K1557" s="57" t="s">
        <v>3792</v>
      </c>
    </row>
    <row r="1558" customFormat="false" ht="34.2" hidden="false" customHeight="false" outlineLevel="0" collapsed="false">
      <c r="D1558" s="1" t="s">
        <v>5637</v>
      </c>
      <c r="E1558" s="1" t="s">
        <v>5638</v>
      </c>
      <c r="F1558" s="0" t="s">
        <v>5334</v>
      </c>
      <c r="G1558" s="57" t="s">
        <v>689</v>
      </c>
      <c r="H1558" s="57" t="s">
        <v>5639</v>
      </c>
      <c r="I1558" s="34" t="s">
        <v>40</v>
      </c>
      <c r="J1558" s="57" t="s">
        <v>5640</v>
      </c>
      <c r="K1558" s="57" t="s">
        <v>5641</v>
      </c>
    </row>
    <row r="1559" customFormat="false" ht="34.2" hidden="false" customHeight="false" outlineLevel="0" collapsed="false">
      <c r="D1559" s="60"/>
      <c r="E1559" s="60"/>
      <c r="F1559" s="62"/>
      <c r="G1559" s="57" t="s">
        <v>5439</v>
      </c>
      <c r="H1559" s="57" t="s">
        <v>3792</v>
      </c>
      <c r="I1559" s="34"/>
      <c r="J1559" s="57" t="s">
        <v>3792</v>
      </c>
      <c r="K1559" s="57" t="s">
        <v>3792</v>
      </c>
    </row>
    <row r="1560" customFormat="false" ht="34.2" hidden="false" customHeight="false" outlineLevel="0" collapsed="false">
      <c r="D1560" s="1" t="s">
        <v>5642</v>
      </c>
      <c r="E1560" s="1" t="s">
        <v>5643</v>
      </c>
      <c r="F1560" s="0" t="s">
        <v>5342</v>
      </c>
      <c r="G1560" s="57" t="s">
        <v>5443</v>
      </c>
      <c r="H1560" s="57" t="s">
        <v>5644</v>
      </c>
      <c r="I1560" s="39" t="s">
        <v>67</v>
      </c>
      <c r="J1560" s="57" t="s">
        <v>5645</v>
      </c>
      <c r="K1560" s="57" t="s">
        <v>5646</v>
      </c>
    </row>
    <row r="1561" customFormat="false" ht="34.2" hidden="false" customHeight="false" outlineLevel="0" collapsed="false">
      <c r="D1561" s="60"/>
      <c r="E1561" s="60"/>
      <c r="F1561" s="62"/>
      <c r="G1561" s="57" t="s">
        <v>5447</v>
      </c>
      <c r="H1561" s="57" t="s">
        <v>3792</v>
      </c>
      <c r="I1561" s="39"/>
      <c r="J1561" s="57" t="s">
        <v>3792</v>
      </c>
      <c r="K1561" s="57" t="s">
        <v>3792</v>
      </c>
    </row>
    <row r="1562" customFormat="false" ht="66.85" hidden="false" customHeight="false" outlineLevel="0" collapsed="false">
      <c r="D1562" s="1" t="s">
        <v>5647</v>
      </c>
      <c r="E1562" s="1" t="s">
        <v>5648</v>
      </c>
      <c r="F1562" s="0" t="s">
        <v>5342</v>
      </c>
      <c r="G1562" s="57" t="s">
        <v>5450</v>
      </c>
      <c r="H1562" s="57" t="s">
        <v>5649</v>
      </c>
      <c r="I1562" s="34" t="s">
        <v>40</v>
      </c>
      <c r="J1562" s="57" t="s">
        <v>5650</v>
      </c>
      <c r="K1562" s="57" t="s">
        <v>5651</v>
      </c>
    </row>
    <row r="1563" customFormat="false" ht="34.2" hidden="false" customHeight="false" outlineLevel="0" collapsed="false">
      <c r="D1563" s="60"/>
      <c r="E1563" s="60"/>
      <c r="F1563" s="62"/>
      <c r="G1563" s="57" t="s">
        <v>5454</v>
      </c>
      <c r="H1563" s="57" t="s">
        <v>3792</v>
      </c>
      <c r="I1563" s="34"/>
      <c r="J1563" s="57" t="s">
        <v>3792</v>
      </c>
      <c r="K1563" s="57" t="s">
        <v>3792</v>
      </c>
    </row>
    <row r="1564" customFormat="false" ht="34.2" hidden="false" customHeight="false" outlineLevel="0" collapsed="false">
      <c r="D1564" s="1" t="s">
        <v>5652</v>
      </c>
      <c r="E1564" s="1" t="s">
        <v>5653</v>
      </c>
      <c r="F1564" s="0" t="s">
        <v>5342</v>
      </c>
      <c r="G1564" s="57" t="s">
        <v>5457</v>
      </c>
      <c r="H1564" s="57" t="s">
        <v>5654</v>
      </c>
      <c r="I1564" s="37" t="s">
        <v>50</v>
      </c>
      <c r="J1564" s="57" t="s">
        <v>5655</v>
      </c>
      <c r="K1564" s="57" t="s">
        <v>5656</v>
      </c>
    </row>
    <row r="1565" customFormat="false" ht="34.2" hidden="false" customHeight="false" outlineLevel="0" collapsed="false">
      <c r="C1565" s="64"/>
      <c r="D1565" s="66"/>
      <c r="E1565" s="66"/>
      <c r="F1565" s="69"/>
      <c r="G1565" s="57" t="s">
        <v>5461</v>
      </c>
      <c r="H1565" s="57" t="s">
        <v>3792</v>
      </c>
      <c r="I1565" s="37"/>
      <c r="J1565" s="57" t="s">
        <v>3792</v>
      </c>
      <c r="K1565" s="57" t="s">
        <v>3792</v>
      </c>
    </row>
    <row r="1566" customFormat="false" ht="21.75" hidden="false" customHeight="false" outlineLevel="0" collapsed="false">
      <c r="C1566" s="1" t="s">
        <v>5657</v>
      </c>
      <c r="D1566" s="1" t="s">
        <v>5658</v>
      </c>
      <c r="E1566" s="1" t="s">
        <v>5659</v>
      </c>
      <c r="F1566" s="0" t="s">
        <v>5334</v>
      </c>
      <c r="G1566" s="57" t="s">
        <v>5464</v>
      </c>
      <c r="H1566" s="57" t="s">
        <v>5660</v>
      </c>
      <c r="I1566" s="34" t="s">
        <v>40</v>
      </c>
      <c r="J1566" s="57" t="s">
        <v>5661</v>
      </c>
      <c r="K1566" s="57" t="s">
        <v>5662</v>
      </c>
    </row>
    <row r="1567" customFormat="false" ht="34.2" hidden="false" customHeight="false" outlineLevel="0" collapsed="false">
      <c r="D1567" s="60"/>
      <c r="E1567" s="60"/>
      <c r="F1567" s="62"/>
      <c r="G1567" s="57" t="s">
        <v>5468</v>
      </c>
      <c r="H1567" s="57" t="s">
        <v>3792</v>
      </c>
      <c r="I1567" s="34"/>
      <c r="J1567" s="57" t="s">
        <v>3792</v>
      </c>
      <c r="K1567" s="57" t="s">
        <v>3792</v>
      </c>
    </row>
    <row r="1568" customFormat="false" ht="21.75" hidden="false" customHeight="false" outlineLevel="0" collapsed="false">
      <c r="D1568" s="1" t="s">
        <v>5663</v>
      </c>
      <c r="E1568" s="1" t="s">
        <v>5664</v>
      </c>
      <c r="F1568" s="0" t="s">
        <v>5342</v>
      </c>
      <c r="G1568" s="57" t="s">
        <v>5471</v>
      </c>
      <c r="H1568" s="57" t="s">
        <v>5665</v>
      </c>
      <c r="I1568" s="39" t="s">
        <v>67</v>
      </c>
      <c r="J1568" s="57" t="s">
        <v>5666</v>
      </c>
      <c r="K1568" s="57" t="s">
        <v>5667</v>
      </c>
    </row>
    <row r="1569" customFormat="false" ht="34.2" hidden="false" customHeight="false" outlineLevel="0" collapsed="false">
      <c r="D1569" s="60"/>
      <c r="E1569" s="60"/>
      <c r="F1569" s="62"/>
      <c r="G1569" s="57" t="s">
        <v>5475</v>
      </c>
      <c r="H1569" s="57" t="s">
        <v>3792</v>
      </c>
      <c r="I1569" s="39"/>
      <c r="J1569" s="57" t="s">
        <v>3792</v>
      </c>
      <c r="K1569" s="57" t="s">
        <v>3792</v>
      </c>
    </row>
    <row r="1570" customFormat="false" ht="45.05" hidden="false" customHeight="false" outlineLevel="0" collapsed="false">
      <c r="D1570" s="1" t="s">
        <v>5668</v>
      </c>
      <c r="E1570" s="1" t="s">
        <v>5669</v>
      </c>
      <c r="F1570" s="0" t="s">
        <v>5334</v>
      </c>
      <c r="G1570" s="57" t="s">
        <v>5479</v>
      </c>
      <c r="H1570" s="57" t="s">
        <v>5670</v>
      </c>
      <c r="I1570" s="34" t="s">
        <v>40</v>
      </c>
      <c r="J1570" s="57" t="s">
        <v>5671</v>
      </c>
      <c r="K1570" s="57" t="s">
        <v>5672</v>
      </c>
    </row>
    <row r="1571" customFormat="false" ht="34.2" hidden="false" customHeight="false" outlineLevel="0" collapsed="false">
      <c r="D1571" s="60"/>
      <c r="E1571" s="60"/>
      <c r="F1571" s="62"/>
      <c r="G1571" s="57" t="s">
        <v>5483</v>
      </c>
      <c r="H1571" s="57" t="s">
        <v>3792</v>
      </c>
      <c r="I1571" s="34"/>
      <c r="J1571" s="57" t="s">
        <v>3792</v>
      </c>
      <c r="K1571" s="57" t="s">
        <v>3792</v>
      </c>
    </row>
    <row r="1572" customFormat="false" ht="12.8" hidden="false" customHeight="false" outlineLevel="0" collapsed="false">
      <c r="D1572" s="1" t="s">
        <v>5673</v>
      </c>
      <c r="E1572" s="1" t="s">
        <v>5674</v>
      </c>
      <c r="F1572" s="0" t="s">
        <v>5342</v>
      </c>
      <c r="G1572" s="57" t="s">
        <v>5486</v>
      </c>
      <c r="H1572" s="57" t="s">
        <v>5675</v>
      </c>
      <c r="I1572" s="37" t="s">
        <v>50</v>
      </c>
      <c r="J1572" s="57" t="s">
        <v>5676</v>
      </c>
      <c r="K1572" s="57" t="s">
        <v>5677</v>
      </c>
    </row>
    <row r="1573" customFormat="false" ht="45.05" hidden="false" customHeight="false" outlineLevel="0" collapsed="false">
      <c r="D1573" s="60"/>
      <c r="E1573" s="60"/>
      <c r="F1573" s="62"/>
      <c r="G1573" s="57" t="s">
        <v>5490</v>
      </c>
      <c r="H1573" s="57" t="s">
        <v>3792</v>
      </c>
      <c r="I1573" s="37"/>
      <c r="J1573" s="57" t="s">
        <v>3792</v>
      </c>
      <c r="K1573" s="57" t="s">
        <v>3792</v>
      </c>
    </row>
    <row r="1574" customFormat="false" ht="34.2" hidden="false" customHeight="false" outlineLevel="0" collapsed="false">
      <c r="D1574" s="1" t="s">
        <v>5678</v>
      </c>
      <c r="E1574" s="1" t="s">
        <v>5679</v>
      </c>
      <c r="F1574" s="0" t="s">
        <v>5334</v>
      </c>
      <c r="G1574" s="57" t="s">
        <v>5493</v>
      </c>
      <c r="H1574" s="57" t="s">
        <v>5680</v>
      </c>
      <c r="I1574" s="34" t="s">
        <v>40</v>
      </c>
      <c r="J1574" s="57" t="s">
        <v>5681</v>
      </c>
      <c r="K1574" s="57" t="s">
        <v>5682</v>
      </c>
    </row>
    <row r="1575" customFormat="false" ht="34.2" hidden="false" customHeight="false" outlineLevel="0" collapsed="false">
      <c r="B1575" s="67"/>
      <c r="C1575" s="68"/>
      <c r="D1575" s="68"/>
      <c r="E1575" s="68"/>
      <c r="F1575" s="65"/>
      <c r="G1575" s="57" t="s">
        <v>5497</v>
      </c>
      <c r="H1575" s="57" t="s">
        <v>3792</v>
      </c>
      <c r="I1575" s="34"/>
      <c r="J1575" s="57" t="s">
        <v>3792</v>
      </c>
      <c r="K1575" s="57" t="s">
        <v>3792</v>
      </c>
    </row>
    <row r="1576" customFormat="false" ht="34.2" hidden="false" customHeight="false" outlineLevel="0" collapsed="false">
      <c r="B1576" s="1" t="s">
        <v>5683</v>
      </c>
      <c r="C1576" s="59" t="s">
        <v>5684</v>
      </c>
      <c r="D1576" s="1" t="s">
        <v>5685</v>
      </c>
      <c r="E1576" s="1" t="s">
        <v>5686</v>
      </c>
      <c r="F1576" s="0" t="s">
        <v>5342</v>
      </c>
      <c r="G1576" s="57" t="s">
        <v>5500</v>
      </c>
      <c r="H1576" s="57" t="s">
        <v>5687</v>
      </c>
      <c r="I1576" s="39" t="s">
        <v>67</v>
      </c>
      <c r="J1576" s="57" t="s">
        <v>5688</v>
      </c>
      <c r="K1576" s="57" t="s">
        <v>5689</v>
      </c>
    </row>
    <row r="1577" customFormat="false" ht="45.05" hidden="false" customHeight="false" outlineLevel="0" collapsed="false">
      <c r="D1577" s="60"/>
      <c r="E1577" s="60"/>
      <c r="F1577" s="62"/>
      <c r="G1577" s="57" t="s">
        <v>5504</v>
      </c>
      <c r="H1577" s="57" t="s">
        <v>3792</v>
      </c>
      <c r="I1577" s="39"/>
      <c r="J1577" s="57" t="s">
        <v>3792</v>
      </c>
      <c r="K1577" s="57" t="s">
        <v>3792</v>
      </c>
    </row>
    <row r="1578" customFormat="false" ht="45.05" hidden="false" customHeight="false" outlineLevel="0" collapsed="false">
      <c r="D1578" s="1" t="s">
        <v>5690</v>
      </c>
      <c r="E1578" s="1" t="s">
        <v>5691</v>
      </c>
      <c r="F1578" s="0" t="s">
        <v>5334</v>
      </c>
      <c r="G1578" s="57" t="s">
        <v>5507</v>
      </c>
      <c r="H1578" s="57" t="s">
        <v>5692</v>
      </c>
      <c r="I1578" s="34" t="s">
        <v>40</v>
      </c>
      <c r="J1578" s="57" t="s">
        <v>5693</v>
      </c>
      <c r="K1578" s="57" t="s">
        <v>5694</v>
      </c>
    </row>
    <row r="1579" customFormat="false" ht="45.05" hidden="false" customHeight="false" outlineLevel="0" collapsed="false">
      <c r="D1579" s="60"/>
      <c r="E1579" s="60"/>
      <c r="F1579" s="62"/>
      <c r="G1579" s="57" t="s">
        <v>5511</v>
      </c>
      <c r="H1579" s="57" t="s">
        <v>3792</v>
      </c>
      <c r="I1579" s="34"/>
      <c r="J1579" s="57" t="s">
        <v>3792</v>
      </c>
      <c r="K1579" s="57" t="s">
        <v>3792</v>
      </c>
    </row>
    <row r="1580" customFormat="false" ht="45.05" hidden="false" customHeight="false" outlineLevel="0" collapsed="false">
      <c r="D1580" s="1" t="s">
        <v>5695</v>
      </c>
      <c r="E1580" s="1" t="s">
        <v>5696</v>
      </c>
      <c r="F1580" s="0" t="s">
        <v>5342</v>
      </c>
      <c r="G1580" s="57" t="s">
        <v>5515</v>
      </c>
      <c r="H1580" s="57" t="s">
        <v>5697</v>
      </c>
      <c r="I1580" s="37" t="s">
        <v>50</v>
      </c>
      <c r="J1580" s="57" t="s">
        <v>5698</v>
      </c>
      <c r="K1580" s="57" t="s">
        <v>5699</v>
      </c>
    </row>
    <row r="1581" customFormat="false" ht="45.05" hidden="false" customHeight="false" outlineLevel="0" collapsed="false">
      <c r="D1581" s="60"/>
      <c r="E1581" s="60"/>
      <c r="F1581" s="62"/>
      <c r="G1581" s="57" t="s">
        <v>5519</v>
      </c>
      <c r="H1581" s="57" t="s">
        <v>3792</v>
      </c>
      <c r="I1581" s="37"/>
      <c r="J1581" s="57" t="s">
        <v>3792</v>
      </c>
      <c r="K1581" s="57" t="s">
        <v>3792</v>
      </c>
    </row>
    <row r="1582" customFormat="false" ht="21.75" hidden="false" customHeight="false" outlineLevel="0" collapsed="false">
      <c r="D1582" s="1" t="s">
        <v>5700</v>
      </c>
      <c r="E1582" s="1" t="s">
        <v>5701</v>
      </c>
      <c r="F1582" s="0" t="s">
        <v>5342</v>
      </c>
      <c r="G1582" s="57" t="s">
        <v>5522</v>
      </c>
      <c r="H1582" s="57" t="s">
        <v>5702</v>
      </c>
      <c r="I1582" s="34" t="s">
        <v>40</v>
      </c>
      <c r="J1582" s="57" t="s">
        <v>5703</v>
      </c>
      <c r="K1582" s="57" t="s">
        <v>5704</v>
      </c>
    </row>
    <row r="1583" customFormat="false" ht="45.05" hidden="false" customHeight="false" outlineLevel="0" collapsed="false">
      <c r="D1583" s="60"/>
      <c r="E1583" s="60"/>
      <c r="F1583" s="62"/>
      <c r="G1583" s="57" t="s">
        <v>5526</v>
      </c>
      <c r="H1583" s="57" t="s">
        <v>3792</v>
      </c>
      <c r="I1583" s="34"/>
      <c r="J1583" s="57" t="s">
        <v>3792</v>
      </c>
      <c r="K1583" s="57" t="s">
        <v>3792</v>
      </c>
    </row>
    <row r="1584" customFormat="false" ht="34.2" hidden="false" customHeight="false" outlineLevel="0" collapsed="false">
      <c r="D1584" s="1" t="s">
        <v>5705</v>
      </c>
      <c r="E1584" s="1" t="s">
        <v>5706</v>
      </c>
      <c r="F1584" s="0" t="s">
        <v>5334</v>
      </c>
      <c r="G1584" s="57" t="s">
        <v>5529</v>
      </c>
      <c r="H1584" s="57" t="s">
        <v>5707</v>
      </c>
      <c r="I1584" s="39" t="s">
        <v>67</v>
      </c>
      <c r="J1584" s="57" t="s">
        <v>5708</v>
      </c>
      <c r="K1584" s="57" t="s">
        <v>5709</v>
      </c>
    </row>
    <row r="1585" customFormat="false" ht="45.05" hidden="false" customHeight="false" outlineLevel="0" collapsed="false">
      <c r="C1585" s="64"/>
      <c r="D1585" s="66"/>
      <c r="E1585" s="66"/>
      <c r="F1585" s="65"/>
      <c r="G1585" s="57" t="s">
        <v>5533</v>
      </c>
      <c r="H1585" s="57" t="s">
        <v>3792</v>
      </c>
      <c r="I1585" s="39"/>
      <c r="J1585" s="57" t="s">
        <v>3792</v>
      </c>
      <c r="K1585" s="57" t="s">
        <v>3792</v>
      </c>
    </row>
    <row r="1586" customFormat="false" ht="55.95" hidden="false" customHeight="false" outlineLevel="0" collapsed="false">
      <c r="C1586" s="1" t="s">
        <v>5710</v>
      </c>
      <c r="D1586" s="1" t="s">
        <v>5711</v>
      </c>
      <c r="E1586" s="1" t="s">
        <v>5712</v>
      </c>
      <c r="F1586" s="0" t="s">
        <v>5342</v>
      </c>
      <c r="G1586" s="57" t="s">
        <v>5536</v>
      </c>
      <c r="H1586" s="57" t="s">
        <v>5713</v>
      </c>
      <c r="I1586" s="34" t="s">
        <v>40</v>
      </c>
      <c r="J1586" s="57" t="s">
        <v>5714</v>
      </c>
      <c r="K1586" s="57" t="s">
        <v>5715</v>
      </c>
    </row>
    <row r="1587" customFormat="false" ht="45.05" hidden="false" customHeight="false" outlineLevel="0" collapsed="false">
      <c r="D1587" s="60"/>
      <c r="E1587" s="60"/>
      <c r="F1587" s="62"/>
      <c r="G1587" s="57" t="s">
        <v>5540</v>
      </c>
      <c r="H1587" s="57" t="s">
        <v>3792</v>
      </c>
      <c r="I1587" s="34"/>
      <c r="J1587" s="57" t="s">
        <v>3792</v>
      </c>
      <c r="K1587" s="57" t="s">
        <v>3792</v>
      </c>
    </row>
    <row r="1588" customFormat="false" ht="77.7" hidden="false" customHeight="false" outlineLevel="0" collapsed="false">
      <c r="D1588" s="1" t="s">
        <v>5716</v>
      </c>
      <c r="E1588" s="1" t="s">
        <v>5717</v>
      </c>
      <c r="F1588" s="0" t="s">
        <v>5334</v>
      </c>
      <c r="G1588" s="57" t="s">
        <v>5543</v>
      </c>
      <c r="H1588" s="57" t="s">
        <v>5718</v>
      </c>
      <c r="I1588" s="37" t="s">
        <v>50</v>
      </c>
      <c r="J1588" s="57" t="s">
        <v>5719</v>
      </c>
      <c r="K1588" s="57" t="s">
        <v>5720</v>
      </c>
    </row>
    <row r="1589" customFormat="false" ht="34.2" hidden="false" customHeight="false" outlineLevel="0" collapsed="false">
      <c r="D1589" s="60"/>
      <c r="E1589" s="60"/>
      <c r="F1589" s="62"/>
      <c r="G1589" s="57" t="s">
        <v>5547</v>
      </c>
      <c r="H1589" s="57" t="s">
        <v>3792</v>
      </c>
      <c r="I1589" s="37"/>
      <c r="J1589" s="57" t="s">
        <v>3792</v>
      </c>
      <c r="K1589" s="57" t="s">
        <v>3792</v>
      </c>
    </row>
    <row r="1590" customFormat="false" ht="45.05" hidden="false" customHeight="false" outlineLevel="0" collapsed="false">
      <c r="D1590" s="1" t="s">
        <v>5721</v>
      </c>
      <c r="E1590" s="1" t="s">
        <v>5722</v>
      </c>
      <c r="F1590" s="0" t="s">
        <v>5342</v>
      </c>
      <c r="G1590" s="57" t="s">
        <v>5552</v>
      </c>
      <c r="H1590" s="57" t="s">
        <v>5723</v>
      </c>
      <c r="I1590" s="34" t="s">
        <v>40</v>
      </c>
      <c r="J1590" s="57" t="s">
        <v>5724</v>
      </c>
      <c r="K1590" s="57" t="s">
        <v>5725</v>
      </c>
    </row>
    <row r="1591" customFormat="false" ht="45.05" hidden="false" customHeight="false" outlineLevel="0" collapsed="false">
      <c r="D1591" s="60"/>
      <c r="E1591" s="60"/>
      <c r="F1591" s="62"/>
      <c r="G1591" s="57" t="s">
        <v>5556</v>
      </c>
      <c r="H1591" s="57" t="s">
        <v>3792</v>
      </c>
      <c r="I1591" s="34"/>
      <c r="J1591" s="57" t="s">
        <v>3792</v>
      </c>
      <c r="K1591" s="57" t="s">
        <v>3792</v>
      </c>
    </row>
    <row r="1592" customFormat="false" ht="45.05" hidden="false" customHeight="false" outlineLevel="0" collapsed="false">
      <c r="D1592" s="1" t="s">
        <v>5726</v>
      </c>
      <c r="E1592" s="1" t="s">
        <v>5727</v>
      </c>
      <c r="F1592" s="0" t="s">
        <v>5342</v>
      </c>
      <c r="G1592" s="57" t="s">
        <v>5559</v>
      </c>
      <c r="H1592" s="57" t="s">
        <v>5728</v>
      </c>
      <c r="I1592" s="39" t="s">
        <v>67</v>
      </c>
      <c r="J1592" s="57" t="s">
        <v>5729</v>
      </c>
      <c r="K1592" s="57" t="s">
        <v>5730</v>
      </c>
    </row>
    <row r="1593" customFormat="false" ht="55.95" hidden="false" customHeight="false" outlineLevel="0" collapsed="false">
      <c r="D1593" s="60"/>
      <c r="E1593" s="60"/>
      <c r="F1593" s="62"/>
      <c r="G1593" s="57" t="s">
        <v>5563</v>
      </c>
      <c r="H1593" s="57" t="s">
        <v>3792</v>
      </c>
      <c r="I1593" s="39"/>
      <c r="J1593" s="57" t="s">
        <v>3792</v>
      </c>
      <c r="K1593" s="57" t="s">
        <v>3792</v>
      </c>
    </row>
    <row r="1594" customFormat="false" ht="34.2" hidden="false" customHeight="false" outlineLevel="0" collapsed="false">
      <c r="D1594" s="1" t="s">
        <v>5731</v>
      </c>
      <c r="E1594" s="1" t="s">
        <v>5732</v>
      </c>
      <c r="F1594" s="0" t="s">
        <v>5334</v>
      </c>
      <c r="G1594" s="57" t="s">
        <v>5733</v>
      </c>
      <c r="H1594" s="57" t="s">
        <v>5734</v>
      </c>
      <c r="I1594" s="34" t="s">
        <v>40</v>
      </c>
      <c r="J1594" s="57" t="s">
        <v>5735</v>
      </c>
      <c r="K1594" s="57" t="s">
        <v>5736</v>
      </c>
    </row>
    <row r="1595" customFormat="false" ht="45.05" hidden="false" customHeight="false" outlineLevel="0" collapsed="false">
      <c r="C1595" s="64"/>
      <c r="D1595" s="66"/>
      <c r="E1595" s="66"/>
      <c r="F1595" s="65"/>
      <c r="G1595" s="57" t="s">
        <v>5737</v>
      </c>
      <c r="H1595" s="57" t="s">
        <v>3792</v>
      </c>
      <c r="I1595" s="34"/>
      <c r="J1595" s="57" t="s">
        <v>3792</v>
      </c>
      <c r="K1595" s="57" t="s">
        <v>3792</v>
      </c>
    </row>
    <row r="1596" customFormat="false" ht="34.2" hidden="false" customHeight="false" outlineLevel="0" collapsed="false">
      <c r="C1596" s="1" t="s">
        <v>5738</v>
      </c>
      <c r="D1596" s="1" t="s">
        <v>5739</v>
      </c>
      <c r="E1596" s="1" t="s">
        <v>5740</v>
      </c>
      <c r="F1596" s="0" t="s">
        <v>5334</v>
      </c>
      <c r="G1596" s="57" t="s">
        <v>5741</v>
      </c>
      <c r="H1596" s="57" t="s">
        <v>5742</v>
      </c>
      <c r="I1596" s="37" t="s">
        <v>50</v>
      </c>
      <c r="J1596" s="57" t="s">
        <v>5743</v>
      </c>
      <c r="K1596" s="57" t="s">
        <v>5744</v>
      </c>
    </row>
    <row r="1597" customFormat="false" ht="55.95" hidden="false" customHeight="false" outlineLevel="0" collapsed="false">
      <c r="D1597" s="60"/>
      <c r="E1597" s="60"/>
      <c r="F1597" s="62"/>
      <c r="G1597" s="57" t="s">
        <v>5745</v>
      </c>
      <c r="H1597" s="57" t="s">
        <v>3792</v>
      </c>
      <c r="I1597" s="37"/>
      <c r="J1597" s="57" t="s">
        <v>3792</v>
      </c>
      <c r="K1597" s="57" t="s">
        <v>3792</v>
      </c>
    </row>
    <row r="1598" customFormat="false" ht="45.05" hidden="false" customHeight="false" outlineLevel="0" collapsed="false">
      <c r="D1598" s="1" t="s">
        <v>5746</v>
      </c>
      <c r="E1598" s="1" t="s">
        <v>5747</v>
      </c>
      <c r="F1598" s="0" t="s">
        <v>5342</v>
      </c>
      <c r="G1598" s="57" t="s">
        <v>5748</v>
      </c>
      <c r="H1598" s="57" t="s">
        <v>5749</v>
      </c>
      <c r="I1598" s="34" t="s">
        <v>40</v>
      </c>
      <c r="J1598" s="57" t="s">
        <v>5750</v>
      </c>
      <c r="K1598" s="57" t="s">
        <v>5751</v>
      </c>
    </row>
    <row r="1599" customFormat="false" ht="34.2" hidden="false" customHeight="false" outlineLevel="0" collapsed="false">
      <c r="D1599" s="60"/>
      <c r="E1599" s="60"/>
      <c r="F1599" s="62"/>
      <c r="G1599" s="57" t="s">
        <v>5752</v>
      </c>
      <c r="H1599" s="57" t="s">
        <v>3792</v>
      </c>
      <c r="I1599" s="34"/>
      <c r="J1599" s="57" t="s">
        <v>3792</v>
      </c>
      <c r="K1599" s="57" t="s">
        <v>3792</v>
      </c>
    </row>
    <row r="1600" customFormat="false" ht="45.05" hidden="false" customHeight="false" outlineLevel="0" collapsed="false">
      <c r="D1600" s="1" t="s">
        <v>5753</v>
      </c>
      <c r="E1600" s="1" t="s">
        <v>5754</v>
      </c>
      <c r="F1600" s="0" t="s">
        <v>5334</v>
      </c>
      <c r="G1600" s="57" t="s">
        <v>5755</v>
      </c>
      <c r="H1600" s="57" t="s">
        <v>5756</v>
      </c>
      <c r="I1600" s="39" t="s">
        <v>67</v>
      </c>
      <c r="J1600" s="57" t="s">
        <v>5757</v>
      </c>
      <c r="K1600" s="57" t="s">
        <v>5758</v>
      </c>
    </row>
    <row r="1601" customFormat="false" ht="55.95" hidden="false" customHeight="false" outlineLevel="0" collapsed="false">
      <c r="D1601" s="60"/>
      <c r="E1601" s="60"/>
      <c r="F1601" s="62"/>
      <c r="G1601" s="57" t="s">
        <v>5759</v>
      </c>
      <c r="H1601" s="57" t="s">
        <v>3792</v>
      </c>
      <c r="I1601" s="39"/>
      <c r="J1601" s="57" t="s">
        <v>3792</v>
      </c>
      <c r="K1601" s="57" t="s">
        <v>3792</v>
      </c>
    </row>
    <row r="1602" customFormat="false" ht="34.2" hidden="false" customHeight="false" outlineLevel="0" collapsed="false">
      <c r="D1602" s="1" t="s">
        <v>5760</v>
      </c>
      <c r="E1602" s="1" t="s">
        <v>5761</v>
      </c>
      <c r="F1602" s="0" t="s">
        <v>5342</v>
      </c>
      <c r="G1602" s="57" t="s">
        <v>5762</v>
      </c>
      <c r="H1602" s="57" t="s">
        <v>5763</v>
      </c>
      <c r="I1602" s="34" t="s">
        <v>40</v>
      </c>
      <c r="J1602" s="57" t="s">
        <v>5764</v>
      </c>
      <c r="K1602" s="57" t="s">
        <v>5765</v>
      </c>
    </row>
    <row r="1603" customFormat="false" ht="34.2" hidden="false" customHeight="false" outlineLevel="0" collapsed="false">
      <c r="D1603" s="60"/>
      <c r="E1603" s="60"/>
      <c r="F1603" s="62"/>
      <c r="G1603" s="57" t="s">
        <v>5766</v>
      </c>
      <c r="H1603" s="57" t="s">
        <v>3792</v>
      </c>
      <c r="I1603" s="34"/>
      <c r="J1603" s="57" t="s">
        <v>3792</v>
      </c>
      <c r="K1603" s="57" t="s">
        <v>3792</v>
      </c>
    </row>
    <row r="1604" customFormat="false" ht="34.2" hidden="false" customHeight="false" outlineLevel="0" collapsed="false">
      <c r="D1604" s="1" t="s">
        <v>5767</v>
      </c>
      <c r="E1604" s="1" t="s">
        <v>5768</v>
      </c>
      <c r="F1604" s="0" t="s">
        <v>5342</v>
      </c>
      <c r="G1604" s="57" t="s">
        <v>5769</v>
      </c>
      <c r="H1604" s="57" t="s">
        <v>5770</v>
      </c>
      <c r="I1604" s="37" t="s">
        <v>50</v>
      </c>
      <c r="J1604" s="57" t="s">
        <v>5771</v>
      </c>
      <c r="K1604" s="57" t="s">
        <v>5772</v>
      </c>
    </row>
    <row r="1605" customFormat="false" ht="45.05" hidden="false" customHeight="false" outlineLevel="0" collapsed="false">
      <c r="C1605" s="64"/>
      <c r="D1605" s="66"/>
      <c r="E1605" s="66"/>
      <c r="F1605" s="65"/>
      <c r="G1605" s="57" t="s">
        <v>5773</v>
      </c>
      <c r="H1605" s="57" t="s">
        <v>3792</v>
      </c>
      <c r="I1605" s="37"/>
      <c r="J1605" s="57" t="s">
        <v>3792</v>
      </c>
      <c r="K1605" s="57" t="s">
        <v>3792</v>
      </c>
    </row>
    <row r="1606" customFormat="false" ht="21.75" hidden="false" customHeight="false" outlineLevel="0" collapsed="false">
      <c r="C1606" s="1" t="s">
        <v>5774</v>
      </c>
      <c r="D1606" s="1" t="s">
        <v>5775</v>
      </c>
      <c r="E1606" s="1" t="s">
        <v>5776</v>
      </c>
      <c r="F1606" s="0" t="s">
        <v>5334</v>
      </c>
      <c r="G1606" s="57" t="s">
        <v>5777</v>
      </c>
      <c r="H1606" s="57" t="s">
        <v>5778</v>
      </c>
      <c r="I1606" s="34" t="s">
        <v>40</v>
      </c>
      <c r="J1606" s="57" t="s">
        <v>5779</v>
      </c>
      <c r="K1606" s="57" t="s">
        <v>5780</v>
      </c>
    </row>
    <row r="1607" customFormat="false" ht="34.2" hidden="false" customHeight="false" outlineLevel="0" collapsed="false">
      <c r="D1607" s="60"/>
      <c r="E1607" s="60"/>
      <c r="F1607" s="62"/>
      <c r="G1607" s="57" t="s">
        <v>2767</v>
      </c>
      <c r="H1607" s="57" t="s">
        <v>3792</v>
      </c>
      <c r="I1607" s="34"/>
      <c r="J1607" s="57" t="s">
        <v>3792</v>
      </c>
      <c r="K1607" s="57" t="s">
        <v>3792</v>
      </c>
    </row>
    <row r="1608" customFormat="false" ht="34.2" hidden="false" customHeight="false" outlineLevel="0" collapsed="false">
      <c r="D1608" s="1" t="s">
        <v>5781</v>
      </c>
      <c r="E1608" s="1" t="s">
        <v>5782</v>
      </c>
      <c r="F1608" s="0" t="s">
        <v>5342</v>
      </c>
      <c r="G1608" s="57" t="s">
        <v>5783</v>
      </c>
      <c r="H1608" s="57" t="s">
        <v>5784</v>
      </c>
      <c r="I1608" s="39" t="s">
        <v>67</v>
      </c>
      <c r="J1608" s="57" t="s">
        <v>5785</v>
      </c>
      <c r="K1608" s="57" t="s">
        <v>5786</v>
      </c>
    </row>
    <row r="1609" customFormat="false" ht="34.2" hidden="false" customHeight="false" outlineLevel="0" collapsed="false">
      <c r="D1609" s="60"/>
      <c r="E1609" s="60"/>
      <c r="F1609" s="62"/>
      <c r="G1609" s="57" t="s">
        <v>5787</v>
      </c>
      <c r="H1609" s="57" t="s">
        <v>3792</v>
      </c>
      <c r="I1609" s="39"/>
      <c r="J1609" s="57" t="s">
        <v>3792</v>
      </c>
      <c r="K1609" s="57" t="s">
        <v>3792</v>
      </c>
    </row>
    <row r="1610" customFormat="false" ht="34.2" hidden="false" customHeight="false" outlineLevel="0" collapsed="false">
      <c r="D1610" s="1" t="s">
        <v>5788</v>
      </c>
      <c r="E1610" s="1" t="s">
        <v>5789</v>
      </c>
      <c r="F1610" s="0" t="s">
        <v>5342</v>
      </c>
      <c r="G1610" s="57" t="s">
        <v>5790</v>
      </c>
      <c r="H1610" s="57" t="s">
        <v>5791</v>
      </c>
      <c r="I1610" s="34" t="s">
        <v>40</v>
      </c>
      <c r="J1610" s="57" t="s">
        <v>5792</v>
      </c>
      <c r="K1610" s="57" t="s">
        <v>5793</v>
      </c>
    </row>
    <row r="1611" customFormat="false" ht="55.95" hidden="false" customHeight="false" outlineLevel="0" collapsed="false">
      <c r="D1611" s="60"/>
      <c r="E1611" s="60"/>
      <c r="F1611" s="62"/>
      <c r="G1611" s="57" t="s">
        <v>5794</v>
      </c>
      <c r="H1611" s="57" t="s">
        <v>3792</v>
      </c>
      <c r="I1611" s="34"/>
      <c r="J1611" s="57" t="s">
        <v>3792</v>
      </c>
      <c r="K1611" s="57" t="s">
        <v>3792</v>
      </c>
    </row>
    <row r="1612" customFormat="false" ht="45.05" hidden="false" customHeight="false" outlineLevel="0" collapsed="false">
      <c r="D1612" s="1" t="s">
        <v>5795</v>
      </c>
      <c r="E1612" s="1" t="s">
        <v>5796</v>
      </c>
      <c r="F1612" s="0" t="s">
        <v>5334</v>
      </c>
      <c r="G1612" s="57" t="s">
        <v>5797</v>
      </c>
      <c r="H1612" s="57" t="s">
        <v>5798</v>
      </c>
      <c r="I1612" s="37" t="s">
        <v>50</v>
      </c>
      <c r="J1612" s="57" t="s">
        <v>5799</v>
      </c>
      <c r="K1612" s="57" t="s">
        <v>5800</v>
      </c>
    </row>
    <row r="1613" customFormat="false" ht="34.2" hidden="false" customHeight="false" outlineLevel="0" collapsed="false">
      <c r="D1613" s="60"/>
      <c r="E1613" s="60"/>
      <c r="F1613" s="62"/>
      <c r="G1613" s="57" t="s">
        <v>5801</v>
      </c>
      <c r="H1613" s="57" t="s">
        <v>3792</v>
      </c>
      <c r="I1613" s="37"/>
      <c r="J1613" s="57" t="s">
        <v>3792</v>
      </c>
      <c r="K1613" s="57" t="s">
        <v>3792</v>
      </c>
    </row>
    <row r="1614" customFormat="false" ht="34.2" hidden="false" customHeight="false" outlineLevel="0" collapsed="false">
      <c r="D1614" s="1" t="s">
        <v>5802</v>
      </c>
      <c r="E1614" s="1" t="s">
        <v>5803</v>
      </c>
      <c r="F1614" s="0" t="s">
        <v>5334</v>
      </c>
      <c r="G1614" s="57" t="s">
        <v>5804</v>
      </c>
      <c r="H1614" s="57" t="s">
        <v>5805</v>
      </c>
      <c r="I1614" s="34" t="s">
        <v>40</v>
      </c>
      <c r="J1614" s="57" t="s">
        <v>5806</v>
      </c>
      <c r="K1614" s="57" t="s">
        <v>5807</v>
      </c>
    </row>
    <row r="1615" customFormat="false" ht="34.2" hidden="false" customHeight="false" outlineLevel="0" collapsed="false">
      <c r="C1615" s="64"/>
      <c r="D1615" s="66"/>
      <c r="E1615" s="66"/>
      <c r="F1615" s="65"/>
      <c r="G1615" s="57" t="s">
        <v>5808</v>
      </c>
      <c r="H1615" s="57" t="s">
        <v>3792</v>
      </c>
      <c r="I1615" s="34"/>
      <c r="J1615" s="66"/>
      <c r="K1615" s="57" t="s">
        <v>3792</v>
      </c>
    </row>
    <row r="1616" customFormat="false" ht="45.05" hidden="false" customHeight="false" outlineLevel="0" collapsed="false">
      <c r="C1616" s="1" t="s">
        <v>5809</v>
      </c>
      <c r="D1616" s="1" t="s">
        <v>5810</v>
      </c>
      <c r="E1616" s="1" t="s">
        <v>5811</v>
      </c>
      <c r="F1616" s="0" t="s">
        <v>5334</v>
      </c>
      <c r="G1616" s="57" t="s">
        <v>5812</v>
      </c>
      <c r="H1616" s="57" t="s">
        <v>5813</v>
      </c>
      <c r="I1616" s="39" t="s">
        <v>67</v>
      </c>
      <c r="J1616" s="57" t="s">
        <v>5814</v>
      </c>
      <c r="K1616" s="57" t="s">
        <v>5815</v>
      </c>
    </row>
    <row r="1617" customFormat="false" ht="45.05" hidden="false" customHeight="false" outlineLevel="0" collapsed="false">
      <c r="D1617" s="60"/>
      <c r="E1617" s="60"/>
      <c r="F1617" s="62"/>
      <c r="G1617" s="57" t="s">
        <v>5816</v>
      </c>
      <c r="H1617" s="57" t="s">
        <v>3792</v>
      </c>
      <c r="I1617" s="39"/>
      <c r="J1617" s="57" t="s">
        <v>3792</v>
      </c>
      <c r="K1617" s="57" t="s">
        <v>3792</v>
      </c>
    </row>
    <row r="1618" customFormat="false" ht="34.2" hidden="false" customHeight="false" outlineLevel="0" collapsed="false">
      <c r="D1618" s="1" t="s">
        <v>5817</v>
      </c>
      <c r="E1618" s="1" t="s">
        <v>5818</v>
      </c>
      <c r="F1618" s="0" t="s">
        <v>5342</v>
      </c>
      <c r="G1618" s="57" t="s">
        <v>5819</v>
      </c>
      <c r="H1618" s="57" t="s">
        <v>5820</v>
      </c>
      <c r="I1618" s="34" t="s">
        <v>40</v>
      </c>
      <c r="J1618" s="57" t="s">
        <v>5821</v>
      </c>
      <c r="K1618" s="57" t="s">
        <v>5822</v>
      </c>
    </row>
    <row r="1619" customFormat="false" ht="34.2" hidden="false" customHeight="false" outlineLevel="0" collapsed="false">
      <c r="D1619" s="60"/>
      <c r="E1619" s="60"/>
      <c r="F1619" s="62"/>
      <c r="G1619" s="57" t="s">
        <v>5823</v>
      </c>
      <c r="H1619" s="57" t="s">
        <v>3792</v>
      </c>
      <c r="I1619" s="34"/>
      <c r="J1619" s="57" t="s">
        <v>3792</v>
      </c>
      <c r="K1619" s="57" t="s">
        <v>3792</v>
      </c>
    </row>
    <row r="1620" customFormat="false" ht="34.2" hidden="false" customHeight="false" outlineLevel="0" collapsed="false">
      <c r="D1620" s="1" t="s">
        <v>5824</v>
      </c>
      <c r="E1620" s="1" t="s">
        <v>5825</v>
      </c>
      <c r="F1620" s="0" t="s">
        <v>5342</v>
      </c>
      <c r="G1620" s="57" t="s">
        <v>5826</v>
      </c>
      <c r="H1620" s="57" t="s">
        <v>5827</v>
      </c>
      <c r="I1620" s="34" t="s">
        <v>40</v>
      </c>
      <c r="J1620" s="57" t="s">
        <v>5828</v>
      </c>
      <c r="K1620" s="57" t="s">
        <v>5829</v>
      </c>
    </row>
    <row r="1621" customFormat="false" ht="45.05" hidden="false" customHeight="false" outlineLevel="0" collapsed="false">
      <c r="D1621" s="60"/>
      <c r="E1621" s="60"/>
      <c r="F1621" s="62"/>
      <c r="G1621" s="57" t="s">
        <v>5830</v>
      </c>
      <c r="H1621" s="57" t="s">
        <v>3792</v>
      </c>
      <c r="I1621" s="34"/>
      <c r="J1621" s="57" t="s">
        <v>3792</v>
      </c>
      <c r="K1621" s="57" t="s">
        <v>3792</v>
      </c>
    </row>
    <row r="1622" customFormat="false" ht="45.05" hidden="false" customHeight="false" outlineLevel="0" collapsed="false">
      <c r="D1622" s="1" t="s">
        <v>5831</v>
      </c>
      <c r="E1622" s="1" t="s">
        <v>5832</v>
      </c>
      <c r="F1622" s="0" t="s">
        <v>5334</v>
      </c>
      <c r="G1622" s="57" t="s">
        <v>5833</v>
      </c>
      <c r="H1622" s="57" t="s">
        <v>5834</v>
      </c>
      <c r="I1622" s="39" t="s">
        <v>67</v>
      </c>
      <c r="J1622" s="57" t="s">
        <v>5835</v>
      </c>
      <c r="K1622" s="57" t="s">
        <v>5836</v>
      </c>
    </row>
    <row r="1623" customFormat="false" ht="45.05" hidden="false" customHeight="false" outlineLevel="0" collapsed="false">
      <c r="D1623" s="60"/>
      <c r="E1623" s="60"/>
      <c r="F1623" s="62"/>
      <c r="G1623" s="57" t="s">
        <v>5837</v>
      </c>
      <c r="H1623" s="57" t="s">
        <v>3792</v>
      </c>
      <c r="I1623" s="39"/>
      <c r="J1623" s="57" t="s">
        <v>3792</v>
      </c>
      <c r="K1623" s="57" t="s">
        <v>3792</v>
      </c>
    </row>
    <row r="1624" customFormat="false" ht="34.2" hidden="false" customHeight="false" outlineLevel="0" collapsed="false">
      <c r="D1624" s="1" t="s">
        <v>5838</v>
      </c>
      <c r="E1624" s="1" t="s">
        <v>5839</v>
      </c>
      <c r="F1624" s="0" t="s">
        <v>5342</v>
      </c>
      <c r="G1624" s="57" t="s">
        <v>5840</v>
      </c>
      <c r="H1624" s="57" t="s">
        <v>5841</v>
      </c>
      <c r="I1624" s="37" t="s">
        <v>50</v>
      </c>
      <c r="J1624" s="57" t="s">
        <v>5842</v>
      </c>
      <c r="K1624" s="57" t="s">
        <v>5843</v>
      </c>
    </row>
    <row r="1625" customFormat="false" ht="34.2" hidden="false" customHeight="false" outlineLevel="0" collapsed="false">
      <c r="C1625" s="64"/>
      <c r="D1625" s="66"/>
      <c r="E1625" s="66"/>
      <c r="F1625" s="65"/>
      <c r="G1625" s="57" t="s">
        <v>5844</v>
      </c>
      <c r="H1625" s="57" t="s">
        <v>3792</v>
      </c>
      <c r="I1625" s="37"/>
      <c r="J1625" s="57" t="s">
        <v>3792</v>
      </c>
      <c r="K1625" s="57" t="s">
        <v>3792</v>
      </c>
    </row>
    <row r="1626" customFormat="false" ht="34.2" hidden="false" customHeight="false" outlineLevel="0" collapsed="false">
      <c r="C1626" s="59" t="s">
        <v>5845</v>
      </c>
      <c r="D1626" s="1" t="s">
        <v>5846</v>
      </c>
      <c r="E1626" s="1" t="s">
        <v>5847</v>
      </c>
      <c r="F1626" s="0" t="s">
        <v>5342</v>
      </c>
      <c r="G1626" s="57" t="s">
        <v>5848</v>
      </c>
      <c r="H1626" s="57" t="s">
        <v>5849</v>
      </c>
      <c r="I1626" s="37" t="s">
        <v>50</v>
      </c>
      <c r="J1626" s="57" t="s">
        <v>5850</v>
      </c>
      <c r="K1626" s="57" t="s">
        <v>5851</v>
      </c>
    </row>
    <row r="1627" customFormat="false" ht="34.2" hidden="false" customHeight="false" outlineLevel="0" collapsed="false">
      <c r="D1627" s="60"/>
      <c r="E1627" s="60"/>
      <c r="F1627" s="62"/>
      <c r="G1627" s="57" t="s">
        <v>3174</v>
      </c>
      <c r="H1627" s="57" t="s">
        <v>3792</v>
      </c>
      <c r="I1627" s="37"/>
      <c r="J1627" s="57" t="s">
        <v>3792</v>
      </c>
      <c r="K1627" s="57" t="s">
        <v>3792</v>
      </c>
    </row>
    <row r="1628" customFormat="false" ht="66.85" hidden="false" customHeight="false" outlineLevel="0" collapsed="false">
      <c r="D1628" s="1" t="s">
        <v>5852</v>
      </c>
      <c r="E1628" s="1" t="s">
        <v>5853</v>
      </c>
      <c r="F1628" s="0" t="s">
        <v>5334</v>
      </c>
      <c r="G1628" s="57" t="s">
        <v>5854</v>
      </c>
      <c r="H1628" s="57" t="s">
        <v>5855</v>
      </c>
      <c r="I1628" s="39" t="s">
        <v>67</v>
      </c>
      <c r="J1628" s="57" t="s">
        <v>5856</v>
      </c>
      <c r="K1628" s="57" t="s">
        <v>5857</v>
      </c>
    </row>
    <row r="1629" customFormat="false" ht="45.05" hidden="false" customHeight="false" outlineLevel="0" collapsed="false">
      <c r="D1629" s="60"/>
      <c r="E1629" s="60"/>
      <c r="F1629" s="62"/>
      <c r="G1629" s="57" t="s">
        <v>5858</v>
      </c>
      <c r="H1629" s="57" t="s">
        <v>3792</v>
      </c>
      <c r="I1629" s="39"/>
      <c r="J1629" s="57" t="s">
        <v>3792</v>
      </c>
      <c r="K1629" s="57" t="s">
        <v>3792</v>
      </c>
    </row>
    <row r="1630" customFormat="false" ht="21.75" hidden="false" customHeight="false" outlineLevel="0" collapsed="false">
      <c r="D1630" s="1" t="s">
        <v>5859</v>
      </c>
      <c r="E1630" s="1" t="s">
        <v>5860</v>
      </c>
      <c r="F1630" s="0" t="s">
        <v>5334</v>
      </c>
      <c r="G1630" s="57" t="s">
        <v>3262</v>
      </c>
      <c r="H1630" s="57" t="s">
        <v>5861</v>
      </c>
      <c r="I1630" s="34" t="s">
        <v>40</v>
      </c>
      <c r="J1630" s="57" t="s">
        <v>5862</v>
      </c>
      <c r="K1630" s="57" t="s">
        <v>5863</v>
      </c>
    </row>
    <row r="1631" customFormat="false" ht="45.05" hidden="false" customHeight="false" outlineLevel="0" collapsed="false">
      <c r="D1631" s="60"/>
      <c r="E1631" s="60"/>
      <c r="F1631" s="62"/>
      <c r="G1631" s="57" t="s">
        <v>5864</v>
      </c>
      <c r="H1631" s="57" t="s">
        <v>3792</v>
      </c>
      <c r="I1631" s="34"/>
      <c r="J1631" s="57" t="s">
        <v>3792</v>
      </c>
      <c r="K1631" s="57" t="s">
        <v>3792</v>
      </c>
    </row>
    <row r="1632" customFormat="false" ht="45.05" hidden="false" customHeight="false" outlineLevel="0" collapsed="false">
      <c r="D1632" s="1" t="s">
        <v>5865</v>
      </c>
      <c r="E1632" s="1" t="s">
        <v>5866</v>
      </c>
      <c r="F1632" s="0" t="s">
        <v>5342</v>
      </c>
      <c r="G1632" s="57" t="s">
        <v>5867</v>
      </c>
      <c r="H1632" s="57" t="s">
        <v>5868</v>
      </c>
      <c r="I1632" s="39" t="s">
        <v>67</v>
      </c>
      <c r="J1632" s="57" t="s">
        <v>5869</v>
      </c>
      <c r="K1632" s="57" t="s">
        <v>5870</v>
      </c>
    </row>
    <row r="1633" customFormat="false" ht="34.2" hidden="false" customHeight="false" outlineLevel="0" collapsed="false">
      <c r="D1633" s="60"/>
      <c r="E1633" s="60"/>
      <c r="F1633" s="62"/>
      <c r="G1633" s="57" t="s">
        <v>5871</v>
      </c>
      <c r="H1633" s="57" t="s">
        <v>3792</v>
      </c>
      <c r="I1633" s="39"/>
      <c r="J1633" s="57" t="s">
        <v>3792</v>
      </c>
      <c r="K1633" s="57" t="s">
        <v>3792</v>
      </c>
    </row>
    <row r="1634" customFormat="false" ht="45.05" hidden="false" customHeight="false" outlineLevel="0" collapsed="false">
      <c r="D1634" s="1" t="s">
        <v>5872</v>
      </c>
      <c r="E1634" s="1" t="s">
        <v>5873</v>
      </c>
      <c r="F1634" s="0" t="s">
        <v>5334</v>
      </c>
      <c r="G1634" s="57" t="s">
        <v>5874</v>
      </c>
      <c r="H1634" s="57" t="s">
        <v>5875</v>
      </c>
      <c r="I1634" s="37" t="s">
        <v>50</v>
      </c>
      <c r="J1634" s="57" t="s">
        <v>5876</v>
      </c>
      <c r="K1634" s="57" t="s">
        <v>5877</v>
      </c>
    </row>
    <row r="1635" customFormat="false" ht="45.05" hidden="false" customHeight="false" outlineLevel="0" collapsed="false">
      <c r="C1635" s="64"/>
      <c r="D1635" s="66"/>
      <c r="E1635" s="66"/>
      <c r="F1635" s="65"/>
      <c r="G1635" s="57" t="s">
        <v>5878</v>
      </c>
      <c r="H1635" s="57" t="s">
        <v>3792</v>
      </c>
      <c r="I1635" s="37"/>
      <c r="J1635" s="57" t="s">
        <v>3792</v>
      </c>
      <c r="K1635" s="57" t="s">
        <v>3792</v>
      </c>
    </row>
    <row r="1636" customFormat="false" ht="34.2" hidden="false" customHeight="false" outlineLevel="0" collapsed="false">
      <c r="C1636" s="59" t="s">
        <v>5879</v>
      </c>
      <c r="D1636" s="1" t="s">
        <v>5880</v>
      </c>
      <c r="E1636" s="1" t="s">
        <v>5881</v>
      </c>
      <c r="F1636" s="0" t="s">
        <v>5342</v>
      </c>
      <c r="G1636" s="57" t="s">
        <v>5882</v>
      </c>
      <c r="H1636" s="57" t="s">
        <v>5883</v>
      </c>
      <c r="I1636" s="37" t="s">
        <v>50</v>
      </c>
      <c r="J1636" s="57" t="s">
        <v>5884</v>
      </c>
      <c r="K1636" s="57" t="s">
        <v>5885</v>
      </c>
    </row>
    <row r="1637" customFormat="false" ht="34.2" hidden="false" customHeight="false" outlineLevel="0" collapsed="false">
      <c r="D1637" s="60"/>
      <c r="E1637" s="60"/>
      <c r="F1637" s="62"/>
      <c r="G1637" s="57" t="s">
        <v>5886</v>
      </c>
      <c r="H1637" s="57" t="s">
        <v>3792</v>
      </c>
      <c r="I1637" s="37"/>
      <c r="J1637" s="57" t="s">
        <v>3792</v>
      </c>
      <c r="K1637" s="57" t="s">
        <v>3792</v>
      </c>
    </row>
    <row r="1638" customFormat="false" ht="34.2" hidden="false" customHeight="false" outlineLevel="0" collapsed="false">
      <c r="D1638" s="1" t="s">
        <v>5887</v>
      </c>
      <c r="E1638" s="1" t="s">
        <v>5888</v>
      </c>
      <c r="F1638" s="0" t="s">
        <v>5342</v>
      </c>
      <c r="G1638" s="57" t="s">
        <v>5889</v>
      </c>
      <c r="H1638" s="57" t="s">
        <v>5890</v>
      </c>
      <c r="I1638" s="39" t="s">
        <v>67</v>
      </c>
      <c r="J1638" s="57" t="s">
        <v>5891</v>
      </c>
      <c r="K1638" s="57" t="s">
        <v>5892</v>
      </c>
    </row>
    <row r="1639" customFormat="false" ht="45.05" hidden="false" customHeight="false" outlineLevel="0" collapsed="false">
      <c r="D1639" s="60"/>
      <c r="E1639" s="60"/>
      <c r="F1639" s="62"/>
      <c r="G1639" s="57" t="s">
        <v>5893</v>
      </c>
      <c r="H1639" s="57" t="s">
        <v>3792</v>
      </c>
      <c r="I1639" s="39"/>
      <c r="J1639" s="57" t="s">
        <v>3792</v>
      </c>
      <c r="K1639" s="57" t="s">
        <v>3792</v>
      </c>
    </row>
    <row r="1640" customFormat="false" ht="34.2" hidden="false" customHeight="false" outlineLevel="0" collapsed="false">
      <c r="D1640" s="1" t="s">
        <v>5894</v>
      </c>
      <c r="E1640" s="1" t="s">
        <v>5895</v>
      </c>
      <c r="F1640" s="0" t="s">
        <v>5334</v>
      </c>
      <c r="G1640" s="57" t="s">
        <v>5896</v>
      </c>
      <c r="H1640" s="57" t="s">
        <v>5897</v>
      </c>
      <c r="I1640" s="34" t="s">
        <v>40</v>
      </c>
      <c r="J1640" s="57" t="s">
        <v>5898</v>
      </c>
      <c r="K1640" s="57" t="s">
        <v>5899</v>
      </c>
    </row>
    <row r="1641" customFormat="false" ht="34.2" hidden="false" customHeight="false" outlineLevel="0" collapsed="false">
      <c r="D1641" s="60"/>
      <c r="E1641" s="60"/>
      <c r="F1641" s="62"/>
      <c r="G1641" s="57" t="s">
        <v>5900</v>
      </c>
      <c r="H1641" s="57" t="s">
        <v>3792</v>
      </c>
      <c r="I1641" s="34"/>
      <c r="J1641" s="57" t="s">
        <v>3792</v>
      </c>
      <c r="K1641" s="57" t="s">
        <v>3792</v>
      </c>
    </row>
    <row r="1642" customFormat="false" ht="34.2" hidden="false" customHeight="false" outlineLevel="0" collapsed="false">
      <c r="D1642" s="1" t="s">
        <v>5901</v>
      </c>
      <c r="E1642" s="1" t="s">
        <v>5902</v>
      </c>
      <c r="F1642" s="0" t="s">
        <v>5334</v>
      </c>
      <c r="G1642" s="57" t="s">
        <v>5903</v>
      </c>
      <c r="H1642" s="57" t="s">
        <v>5904</v>
      </c>
      <c r="I1642" s="39" t="s">
        <v>67</v>
      </c>
      <c r="J1642" s="57" t="s">
        <v>5905</v>
      </c>
      <c r="K1642" s="57" t="s">
        <v>5906</v>
      </c>
    </row>
    <row r="1643" customFormat="false" ht="34.2" hidden="false" customHeight="false" outlineLevel="0" collapsed="false">
      <c r="D1643" s="60"/>
      <c r="E1643" s="60"/>
      <c r="F1643" s="62"/>
      <c r="G1643" s="57" t="s">
        <v>5907</v>
      </c>
      <c r="H1643" s="57" t="s">
        <v>3792</v>
      </c>
      <c r="I1643" s="39"/>
      <c r="J1643" s="57" t="s">
        <v>3792</v>
      </c>
      <c r="K1643" s="57" t="s">
        <v>3792</v>
      </c>
    </row>
    <row r="1644" customFormat="false" ht="34.2" hidden="false" customHeight="false" outlineLevel="0" collapsed="false">
      <c r="D1644" s="1" t="s">
        <v>5908</v>
      </c>
      <c r="E1644" s="1" t="s">
        <v>5909</v>
      </c>
      <c r="F1644" s="0" t="s">
        <v>5342</v>
      </c>
      <c r="G1644" s="57" t="s">
        <v>5910</v>
      </c>
      <c r="H1644" s="57" t="s">
        <v>5911</v>
      </c>
      <c r="I1644" s="37" t="s">
        <v>50</v>
      </c>
      <c r="J1644" s="57" t="s">
        <v>5912</v>
      </c>
      <c r="K1644" s="57" t="s">
        <v>5913</v>
      </c>
    </row>
    <row r="1645" customFormat="false" ht="34.2" hidden="false" customHeight="false" outlineLevel="0" collapsed="false">
      <c r="C1645" s="64"/>
      <c r="D1645" s="66"/>
      <c r="E1645" s="66"/>
      <c r="F1645" s="65"/>
      <c r="G1645" s="57" t="s">
        <v>5914</v>
      </c>
      <c r="H1645" s="57" t="s">
        <v>3792</v>
      </c>
      <c r="I1645" s="37"/>
      <c r="J1645" s="57" t="s">
        <v>3792</v>
      </c>
      <c r="K1645" s="57" t="s">
        <v>3792</v>
      </c>
    </row>
    <row r="1646" customFormat="false" ht="21.75" hidden="false" customHeight="false" outlineLevel="0" collapsed="false">
      <c r="C1646" s="59" t="s">
        <v>5915</v>
      </c>
      <c r="D1646" s="1" t="s">
        <v>5916</v>
      </c>
      <c r="E1646" s="1" t="s">
        <v>5917</v>
      </c>
      <c r="F1646" s="0" t="s">
        <v>5342</v>
      </c>
      <c r="G1646" s="57" t="s">
        <v>5918</v>
      </c>
      <c r="H1646" s="57" t="s">
        <v>5919</v>
      </c>
      <c r="I1646" s="37" t="s">
        <v>50</v>
      </c>
      <c r="J1646" s="57" t="s">
        <v>5920</v>
      </c>
      <c r="K1646" s="57" t="s">
        <v>5921</v>
      </c>
    </row>
    <row r="1647" customFormat="false" ht="34.2" hidden="false" customHeight="false" outlineLevel="0" collapsed="false">
      <c r="D1647" s="60"/>
      <c r="E1647" s="60"/>
      <c r="F1647" s="62"/>
      <c r="G1647" s="57" t="s">
        <v>5922</v>
      </c>
      <c r="H1647" s="57" t="s">
        <v>3792</v>
      </c>
      <c r="I1647" s="37"/>
      <c r="J1647" s="57" t="s">
        <v>3792</v>
      </c>
      <c r="K1647" s="57" t="s">
        <v>3792</v>
      </c>
    </row>
    <row r="1648" customFormat="false" ht="34.2" hidden="false" customHeight="false" outlineLevel="0" collapsed="false">
      <c r="D1648" s="1" t="s">
        <v>5923</v>
      </c>
      <c r="E1648" s="1" t="s">
        <v>5924</v>
      </c>
      <c r="F1648" s="0" t="s">
        <v>5334</v>
      </c>
      <c r="G1648" s="57" t="s">
        <v>5925</v>
      </c>
      <c r="H1648" s="57" t="s">
        <v>5926</v>
      </c>
      <c r="I1648" s="39" t="s">
        <v>67</v>
      </c>
      <c r="J1648" s="57" t="s">
        <v>5927</v>
      </c>
      <c r="K1648" s="57" t="s">
        <v>5928</v>
      </c>
    </row>
    <row r="1649" customFormat="false" ht="45.05" hidden="false" customHeight="false" outlineLevel="0" collapsed="false">
      <c r="D1649" s="60"/>
      <c r="E1649" s="60"/>
      <c r="F1649" s="62"/>
      <c r="G1649" s="57" t="s">
        <v>5929</v>
      </c>
      <c r="H1649" s="57" t="s">
        <v>3792</v>
      </c>
      <c r="I1649" s="39"/>
      <c r="J1649" s="57" t="s">
        <v>3792</v>
      </c>
      <c r="K1649" s="57" t="s">
        <v>3792</v>
      </c>
    </row>
    <row r="1650" customFormat="false" ht="34.2" hidden="false" customHeight="false" outlineLevel="0" collapsed="false">
      <c r="D1650" s="1" t="s">
        <v>5930</v>
      </c>
      <c r="E1650" s="1" t="s">
        <v>5931</v>
      </c>
      <c r="F1650" s="0" t="s">
        <v>5334</v>
      </c>
      <c r="G1650" s="57" t="s">
        <v>5932</v>
      </c>
      <c r="H1650" s="57" t="s">
        <v>5933</v>
      </c>
      <c r="I1650" s="34" t="s">
        <v>40</v>
      </c>
      <c r="J1650" s="57" t="s">
        <v>5934</v>
      </c>
      <c r="K1650" s="57" t="s">
        <v>5935</v>
      </c>
    </row>
    <row r="1651" customFormat="false" ht="34.2" hidden="false" customHeight="false" outlineLevel="0" collapsed="false">
      <c r="D1651" s="60"/>
      <c r="E1651" s="60"/>
      <c r="F1651" s="62"/>
      <c r="G1651" s="57" t="s">
        <v>5936</v>
      </c>
      <c r="H1651" s="57" t="s">
        <v>3792</v>
      </c>
      <c r="I1651" s="34"/>
      <c r="J1651" s="57" t="s">
        <v>3792</v>
      </c>
      <c r="K1651" s="57" t="s">
        <v>3792</v>
      </c>
    </row>
    <row r="1652" customFormat="false" ht="34.2" hidden="false" customHeight="false" outlineLevel="0" collapsed="false">
      <c r="D1652" s="1" t="s">
        <v>5937</v>
      </c>
      <c r="E1652" s="1" t="s">
        <v>5938</v>
      </c>
      <c r="F1652" s="0" t="s">
        <v>5342</v>
      </c>
      <c r="G1652" s="57" t="s">
        <v>5939</v>
      </c>
      <c r="H1652" s="57" t="s">
        <v>5940</v>
      </c>
      <c r="I1652" s="39" t="s">
        <v>67</v>
      </c>
      <c r="J1652" s="57" t="s">
        <v>5941</v>
      </c>
      <c r="K1652" s="57" t="s">
        <v>5942</v>
      </c>
    </row>
    <row r="1653" customFormat="false" ht="34.2" hidden="false" customHeight="false" outlineLevel="0" collapsed="false">
      <c r="D1653" s="60"/>
      <c r="E1653" s="60"/>
      <c r="F1653" s="62"/>
      <c r="G1653" s="57" t="s">
        <v>5943</v>
      </c>
      <c r="H1653" s="57" t="s">
        <v>3792</v>
      </c>
      <c r="I1653" s="39"/>
      <c r="J1653" s="57" t="s">
        <v>3792</v>
      </c>
      <c r="K1653" s="57" t="s">
        <v>3792</v>
      </c>
    </row>
    <row r="1654" customFormat="false" ht="34.2" hidden="false" customHeight="false" outlineLevel="0" collapsed="false">
      <c r="D1654" s="1" t="s">
        <v>5944</v>
      </c>
      <c r="E1654" s="1" t="s">
        <v>5945</v>
      </c>
      <c r="F1654" s="0" t="s">
        <v>5334</v>
      </c>
      <c r="G1654" s="57" t="s">
        <v>5946</v>
      </c>
      <c r="H1654" s="57" t="s">
        <v>5947</v>
      </c>
      <c r="I1654" s="37" t="s">
        <v>50</v>
      </c>
      <c r="J1654" s="57" t="s">
        <v>5948</v>
      </c>
      <c r="K1654" s="57" t="s">
        <v>5949</v>
      </c>
    </row>
    <row r="1655" customFormat="false" ht="45.05" hidden="false" customHeight="false" outlineLevel="0" collapsed="false">
      <c r="C1655" s="64"/>
      <c r="D1655" s="66"/>
      <c r="E1655" s="66"/>
      <c r="F1655" s="65"/>
      <c r="G1655" s="57" t="s">
        <v>5950</v>
      </c>
      <c r="H1655" s="57" t="s">
        <v>3792</v>
      </c>
      <c r="I1655" s="37"/>
      <c r="J1655" s="57" t="s">
        <v>3792</v>
      </c>
      <c r="K1655" s="57" t="s">
        <v>3792</v>
      </c>
    </row>
    <row r="1656" customFormat="false" ht="55.95" hidden="false" customHeight="false" outlineLevel="0" collapsed="false">
      <c r="C1656" s="59" t="s">
        <v>5951</v>
      </c>
      <c r="D1656" s="1" t="s">
        <v>5952</v>
      </c>
      <c r="E1656" s="1" t="s">
        <v>5953</v>
      </c>
      <c r="F1656" s="0" t="s">
        <v>5334</v>
      </c>
      <c r="G1656" s="57" t="s">
        <v>5954</v>
      </c>
      <c r="H1656" s="57" t="s">
        <v>5955</v>
      </c>
      <c r="I1656" s="37" t="s">
        <v>50</v>
      </c>
      <c r="J1656" s="57" t="s">
        <v>5956</v>
      </c>
      <c r="K1656" s="57" t="s">
        <v>5957</v>
      </c>
    </row>
    <row r="1657" customFormat="false" ht="21.75" hidden="false" customHeight="false" outlineLevel="0" collapsed="false">
      <c r="D1657" s="60"/>
      <c r="E1657" s="60"/>
      <c r="F1657" s="62"/>
      <c r="G1657" s="57" t="s">
        <v>5958</v>
      </c>
      <c r="H1657" s="57" t="s">
        <v>3792</v>
      </c>
      <c r="I1657" s="37"/>
      <c r="J1657" s="57" t="s">
        <v>3792</v>
      </c>
      <c r="K1657" s="57" t="s">
        <v>3792</v>
      </c>
    </row>
    <row r="1658" customFormat="false" ht="34.2" hidden="false" customHeight="false" outlineLevel="0" collapsed="false">
      <c r="D1658" s="1" t="s">
        <v>5959</v>
      </c>
      <c r="E1658" s="1" t="s">
        <v>5960</v>
      </c>
      <c r="F1658" s="0" t="s">
        <v>5342</v>
      </c>
      <c r="G1658" s="57" t="s">
        <v>5961</v>
      </c>
      <c r="H1658" s="57" t="s">
        <v>5962</v>
      </c>
      <c r="I1658" s="39" t="s">
        <v>67</v>
      </c>
      <c r="J1658" s="57" t="s">
        <v>5799</v>
      </c>
      <c r="K1658" s="57" t="s">
        <v>5963</v>
      </c>
    </row>
    <row r="1659" customFormat="false" ht="34.2" hidden="false" customHeight="false" outlineLevel="0" collapsed="false">
      <c r="D1659" s="60"/>
      <c r="E1659" s="60"/>
      <c r="F1659" s="62"/>
      <c r="G1659" s="57" t="s">
        <v>5964</v>
      </c>
      <c r="H1659" s="57" t="s">
        <v>3792</v>
      </c>
      <c r="I1659" s="39"/>
      <c r="J1659" s="57" t="s">
        <v>3792</v>
      </c>
      <c r="K1659" s="57" t="s">
        <v>3792</v>
      </c>
    </row>
    <row r="1660" customFormat="false" ht="45.05" hidden="false" customHeight="false" outlineLevel="0" collapsed="false">
      <c r="D1660" s="1" t="s">
        <v>5965</v>
      </c>
      <c r="E1660" s="1" t="s">
        <v>5966</v>
      </c>
      <c r="F1660" s="0" t="s">
        <v>5334</v>
      </c>
      <c r="G1660" s="57" t="s">
        <v>5967</v>
      </c>
      <c r="H1660" s="57" t="s">
        <v>5968</v>
      </c>
      <c r="I1660" s="34" t="s">
        <v>40</v>
      </c>
      <c r="J1660" s="57" t="s">
        <v>5969</v>
      </c>
      <c r="K1660" s="57" t="s">
        <v>5970</v>
      </c>
    </row>
    <row r="1661" customFormat="false" ht="45.05" hidden="false" customHeight="false" outlineLevel="0" collapsed="false">
      <c r="D1661" s="60"/>
      <c r="E1661" s="60"/>
      <c r="F1661" s="62"/>
      <c r="G1661" s="57" t="s">
        <v>5971</v>
      </c>
      <c r="H1661" s="57" t="s">
        <v>3792</v>
      </c>
      <c r="I1661" s="34"/>
      <c r="J1661" s="57" t="s">
        <v>3792</v>
      </c>
      <c r="K1661" s="57" t="s">
        <v>3792</v>
      </c>
    </row>
    <row r="1662" customFormat="false" ht="45.05" hidden="false" customHeight="false" outlineLevel="0" collapsed="false">
      <c r="D1662" s="1" t="s">
        <v>5972</v>
      </c>
      <c r="E1662" s="1" t="s">
        <v>5973</v>
      </c>
      <c r="F1662" s="0" t="s">
        <v>5342</v>
      </c>
      <c r="G1662" s="57" t="s">
        <v>5974</v>
      </c>
      <c r="H1662" s="57" t="s">
        <v>5975</v>
      </c>
      <c r="I1662" s="39" t="s">
        <v>67</v>
      </c>
      <c r="J1662" s="57" t="s">
        <v>5976</v>
      </c>
      <c r="K1662" s="57" t="s">
        <v>5977</v>
      </c>
    </row>
    <row r="1663" customFormat="false" ht="34.2" hidden="false" customHeight="false" outlineLevel="0" collapsed="false">
      <c r="D1663" s="60"/>
      <c r="E1663" s="60"/>
      <c r="F1663" s="62"/>
      <c r="G1663" s="57" t="s">
        <v>5978</v>
      </c>
      <c r="H1663" s="57" t="s">
        <v>3792</v>
      </c>
      <c r="I1663" s="39"/>
      <c r="J1663" s="57" t="s">
        <v>3792</v>
      </c>
      <c r="K1663" s="57" t="s">
        <v>3792</v>
      </c>
    </row>
    <row r="1664" customFormat="false" ht="45.05" hidden="false" customHeight="false" outlineLevel="0" collapsed="false">
      <c r="D1664" s="1" t="s">
        <v>5979</v>
      </c>
      <c r="E1664" s="1" t="s">
        <v>5980</v>
      </c>
      <c r="F1664" s="0" t="s">
        <v>5342</v>
      </c>
      <c r="G1664" s="57" t="s">
        <v>5981</v>
      </c>
      <c r="H1664" s="57" t="s">
        <v>5982</v>
      </c>
      <c r="I1664" s="37" t="s">
        <v>50</v>
      </c>
      <c r="J1664" s="57" t="s">
        <v>5983</v>
      </c>
      <c r="K1664" s="57" t="s">
        <v>5984</v>
      </c>
    </row>
    <row r="1665" customFormat="false" ht="34.2" hidden="false" customHeight="false" outlineLevel="0" collapsed="false">
      <c r="B1665" s="67"/>
      <c r="C1665" s="68"/>
      <c r="D1665" s="68"/>
      <c r="E1665" s="68"/>
      <c r="F1665" s="65"/>
      <c r="G1665" s="57" t="s">
        <v>5985</v>
      </c>
      <c r="H1665" s="68"/>
      <c r="I1665" s="37"/>
      <c r="J1665" s="57" t="s">
        <v>3792</v>
      </c>
      <c r="K1665" s="57" t="s">
        <v>3792</v>
      </c>
    </row>
    <row r="1666" customFormat="false" ht="45.05" hidden="false" customHeight="false" outlineLevel="0" collapsed="false">
      <c r="B1666" s="1" t="s">
        <v>5986</v>
      </c>
      <c r="C1666" s="59" t="s">
        <v>5987</v>
      </c>
      <c r="D1666" s="1" t="s">
        <v>5988</v>
      </c>
      <c r="E1666" s="1" t="s">
        <v>5989</v>
      </c>
      <c r="F1666" s="0" t="s">
        <v>5334</v>
      </c>
      <c r="G1666" s="57" t="s">
        <v>5990</v>
      </c>
      <c r="H1666" s="57" t="s">
        <v>5991</v>
      </c>
      <c r="I1666" s="37" t="s">
        <v>50</v>
      </c>
      <c r="J1666" s="57" t="s">
        <v>5992</v>
      </c>
      <c r="K1666" s="57" t="s">
        <v>5993</v>
      </c>
    </row>
    <row r="1667" customFormat="false" ht="34.2" hidden="false" customHeight="false" outlineLevel="0" collapsed="false">
      <c r="D1667" s="60"/>
      <c r="E1667" s="60"/>
      <c r="F1667" s="62"/>
      <c r="G1667" s="57" t="s">
        <v>5994</v>
      </c>
      <c r="H1667" s="57" t="s">
        <v>5995</v>
      </c>
      <c r="I1667" s="37"/>
      <c r="J1667" s="57" t="s">
        <v>3792</v>
      </c>
      <c r="K1667" s="57" t="s">
        <v>3792</v>
      </c>
    </row>
    <row r="1668" customFormat="false" ht="34.2" hidden="false" customHeight="false" outlineLevel="0" collapsed="false">
      <c r="D1668" s="1" t="s">
        <v>5996</v>
      </c>
      <c r="E1668" s="1" t="s">
        <v>5997</v>
      </c>
      <c r="F1668" s="0" t="s">
        <v>5334</v>
      </c>
      <c r="G1668" s="57" t="s">
        <v>5998</v>
      </c>
      <c r="H1668" s="57" t="s">
        <v>5999</v>
      </c>
      <c r="I1668" s="39" t="s">
        <v>67</v>
      </c>
      <c r="J1668" s="57" t="s">
        <v>6000</v>
      </c>
      <c r="K1668" s="57" t="s">
        <v>6001</v>
      </c>
    </row>
    <row r="1669" customFormat="false" ht="34.2" hidden="false" customHeight="false" outlineLevel="0" collapsed="false">
      <c r="D1669" s="60"/>
      <c r="E1669" s="60"/>
      <c r="F1669" s="62"/>
      <c r="G1669" s="57" t="s">
        <v>6002</v>
      </c>
      <c r="H1669" s="57" t="s">
        <v>6003</v>
      </c>
      <c r="I1669" s="39"/>
      <c r="J1669" s="57" t="s">
        <v>3792</v>
      </c>
      <c r="K1669" s="57" t="s">
        <v>3792</v>
      </c>
    </row>
    <row r="1670" customFormat="false" ht="45.05" hidden="false" customHeight="false" outlineLevel="0" collapsed="false">
      <c r="D1670" s="1" t="s">
        <v>6004</v>
      </c>
      <c r="E1670" s="1" t="s">
        <v>6005</v>
      </c>
      <c r="F1670" s="0" t="s">
        <v>5342</v>
      </c>
      <c r="G1670" s="57" t="s">
        <v>6006</v>
      </c>
      <c r="H1670" s="57" t="s">
        <v>6007</v>
      </c>
      <c r="I1670" s="34" t="s">
        <v>40</v>
      </c>
      <c r="J1670" s="57" t="s">
        <v>6008</v>
      </c>
      <c r="K1670" s="57" t="s">
        <v>6009</v>
      </c>
    </row>
    <row r="1671" customFormat="false" ht="45.05" hidden="false" customHeight="false" outlineLevel="0" collapsed="false">
      <c r="D1671" s="60"/>
      <c r="E1671" s="60"/>
      <c r="F1671" s="62"/>
      <c r="G1671" s="57" t="s">
        <v>6010</v>
      </c>
      <c r="H1671" s="57" t="s">
        <v>6011</v>
      </c>
      <c r="I1671" s="34"/>
      <c r="J1671" s="57" t="s">
        <v>3792</v>
      </c>
      <c r="K1671" s="57" t="s">
        <v>3792</v>
      </c>
    </row>
    <row r="1672" customFormat="false" ht="34.2" hidden="false" customHeight="false" outlineLevel="0" collapsed="false">
      <c r="D1672" s="1" t="s">
        <v>6012</v>
      </c>
      <c r="E1672" s="1" t="s">
        <v>6013</v>
      </c>
      <c r="F1672" s="0" t="s">
        <v>5334</v>
      </c>
      <c r="G1672" s="57" t="s">
        <v>6014</v>
      </c>
      <c r="H1672" s="57" t="s">
        <v>6015</v>
      </c>
      <c r="I1672" s="39" t="s">
        <v>67</v>
      </c>
      <c r="J1672" s="57" t="s">
        <v>6016</v>
      </c>
      <c r="K1672" s="57" t="s">
        <v>6017</v>
      </c>
    </row>
    <row r="1673" customFormat="false" ht="45.05" hidden="false" customHeight="false" outlineLevel="0" collapsed="false">
      <c r="D1673" s="60"/>
      <c r="E1673" s="60"/>
      <c r="F1673" s="62"/>
      <c r="G1673" s="57" t="s">
        <v>6018</v>
      </c>
      <c r="H1673" s="57" t="s">
        <v>6019</v>
      </c>
      <c r="I1673" s="39"/>
      <c r="J1673" s="57" t="s">
        <v>3792</v>
      </c>
      <c r="K1673" s="57" t="s">
        <v>3792</v>
      </c>
    </row>
    <row r="1674" customFormat="false" ht="45.05" hidden="false" customHeight="false" outlineLevel="0" collapsed="false">
      <c r="D1674" s="1" t="s">
        <v>6020</v>
      </c>
      <c r="E1674" s="1" t="s">
        <v>6021</v>
      </c>
      <c r="F1674" s="0" t="s">
        <v>5334</v>
      </c>
      <c r="G1674" s="57" t="s">
        <v>6022</v>
      </c>
      <c r="H1674" s="57" t="s">
        <v>6023</v>
      </c>
      <c r="I1674" s="37" t="s">
        <v>50</v>
      </c>
      <c r="J1674" s="57" t="s">
        <v>6024</v>
      </c>
      <c r="K1674" s="57" t="s">
        <v>6025</v>
      </c>
    </row>
    <row r="1675" customFormat="false" ht="34.2" hidden="false" customHeight="false" outlineLevel="0" collapsed="false">
      <c r="C1675" s="64"/>
      <c r="D1675" s="66"/>
      <c r="E1675" s="66"/>
      <c r="F1675" s="65"/>
      <c r="G1675" s="57" t="s">
        <v>6026</v>
      </c>
      <c r="H1675" s="57" t="s">
        <v>6027</v>
      </c>
      <c r="I1675" s="37"/>
      <c r="J1675" s="57" t="s">
        <v>3792</v>
      </c>
      <c r="K1675" s="57" t="s">
        <v>3792</v>
      </c>
    </row>
    <row r="1676" customFormat="false" ht="34.2" hidden="false" customHeight="false" outlineLevel="0" collapsed="false">
      <c r="C1676" s="59" t="s">
        <v>6028</v>
      </c>
      <c r="D1676" s="1" t="s">
        <v>6029</v>
      </c>
      <c r="E1676" s="1" t="s">
        <v>6030</v>
      </c>
      <c r="F1676" s="0" t="s">
        <v>5334</v>
      </c>
      <c r="G1676" s="57" t="s">
        <v>6031</v>
      </c>
      <c r="H1676" s="57" t="s">
        <v>6032</v>
      </c>
      <c r="I1676" s="37" t="s">
        <v>50</v>
      </c>
      <c r="J1676" s="57" t="s">
        <v>6033</v>
      </c>
      <c r="K1676" s="57" t="s">
        <v>6034</v>
      </c>
    </row>
    <row r="1677" customFormat="false" ht="34.2" hidden="false" customHeight="false" outlineLevel="0" collapsed="false">
      <c r="D1677" s="60"/>
      <c r="E1677" s="60"/>
      <c r="F1677" s="62"/>
      <c r="G1677" s="57" t="s">
        <v>6035</v>
      </c>
      <c r="H1677" s="57" t="s">
        <v>6036</v>
      </c>
      <c r="I1677" s="37"/>
      <c r="J1677" s="57" t="s">
        <v>3792</v>
      </c>
      <c r="K1677" s="57" t="s">
        <v>3792</v>
      </c>
    </row>
    <row r="1678" customFormat="false" ht="45.05" hidden="false" customHeight="false" outlineLevel="0" collapsed="false">
      <c r="D1678" s="1" t="s">
        <v>6037</v>
      </c>
      <c r="E1678" s="1" t="s">
        <v>6038</v>
      </c>
      <c r="F1678" s="0" t="s">
        <v>5342</v>
      </c>
      <c r="G1678" s="57" t="s">
        <v>6039</v>
      </c>
      <c r="H1678" s="57" t="s">
        <v>6040</v>
      </c>
      <c r="I1678" s="39" t="s">
        <v>67</v>
      </c>
      <c r="J1678" s="57" t="s">
        <v>6041</v>
      </c>
      <c r="K1678" s="57" t="s">
        <v>6042</v>
      </c>
    </row>
    <row r="1679" customFormat="false" ht="34.2" hidden="false" customHeight="false" outlineLevel="0" collapsed="false">
      <c r="D1679" s="60"/>
      <c r="E1679" s="60"/>
      <c r="F1679" s="62"/>
      <c r="G1679" s="57" t="s">
        <v>6043</v>
      </c>
      <c r="H1679" s="57" t="s">
        <v>6044</v>
      </c>
      <c r="I1679" s="39"/>
      <c r="J1679" s="57" t="s">
        <v>3792</v>
      </c>
      <c r="K1679" s="57" t="s">
        <v>3792</v>
      </c>
    </row>
    <row r="1680" customFormat="false" ht="34.2" hidden="false" customHeight="false" outlineLevel="0" collapsed="false">
      <c r="D1680" s="1" t="s">
        <v>6045</v>
      </c>
      <c r="E1680" s="1" t="s">
        <v>6046</v>
      </c>
      <c r="F1680" s="0" t="s">
        <v>5342</v>
      </c>
      <c r="G1680" s="57" t="s">
        <v>6047</v>
      </c>
      <c r="H1680" s="57" t="s">
        <v>6048</v>
      </c>
      <c r="I1680" s="34" t="s">
        <v>40</v>
      </c>
      <c r="J1680" s="57" t="s">
        <v>6049</v>
      </c>
      <c r="K1680" s="57" t="s">
        <v>6050</v>
      </c>
    </row>
    <row r="1681" customFormat="false" ht="21.75" hidden="false" customHeight="false" outlineLevel="0" collapsed="false">
      <c r="D1681" s="60"/>
      <c r="E1681" s="60"/>
      <c r="F1681" s="62"/>
      <c r="G1681" s="57" t="s">
        <v>6051</v>
      </c>
      <c r="H1681" s="57" t="s">
        <v>6052</v>
      </c>
      <c r="I1681" s="34"/>
      <c r="J1681" s="57" t="s">
        <v>3792</v>
      </c>
      <c r="K1681" s="57" t="s">
        <v>3792</v>
      </c>
    </row>
    <row r="1682" customFormat="false" ht="55.95" hidden="false" customHeight="false" outlineLevel="0" collapsed="false">
      <c r="D1682" s="1" t="s">
        <v>6053</v>
      </c>
      <c r="E1682" s="1" t="s">
        <v>6054</v>
      </c>
      <c r="F1682" s="0" t="s">
        <v>5342</v>
      </c>
      <c r="G1682" s="57" t="s">
        <v>6055</v>
      </c>
      <c r="H1682" s="57" t="s">
        <v>6056</v>
      </c>
      <c r="I1682" s="39" t="s">
        <v>67</v>
      </c>
      <c r="J1682" s="57" t="s">
        <v>6057</v>
      </c>
      <c r="K1682" s="57" t="s">
        <v>6058</v>
      </c>
    </row>
    <row r="1683" customFormat="false" ht="34.2" hidden="false" customHeight="false" outlineLevel="0" collapsed="false">
      <c r="D1683" s="60"/>
      <c r="E1683" s="60"/>
      <c r="F1683" s="62"/>
      <c r="G1683" s="57" t="s">
        <v>6059</v>
      </c>
      <c r="H1683" s="57" t="s">
        <v>6060</v>
      </c>
      <c r="I1683" s="39"/>
      <c r="J1683" s="57" t="s">
        <v>3792</v>
      </c>
      <c r="K1683" s="57" t="s">
        <v>3792</v>
      </c>
    </row>
    <row r="1684" customFormat="false" ht="55.95" hidden="false" customHeight="false" outlineLevel="0" collapsed="false">
      <c r="D1684" s="1" t="s">
        <v>6061</v>
      </c>
      <c r="E1684" s="1" t="s">
        <v>6062</v>
      </c>
      <c r="F1684" s="0" t="s">
        <v>5342</v>
      </c>
      <c r="G1684" s="57" t="s">
        <v>6063</v>
      </c>
      <c r="H1684" s="57" t="s">
        <v>6064</v>
      </c>
      <c r="I1684" s="37" t="s">
        <v>50</v>
      </c>
      <c r="J1684" s="57" t="s">
        <v>6065</v>
      </c>
      <c r="K1684" s="57" t="s">
        <v>6066</v>
      </c>
    </row>
    <row r="1685" customFormat="false" ht="34.2" hidden="false" customHeight="false" outlineLevel="0" collapsed="false">
      <c r="C1685" s="64"/>
      <c r="D1685" s="66"/>
      <c r="E1685" s="66"/>
      <c r="F1685" s="65"/>
      <c r="G1685" s="57" t="s">
        <v>6067</v>
      </c>
      <c r="H1685" s="57" t="s">
        <v>6068</v>
      </c>
      <c r="I1685" s="37"/>
      <c r="J1685" s="57" t="s">
        <v>3792</v>
      </c>
      <c r="K1685" s="57" t="s">
        <v>3792</v>
      </c>
    </row>
    <row r="1686" customFormat="false" ht="34.2" hidden="false" customHeight="false" outlineLevel="0" collapsed="false">
      <c r="C1686" s="1" t="s">
        <v>6069</v>
      </c>
      <c r="D1686" s="1" t="s">
        <v>6070</v>
      </c>
      <c r="E1686" s="1" t="s">
        <v>6071</v>
      </c>
      <c r="F1686" s="0" t="s">
        <v>5334</v>
      </c>
      <c r="G1686" s="57" t="s">
        <v>6072</v>
      </c>
      <c r="H1686" s="57" t="s">
        <v>6073</v>
      </c>
      <c r="I1686" s="37" t="s">
        <v>50</v>
      </c>
      <c r="J1686" s="57" t="s">
        <v>6074</v>
      </c>
      <c r="K1686" s="57" t="s">
        <v>6075</v>
      </c>
    </row>
    <row r="1687" customFormat="false" ht="34.2" hidden="false" customHeight="false" outlineLevel="0" collapsed="false">
      <c r="D1687" s="60"/>
      <c r="E1687" s="60"/>
      <c r="F1687" s="62"/>
      <c r="G1687" s="57" t="s">
        <v>6076</v>
      </c>
      <c r="H1687" s="57" t="s">
        <v>6077</v>
      </c>
      <c r="I1687" s="37"/>
      <c r="J1687" s="57" t="s">
        <v>3792</v>
      </c>
      <c r="K1687" s="57" t="s">
        <v>3792</v>
      </c>
    </row>
    <row r="1688" customFormat="false" ht="45.05" hidden="false" customHeight="false" outlineLevel="0" collapsed="false">
      <c r="D1688" s="1" t="s">
        <v>6078</v>
      </c>
      <c r="E1688" s="1" t="s">
        <v>6079</v>
      </c>
      <c r="F1688" s="0" t="s">
        <v>5342</v>
      </c>
      <c r="G1688" s="57" t="s">
        <v>6080</v>
      </c>
      <c r="H1688" s="57" t="s">
        <v>6081</v>
      </c>
      <c r="I1688" s="39" t="s">
        <v>67</v>
      </c>
      <c r="J1688" s="57" t="s">
        <v>6082</v>
      </c>
      <c r="K1688" s="57" t="s">
        <v>6083</v>
      </c>
    </row>
    <row r="1689" customFormat="false" ht="45.05" hidden="false" customHeight="false" outlineLevel="0" collapsed="false">
      <c r="D1689" s="60"/>
      <c r="E1689" s="60"/>
      <c r="F1689" s="62"/>
      <c r="G1689" s="57" t="s">
        <v>6084</v>
      </c>
      <c r="H1689" s="57" t="s">
        <v>6085</v>
      </c>
      <c r="I1689" s="39"/>
      <c r="J1689" s="57" t="s">
        <v>3792</v>
      </c>
      <c r="K1689" s="57" t="s">
        <v>3792</v>
      </c>
    </row>
    <row r="1690" customFormat="false" ht="34.2" hidden="false" customHeight="false" outlineLevel="0" collapsed="false">
      <c r="D1690" s="1" t="s">
        <v>6086</v>
      </c>
      <c r="E1690" s="1" t="s">
        <v>6087</v>
      </c>
      <c r="F1690" s="0" t="s">
        <v>5342</v>
      </c>
      <c r="G1690" s="57" t="s">
        <v>6088</v>
      </c>
      <c r="H1690" s="57" t="s">
        <v>6089</v>
      </c>
      <c r="I1690" s="34" t="s">
        <v>40</v>
      </c>
      <c r="J1690" s="57" t="s">
        <v>6090</v>
      </c>
      <c r="K1690" s="57" t="s">
        <v>6091</v>
      </c>
    </row>
    <row r="1691" customFormat="false" ht="34.2" hidden="false" customHeight="false" outlineLevel="0" collapsed="false">
      <c r="D1691" s="60"/>
      <c r="E1691" s="60"/>
      <c r="F1691" s="62"/>
      <c r="G1691" s="57" t="s">
        <v>6092</v>
      </c>
      <c r="H1691" s="57" t="s">
        <v>6093</v>
      </c>
      <c r="I1691" s="34"/>
      <c r="J1691" s="57" t="s">
        <v>3792</v>
      </c>
      <c r="K1691" s="57" t="s">
        <v>3792</v>
      </c>
    </row>
    <row r="1692" customFormat="false" ht="45.05" hidden="false" customHeight="false" outlineLevel="0" collapsed="false">
      <c r="D1692" s="1" t="s">
        <v>6094</v>
      </c>
      <c r="E1692" s="1" t="s">
        <v>6095</v>
      </c>
      <c r="F1692" s="0" t="s">
        <v>5334</v>
      </c>
      <c r="G1692" s="57" t="s">
        <v>6096</v>
      </c>
      <c r="H1692" s="57" t="s">
        <v>6097</v>
      </c>
      <c r="I1692" s="39" t="s">
        <v>67</v>
      </c>
      <c r="J1692" s="57" t="s">
        <v>6098</v>
      </c>
      <c r="K1692" s="57" t="s">
        <v>6099</v>
      </c>
    </row>
    <row r="1693" customFormat="false" ht="45.05" hidden="false" customHeight="false" outlineLevel="0" collapsed="false">
      <c r="D1693" s="60"/>
      <c r="E1693" s="60"/>
      <c r="F1693" s="62"/>
      <c r="G1693" s="57" t="s">
        <v>6100</v>
      </c>
      <c r="H1693" s="57" t="s">
        <v>6101</v>
      </c>
      <c r="I1693" s="39"/>
      <c r="J1693" s="57" t="s">
        <v>3792</v>
      </c>
      <c r="K1693" s="57" t="s">
        <v>3792</v>
      </c>
    </row>
    <row r="1694" customFormat="false" ht="45.05" hidden="false" customHeight="false" outlineLevel="0" collapsed="false">
      <c r="D1694" s="1" t="s">
        <v>6102</v>
      </c>
      <c r="E1694" s="1" t="s">
        <v>6103</v>
      </c>
      <c r="F1694" s="0" t="s">
        <v>5334</v>
      </c>
      <c r="G1694" s="57" t="s">
        <v>6104</v>
      </c>
      <c r="H1694" s="57" t="s">
        <v>6105</v>
      </c>
      <c r="I1694" s="37" t="s">
        <v>50</v>
      </c>
      <c r="J1694" s="57" t="s">
        <v>6106</v>
      </c>
      <c r="K1694" s="57" t="s">
        <v>6107</v>
      </c>
    </row>
    <row r="1695" customFormat="false" ht="34.2" hidden="false" customHeight="false" outlineLevel="0" collapsed="false">
      <c r="C1695" s="64"/>
      <c r="D1695" s="66"/>
      <c r="E1695" s="66"/>
      <c r="F1695" s="65"/>
      <c r="G1695" s="57" t="s">
        <v>6108</v>
      </c>
      <c r="H1695" s="57" t="s">
        <v>6109</v>
      </c>
      <c r="I1695" s="37"/>
      <c r="J1695" s="57" t="s">
        <v>3792</v>
      </c>
      <c r="K1695" s="57" t="s">
        <v>3792</v>
      </c>
    </row>
    <row r="1696" customFormat="false" ht="34.2" hidden="false" customHeight="false" outlineLevel="0" collapsed="false">
      <c r="C1696" s="1" t="s">
        <v>6110</v>
      </c>
      <c r="D1696" s="1" t="s">
        <v>6111</v>
      </c>
      <c r="E1696" s="1" t="s">
        <v>6112</v>
      </c>
      <c r="F1696" s="0" t="s">
        <v>5342</v>
      </c>
      <c r="G1696" s="57" t="s">
        <v>6113</v>
      </c>
      <c r="H1696" s="57" t="s">
        <v>6114</v>
      </c>
      <c r="I1696" s="37" t="s">
        <v>50</v>
      </c>
      <c r="J1696" s="57" t="s">
        <v>6115</v>
      </c>
      <c r="K1696" s="57" t="s">
        <v>6116</v>
      </c>
    </row>
    <row r="1697" customFormat="false" ht="34.2" hidden="false" customHeight="false" outlineLevel="0" collapsed="false">
      <c r="D1697" s="60"/>
      <c r="E1697" s="60"/>
      <c r="F1697" s="62"/>
      <c r="G1697" s="57" t="s">
        <v>6117</v>
      </c>
      <c r="H1697" s="57" t="s">
        <v>6118</v>
      </c>
      <c r="I1697" s="37"/>
      <c r="J1697" s="57" t="s">
        <v>3792</v>
      </c>
      <c r="K1697" s="57" t="s">
        <v>3792</v>
      </c>
    </row>
    <row r="1698" customFormat="false" ht="34.2" hidden="false" customHeight="false" outlineLevel="0" collapsed="false">
      <c r="D1698" s="1" t="s">
        <v>6119</v>
      </c>
      <c r="E1698" s="1" t="s">
        <v>6120</v>
      </c>
      <c r="F1698" s="0" t="s">
        <v>5334</v>
      </c>
      <c r="G1698" s="57" t="s">
        <v>6121</v>
      </c>
      <c r="H1698" s="57" t="s">
        <v>6122</v>
      </c>
      <c r="I1698" s="39" t="s">
        <v>67</v>
      </c>
      <c r="J1698" s="57" t="s">
        <v>6123</v>
      </c>
      <c r="K1698" s="57" t="s">
        <v>6124</v>
      </c>
    </row>
    <row r="1699" customFormat="false" ht="34.2" hidden="false" customHeight="false" outlineLevel="0" collapsed="false">
      <c r="D1699" s="60"/>
      <c r="E1699" s="60"/>
      <c r="F1699" s="62"/>
      <c r="G1699" s="57" t="s">
        <v>6125</v>
      </c>
      <c r="H1699" s="57" t="s">
        <v>6126</v>
      </c>
      <c r="I1699" s="39"/>
      <c r="J1699" s="57" t="s">
        <v>3792</v>
      </c>
      <c r="K1699" s="57" t="s">
        <v>3792</v>
      </c>
    </row>
    <row r="1700" customFormat="false" ht="34.2" hidden="false" customHeight="false" outlineLevel="0" collapsed="false">
      <c r="D1700" s="1" t="s">
        <v>6127</v>
      </c>
      <c r="E1700" s="1" t="s">
        <v>6128</v>
      </c>
      <c r="F1700" s="0" t="s">
        <v>5334</v>
      </c>
      <c r="G1700" s="57" t="s">
        <v>6129</v>
      </c>
      <c r="H1700" s="57" t="s">
        <v>6130</v>
      </c>
      <c r="I1700" s="34" t="s">
        <v>40</v>
      </c>
      <c r="J1700" s="57" t="s">
        <v>6131</v>
      </c>
      <c r="K1700" s="57" t="s">
        <v>5970</v>
      </c>
    </row>
    <row r="1701" customFormat="false" ht="34.2" hidden="false" customHeight="false" outlineLevel="0" collapsed="false">
      <c r="D1701" s="60"/>
      <c r="E1701" s="60"/>
      <c r="F1701" s="62"/>
      <c r="G1701" s="57" t="s">
        <v>6132</v>
      </c>
      <c r="H1701" s="57" t="s">
        <v>6133</v>
      </c>
      <c r="I1701" s="34"/>
      <c r="J1701" s="57" t="s">
        <v>3792</v>
      </c>
      <c r="K1701" s="57" t="s">
        <v>3792</v>
      </c>
    </row>
    <row r="1702" customFormat="false" ht="45.05" hidden="false" customHeight="false" outlineLevel="0" collapsed="false">
      <c r="D1702" s="1" t="s">
        <v>6134</v>
      </c>
      <c r="E1702" s="1" t="s">
        <v>6135</v>
      </c>
      <c r="F1702" s="0" t="s">
        <v>5342</v>
      </c>
      <c r="G1702" s="57" t="s">
        <v>6136</v>
      </c>
      <c r="H1702" s="57" t="s">
        <v>6137</v>
      </c>
      <c r="I1702" s="39" t="s">
        <v>67</v>
      </c>
      <c r="J1702" s="57" t="s">
        <v>6138</v>
      </c>
      <c r="K1702" s="57" t="s">
        <v>6139</v>
      </c>
    </row>
    <row r="1703" customFormat="false" ht="34.2" hidden="false" customHeight="false" outlineLevel="0" collapsed="false">
      <c r="D1703" s="60"/>
      <c r="E1703" s="60"/>
      <c r="F1703" s="62"/>
      <c r="G1703" s="57" t="s">
        <v>6140</v>
      </c>
      <c r="H1703" s="57" t="s">
        <v>6141</v>
      </c>
      <c r="I1703" s="39"/>
      <c r="J1703" s="57" t="s">
        <v>3792</v>
      </c>
      <c r="K1703" s="57" t="s">
        <v>3792</v>
      </c>
    </row>
    <row r="1704" customFormat="false" ht="34.2" hidden="false" customHeight="false" outlineLevel="0" collapsed="false">
      <c r="D1704" s="1" t="s">
        <v>6142</v>
      </c>
      <c r="E1704" s="1" t="s">
        <v>6143</v>
      </c>
      <c r="F1704" s="0" t="s">
        <v>5334</v>
      </c>
      <c r="G1704" s="57" t="s">
        <v>6144</v>
      </c>
      <c r="H1704" s="57" t="s">
        <v>6145</v>
      </c>
      <c r="I1704" s="37" t="s">
        <v>50</v>
      </c>
      <c r="J1704" s="57" t="s">
        <v>6146</v>
      </c>
      <c r="K1704" s="57" t="s">
        <v>6147</v>
      </c>
    </row>
    <row r="1705" customFormat="false" ht="21.75" hidden="false" customHeight="false" outlineLevel="0" collapsed="false">
      <c r="C1705" s="64"/>
      <c r="D1705" s="66"/>
      <c r="E1705" s="66"/>
      <c r="F1705" s="65"/>
      <c r="G1705" s="57" t="s">
        <v>6148</v>
      </c>
      <c r="H1705" s="57" t="s">
        <v>6149</v>
      </c>
      <c r="I1705" s="37"/>
      <c r="J1705" s="57" t="s">
        <v>3792</v>
      </c>
      <c r="K1705" s="57" t="s">
        <v>3792</v>
      </c>
    </row>
    <row r="1706" customFormat="false" ht="34.2" hidden="false" customHeight="false" outlineLevel="0" collapsed="false">
      <c r="C1706" s="1" t="s">
        <v>6150</v>
      </c>
      <c r="D1706" s="1" t="s">
        <v>6151</v>
      </c>
      <c r="E1706" s="1" t="s">
        <v>6152</v>
      </c>
      <c r="F1706" s="0" t="s">
        <v>5342</v>
      </c>
      <c r="G1706" s="57" t="s">
        <v>6153</v>
      </c>
      <c r="H1706" s="57" t="s">
        <v>6154</v>
      </c>
      <c r="I1706" s="37" t="s">
        <v>50</v>
      </c>
      <c r="J1706" s="57" t="s">
        <v>6155</v>
      </c>
      <c r="K1706" s="57" t="s">
        <v>6156</v>
      </c>
    </row>
    <row r="1707" customFormat="false" ht="34.2" hidden="false" customHeight="false" outlineLevel="0" collapsed="false">
      <c r="D1707" s="60"/>
      <c r="E1707" s="60"/>
      <c r="F1707" s="62"/>
      <c r="G1707" s="57" t="s">
        <v>6157</v>
      </c>
      <c r="H1707" s="57" t="s">
        <v>6158</v>
      </c>
      <c r="I1707" s="37"/>
      <c r="J1707" s="57" t="s">
        <v>3792</v>
      </c>
      <c r="K1707" s="57" t="s">
        <v>3792</v>
      </c>
    </row>
    <row r="1708" customFormat="false" ht="34.2" hidden="false" customHeight="false" outlineLevel="0" collapsed="false">
      <c r="D1708" s="1" t="s">
        <v>6159</v>
      </c>
      <c r="E1708" s="1" t="s">
        <v>6160</v>
      </c>
      <c r="F1708" s="0" t="s">
        <v>5334</v>
      </c>
      <c r="G1708" s="57" t="s">
        <v>6161</v>
      </c>
      <c r="H1708" s="57" t="s">
        <v>6162</v>
      </c>
      <c r="I1708" s="39" t="s">
        <v>67</v>
      </c>
      <c r="J1708" s="57" t="s">
        <v>6163</v>
      </c>
      <c r="K1708" s="57" t="s">
        <v>6164</v>
      </c>
    </row>
    <row r="1709" customFormat="false" ht="34.2" hidden="false" customHeight="false" outlineLevel="0" collapsed="false">
      <c r="D1709" s="60"/>
      <c r="E1709" s="60"/>
      <c r="F1709" s="62"/>
      <c r="G1709" s="57" t="s">
        <v>6165</v>
      </c>
      <c r="H1709" s="57" t="s">
        <v>6166</v>
      </c>
      <c r="I1709" s="39"/>
      <c r="J1709" s="57" t="s">
        <v>3792</v>
      </c>
      <c r="K1709" s="57" t="s">
        <v>3792</v>
      </c>
    </row>
    <row r="1710" customFormat="false" ht="34.2" hidden="false" customHeight="false" outlineLevel="0" collapsed="false">
      <c r="D1710" s="1" t="s">
        <v>6167</v>
      </c>
      <c r="E1710" s="1" t="s">
        <v>6168</v>
      </c>
      <c r="F1710" s="0" t="s">
        <v>5342</v>
      </c>
      <c r="G1710" s="57" t="s">
        <v>6169</v>
      </c>
      <c r="H1710" s="57" t="s">
        <v>6170</v>
      </c>
      <c r="I1710" s="34" t="s">
        <v>40</v>
      </c>
      <c r="J1710" s="57" t="s">
        <v>6171</v>
      </c>
      <c r="K1710" s="57" t="s">
        <v>6172</v>
      </c>
    </row>
    <row r="1711" customFormat="false" ht="34.2" hidden="false" customHeight="false" outlineLevel="0" collapsed="false">
      <c r="D1711" s="60"/>
      <c r="E1711" s="60"/>
      <c r="F1711" s="62"/>
      <c r="G1711" s="57" t="s">
        <v>6173</v>
      </c>
      <c r="H1711" s="57" t="s">
        <v>6174</v>
      </c>
      <c r="I1711" s="34"/>
      <c r="J1711" s="57" t="s">
        <v>3792</v>
      </c>
      <c r="K1711" s="57" t="s">
        <v>3792</v>
      </c>
    </row>
    <row r="1712" customFormat="false" ht="34.2" hidden="false" customHeight="false" outlineLevel="0" collapsed="false">
      <c r="D1712" s="1" t="s">
        <v>6175</v>
      </c>
      <c r="E1712" s="1" t="s">
        <v>6176</v>
      </c>
      <c r="F1712" s="0" t="s">
        <v>5334</v>
      </c>
      <c r="G1712" s="57" t="s">
        <v>6177</v>
      </c>
      <c r="H1712" s="57" t="s">
        <v>6178</v>
      </c>
      <c r="I1712" s="39" t="s">
        <v>67</v>
      </c>
      <c r="J1712" s="57" t="s">
        <v>6179</v>
      </c>
      <c r="K1712" s="57" t="s">
        <v>6180</v>
      </c>
    </row>
    <row r="1713" customFormat="false" ht="45.05" hidden="false" customHeight="false" outlineLevel="0" collapsed="false">
      <c r="D1713" s="60"/>
      <c r="E1713" s="60"/>
      <c r="F1713" s="62"/>
      <c r="G1713" s="57" t="s">
        <v>6181</v>
      </c>
      <c r="H1713" s="57" t="s">
        <v>6182</v>
      </c>
      <c r="I1713" s="39"/>
      <c r="J1713" s="57" t="s">
        <v>3792</v>
      </c>
      <c r="K1713" s="57" t="s">
        <v>3792</v>
      </c>
    </row>
    <row r="1714" customFormat="false" ht="34.2" hidden="false" customHeight="false" outlineLevel="0" collapsed="false">
      <c r="D1714" s="1" t="s">
        <v>6183</v>
      </c>
      <c r="E1714" s="1" t="s">
        <v>6184</v>
      </c>
      <c r="F1714" s="0" t="s">
        <v>5342</v>
      </c>
      <c r="G1714" s="57" t="s">
        <v>6185</v>
      </c>
      <c r="H1714" s="57" t="s">
        <v>6186</v>
      </c>
      <c r="I1714" s="37" t="s">
        <v>50</v>
      </c>
      <c r="J1714" s="57" t="s">
        <v>6187</v>
      </c>
      <c r="K1714" s="57" t="s">
        <v>6188</v>
      </c>
    </row>
    <row r="1715" customFormat="false" ht="34.2" hidden="false" customHeight="false" outlineLevel="0" collapsed="false">
      <c r="C1715" s="64"/>
      <c r="D1715" s="66"/>
      <c r="E1715" s="66"/>
      <c r="F1715" s="65"/>
      <c r="G1715" s="57" t="s">
        <v>6189</v>
      </c>
      <c r="H1715" s="57" t="s">
        <v>6190</v>
      </c>
      <c r="I1715" s="37"/>
      <c r="J1715" s="57" t="s">
        <v>3792</v>
      </c>
      <c r="K1715" s="57" t="s">
        <v>3792</v>
      </c>
    </row>
    <row r="1716" customFormat="false" ht="34.2" hidden="false" customHeight="false" outlineLevel="0" collapsed="false">
      <c r="C1716" s="59" t="s">
        <v>6191</v>
      </c>
      <c r="D1716" s="1" t="s">
        <v>6192</v>
      </c>
      <c r="E1716" s="1" t="s">
        <v>6193</v>
      </c>
      <c r="F1716" s="0" t="s">
        <v>5334</v>
      </c>
      <c r="G1716" s="57" t="s">
        <v>6194</v>
      </c>
      <c r="H1716" s="57" t="s">
        <v>6195</v>
      </c>
      <c r="I1716" s="37" t="s">
        <v>50</v>
      </c>
      <c r="J1716" s="57" t="s">
        <v>6196</v>
      </c>
      <c r="K1716" s="57" t="s">
        <v>6197</v>
      </c>
    </row>
    <row r="1717" customFormat="false" ht="34.2" hidden="false" customHeight="false" outlineLevel="0" collapsed="false">
      <c r="D1717" s="60"/>
      <c r="E1717" s="60"/>
      <c r="F1717" s="62"/>
      <c r="G1717" s="57" t="s">
        <v>6198</v>
      </c>
      <c r="H1717" s="57" t="s">
        <v>6199</v>
      </c>
      <c r="I1717" s="37"/>
      <c r="J1717" s="57" t="s">
        <v>3792</v>
      </c>
      <c r="K1717" s="57" t="s">
        <v>3792</v>
      </c>
    </row>
    <row r="1718" customFormat="false" ht="45.05" hidden="false" customHeight="false" outlineLevel="0" collapsed="false">
      <c r="D1718" s="1" t="s">
        <v>6200</v>
      </c>
      <c r="E1718" s="1" t="s">
        <v>6201</v>
      </c>
      <c r="F1718" s="0" t="s">
        <v>5342</v>
      </c>
      <c r="G1718" s="57" t="s">
        <v>6202</v>
      </c>
      <c r="H1718" s="57" t="s">
        <v>6203</v>
      </c>
      <c r="I1718" s="39" t="s">
        <v>67</v>
      </c>
      <c r="J1718" s="57" t="s">
        <v>6204</v>
      </c>
      <c r="K1718" s="57" t="s">
        <v>6205</v>
      </c>
    </row>
    <row r="1719" customFormat="false" ht="34.2" hidden="false" customHeight="false" outlineLevel="0" collapsed="false">
      <c r="D1719" s="60"/>
      <c r="E1719" s="60"/>
      <c r="F1719" s="62"/>
      <c r="G1719" s="57" t="s">
        <v>6206</v>
      </c>
      <c r="H1719" s="57" t="s">
        <v>6207</v>
      </c>
      <c r="I1719" s="39"/>
      <c r="J1719" s="57" t="s">
        <v>3792</v>
      </c>
      <c r="K1719" s="57" t="s">
        <v>3792</v>
      </c>
    </row>
    <row r="1720" customFormat="false" ht="45.05" hidden="false" customHeight="false" outlineLevel="0" collapsed="false">
      <c r="D1720" s="1" t="s">
        <v>6208</v>
      </c>
      <c r="E1720" s="1" t="s">
        <v>6209</v>
      </c>
      <c r="F1720" s="0" t="s">
        <v>5342</v>
      </c>
      <c r="G1720" s="57" t="s">
        <v>6210</v>
      </c>
      <c r="H1720" s="57" t="s">
        <v>6211</v>
      </c>
      <c r="I1720" s="34" t="s">
        <v>40</v>
      </c>
      <c r="J1720" s="57" t="s">
        <v>6212</v>
      </c>
      <c r="K1720" s="57" t="s">
        <v>6213</v>
      </c>
    </row>
    <row r="1721" customFormat="false" ht="34.2" hidden="false" customHeight="false" outlineLevel="0" collapsed="false">
      <c r="D1721" s="60"/>
      <c r="E1721" s="60"/>
      <c r="F1721" s="62"/>
      <c r="G1721" s="57" t="s">
        <v>6214</v>
      </c>
      <c r="H1721" s="57" t="s">
        <v>6215</v>
      </c>
      <c r="I1721" s="34"/>
      <c r="J1721" s="57" t="s">
        <v>3792</v>
      </c>
      <c r="K1721" s="57" t="s">
        <v>3792</v>
      </c>
    </row>
    <row r="1722" customFormat="false" ht="45.05" hidden="false" customHeight="false" outlineLevel="0" collapsed="false">
      <c r="D1722" s="1" t="s">
        <v>6216</v>
      </c>
      <c r="E1722" s="1" t="s">
        <v>6217</v>
      </c>
      <c r="F1722" s="0" t="s">
        <v>5334</v>
      </c>
      <c r="G1722" s="57" t="s">
        <v>6218</v>
      </c>
      <c r="H1722" s="57" t="s">
        <v>6219</v>
      </c>
      <c r="I1722" s="39" t="s">
        <v>67</v>
      </c>
      <c r="J1722" s="57" t="s">
        <v>6220</v>
      </c>
      <c r="K1722" s="57" t="s">
        <v>6221</v>
      </c>
    </row>
    <row r="1723" customFormat="false" ht="45.05" hidden="false" customHeight="false" outlineLevel="0" collapsed="false">
      <c r="D1723" s="60"/>
      <c r="E1723" s="60"/>
      <c r="F1723" s="62"/>
      <c r="G1723" s="57" t="s">
        <v>6222</v>
      </c>
      <c r="H1723" s="57" t="s">
        <v>3792</v>
      </c>
      <c r="I1723" s="39"/>
      <c r="J1723" s="57" t="s">
        <v>3792</v>
      </c>
      <c r="K1723" s="57" t="s">
        <v>3792</v>
      </c>
    </row>
    <row r="1724" customFormat="false" ht="45.05" hidden="false" customHeight="false" outlineLevel="0" collapsed="false">
      <c r="D1724" s="1" t="s">
        <v>6223</v>
      </c>
      <c r="E1724" s="1" t="s">
        <v>6224</v>
      </c>
      <c r="F1724" s="0" t="s">
        <v>5334</v>
      </c>
      <c r="G1724" s="57" t="s">
        <v>6225</v>
      </c>
      <c r="H1724" s="57" t="s">
        <v>6226</v>
      </c>
      <c r="I1724" s="37" t="s">
        <v>50</v>
      </c>
      <c r="J1724" s="57" t="s">
        <v>6227</v>
      </c>
      <c r="K1724" s="57" t="s">
        <v>6228</v>
      </c>
    </row>
    <row r="1725" customFormat="false" ht="34.2" hidden="false" customHeight="false" outlineLevel="0" collapsed="false">
      <c r="C1725" s="64"/>
      <c r="D1725" s="66"/>
      <c r="E1725" s="66"/>
      <c r="F1725" s="65"/>
      <c r="G1725" s="57" t="s">
        <v>6229</v>
      </c>
      <c r="H1725" s="57" t="s">
        <v>3792</v>
      </c>
      <c r="I1725" s="37"/>
      <c r="J1725" s="57" t="s">
        <v>3792</v>
      </c>
      <c r="K1725" s="57" t="s">
        <v>3792</v>
      </c>
    </row>
    <row r="1726" customFormat="false" ht="45.05" hidden="false" customHeight="false" outlineLevel="0" collapsed="false">
      <c r="C1726" s="59" t="s">
        <v>6230</v>
      </c>
      <c r="D1726" s="1" t="s">
        <v>6231</v>
      </c>
      <c r="E1726" s="1" t="s">
        <v>6232</v>
      </c>
      <c r="F1726" s="0" t="s">
        <v>5342</v>
      </c>
      <c r="G1726" s="57" t="s">
        <v>6233</v>
      </c>
      <c r="H1726" s="57" t="s">
        <v>6234</v>
      </c>
      <c r="I1726" s="37" t="s">
        <v>50</v>
      </c>
      <c r="J1726" s="57" t="s">
        <v>6235</v>
      </c>
      <c r="K1726" s="57" t="s">
        <v>6236</v>
      </c>
    </row>
    <row r="1727" customFormat="false" ht="34.2" hidden="false" customHeight="false" outlineLevel="0" collapsed="false">
      <c r="D1727" s="60"/>
      <c r="E1727" s="60"/>
      <c r="F1727" s="62"/>
      <c r="G1727" s="57" t="s">
        <v>6237</v>
      </c>
      <c r="H1727" s="57" t="s">
        <v>3792</v>
      </c>
      <c r="I1727" s="37"/>
      <c r="J1727" s="57" t="s">
        <v>3792</v>
      </c>
      <c r="K1727" s="57" t="s">
        <v>3792</v>
      </c>
    </row>
    <row r="1728" customFormat="false" ht="34.2" hidden="false" customHeight="false" outlineLevel="0" collapsed="false">
      <c r="D1728" s="1" t="s">
        <v>6238</v>
      </c>
      <c r="E1728" s="1" t="s">
        <v>6239</v>
      </c>
      <c r="F1728" s="0" t="s">
        <v>5342</v>
      </c>
      <c r="G1728" s="57" t="s">
        <v>6240</v>
      </c>
      <c r="H1728" s="57" t="s">
        <v>6241</v>
      </c>
      <c r="I1728" s="39" t="s">
        <v>67</v>
      </c>
      <c r="J1728" s="57" t="s">
        <v>6242</v>
      </c>
      <c r="K1728" s="57" t="s">
        <v>6243</v>
      </c>
    </row>
    <row r="1729" customFormat="false" ht="45.05" hidden="false" customHeight="false" outlineLevel="0" collapsed="false">
      <c r="D1729" s="60"/>
      <c r="E1729" s="60"/>
      <c r="F1729" s="62"/>
      <c r="G1729" s="57" t="s">
        <v>6244</v>
      </c>
      <c r="H1729" s="57" t="s">
        <v>3792</v>
      </c>
      <c r="I1729" s="39"/>
      <c r="J1729" s="57" t="s">
        <v>3792</v>
      </c>
      <c r="K1729" s="57" t="s">
        <v>3792</v>
      </c>
    </row>
    <row r="1730" customFormat="false" ht="45.05" hidden="false" customHeight="false" outlineLevel="0" collapsed="false">
      <c r="D1730" s="1" t="s">
        <v>6245</v>
      </c>
      <c r="E1730" s="1" t="s">
        <v>6246</v>
      </c>
      <c r="F1730" s="0" t="s">
        <v>5334</v>
      </c>
      <c r="G1730" s="57" t="s">
        <v>6247</v>
      </c>
      <c r="H1730" s="57" t="s">
        <v>6248</v>
      </c>
      <c r="I1730" s="34" t="s">
        <v>40</v>
      </c>
      <c r="J1730" s="57" t="s">
        <v>6249</v>
      </c>
      <c r="K1730" s="57" t="s">
        <v>6250</v>
      </c>
    </row>
    <row r="1731" customFormat="false" ht="34.2" hidden="false" customHeight="false" outlineLevel="0" collapsed="false">
      <c r="D1731" s="60"/>
      <c r="E1731" s="60"/>
      <c r="F1731" s="62"/>
      <c r="G1731" s="57" t="s">
        <v>6251</v>
      </c>
      <c r="H1731" s="57" t="s">
        <v>3792</v>
      </c>
      <c r="I1731" s="34"/>
      <c r="J1731" s="57" t="s">
        <v>3792</v>
      </c>
      <c r="K1731" s="57" t="s">
        <v>3792</v>
      </c>
    </row>
    <row r="1732" customFormat="false" ht="34.2" hidden="false" customHeight="false" outlineLevel="0" collapsed="false">
      <c r="D1732" s="1" t="s">
        <v>6252</v>
      </c>
      <c r="E1732" s="1" t="s">
        <v>6253</v>
      </c>
      <c r="F1732" s="0" t="s">
        <v>5334</v>
      </c>
      <c r="G1732" s="57" t="s">
        <v>6254</v>
      </c>
      <c r="H1732" s="57" t="s">
        <v>6255</v>
      </c>
      <c r="I1732" s="39" t="s">
        <v>67</v>
      </c>
      <c r="J1732" s="57" t="s">
        <v>6256</v>
      </c>
      <c r="K1732" s="57" t="s">
        <v>6257</v>
      </c>
    </row>
    <row r="1733" customFormat="false" ht="34.2" hidden="false" customHeight="false" outlineLevel="0" collapsed="false">
      <c r="D1733" s="60"/>
      <c r="E1733" s="60"/>
      <c r="F1733" s="62"/>
      <c r="G1733" s="57" t="s">
        <v>6258</v>
      </c>
      <c r="H1733" s="57" t="s">
        <v>3792</v>
      </c>
      <c r="I1733" s="39"/>
      <c r="J1733" s="57" t="s">
        <v>3792</v>
      </c>
      <c r="K1733" s="57" t="s">
        <v>3792</v>
      </c>
    </row>
    <row r="1734" customFormat="false" ht="45.05" hidden="false" customHeight="false" outlineLevel="0" collapsed="false">
      <c r="D1734" s="1" t="s">
        <v>6259</v>
      </c>
      <c r="E1734" s="1" t="s">
        <v>6260</v>
      </c>
      <c r="F1734" s="0" t="s">
        <v>5334</v>
      </c>
      <c r="G1734" s="57" t="s">
        <v>6261</v>
      </c>
      <c r="H1734" s="57" t="s">
        <v>6262</v>
      </c>
      <c r="I1734" s="37" t="s">
        <v>50</v>
      </c>
      <c r="J1734" s="57" t="s">
        <v>6263</v>
      </c>
      <c r="K1734" s="57" t="s">
        <v>6264</v>
      </c>
    </row>
    <row r="1735" customFormat="false" ht="34.2" hidden="false" customHeight="false" outlineLevel="0" collapsed="false">
      <c r="C1735" s="64"/>
      <c r="D1735" s="66"/>
      <c r="E1735" s="66"/>
      <c r="F1735" s="65"/>
      <c r="G1735" s="57" t="s">
        <v>6265</v>
      </c>
      <c r="H1735" s="57" t="s">
        <v>3792</v>
      </c>
      <c r="I1735" s="37"/>
      <c r="J1735" s="57" t="s">
        <v>3792</v>
      </c>
      <c r="K1735" s="57" t="s">
        <v>3792</v>
      </c>
    </row>
    <row r="1736" customFormat="false" ht="34.2" hidden="false" customHeight="false" outlineLevel="0" collapsed="false">
      <c r="C1736" s="59" t="s">
        <v>6266</v>
      </c>
      <c r="D1736" s="1" t="s">
        <v>6267</v>
      </c>
      <c r="E1736" s="1" t="s">
        <v>6268</v>
      </c>
      <c r="F1736" s="0" t="s">
        <v>5342</v>
      </c>
      <c r="G1736" s="57" t="s">
        <v>6269</v>
      </c>
      <c r="H1736" s="57" t="s">
        <v>6270</v>
      </c>
      <c r="I1736" s="37" t="s">
        <v>50</v>
      </c>
      <c r="J1736" s="57" t="s">
        <v>6271</v>
      </c>
      <c r="K1736" s="57" t="s">
        <v>6272</v>
      </c>
    </row>
    <row r="1737" customFormat="false" ht="45.05" hidden="false" customHeight="false" outlineLevel="0" collapsed="false">
      <c r="D1737" s="60"/>
      <c r="E1737" s="60"/>
      <c r="F1737" s="62"/>
      <c r="G1737" s="57" t="s">
        <v>6273</v>
      </c>
      <c r="H1737" s="57" t="s">
        <v>3792</v>
      </c>
      <c r="I1737" s="37"/>
      <c r="J1737" s="57" t="s">
        <v>3792</v>
      </c>
      <c r="K1737" s="57" t="s">
        <v>3792</v>
      </c>
    </row>
    <row r="1738" customFormat="false" ht="45.05" hidden="false" customHeight="false" outlineLevel="0" collapsed="false">
      <c r="D1738" s="1" t="s">
        <v>6274</v>
      </c>
      <c r="E1738" s="1" t="s">
        <v>6275</v>
      </c>
      <c r="F1738" s="0" t="s">
        <v>5334</v>
      </c>
      <c r="G1738" s="57" t="s">
        <v>6276</v>
      </c>
      <c r="H1738" s="57" t="s">
        <v>6277</v>
      </c>
      <c r="I1738" s="39" t="s">
        <v>67</v>
      </c>
      <c r="J1738" s="57" t="s">
        <v>6278</v>
      </c>
      <c r="K1738" s="57" t="s">
        <v>6279</v>
      </c>
    </row>
    <row r="1739" customFormat="false" ht="34.2" hidden="false" customHeight="false" outlineLevel="0" collapsed="false">
      <c r="D1739" s="60"/>
      <c r="E1739" s="60"/>
      <c r="F1739" s="62"/>
      <c r="G1739" s="57" t="s">
        <v>6280</v>
      </c>
      <c r="H1739" s="57" t="s">
        <v>3792</v>
      </c>
      <c r="I1739" s="39"/>
      <c r="J1739" s="57" t="s">
        <v>3792</v>
      </c>
      <c r="K1739" s="57" t="s">
        <v>3792</v>
      </c>
    </row>
    <row r="1740" customFormat="false" ht="45.05" hidden="false" customHeight="false" outlineLevel="0" collapsed="false">
      <c r="D1740" s="1" t="s">
        <v>6281</v>
      </c>
      <c r="E1740" s="1" t="s">
        <v>6282</v>
      </c>
      <c r="F1740" s="0" t="s">
        <v>5342</v>
      </c>
      <c r="G1740" s="57" t="s">
        <v>6283</v>
      </c>
      <c r="H1740" s="57" t="s">
        <v>6284</v>
      </c>
      <c r="I1740" s="34" t="s">
        <v>40</v>
      </c>
      <c r="J1740" s="57" t="s">
        <v>6285</v>
      </c>
      <c r="K1740" s="57" t="s">
        <v>6286</v>
      </c>
    </row>
    <row r="1741" customFormat="false" ht="34.2" hidden="false" customHeight="false" outlineLevel="0" collapsed="false">
      <c r="D1741" s="60"/>
      <c r="E1741" s="60"/>
      <c r="F1741" s="62"/>
      <c r="G1741" s="57" t="s">
        <v>6287</v>
      </c>
      <c r="H1741" s="57" t="s">
        <v>3792</v>
      </c>
      <c r="I1741" s="34"/>
      <c r="J1741" s="57" t="s">
        <v>3792</v>
      </c>
      <c r="K1741" s="57" t="s">
        <v>3792</v>
      </c>
    </row>
    <row r="1742" customFormat="false" ht="34.2" hidden="false" customHeight="false" outlineLevel="0" collapsed="false">
      <c r="D1742" s="1" t="s">
        <v>6288</v>
      </c>
      <c r="E1742" s="1" t="s">
        <v>6289</v>
      </c>
      <c r="F1742" s="0" t="s">
        <v>5334</v>
      </c>
      <c r="G1742" s="57" t="s">
        <v>6290</v>
      </c>
      <c r="H1742" s="57" t="s">
        <v>6291</v>
      </c>
      <c r="I1742" s="39" t="s">
        <v>67</v>
      </c>
      <c r="J1742" s="57" t="s">
        <v>6292</v>
      </c>
      <c r="K1742" s="57" t="s">
        <v>6293</v>
      </c>
    </row>
    <row r="1743" customFormat="false" ht="34.2" hidden="false" customHeight="false" outlineLevel="0" collapsed="false">
      <c r="D1743" s="60"/>
      <c r="E1743" s="60"/>
      <c r="F1743" s="62"/>
      <c r="G1743" s="57" t="s">
        <v>6294</v>
      </c>
      <c r="H1743" s="57" t="s">
        <v>3792</v>
      </c>
      <c r="I1743" s="39"/>
      <c r="J1743" s="57" t="s">
        <v>3792</v>
      </c>
      <c r="K1743" s="57" t="s">
        <v>3792</v>
      </c>
    </row>
    <row r="1744" customFormat="false" ht="34.2" hidden="false" customHeight="false" outlineLevel="0" collapsed="false">
      <c r="D1744" s="1" t="s">
        <v>6295</v>
      </c>
      <c r="E1744" s="1" t="s">
        <v>6296</v>
      </c>
      <c r="F1744" s="0" t="s">
        <v>5342</v>
      </c>
      <c r="G1744" s="57" t="s">
        <v>6297</v>
      </c>
      <c r="H1744" s="57" t="s">
        <v>6298</v>
      </c>
      <c r="I1744" s="37" t="s">
        <v>50</v>
      </c>
      <c r="J1744" s="57" t="s">
        <v>6299</v>
      </c>
      <c r="K1744" s="57" t="s">
        <v>6300</v>
      </c>
    </row>
    <row r="1745" customFormat="false" ht="34.2" hidden="false" customHeight="false" outlineLevel="0" collapsed="false">
      <c r="C1745" s="64"/>
      <c r="D1745" s="66"/>
      <c r="E1745" s="66"/>
      <c r="F1745" s="69"/>
      <c r="G1745" s="57" t="s">
        <v>6301</v>
      </c>
      <c r="H1745" s="57" t="s">
        <v>3792</v>
      </c>
      <c r="I1745" s="37"/>
      <c r="J1745" s="57" t="s">
        <v>3792</v>
      </c>
      <c r="K1745" s="57" t="s">
        <v>3792</v>
      </c>
    </row>
    <row r="1746" customFormat="false" ht="45.05" hidden="false" customHeight="false" outlineLevel="0" collapsed="false">
      <c r="C1746" s="59" t="s">
        <v>6302</v>
      </c>
      <c r="D1746" s="1" t="s">
        <v>6303</v>
      </c>
      <c r="E1746" s="1" t="s">
        <v>6304</v>
      </c>
      <c r="F1746" s="0" t="s">
        <v>5334</v>
      </c>
      <c r="G1746" s="57" t="s">
        <v>6305</v>
      </c>
      <c r="H1746" s="57" t="s">
        <v>6306</v>
      </c>
      <c r="I1746" s="37" t="s">
        <v>50</v>
      </c>
      <c r="J1746" s="57" t="s">
        <v>6307</v>
      </c>
      <c r="K1746" s="57" t="s">
        <v>6308</v>
      </c>
    </row>
    <row r="1747" customFormat="false" ht="34.2" hidden="false" customHeight="false" outlineLevel="0" collapsed="false">
      <c r="D1747" s="60"/>
      <c r="E1747" s="60"/>
      <c r="F1747" s="62"/>
      <c r="G1747" s="57" t="s">
        <v>6309</v>
      </c>
      <c r="H1747" s="57" t="s">
        <v>3792</v>
      </c>
      <c r="I1747" s="37"/>
      <c r="J1747" s="57" t="s">
        <v>3792</v>
      </c>
      <c r="K1747" s="57" t="s">
        <v>3792</v>
      </c>
    </row>
    <row r="1748" customFormat="false" ht="45.05" hidden="false" customHeight="false" outlineLevel="0" collapsed="false">
      <c r="D1748" s="1" t="s">
        <v>6310</v>
      </c>
      <c r="E1748" s="1" t="s">
        <v>6311</v>
      </c>
      <c r="F1748" s="0" t="s">
        <v>5334</v>
      </c>
      <c r="G1748" s="57" t="s">
        <v>6312</v>
      </c>
      <c r="H1748" s="57" t="s">
        <v>6313</v>
      </c>
      <c r="I1748" s="39" t="s">
        <v>67</v>
      </c>
      <c r="J1748" s="57" t="s">
        <v>6314</v>
      </c>
      <c r="K1748" s="57" t="s">
        <v>6315</v>
      </c>
    </row>
    <row r="1749" customFormat="false" ht="34.2" hidden="false" customHeight="false" outlineLevel="0" collapsed="false">
      <c r="D1749" s="60"/>
      <c r="E1749" s="60"/>
      <c r="F1749" s="62"/>
      <c r="G1749" s="57" t="s">
        <v>6316</v>
      </c>
      <c r="H1749" s="57" t="s">
        <v>3792</v>
      </c>
      <c r="I1749" s="39"/>
      <c r="J1749" s="57" t="s">
        <v>3792</v>
      </c>
      <c r="K1749" s="57" t="s">
        <v>3792</v>
      </c>
    </row>
    <row r="1750" customFormat="false" ht="34.2" hidden="false" customHeight="false" outlineLevel="0" collapsed="false">
      <c r="D1750" s="1" t="s">
        <v>6317</v>
      </c>
      <c r="E1750" s="1" t="s">
        <v>6318</v>
      </c>
      <c r="F1750" s="0" t="s">
        <v>5334</v>
      </c>
      <c r="G1750" s="57" t="s">
        <v>6319</v>
      </c>
      <c r="H1750" s="57" t="s">
        <v>6320</v>
      </c>
      <c r="I1750" s="34" t="s">
        <v>40</v>
      </c>
      <c r="J1750" s="57" t="s">
        <v>6321</v>
      </c>
      <c r="K1750" s="57" t="s">
        <v>6322</v>
      </c>
    </row>
    <row r="1751" customFormat="false" ht="45.05" hidden="false" customHeight="false" outlineLevel="0" collapsed="false">
      <c r="D1751" s="60"/>
      <c r="E1751" s="60"/>
      <c r="F1751" s="62"/>
      <c r="G1751" s="57" t="s">
        <v>6323</v>
      </c>
      <c r="H1751" s="57" t="s">
        <v>3792</v>
      </c>
      <c r="I1751" s="34"/>
      <c r="J1751" s="57" t="s">
        <v>3792</v>
      </c>
      <c r="K1751" s="57" t="s">
        <v>3792</v>
      </c>
    </row>
    <row r="1752" customFormat="false" ht="34.2" hidden="false" customHeight="false" outlineLevel="0" collapsed="false">
      <c r="D1752" s="1" t="s">
        <v>6324</v>
      </c>
      <c r="E1752" s="1" t="s">
        <v>6325</v>
      </c>
      <c r="F1752" s="0" t="s">
        <v>5342</v>
      </c>
      <c r="G1752" s="57" t="s">
        <v>6326</v>
      </c>
      <c r="H1752" s="57" t="s">
        <v>6327</v>
      </c>
      <c r="I1752" s="39" t="s">
        <v>67</v>
      </c>
      <c r="J1752" s="57" t="s">
        <v>6328</v>
      </c>
      <c r="K1752" s="57" t="s">
        <v>6329</v>
      </c>
    </row>
    <row r="1753" customFormat="false" ht="45.05" hidden="false" customHeight="false" outlineLevel="0" collapsed="false">
      <c r="D1753" s="60"/>
      <c r="E1753" s="60"/>
      <c r="F1753" s="62"/>
      <c r="G1753" s="57" t="s">
        <v>6330</v>
      </c>
      <c r="H1753" s="57" t="s">
        <v>3792</v>
      </c>
      <c r="I1753" s="39"/>
      <c r="J1753" s="57" t="s">
        <v>3792</v>
      </c>
      <c r="K1753" s="57" t="s">
        <v>3792</v>
      </c>
    </row>
    <row r="1754" customFormat="false" ht="34.2" hidden="false" customHeight="false" outlineLevel="0" collapsed="false">
      <c r="D1754" s="1" t="s">
        <v>6331</v>
      </c>
      <c r="E1754" s="1" t="s">
        <v>6332</v>
      </c>
      <c r="F1754" s="0" t="s">
        <v>5342</v>
      </c>
      <c r="G1754" s="57" t="s">
        <v>6333</v>
      </c>
      <c r="H1754" s="57" t="s">
        <v>6334</v>
      </c>
      <c r="I1754" s="37" t="s">
        <v>50</v>
      </c>
      <c r="J1754" s="57" t="s">
        <v>6335</v>
      </c>
      <c r="K1754" s="57" t="s">
        <v>6336</v>
      </c>
    </row>
    <row r="1755" customFormat="false" ht="34.2" hidden="false" customHeight="false" outlineLevel="0" collapsed="false">
      <c r="B1755" s="67"/>
      <c r="C1755" s="68"/>
      <c r="D1755" s="68"/>
      <c r="E1755" s="68"/>
      <c r="F1755" s="65"/>
      <c r="G1755" s="57" t="s">
        <v>6337</v>
      </c>
      <c r="H1755" s="57" t="s">
        <v>3792</v>
      </c>
      <c r="I1755" s="37"/>
      <c r="J1755" s="57" t="s">
        <v>3792</v>
      </c>
      <c r="K1755" s="57" t="s">
        <v>3792</v>
      </c>
    </row>
    <row r="1756" customFormat="false" ht="45.05" hidden="false" customHeight="false" outlineLevel="0" collapsed="false">
      <c r="B1756" s="1" t="s">
        <v>6338</v>
      </c>
      <c r="C1756" s="59" t="s">
        <v>6339</v>
      </c>
      <c r="D1756" s="1" t="s">
        <v>6340</v>
      </c>
      <c r="E1756" s="1" t="s">
        <v>6341</v>
      </c>
      <c r="F1756" s="0" t="s">
        <v>5334</v>
      </c>
      <c r="G1756" s="57" t="s">
        <v>6342</v>
      </c>
      <c r="H1756" s="57" t="s">
        <v>6343</v>
      </c>
      <c r="I1756" s="37" t="s">
        <v>50</v>
      </c>
      <c r="J1756" s="57" t="s">
        <v>6344</v>
      </c>
      <c r="K1756" s="57" t="s">
        <v>6345</v>
      </c>
    </row>
    <row r="1757" customFormat="false" ht="34.2" hidden="false" customHeight="false" outlineLevel="0" collapsed="false">
      <c r="D1757" s="60"/>
      <c r="E1757" s="60"/>
      <c r="F1757" s="62"/>
      <c r="G1757" s="57" t="s">
        <v>6346</v>
      </c>
      <c r="H1757" s="57" t="s">
        <v>3792</v>
      </c>
      <c r="I1757" s="37"/>
      <c r="J1757" s="57" t="s">
        <v>3792</v>
      </c>
      <c r="K1757" s="57" t="s">
        <v>3792</v>
      </c>
    </row>
    <row r="1758" customFormat="false" ht="34.2" hidden="false" customHeight="false" outlineLevel="0" collapsed="false">
      <c r="D1758" s="1" t="s">
        <v>6347</v>
      </c>
      <c r="E1758" s="1" t="s">
        <v>6348</v>
      </c>
      <c r="F1758" s="0" t="s">
        <v>5342</v>
      </c>
      <c r="G1758" s="57" t="s">
        <v>6349</v>
      </c>
      <c r="H1758" s="57" t="s">
        <v>6350</v>
      </c>
      <c r="I1758" s="39" t="s">
        <v>67</v>
      </c>
      <c r="J1758" s="57" t="s">
        <v>6351</v>
      </c>
      <c r="K1758" s="57" t="s">
        <v>6352</v>
      </c>
    </row>
    <row r="1759" customFormat="false" ht="21.75" hidden="false" customHeight="false" outlineLevel="0" collapsed="false">
      <c r="D1759" s="60"/>
      <c r="E1759" s="60"/>
      <c r="F1759" s="62"/>
      <c r="G1759" s="57" t="s">
        <v>6353</v>
      </c>
      <c r="H1759" s="57" t="s">
        <v>3792</v>
      </c>
      <c r="I1759" s="39"/>
      <c r="J1759" s="57" t="s">
        <v>3792</v>
      </c>
      <c r="K1759" s="57" t="s">
        <v>3792</v>
      </c>
    </row>
    <row r="1760" customFormat="false" ht="45.05" hidden="false" customHeight="false" outlineLevel="0" collapsed="false">
      <c r="D1760" s="1" t="s">
        <v>6354</v>
      </c>
      <c r="E1760" s="1" t="s">
        <v>6355</v>
      </c>
      <c r="F1760" s="0" t="s">
        <v>5342</v>
      </c>
      <c r="G1760" s="57" t="s">
        <v>6356</v>
      </c>
      <c r="H1760" s="57" t="s">
        <v>6357</v>
      </c>
      <c r="I1760" s="34" t="s">
        <v>40</v>
      </c>
      <c r="J1760" s="57" t="s">
        <v>6358</v>
      </c>
      <c r="K1760" s="57" t="s">
        <v>6359</v>
      </c>
    </row>
    <row r="1761" customFormat="false" ht="45.05" hidden="false" customHeight="false" outlineLevel="0" collapsed="false">
      <c r="D1761" s="60"/>
      <c r="E1761" s="60"/>
      <c r="F1761" s="62"/>
      <c r="G1761" s="57" t="s">
        <v>6360</v>
      </c>
      <c r="H1761" s="57" t="s">
        <v>3792</v>
      </c>
      <c r="I1761" s="34"/>
      <c r="J1761" s="57" t="s">
        <v>3792</v>
      </c>
      <c r="K1761" s="57" t="s">
        <v>3792</v>
      </c>
    </row>
    <row r="1762" customFormat="false" ht="45.05" hidden="false" customHeight="false" outlineLevel="0" collapsed="false">
      <c r="D1762" s="1" t="s">
        <v>6361</v>
      </c>
      <c r="E1762" s="1" t="s">
        <v>6362</v>
      </c>
      <c r="F1762" s="0" t="s">
        <v>5334</v>
      </c>
      <c r="G1762" s="57" t="s">
        <v>6363</v>
      </c>
      <c r="H1762" s="57" t="s">
        <v>6364</v>
      </c>
      <c r="I1762" s="39" t="s">
        <v>67</v>
      </c>
      <c r="J1762" s="57" t="s">
        <v>6365</v>
      </c>
      <c r="K1762" s="57" t="s">
        <v>6366</v>
      </c>
    </row>
    <row r="1763" customFormat="false" ht="45.05" hidden="false" customHeight="false" outlineLevel="0" collapsed="false">
      <c r="D1763" s="60"/>
      <c r="E1763" s="60"/>
      <c r="F1763" s="62"/>
      <c r="G1763" s="57" t="s">
        <v>6367</v>
      </c>
      <c r="H1763" s="57" t="s">
        <v>3792</v>
      </c>
      <c r="I1763" s="39"/>
      <c r="J1763" s="57" t="s">
        <v>3792</v>
      </c>
      <c r="K1763" s="57" t="s">
        <v>3792</v>
      </c>
    </row>
    <row r="1764" customFormat="false" ht="45.05" hidden="false" customHeight="false" outlineLevel="0" collapsed="false">
      <c r="D1764" s="1" t="s">
        <v>6368</v>
      </c>
      <c r="E1764" s="1" t="s">
        <v>6369</v>
      </c>
      <c r="F1764" s="0" t="s">
        <v>5342</v>
      </c>
      <c r="G1764" s="57" t="s">
        <v>6370</v>
      </c>
      <c r="H1764" s="57" t="s">
        <v>6371</v>
      </c>
      <c r="I1764" s="37" t="s">
        <v>50</v>
      </c>
      <c r="J1764" s="57" t="s">
        <v>6372</v>
      </c>
      <c r="K1764" s="57" t="s">
        <v>6373</v>
      </c>
    </row>
    <row r="1765" customFormat="false" ht="45.05" hidden="false" customHeight="false" outlineLevel="0" collapsed="false">
      <c r="C1765" s="64"/>
      <c r="D1765" s="66"/>
      <c r="E1765" s="66"/>
      <c r="F1765" s="65"/>
      <c r="G1765" s="57" t="s">
        <v>6374</v>
      </c>
      <c r="H1765" s="66"/>
      <c r="I1765" s="37"/>
      <c r="J1765" s="66"/>
      <c r="K1765" s="57" t="s">
        <v>3792</v>
      </c>
    </row>
    <row r="1766" customFormat="false" ht="34.2" hidden="false" customHeight="false" outlineLevel="0" collapsed="false">
      <c r="C1766" s="59" t="s">
        <v>6375</v>
      </c>
      <c r="D1766" s="1" t="s">
        <v>6376</v>
      </c>
      <c r="E1766" s="1" t="s">
        <v>6377</v>
      </c>
      <c r="F1766" s="0" t="s">
        <v>5342</v>
      </c>
      <c r="G1766" s="57" t="s">
        <v>6378</v>
      </c>
      <c r="H1766" s="57" t="s">
        <v>6379</v>
      </c>
      <c r="I1766" s="37" t="s">
        <v>50</v>
      </c>
      <c r="J1766" s="57" t="s">
        <v>6380</v>
      </c>
      <c r="K1766" s="57" t="s">
        <v>6381</v>
      </c>
    </row>
    <row r="1767" customFormat="false" ht="45.05" hidden="false" customHeight="false" outlineLevel="0" collapsed="false">
      <c r="D1767" s="60"/>
      <c r="E1767" s="60"/>
      <c r="F1767" s="62"/>
      <c r="G1767" s="57" t="s">
        <v>6382</v>
      </c>
      <c r="H1767" s="57" t="s">
        <v>3792</v>
      </c>
      <c r="I1767" s="37"/>
      <c r="J1767" s="57" t="s">
        <v>3792</v>
      </c>
      <c r="K1767" s="57" t="s">
        <v>3792</v>
      </c>
    </row>
    <row r="1768" customFormat="false" ht="34.2" hidden="false" customHeight="false" outlineLevel="0" collapsed="false">
      <c r="D1768" s="1" t="s">
        <v>6383</v>
      </c>
      <c r="E1768" s="1" t="s">
        <v>6384</v>
      </c>
      <c r="F1768" s="0" t="s">
        <v>5334</v>
      </c>
      <c r="G1768" s="57" t="s">
        <v>6385</v>
      </c>
      <c r="H1768" s="57" t="s">
        <v>6386</v>
      </c>
      <c r="I1768" s="39" t="s">
        <v>67</v>
      </c>
      <c r="J1768" s="57" t="s">
        <v>6387</v>
      </c>
      <c r="K1768" s="57" t="s">
        <v>6388</v>
      </c>
    </row>
    <row r="1769" customFormat="false" ht="34.2" hidden="false" customHeight="false" outlineLevel="0" collapsed="false">
      <c r="D1769" s="60"/>
      <c r="E1769" s="60"/>
      <c r="F1769" s="62"/>
      <c r="G1769" s="57" t="s">
        <v>6389</v>
      </c>
      <c r="H1769" s="57" t="s">
        <v>3792</v>
      </c>
      <c r="I1769" s="39"/>
      <c r="J1769" s="57" t="s">
        <v>3792</v>
      </c>
      <c r="K1769" s="57" t="s">
        <v>3792</v>
      </c>
    </row>
    <row r="1770" customFormat="false" ht="34.2" hidden="false" customHeight="false" outlineLevel="0" collapsed="false">
      <c r="D1770" s="1" t="s">
        <v>6390</v>
      </c>
      <c r="E1770" s="1" t="s">
        <v>6391</v>
      </c>
      <c r="F1770" s="0" t="s">
        <v>5334</v>
      </c>
      <c r="G1770" s="57" t="s">
        <v>6392</v>
      </c>
      <c r="H1770" s="57" t="s">
        <v>6393</v>
      </c>
      <c r="I1770" s="34" t="s">
        <v>40</v>
      </c>
      <c r="J1770" s="57" t="s">
        <v>6394</v>
      </c>
      <c r="K1770" s="57" t="s">
        <v>6395</v>
      </c>
    </row>
    <row r="1771" customFormat="false" ht="21.75" hidden="false" customHeight="false" outlineLevel="0" collapsed="false">
      <c r="D1771" s="60"/>
      <c r="E1771" s="60"/>
      <c r="F1771" s="62"/>
      <c r="G1771" s="57" t="s">
        <v>6396</v>
      </c>
      <c r="H1771" s="57" t="s">
        <v>3792</v>
      </c>
      <c r="I1771" s="34"/>
      <c r="J1771" s="57" t="s">
        <v>3792</v>
      </c>
      <c r="K1771" s="57" t="s">
        <v>3792</v>
      </c>
    </row>
    <row r="1772" customFormat="false" ht="34.2" hidden="false" customHeight="false" outlineLevel="0" collapsed="false">
      <c r="D1772" s="1" t="s">
        <v>6397</v>
      </c>
      <c r="E1772" s="1" t="s">
        <v>6398</v>
      </c>
      <c r="F1772" s="0" t="s">
        <v>5334</v>
      </c>
      <c r="G1772" s="57" t="s">
        <v>6399</v>
      </c>
      <c r="H1772" s="57" t="s">
        <v>6400</v>
      </c>
      <c r="I1772" s="39" t="s">
        <v>67</v>
      </c>
      <c r="J1772" s="57" t="s">
        <v>6401</v>
      </c>
      <c r="K1772" s="57" t="s">
        <v>6402</v>
      </c>
    </row>
    <row r="1773" customFormat="false" ht="34.2" hidden="false" customHeight="false" outlineLevel="0" collapsed="false">
      <c r="D1773" s="60"/>
      <c r="E1773" s="60"/>
      <c r="F1773" s="62"/>
      <c r="G1773" s="57" t="s">
        <v>6403</v>
      </c>
      <c r="H1773" s="57" t="s">
        <v>3792</v>
      </c>
      <c r="I1773" s="39"/>
      <c r="J1773" s="57" t="s">
        <v>3792</v>
      </c>
      <c r="K1773" s="57" t="s">
        <v>3792</v>
      </c>
    </row>
    <row r="1774" customFormat="false" ht="34.2" hidden="false" customHeight="false" outlineLevel="0" collapsed="false">
      <c r="D1774" s="1" t="s">
        <v>6404</v>
      </c>
      <c r="E1774" s="1" t="s">
        <v>6405</v>
      </c>
      <c r="F1774" s="0" t="s">
        <v>5342</v>
      </c>
      <c r="G1774" s="57" t="s">
        <v>6406</v>
      </c>
      <c r="H1774" s="57" t="s">
        <v>6407</v>
      </c>
      <c r="I1774" s="37" t="s">
        <v>50</v>
      </c>
      <c r="J1774" s="57" t="s">
        <v>6408</v>
      </c>
      <c r="K1774" s="57" t="s">
        <v>6409</v>
      </c>
    </row>
    <row r="1775" customFormat="false" ht="34.2" hidden="false" customHeight="false" outlineLevel="0" collapsed="false">
      <c r="C1775" s="64"/>
      <c r="D1775" s="66"/>
      <c r="E1775" s="66"/>
      <c r="F1775" s="65"/>
      <c r="G1775" s="57" t="s">
        <v>6410</v>
      </c>
      <c r="H1775" s="57" t="s">
        <v>3792</v>
      </c>
      <c r="I1775" s="37"/>
      <c r="J1775" s="57" t="s">
        <v>3792</v>
      </c>
      <c r="K1775" s="57" t="s">
        <v>3792</v>
      </c>
    </row>
    <row r="1776" customFormat="false" ht="21.75" hidden="false" customHeight="false" outlineLevel="0" collapsed="false">
      <c r="C1776" s="59" t="s">
        <v>6411</v>
      </c>
      <c r="D1776" s="1" t="s">
        <v>6412</v>
      </c>
      <c r="E1776" s="1" t="s">
        <v>6413</v>
      </c>
      <c r="F1776" s="0" t="s">
        <v>5334</v>
      </c>
      <c r="G1776" s="57" t="s">
        <v>5486</v>
      </c>
      <c r="H1776" s="57" t="s">
        <v>6414</v>
      </c>
      <c r="I1776" s="37" t="s">
        <v>50</v>
      </c>
      <c r="J1776" s="57" t="s">
        <v>3624</v>
      </c>
      <c r="K1776" s="57" t="s">
        <v>6415</v>
      </c>
    </row>
    <row r="1777" customFormat="false" ht="45.05" hidden="false" customHeight="false" outlineLevel="0" collapsed="false">
      <c r="D1777" s="60"/>
      <c r="E1777" s="60"/>
      <c r="F1777" s="62"/>
      <c r="G1777" s="57" t="s">
        <v>1077</v>
      </c>
      <c r="H1777" s="57" t="s">
        <v>3792</v>
      </c>
      <c r="I1777" s="37"/>
      <c r="J1777" s="57" t="s">
        <v>3792</v>
      </c>
      <c r="K1777" s="57" t="s">
        <v>3792</v>
      </c>
    </row>
    <row r="1778" customFormat="false" ht="55.95" hidden="false" customHeight="false" outlineLevel="0" collapsed="false">
      <c r="D1778" s="1" t="s">
        <v>6416</v>
      </c>
      <c r="E1778" s="1" t="s">
        <v>6417</v>
      </c>
      <c r="F1778" s="0" t="s">
        <v>5342</v>
      </c>
      <c r="G1778" s="57" t="s">
        <v>6418</v>
      </c>
      <c r="H1778" s="57" t="s">
        <v>6419</v>
      </c>
      <c r="I1778" s="39" t="s">
        <v>67</v>
      </c>
      <c r="J1778" s="57" t="s">
        <v>6420</v>
      </c>
      <c r="K1778" s="57" t="s">
        <v>6421</v>
      </c>
    </row>
    <row r="1779" customFormat="false" ht="45.05" hidden="false" customHeight="false" outlineLevel="0" collapsed="false">
      <c r="D1779" s="60"/>
      <c r="E1779" s="60"/>
      <c r="F1779" s="62"/>
      <c r="G1779" s="57" t="s">
        <v>6422</v>
      </c>
      <c r="H1779" s="57" t="s">
        <v>3792</v>
      </c>
      <c r="I1779" s="39"/>
      <c r="J1779" s="57" t="s">
        <v>3792</v>
      </c>
      <c r="K1779" s="57" t="s">
        <v>3792</v>
      </c>
    </row>
    <row r="1780" customFormat="false" ht="55.95" hidden="false" customHeight="false" outlineLevel="0" collapsed="false">
      <c r="D1780" s="1" t="s">
        <v>6423</v>
      </c>
      <c r="E1780" s="1" t="s">
        <v>6424</v>
      </c>
      <c r="F1780" s="0" t="s">
        <v>5342</v>
      </c>
      <c r="G1780" s="57" t="s">
        <v>6425</v>
      </c>
      <c r="H1780" s="57" t="s">
        <v>6426</v>
      </c>
      <c r="I1780" s="34" t="s">
        <v>40</v>
      </c>
      <c r="J1780" s="57" t="s">
        <v>6427</v>
      </c>
      <c r="K1780" s="57" t="s">
        <v>6428</v>
      </c>
    </row>
    <row r="1781" customFormat="false" ht="34.2" hidden="false" customHeight="false" outlineLevel="0" collapsed="false">
      <c r="D1781" s="60"/>
      <c r="E1781" s="60"/>
      <c r="F1781" s="62"/>
      <c r="G1781" s="57" t="s">
        <v>6429</v>
      </c>
      <c r="H1781" s="57" t="s">
        <v>3792</v>
      </c>
      <c r="I1781" s="34"/>
      <c r="J1781" s="57" t="s">
        <v>3792</v>
      </c>
      <c r="K1781" s="57" t="s">
        <v>3792</v>
      </c>
    </row>
    <row r="1782" customFormat="false" ht="55.95" hidden="false" customHeight="false" outlineLevel="0" collapsed="false">
      <c r="D1782" s="1" t="s">
        <v>6430</v>
      </c>
      <c r="E1782" s="1" t="s">
        <v>6431</v>
      </c>
      <c r="F1782" s="0" t="s">
        <v>5334</v>
      </c>
      <c r="G1782" s="57" t="s">
        <v>6432</v>
      </c>
      <c r="H1782" s="57" t="s">
        <v>6433</v>
      </c>
      <c r="I1782" s="39" t="s">
        <v>67</v>
      </c>
      <c r="J1782" s="57" t="s">
        <v>6434</v>
      </c>
      <c r="K1782" s="57" t="s">
        <v>6435</v>
      </c>
    </row>
    <row r="1783" customFormat="false" ht="34.2" hidden="false" customHeight="false" outlineLevel="0" collapsed="false">
      <c r="D1783" s="60"/>
      <c r="E1783" s="60"/>
      <c r="F1783" s="62"/>
      <c r="G1783" s="57" t="s">
        <v>6436</v>
      </c>
      <c r="H1783" s="57" t="s">
        <v>3792</v>
      </c>
      <c r="I1783" s="39"/>
      <c r="J1783" s="57" t="s">
        <v>3792</v>
      </c>
      <c r="K1783" s="57" t="s">
        <v>3792</v>
      </c>
    </row>
    <row r="1784" customFormat="false" ht="34.2" hidden="false" customHeight="false" outlineLevel="0" collapsed="false">
      <c r="D1784" s="1" t="s">
        <v>6437</v>
      </c>
      <c r="E1784" s="1" t="s">
        <v>6438</v>
      </c>
      <c r="F1784" s="0" t="s">
        <v>5334</v>
      </c>
      <c r="G1784" s="57" t="s">
        <v>6439</v>
      </c>
      <c r="H1784" s="57" t="s">
        <v>6440</v>
      </c>
      <c r="I1784" s="37" t="s">
        <v>50</v>
      </c>
      <c r="J1784" s="57" t="s">
        <v>6441</v>
      </c>
      <c r="K1784" s="57" t="s">
        <v>6442</v>
      </c>
    </row>
    <row r="1785" customFormat="false" ht="45.05" hidden="false" customHeight="false" outlineLevel="0" collapsed="false">
      <c r="C1785" s="64"/>
      <c r="D1785" s="66"/>
      <c r="E1785" s="66"/>
      <c r="F1785" s="65"/>
      <c r="G1785" s="57" t="s">
        <v>3394</v>
      </c>
      <c r="H1785" s="57" t="s">
        <v>3792</v>
      </c>
      <c r="I1785" s="37"/>
      <c r="J1785" s="57" t="s">
        <v>3792</v>
      </c>
      <c r="K1785" s="57" t="s">
        <v>3792</v>
      </c>
    </row>
    <row r="1786" customFormat="false" ht="34.2" hidden="false" customHeight="false" outlineLevel="0" collapsed="false">
      <c r="C1786" s="59" t="s">
        <v>6443</v>
      </c>
      <c r="D1786" s="1" t="s">
        <v>6444</v>
      </c>
      <c r="E1786" s="1" t="s">
        <v>6445</v>
      </c>
      <c r="F1786" s="0" t="s">
        <v>5342</v>
      </c>
      <c r="G1786" s="57" t="s">
        <v>6446</v>
      </c>
      <c r="H1786" s="57" t="s">
        <v>6447</v>
      </c>
      <c r="I1786" s="37" t="s">
        <v>50</v>
      </c>
      <c r="J1786" s="57" t="s">
        <v>6448</v>
      </c>
      <c r="K1786" s="57" t="s">
        <v>6449</v>
      </c>
    </row>
    <row r="1787" customFormat="false" ht="34.2" hidden="false" customHeight="false" outlineLevel="0" collapsed="false">
      <c r="D1787" s="60"/>
      <c r="E1787" s="60"/>
      <c r="F1787" s="62"/>
      <c r="G1787" s="57" t="s">
        <v>6450</v>
      </c>
      <c r="H1787" s="57" t="s">
        <v>3792</v>
      </c>
      <c r="I1787" s="37"/>
      <c r="J1787" s="57" t="s">
        <v>3792</v>
      </c>
      <c r="K1787" s="57" t="s">
        <v>3792</v>
      </c>
    </row>
    <row r="1788" customFormat="false" ht="34.2" hidden="false" customHeight="false" outlineLevel="0" collapsed="false">
      <c r="D1788" s="1" t="s">
        <v>6451</v>
      </c>
      <c r="E1788" s="1" t="s">
        <v>6452</v>
      </c>
      <c r="F1788" s="0" t="s">
        <v>5342</v>
      </c>
      <c r="G1788" s="57" t="s">
        <v>6453</v>
      </c>
      <c r="H1788" s="57" t="s">
        <v>6454</v>
      </c>
      <c r="I1788" s="39" t="s">
        <v>67</v>
      </c>
      <c r="J1788" s="57" t="s">
        <v>6455</v>
      </c>
      <c r="K1788" s="57" t="s">
        <v>6456</v>
      </c>
    </row>
    <row r="1789" customFormat="false" ht="34.2" hidden="false" customHeight="false" outlineLevel="0" collapsed="false">
      <c r="D1789" s="60"/>
      <c r="E1789" s="60"/>
      <c r="F1789" s="62"/>
      <c r="G1789" s="57" t="s">
        <v>6457</v>
      </c>
      <c r="H1789" s="57" t="s">
        <v>3792</v>
      </c>
      <c r="I1789" s="39"/>
      <c r="J1789" s="57" t="s">
        <v>3792</v>
      </c>
      <c r="K1789" s="57" t="s">
        <v>3792</v>
      </c>
    </row>
    <row r="1790" customFormat="false" ht="34.2" hidden="false" customHeight="false" outlineLevel="0" collapsed="false">
      <c r="D1790" s="1" t="s">
        <v>6458</v>
      </c>
      <c r="E1790" s="1" t="s">
        <v>6459</v>
      </c>
      <c r="F1790" s="0" t="s">
        <v>5334</v>
      </c>
      <c r="G1790" s="57" t="s">
        <v>6460</v>
      </c>
      <c r="H1790" s="57" t="s">
        <v>6461</v>
      </c>
      <c r="I1790" s="34" t="s">
        <v>40</v>
      </c>
      <c r="J1790" s="57" t="s">
        <v>6462</v>
      </c>
      <c r="K1790" s="57" t="s">
        <v>6463</v>
      </c>
    </row>
    <row r="1791" customFormat="false" ht="34.2" hidden="false" customHeight="false" outlineLevel="0" collapsed="false">
      <c r="D1791" s="60"/>
      <c r="E1791" s="60"/>
      <c r="F1791" s="62"/>
      <c r="G1791" s="57" t="s">
        <v>6464</v>
      </c>
      <c r="H1791" s="57" t="s">
        <v>3792</v>
      </c>
      <c r="I1791" s="34"/>
      <c r="J1791" s="57" t="s">
        <v>3792</v>
      </c>
      <c r="K1791" s="57" t="s">
        <v>3792</v>
      </c>
    </row>
    <row r="1792" customFormat="false" ht="45.05" hidden="false" customHeight="false" outlineLevel="0" collapsed="false">
      <c r="D1792" s="1" t="s">
        <v>6465</v>
      </c>
      <c r="E1792" s="1" t="s">
        <v>6466</v>
      </c>
      <c r="F1792" s="0" t="s">
        <v>5334</v>
      </c>
      <c r="G1792" s="57" t="s">
        <v>6467</v>
      </c>
      <c r="H1792" s="57" t="s">
        <v>6468</v>
      </c>
      <c r="I1792" s="39" t="s">
        <v>67</v>
      </c>
      <c r="J1792" s="57" t="s">
        <v>6469</v>
      </c>
      <c r="K1792" s="57" t="s">
        <v>6470</v>
      </c>
    </row>
    <row r="1793" customFormat="false" ht="34.2" hidden="false" customHeight="false" outlineLevel="0" collapsed="false">
      <c r="D1793" s="60"/>
      <c r="E1793" s="60"/>
      <c r="F1793" s="62"/>
      <c r="G1793" s="57" t="s">
        <v>6471</v>
      </c>
      <c r="H1793" s="57" t="s">
        <v>3792</v>
      </c>
      <c r="I1793" s="39"/>
      <c r="J1793" s="57" t="s">
        <v>3792</v>
      </c>
      <c r="K1793" s="57" t="s">
        <v>3792</v>
      </c>
    </row>
    <row r="1794" customFormat="false" ht="45.05" hidden="false" customHeight="false" outlineLevel="0" collapsed="false">
      <c r="D1794" s="1" t="s">
        <v>6472</v>
      </c>
      <c r="E1794" s="1" t="s">
        <v>6473</v>
      </c>
      <c r="F1794" s="0" t="s">
        <v>5342</v>
      </c>
      <c r="G1794" s="57" t="s">
        <v>6474</v>
      </c>
      <c r="H1794" s="57" t="s">
        <v>6475</v>
      </c>
      <c r="I1794" s="37" t="s">
        <v>50</v>
      </c>
      <c r="J1794" s="57" t="s">
        <v>6476</v>
      </c>
      <c r="K1794" s="57" t="s">
        <v>6477</v>
      </c>
    </row>
    <row r="1795" customFormat="false" ht="45.05" hidden="false" customHeight="false" outlineLevel="0" collapsed="false">
      <c r="C1795" s="64"/>
      <c r="D1795" s="66"/>
      <c r="E1795" s="66"/>
      <c r="F1795" s="65"/>
      <c r="G1795" s="57" t="s">
        <v>6478</v>
      </c>
      <c r="H1795" s="57" t="s">
        <v>3792</v>
      </c>
      <c r="I1795" s="37"/>
      <c r="J1795" s="57" t="s">
        <v>3792</v>
      </c>
      <c r="K1795" s="57" t="s">
        <v>3792</v>
      </c>
    </row>
    <row r="1796" customFormat="false" ht="34.2" hidden="false" customHeight="false" outlineLevel="0" collapsed="false">
      <c r="C1796" s="59" t="s">
        <v>6479</v>
      </c>
      <c r="D1796" s="1" t="s">
        <v>6480</v>
      </c>
      <c r="E1796" s="1" t="s">
        <v>6481</v>
      </c>
      <c r="F1796" s="0" t="s">
        <v>5342</v>
      </c>
      <c r="G1796" s="57" t="s">
        <v>6482</v>
      </c>
      <c r="H1796" s="57" t="s">
        <v>6483</v>
      </c>
      <c r="I1796" s="37" t="s">
        <v>50</v>
      </c>
      <c r="J1796" s="57" t="s">
        <v>6484</v>
      </c>
      <c r="K1796" s="57" t="s">
        <v>6485</v>
      </c>
    </row>
    <row r="1797" customFormat="false" ht="34.2" hidden="false" customHeight="false" outlineLevel="0" collapsed="false">
      <c r="D1797" s="60"/>
      <c r="E1797" s="60"/>
      <c r="F1797" s="62"/>
      <c r="G1797" s="57" t="s">
        <v>6486</v>
      </c>
      <c r="H1797" s="57" t="s">
        <v>3792</v>
      </c>
      <c r="I1797" s="37"/>
      <c r="J1797" s="57" t="s">
        <v>3792</v>
      </c>
      <c r="K1797" s="57" t="s">
        <v>3792</v>
      </c>
    </row>
    <row r="1798" customFormat="false" ht="34.2" hidden="false" customHeight="false" outlineLevel="0" collapsed="false">
      <c r="D1798" s="1" t="s">
        <v>6487</v>
      </c>
      <c r="E1798" s="1" t="s">
        <v>6488</v>
      </c>
      <c r="F1798" s="0" t="s">
        <v>5334</v>
      </c>
      <c r="G1798" s="57" t="s">
        <v>6489</v>
      </c>
      <c r="H1798" s="57" t="s">
        <v>6490</v>
      </c>
      <c r="I1798" s="39" t="s">
        <v>67</v>
      </c>
      <c r="J1798" s="57" t="s">
        <v>6491</v>
      </c>
      <c r="K1798" s="57" t="s">
        <v>6492</v>
      </c>
    </row>
    <row r="1799" customFormat="false" ht="34.2" hidden="false" customHeight="false" outlineLevel="0" collapsed="false">
      <c r="D1799" s="60"/>
      <c r="E1799" s="60"/>
      <c r="F1799" s="62"/>
      <c r="G1799" s="57" t="s">
        <v>6493</v>
      </c>
      <c r="H1799" s="57" t="s">
        <v>3792</v>
      </c>
      <c r="I1799" s="39"/>
      <c r="J1799" s="57" t="s">
        <v>3792</v>
      </c>
      <c r="K1799" s="57" t="s">
        <v>3792</v>
      </c>
    </row>
    <row r="1800" customFormat="false" ht="45.05" hidden="false" customHeight="false" outlineLevel="0" collapsed="false">
      <c r="D1800" s="1" t="s">
        <v>6494</v>
      </c>
      <c r="E1800" s="1" t="s">
        <v>6495</v>
      </c>
      <c r="F1800" s="0" t="s">
        <v>5342</v>
      </c>
      <c r="G1800" s="57" t="s">
        <v>6496</v>
      </c>
      <c r="H1800" s="57" t="s">
        <v>6497</v>
      </c>
      <c r="I1800" s="34" t="s">
        <v>40</v>
      </c>
      <c r="J1800" s="57" t="s">
        <v>6498</v>
      </c>
      <c r="K1800" s="57" t="s">
        <v>6499</v>
      </c>
    </row>
    <row r="1801" customFormat="false" ht="34.2" hidden="false" customHeight="false" outlineLevel="0" collapsed="false">
      <c r="D1801" s="60"/>
      <c r="E1801" s="60"/>
      <c r="F1801" s="62"/>
      <c r="G1801" s="57" t="s">
        <v>6500</v>
      </c>
      <c r="H1801" s="57" t="s">
        <v>3792</v>
      </c>
      <c r="I1801" s="34"/>
      <c r="J1801" s="57" t="s">
        <v>3792</v>
      </c>
      <c r="K1801" s="57" t="s">
        <v>3792</v>
      </c>
    </row>
    <row r="1802" customFormat="false" ht="34.2" hidden="false" customHeight="false" outlineLevel="0" collapsed="false">
      <c r="D1802" s="1" t="s">
        <v>6501</v>
      </c>
      <c r="E1802" s="1" t="s">
        <v>6502</v>
      </c>
      <c r="F1802" s="0" t="s">
        <v>5334</v>
      </c>
      <c r="G1802" s="57" t="s">
        <v>6503</v>
      </c>
      <c r="H1802" s="57" t="s">
        <v>6504</v>
      </c>
      <c r="I1802" s="39" t="s">
        <v>67</v>
      </c>
      <c r="J1802" s="57" t="s">
        <v>6505</v>
      </c>
      <c r="K1802" s="57" t="s">
        <v>6506</v>
      </c>
    </row>
    <row r="1803" customFormat="false" ht="34.2" hidden="false" customHeight="false" outlineLevel="0" collapsed="false">
      <c r="D1803" s="60"/>
      <c r="E1803" s="60"/>
      <c r="F1803" s="62"/>
      <c r="G1803" s="57" t="s">
        <v>6507</v>
      </c>
      <c r="H1803" s="57" t="s">
        <v>3792</v>
      </c>
      <c r="I1803" s="39"/>
      <c r="J1803" s="57" t="s">
        <v>3792</v>
      </c>
      <c r="K1803" s="57" t="s">
        <v>3792</v>
      </c>
    </row>
    <row r="1804" customFormat="false" ht="45.05" hidden="false" customHeight="false" outlineLevel="0" collapsed="false">
      <c r="D1804" s="1" t="s">
        <v>6508</v>
      </c>
      <c r="E1804" s="1" t="s">
        <v>6509</v>
      </c>
      <c r="F1804" s="0" t="s">
        <v>5342</v>
      </c>
      <c r="G1804" s="57" t="s">
        <v>6510</v>
      </c>
      <c r="H1804" s="57" t="s">
        <v>6511</v>
      </c>
      <c r="I1804" s="37" t="s">
        <v>50</v>
      </c>
      <c r="J1804" s="57" t="s">
        <v>6512</v>
      </c>
      <c r="K1804" s="57" t="s">
        <v>6513</v>
      </c>
    </row>
    <row r="1805" customFormat="false" ht="34.2" hidden="false" customHeight="false" outlineLevel="0" collapsed="false">
      <c r="C1805" s="64"/>
      <c r="D1805" s="66"/>
      <c r="E1805" s="66"/>
      <c r="F1805" s="65"/>
      <c r="G1805" s="57" t="s">
        <v>6514</v>
      </c>
      <c r="H1805" s="57" t="s">
        <v>3792</v>
      </c>
      <c r="I1805" s="37"/>
      <c r="J1805" s="57" t="s">
        <v>3792</v>
      </c>
      <c r="K1805" s="57" t="s">
        <v>3792</v>
      </c>
    </row>
    <row r="1806" customFormat="false" ht="45.05" hidden="false" customHeight="false" outlineLevel="0" collapsed="false">
      <c r="C1806" s="1" t="s">
        <v>6515</v>
      </c>
      <c r="D1806" s="1" t="s">
        <v>6516</v>
      </c>
      <c r="E1806" s="1" t="s">
        <v>6517</v>
      </c>
      <c r="F1806" s="0" t="s">
        <v>5334</v>
      </c>
      <c r="G1806" s="57" t="s">
        <v>6518</v>
      </c>
      <c r="H1806" s="57" t="s">
        <v>6519</v>
      </c>
      <c r="I1806" s="37" t="s">
        <v>50</v>
      </c>
      <c r="J1806" s="57" t="s">
        <v>6520</v>
      </c>
      <c r="K1806" s="57" t="s">
        <v>6521</v>
      </c>
    </row>
    <row r="1807" customFormat="false" ht="34.2" hidden="false" customHeight="false" outlineLevel="0" collapsed="false">
      <c r="D1807" s="60"/>
      <c r="E1807" s="60"/>
      <c r="F1807" s="62"/>
      <c r="G1807" s="57" t="s">
        <v>6522</v>
      </c>
      <c r="H1807" s="57" t="s">
        <v>3792</v>
      </c>
      <c r="I1807" s="37"/>
      <c r="J1807" s="57" t="s">
        <v>3792</v>
      </c>
      <c r="K1807" s="57" t="s">
        <v>3792</v>
      </c>
    </row>
    <row r="1808" customFormat="false" ht="34.2" hidden="false" customHeight="false" outlineLevel="0" collapsed="false">
      <c r="D1808" s="1" t="s">
        <v>6523</v>
      </c>
      <c r="E1808" s="1" t="s">
        <v>6524</v>
      </c>
      <c r="F1808" s="0" t="s">
        <v>5334</v>
      </c>
      <c r="G1808" s="57" t="s">
        <v>6525</v>
      </c>
      <c r="H1808" s="57" t="s">
        <v>6526</v>
      </c>
      <c r="I1808" s="39" t="s">
        <v>67</v>
      </c>
      <c r="J1808" s="57" t="s">
        <v>6527</v>
      </c>
      <c r="K1808" s="57" t="s">
        <v>6528</v>
      </c>
    </row>
    <row r="1809" customFormat="false" ht="34.2" hidden="false" customHeight="false" outlineLevel="0" collapsed="false">
      <c r="D1809" s="60"/>
      <c r="E1809" s="60"/>
      <c r="F1809" s="62"/>
      <c r="G1809" s="57" t="s">
        <v>427</v>
      </c>
      <c r="H1809" s="57" t="s">
        <v>3792</v>
      </c>
      <c r="I1809" s="39"/>
      <c r="J1809" s="57" t="s">
        <v>3792</v>
      </c>
      <c r="K1809" s="57" t="s">
        <v>3792</v>
      </c>
    </row>
    <row r="1810" customFormat="false" ht="34.2" hidden="false" customHeight="false" outlineLevel="0" collapsed="false">
      <c r="D1810" s="1" t="s">
        <v>6529</v>
      </c>
      <c r="E1810" s="1" t="s">
        <v>6530</v>
      </c>
      <c r="F1810" s="0" t="s">
        <v>5342</v>
      </c>
      <c r="G1810" s="57" t="s">
        <v>6531</v>
      </c>
      <c r="H1810" s="57" t="s">
        <v>6532</v>
      </c>
      <c r="I1810" s="34" t="s">
        <v>40</v>
      </c>
      <c r="J1810" s="57" t="s">
        <v>5703</v>
      </c>
      <c r="K1810" s="57" t="s">
        <v>6533</v>
      </c>
    </row>
    <row r="1811" customFormat="false" ht="34.2" hidden="false" customHeight="false" outlineLevel="0" collapsed="false">
      <c r="D1811" s="60"/>
      <c r="E1811" s="60"/>
      <c r="F1811" s="62"/>
      <c r="G1811" s="57" t="s">
        <v>6534</v>
      </c>
      <c r="H1811" s="57" t="s">
        <v>3792</v>
      </c>
      <c r="I1811" s="34"/>
      <c r="J1811" s="57" t="s">
        <v>3792</v>
      </c>
      <c r="K1811" s="57" t="s">
        <v>3792</v>
      </c>
    </row>
    <row r="1812" customFormat="false" ht="45.05" hidden="false" customHeight="false" outlineLevel="0" collapsed="false">
      <c r="D1812" s="1" t="s">
        <v>6535</v>
      </c>
      <c r="E1812" s="1" t="s">
        <v>6536</v>
      </c>
      <c r="F1812" s="0" t="s">
        <v>5334</v>
      </c>
      <c r="G1812" s="57" t="s">
        <v>6537</v>
      </c>
      <c r="H1812" s="57" t="s">
        <v>6538</v>
      </c>
      <c r="I1812" s="39" t="s">
        <v>67</v>
      </c>
      <c r="J1812" s="57" t="s">
        <v>6539</v>
      </c>
      <c r="K1812" s="57" t="s">
        <v>6540</v>
      </c>
    </row>
    <row r="1813" customFormat="false" ht="34.2" hidden="false" customHeight="false" outlineLevel="0" collapsed="false">
      <c r="D1813" s="60"/>
      <c r="E1813" s="60"/>
      <c r="F1813" s="62"/>
      <c r="G1813" s="57" t="s">
        <v>6541</v>
      </c>
      <c r="H1813" s="57" t="s">
        <v>3792</v>
      </c>
      <c r="I1813" s="39"/>
      <c r="J1813" s="57" t="s">
        <v>3792</v>
      </c>
      <c r="K1813" s="57" t="s">
        <v>3792</v>
      </c>
    </row>
    <row r="1814" customFormat="false" ht="34.2" hidden="false" customHeight="false" outlineLevel="0" collapsed="false">
      <c r="D1814" s="1" t="s">
        <v>6542</v>
      </c>
      <c r="E1814" s="1" t="s">
        <v>6543</v>
      </c>
      <c r="F1814" s="0" t="s">
        <v>5334</v>
      </c>
      <c r="G1814" s="57" t="s">
        <v>6544</v>
      </c>
      <c r="H1814" s="57" t="s">
        <v>6545</v>
      </c>
      <c r="I1814" s="37" t="s">
        <v>50</v>
      </c>
      <c r="J1814" s="57" t="s">
        <v>6546</v>
      </c>
      <c r="K1814" s="57" t="s">
        <v>6547</v>
      </c>
    </row>
    <row r="1815" customFormat="false" ht="34.2" hidden="false" customHeight="false" outlineLevel="0" collapsed="false">
      <c r="C1815" s="64"/>
      <c r="D1815" s="66"/>
      <c r="E1815" s="66"/>
      <c r="F1815" s="65"/>
      <c r="G1815" s="57" t="s">
        <v>6548</v>
      </c>
      <c r="H1815" s="57" t="s">
        <v>3792</v>
      </c>
      <c r="I1815" s="37"/>
      <c r="J1815" s="57" t="s">
        <v>3792</v>
      </c>
      <c r="K1815" s="57" t="s">
        <v>3792</v>
      </c>
    </row>
    <row r="1816" customFormat="false" ht="34.2" hidden="false" customHeight="false" outlineLevel="0" collapsed="false">
      <c r="C1816" s="1" t="s">
        <v>6549</v>
      </c>
      <c r="D1816" s="1" t="s">
        <v>6550</v>
      </c>
      <c r="E1816" s="1" t="s">
        <v>6551</v>
      </c>
      <c r="F1816" s="0" t="s">
        <v>5342</v>
      </c>
      <c r="G1816" s="57" t="s">
        <v>6552</v>
      </c>
      <c r="H1816" s="57" t="s">
        <v>6553</v>
      </c>
      <c r="I1816" s="37" t="s">
        <v>50</v>
      </c>
      <c r="J1816" s="57" t="s">
        <v>6554</v>
      </c>
      <c r="K1816" s="57" t="s">
        <v>6555</v>
      </c>
    </row>
    <row r="1817" customFormat="false" ht="34.2" hidden="false" customHeight="false" outlineLevel="0" collapsed="false">
      <c r="D1817" s="60"/>
      <c r="E1817" s="60"/>
      <c r="F1817" s="62"/>
      <c r="G1817" s="57" t="s">
        <v>6556</v>
      </c>
      <c r="H1817" s="57" t="s">
        <v>3792</v>
      </c>
      <c r="I1817" s="37"/>
      <c r="J1817" s="57" t="s">
        <v>3792</v>
      </c>
      <c r="K1817" s="57" t="s">
        <v>3792</v>
      </c>
    </row>
    <row r="1818" customFormat="false" ht="34.2" hidden="false" customHeight="false" outlineLevel="0" collapsed="false">
      <c r="D1818" s="1" t="s">
        <v>6557</v>
      </c>
      <c r="E1818" s="1" t="s">
        <v>6558</v>
      </c>
      <c r="F1818" s="0" t="s">
        <v>5342</v>
      </c>
      <c r="G1818" s="57" t="s">
        <v>6559</v>
      </c>
      <c r="H1818" s="57" t="s">
        <v>6560</v>
      </c>
      <c r="I1818" s="39" t="s">
        <v>67</v>
      </c>
      <c r="J1818" s="57" t="s">
        <v>6561</v>
      </c>
      <c r="K1818" s="57" t="s">
        <v>6562</v>
      </c>
    </row>
    <row r="1819" customFormat="false" ht="34.2" hidden="false" customHeight="false" outlineLevel="0" collapsed="false">
      <c r="D1819" s="60"/>
      <c r="E1819" s="60"/>
      <c r="F1819" s="62"/>
      <c r="G1819" s="57" t="s">
        <v>6563</v>
      </c>
      <c r="H1819" s="57" t="s">
        <v>3792</v>
      </c>
      <c r="I1819" s="39"/>
      <c r="J1819" s="57" t="s">
        <v>3792</v>
      </c>
      <c r="K1819" s="57" t="s">
        <v>3792</v>
      </c>
    </row>
    <row r="1820" customFormat="false" ht="45.05" hidden="false" customHeight="false" outlineLevel="0" collapsed="false">
      <c r="D1820" s="1" t="s">
        <v>6564</v>
      </c>
      <c r="E1820" s="1" t="s">
        <v>6565</v>
      </c>
      <c r="F1820" s="0" t="s">
        <v>5342</v>
      </c>
      <c r="G1820" s="57" t="s">
        <v>6566</v>
      </c>
      <c r="H1820" s="57" t="s">
        <v>6567</v>
      </c>
      <c r="I1820" s="34" t="s">
        <v>40</v>
      </c>
      <c r="J1820" s="57" t="s">
        <v>6568</v>
      </c>
      <c r="K1820" s="57" t="s">
        <v>6569</v>
      </c>
    </row>
    <row r="1821" customFormat="false" ht="21.75" hidden="false" customHeight="false" outlineLevel="0" collapsed="false">
      <c r="D1821" s="60"/>
      <c r="E1821" s="60"/>
      <c r="F1821" s="62"/>
      <c r="G1821" s="57" t="s">
        <v>6570</v>
      </c>
      <c r="H1821" s="57" t="s">
        <v>3792</v>
      </c>
      <c r="I1821" s="34"/>
      <c r="J1821" s="57" t="s">
        <v>3792</v>
      </c>
      <c r="K1821" s="57" t="s">
        <v>3792</v>
      </c>
    </row>
    <row r="1822" customFormat="false" ht="34.2" hidden="false" customHeight="false" outlineLevel="0" collapsed="false">
      <c r="D1822" s="1" t="s">
        <v>6571</v>
      </c>
      <c r="E1822" s="1" t="s">
        <v>6572</v>
      </c>
      <c r="F1822" s="0" t="s">
        <v>5334</v>
      </c>
      <c r="G1822" s="57" t="s">
        <v>6573</v>
      </c>
      <c r="H1822" s="57" t="s">
        <v>6574</v>
      </c>
      <c r="I1822" s="39" t="s">
        <v>67</v>
      </c>
      <c r="J1822" s="57" t="s">
        <v>6575</v>
      </c>
      <c r="K1822" s="57" t="s">
        <v>6576</v>
      </c>
    </row>
    <row r="1823" customFormat="false" ht="34.2" hidden="false" customHeight="false" outlineLevel="0" collapsed="false">
      <c r="D1823" s="60"/>
      <c r="E1823" s="60"/>
      <c r="F1823" s="62"/>
      <c r="G1823" s="57" t="s">
        <v>6577</v>
      </c>
      <c r="H1823" s="57" t="s">
        <v>3792</v>
      </c>
      <c r="I1823" s="39"/>
      <c r="J1823" s="57" t="s">
        <v>3792</v>
      </c>
      <c r="K1823" s="57" t="s">
        <v>3792</v>
      </c>
    </row>
    <row r="1824" customFormat="false" ht="34.2" hidden="false" customHeight="false" outlineLevel="0" collapsed="false">
      <c r="D1824" s="1" t="s">
        <v>6578</v>
      </c>
      <c r="E1824" s="1" t="s">
        <v>6579</v>
      </c>
      <c r="F1824" s="0" t="s">
        <v>5342</v>
      </c>
      <c r="G1824" s="57" t="s">
        <v>6580</v>
      </c>
      <c r="H1824" s="57" t="s">
        <v>6581</v>
      </c>
      <c r="I1824" s="37" t="s">
        <v>50</v>
      </c>
      <c r="J1824" s="57" t="s">
        <v>6582</v>
      </c>
      <c r="K1824" s="57" t="s">
        <v>6583</v>
      </c>
    </row>
    <row r="1825" customFormat="false" ht="34.2" hidden="false" customHeight="false" outlineLevel="0" collapsed="false">
      <c r="C1825" s="64"/>
      <c r="D1825" s="66"/>
      <c r="E1825" s="66"/>
      <c r="F1825" s="65"/>
      <c r="G1825" s="57" t="s">
        <v>6584</v>
      </c>
      <c r="H1825" s="57" t="s">
        <v>3792</v>
      </c>
      <c r="I1825" s="37"/>
      <c r="J1825" s="57" t="s">
        <v>3792</v>
      </c>
      <c r="K1825" s="57" t="s">
        <v>3792</v>
      </c>
    </row>
    <row r="1826" customFormat="false" ht="34.2" hidden="false" customHeight="false" outlineLevel="0" collapsed="false">
      <c r="C1826" s="59" t="s">
        <v>6585</v>
      </c>
      <c r="D1826" s="1" t="s">
        <v>6586</v>
      </c>
      <c r="E1826" s="1" t="s">
        <v>6587</v>
      </c>
      <c r="F1826" s="0" t="s">
        <v>5334</v>
      </c>
      <c r="G1826" s="57" t="s">
        <v>6588</v>
      </c>
      <c r="H1826" s="57" t="s">
        <v>6589</v>
      </c>
      <c r="I1826" s="37" t="s">
        <v>50</v>
      </c>
      <c r="J1826" s="57" t="s">
        <v>6590</v>
      </c>
      <c r="K1826" s="57" t="s">
        <v>6591</v>
      </c>
    </row>
    <row r="1827" customFormat="false" ht="34.2" hidden="false" customHeight="false" outlineLevel="0" collapsed="false">
      <c r="D1827" s="60"/>
      <c r="E1827" s="60"/>
      <c r="F1827" s="62"/>
      <c r="G1827" s="57" t="s">
        <v>6592</v>
      </c>
      <c r="H1827" s="57" t="s">
        <v>3792</v>
      </c>
      <c r="I1827" s="37"/>
      <c r="J1827" s="57" t="s">
        <v>3792</v>
      </c>
      <c r="K1827" s="57" t="s">
        <v>3792</v>
      </c>
    </row>
    <row r="1828" customFormat="false" ht="34.2" hidden="false" customHeight="false" outlineLevel="0" collapsed="false">
      <c r="D1828" s="1" t="s">
        <v>6593</v>
      </c>
      <c r="E1828" s="1" t="s">
        <v>6594</v>
      </c>
      <c r="F1828" s="0" t="s">
        <v>5342</v>
      </c>
      <c r="G1828" s="57" t="s">
        <v>6595</v>
      </c>
      <c r="H1828" s="57" t="s">
        <v>6596</v>
      </c>
      <c r="I1828" s="39" t="s">
        <v>67</v>
      </c>
      <c r="J1828" s="57" t="s">
        <v>6597</v>
      </c>
      <c r="K1828" s="57" t="s">
        <v>6598</v>
      </c>
    </row>
    <row r="1829" customFormat="false" ht="34.2" hidden="false" customHeight="false" outlineLevel="0" collapsed="false">
      <c r="D1829" s="60"/>
      <c r="E1829" s="60"/>
      <c r="F1829" s="62"/>
      <c r="G1829" s="57" t="s">
        <v>6599</v>
      </c>
      <c r="H1829" s="57" t="s">
        <v>3792</v>
      </c>
      <c r="I1829" s="39"/>
      <c r="J1829" s="57" t="s">
        <v>3792</v>
      </c>
      <c r="K1829" s="57" t="s">
        <v>3792</v>
      </c>
    </row>
    <row r="1830" customFormat="false" ht="34.2" hidden="false" customHeight="false" outlineLevel="0" collapsed="false">
      <c r="D1830" s="1" t="s">
        <v>6600</v>
      </c>
      <c r="E1830" s="1" t="s">
        <v>6601</v>
      </c>
      <c r="F1830" s="0" t="s">
        <v>5334</v>
      </c>
      <c r="G1830" s="57" t="s">
        <v>6602</v>
      </c>
      <c r="H1830" s="57" t="s">
        <v>6603</v>
      </c>
      <c r="I1830" s="34" t="s">
        <v>40</v>
      </c>
      <c r="J1830" s="57" t="s">
        <v>6604</v>
      </c>
      <c r="K1830" s="57" t="s">
        <v>6605</v>
      </c>
    </row>
    <row r="1831" customFormat="false" ht="34.2" hidden="false" customHeight="false" outlineLevel="0" collapsed="false">
      <c r="D1831" s="60"/>
      <c r="E1831" s="60"/>
      <c r="F1831" s="62"/>
      <c r="G1831" s="57" t="s">
        <v>6606</v>
      </c>
      <c r="H1831" s="57" t="s">
        <v>3792</v>
      </c>
      <c r="I1831" s="34"/>
      <c r="J1831" s="57" t="s">
        <v>3792</v>
      </c>
      <c r="K1831" s="57" t="s">
        <v>3792</v>
      </c>
    </row>
    <row r="1832" customFormat="false" ht="34.2" hidden="false" customHeight="false" outlineLevel="0" collapsed="false">
      <c r="D1832" s="1" t="s">
        <v>6607</v>
      </c>
      <c r="E1832" s="1" t="s">
        <v>6608</v>
      </c>
      <c r="F1832" s="0" t="s">
        <v>5334</v>
      </c>
      <c r="G1832" s="57" t="s">
        <v>6609</v>
      </c>
      <c r="H1832" s="57" t="s">
        <v>6610</v>
      </c>
      <c r="I1832" s="39" t="s">
        <v>67</v>
      </c>
      <c r="J1832" s="57" t="s">
        <v>6611</v>
      </c>
      <c r="K1832" s="57" t="s">
        <v>6612</v>
      </c>
    </row>
    <row r="1833" customFormat="false" ht="34.2" hidden="false" customHeight="false" outlineLevel="0" collapsed="false">
      <c r="D1833" s="60"/>
      <c r="E1833" s="60"/>
      <c r="F1833" s="62"/>
      <c r="G1833" s="57" t="s">
        <v>6613</v>
      </c>
      <c r="H1833" s="57" t="s">
        <v>3792</v>
      </c>
      <c r="I1833" s="39"/>
      <c r="J1833" s="57" t="s">
        <v>3792</v>
      </c>
      <c r="K1833" s="57" t="s">
        <v>3792</v>
      </c>
    </row>
    <row r="1834" customFormat="false" ht="34.2" hidden="false" customHeight="false" outlineLevel="0" collapsed="false">
      <c r="D1834" s="1" t="s">
        <v>6614</v>
      </c>
      <c r="E1834" s="1" t="s">
        <v>6615</v>
      </c>
      <c r="F1834" s="0" t="s">
        <v>5334</v>
      </c>
      <c r="G1834" s="57" t="s">
        <v>6616</v>
      </c>
      <c r="H1834" s="57" t="s">
        <v>6617</v>
      </c>
      <c r="I1834" s="37" t="s">
        <v>50</v>
      </c>
      <c r="J1834" s="57" t="s">
        <v>6618</v>
      </c>
      <c r="K1834" s="57" t="s">
        <v>6619</v>
      </c>
    </row>
    <row r="1835" customFormat="false" ht="34.2" hidden="false" customHeight="false" outlineLevel="0" collapsed="false">
      <c r="C1835" s="64"/>
      <c r="D1835" s="66"/>
      <c r="E1835" s="66"/>
      <c r="F1835" s="65"/>
      <c r="G1835" s="57" t="s">
        <v>6620</v>
      </c>
      <c r="H1835" s="57" t="s">
        <v>3792</v>
      </c>
      <c r="I1835" s="37"/>
      <c r="J1835" s="57" t="s">
        <v>3792</v>
      </c>
      <c r="K1835" s="57" t="s">
        <v>3792</v>
      </c>
    </row>
    <row r="1836" customFormat="false" ht="34.2" hidden="false" customHeight="false" outlineLevel="0" collapsed="false">
      <c r="C1836" s="1" t="s">
        <v>6621</v>
      </c>
      <c r="D1836" s="1" t="s">
        <v>6622</v>
      </c>
      <c r="E1836" s="1" t="s">
        <v>6623</v>
      </c>
      <c r="F1836" s="0" t="s">
        <v>5342</v>
      </c>
      <c r="G1836" s="57" t="s">
        <v>6624</v>
      </c>
      <c r="H1836" s="57" t="s">
        <v>6625</v>
      </c>
      <c r="I1836" s="37" t="s">
        <v>50</v>
      </c>
      <c r="J1836" s="57" t="s">
        <v>6626</v>
      </c>
      <c r="K1836" s="57" t="s">
        <v>6627</v>
      </c>
    </row>
    <row r="1837" customFormat="false" ht="45.05" hidden="false" customHeight="false" outlineLevel="0" collapsed="false">
      <c r="D1837" s="60"/>
      <c r="E1837" s="60"/>
      <c r="F1837" s="62"/>
      <c r="G1837" s="57" t="s">
        <v>6628</v>
      </c>
      <c r="H1837" s="57" t="s">
        <v>3792</v>
      </c>
      <c r="I1837" s="37"/>
      <c r="J1837" s="57" t="s">
        <v>3792</v>
      </c>
      <c r="K1837" s="57" t="s">
        <v>3792</v>
      </c>
    </row>
    <row r="1838" customFormat="false" ht="34.2" hidden="false" customHeight="false" outlineLevel="0" collapsed="false">
      <c r="D1838" s="1" t="s">
        <v>6629</v>
      </c>
      <c r="E1838" s="1" t="s">
        <v>6630</v>
      </c>
      <c r="F1838" s="0" t="s">
        <v>5334</v>
      </c>
      <c r="G1838" s="57" t="s">
        <v>5903</v>
      </c>
      <c r="H1838" s="57" t="s">
        <v>6631</v>
      </c>
      <c r="I1838" s="39" t="s">
        <v>67</v>
      </c>
      <c r="J1838" s="57" t="s">
        <v>6632</v>
      </c>
      <c r="K1838" s="57" t="s">
        <v>6633</v>
      </c>
    </row>
    <row r="1839" customFormat="false" ht="21.75" hidden="false" customHeight="false" outlineLevel="0" collapsed="false">
      <c r="D1839" s="60"/>
      <c r="E1839" s="60"/>
      <c r="F1839" s="62"/>
      <c r="G1839" s="57" t="s">
        <v>6353</v>
      </c>
      <c r="H1839" s="57" t="s">
        <v>3792</v>
      </c>
      <c r="I1839" s="39"/>
      <c r="J1839" s="57" t="s">
        <v>3792</v>
      </c>
      <c r="K1839" s="57" t="s">
        <v>3792</v>
      </c>
    </row>
    <row r="1840" customFormat="false" ht="34.2" hidden="false" customHeight="false" outlineLevel="0" collapsed="false">
      <c r="D1840" s="1" t="s">
        <v>6634</v>
      </c>
      <c r="E1840" s="1" t="s">
        <v>6635</v>
      </c>
      <c r="F1840" s="0" t="s">
        <v>5334</v>
      </c>
      <c r="G1840" s="57" t="s">
        <v>6636</v>
      </c>
      <c r="H1840" s="57" t="s">
        <v>6637</v>
      </c>
      <c r="I1840" s="34" t="s">
        <v>40</v>
      </c>
      <c r="J1840" s="57" t="s">
        <v>6638</v>
      </c>
      <c r="K1840" s="57" t="s">
        <v>6639</v>
      </c>
    </row>
    <row r="1841" customFormat="false" ht="34.2" hidden="false" customHeight="false" outlineLevel="0" collapsed="false">
      <c r="D1841" s="60"/>
      <c r="E1841" s="60"/>
      <c r="F1841" s="62"/>
      <c r="G1841" s="57" t="s">
        <v>6640</v>
      </c>
      <c r="H1841" s="57" t="s">
        <v>3792</v>
      </c>
      <c r="I1841" s="34"/>
      <c r="J1841" s="57" t="s">
        <v>3792</v>
      </c>
      <c r="K1841" s="57" t="s">
        <v>3792</v>
      </c>
    </row>
    <row r="1842" customFormat="false" ht="45.05" hidden="false" customHeight="false" outlineLevel="0" collapsed="false">
      <c r="D1842" s="1" t="s">
        <v>6641</v>
      </c>
      <c r="E1842" s="1" t="s">
        <v>6642</v>
      </c>
      <c r="F1842" s="0" t="s">
        <v>5342</v>
      </c>
      <c r="G1842" s="57" t="s">
        <v>6643</v>
      </c>
      <c r="H1842" s="57" t="s">
        <v>6644</v>
      </c>
      <c r="I1842" s="39" t="s">
        <v>67</v>
      </c>
      <c r="J1842" s="57" t="s">
        <v>6645</v>
      </c>
      <c r="K1842" s="57" t="s">
        <v>6646</v>
      </c>
    </row>
    <row r="1843" customFormat="false" ht="21.75" hidden="false" customHeight="false" outlineLevel="0" collapsed="false">
      <c r="D1843" s="60"/>
      <c r="E1843" s="60"/>
      <c r="F1843" s="62"/>
      <c r="G1843" s="57" t="s">
        <v>6647</v>
      </c>
      <c r="H1843" s="57" t="s">
        <v>3792</v>
      </c>
      <c r="I1843" s="39"/>
      <c r="J1843" s="57" t="s">
        <v>3792</v>
      </c>
      <c r="K1843" s="57" t="s">
        <v>3792</v>
      </c>
    </row>
    <row r="1844" customFormat="false" ht="45.05" hidden="false" customHeight="false" outlineLevel="0" collapsed="false">
      <c r="D1844" s="1" t="s">
        <v>6648</v>
      </c>
      <c r="E1844" s="1" t="s">
        <v>6649</v>
      </c>
      <c r="F1844" s="0" t="s">
        <v>5334</v>
      </c>
      <c r="G1844" s="57" t="s">
        <v>6650</v>
      </c>
      <c r="H1844" s="57" t="s">
        <v>6651</v>
      </c>
      <c r="I1844" s="37" t="s">
        <v>50</v>
      </c>
      <c r="J1844" s="57" t="s">
        <v>6652</v>
      </c>
      <c r="K1844" s="57" t="s">
        <v>6653</v>
      </c>
    </row>
    <row r="1845" customFormat="false" ht="34.2" hidden="false" customHeight="false" outlineLevel="0" collapsed="false">
      <c r="B1845" s="67"/>
      <c r="C1845" s="68"/>
      <c r="D1845" s="68"/>
      <c r="E1845" s="68"/>
      <c r="F1845" s="69"/>
      <c r="G1845" s="57" t="s">
        <v>6654</v>
      </c>
      <c r="H1845" s="57" t="s">
        <v>3792</v>
      </c>
      <c r="I1845" s="37"/>
      <c r="J1845" s="57" t="s">
        <v>3792</v>
      </c>
      <c r="K1845" s="57" t="s">
        <v>3792</v>
      </c>
    </row>
    <row r="1846" customFormat="false" ht="34.2" hidden="false" customHeight="false" outlineLevel="0" collapsed="false">
      <c r="B1846" s="1" t="s">
        <v>6655</v>
      </c>
      <c r="C1846" s="59" t="s">
        <v>6656</v>
      </c>
      <c r="D1846" s="1" t="s">
        <v>6657</v>
      </c>
      <c r="E1846" s="1" t="s">
        <v>6658</v>
      </c>
      <c r="F1846" s="0" t="s">
        <v>5342</v>
      </c>
      <c r="G1846" s="57" t="s">
        <v>6659</v>
      </c>
      <c r="H1846" s="57" t="s">
        <v>6660</v>
      </c>
      <c r="I1846" s="37" t="s">
        <v>50</v>
      </c>
      <c r="J1846" s="57" t="s">
        <v>6661</v>
      </c>
      <c r="K1846" s="57" t="s">
        <v>6662</v>
      </c>
    </row>
    <row r="1847" customFormat="false" ht="21.75" hidden="false" customHeight="false" outlineLevel="0" collapsed="false">
      <c r="D1847" s="60"/>
      <c r="E1847" s="60"/>
      <c r="F1847" s="62"/>
      <c r="G1847" s="57" t="s">
        <v>6663</v>
      </c>
      <c r="H1847" s="57" t="s">
        <v>3792</v>
      </c>
      <c r="I1847" s="37"/>
      <c r="J1847" s="57" t="s">
        <v>3792</v>
      </c>
      <c r="K1847" s="57" t="s">
        <v>3792</v>
      </c>
    </row>
    <row r="1848" customFormat="false" ht="34.2" hidden="false" customHeight="false" outlineLevel="0" collapsed="false">
      <c r="D1848" s="1" t="s">
        <v>6664</v>
      </c>
      <c r="E1848" s="1" t="s">
        <v>6665</v>
      </c>
      <c r="F1848" s="0" t="s">
        <v>5334</v>
      </c>
      <c r="G1848" s="57" t="s">
        <v>6666</v>
      </c>
      <c r="H1848" s="57" t="s">
        <v>6667</v>
      </c>
      <c r="I1848" s="39" t="s">
        <v>67</v>
      </c>
      <c r="J1848" s="57" t="s">
        <v>6668</v>
      </c>
      <c r="K1848" s="57" t="s">
        <v>6669</v>
      </c>
    </row>
    <row r="1849" customFormat="false" ht="34.2" hidden="false" customHeight="false" outlineLevel="0" collapsed="false">
      <c r="D1849" s="60"/>
      <c r="E1849" s="60"/>
      <c r="F1849" s="62"/>
      <c r="G1849" s="57" t="s">
        <v>6670</v>
      </c>
      <c r="H1849" s="57" t="s">
        <v>3792</v>
      </c>
      <c r="I1849" s="39"/>
      <c r="J1849" s="57" t="s">
        <v>3792</v>
      </c>
      <c r="K1849" s="57" t="s">
        <v>3792</v>
      </c>
    </row>
    <row r="1850" customFormat="false" ht="34.2" hidden="false" customHeight="false" outlineLevel="0" collapsed="false">
      <c r="D1850" s="1" t="s">
        <v>6671</v>
      </c>
      <c r="E1850" s="1" t="s">
        <v>6672</v>
      </c>
      <c r="F1850" s="0" t="s">
        <v>5334</v>
      </c>
      <c r="G1850" s="57" t="s">
        <v>6673</v>
      </c>
      <c r="H1850" s="57" t="s">
        <v>6674</v>
      </c>
      <c r="I1850" s="34" t="s">
        <v>40</v>
      </c>
      <c r="J1850" s="57" t="s">
        <v>6675</v>
      </c>
      <c r="K1850" s="57" t="s">
        <v>6676</v>
      </c>
    </row>
    <row r="1851" customFormat="false" ht="21.75" hidden="false" customHeight="false" outlineLevel="0" collapsed="false">
      <c r="D1851" s="60"/>
      <c r="E1851" s="60"/>
      <c r="F1851" s="62"/>
      <c r="G1851" s="57" t="s">
        <v>6677</v>
      </c>
      <c r="H1851" s="57" t="s">
        <v>3792</v>
      </c>
      <c r="I1851" s="34"/>
      <c r="J1851" s="57" t="s">
        <v>3792</v>
      </c>
      <c r="K1851" s="57" t="s">
        <v>3792</v>
      </c>
    </row>
    <row r="1852" customFormat="false" ht="34.2" hidden="false" customHeight="false" outlineLevel="0" collapsed="false">
      <c r="D1852" s="1" t="s">
        <v>6678</v>
      </c>
      <c r="E1852" s="1" t="s">
        <v>6679</v>
      </c>
      <c r="F1852" s="0" t="s">
        <v>5342</v>
      </c>
      <c r="G1852" s="57" t="s">
        <v>6680</v>
      </c>
      <c r="H1852" s="57" t="s">
        <v>6681</v>
      </c>
      <c r="I1852" s="39" t="s">
        <v>67</v>
      </c>
      <c r="J1852" s="57" t="s">
        <v>6682</v>
      </c>
      <c r="K1852" s="57" t="s">
        <v>6683</v>
      </c>
    </row>
    <row r="1853" customFormat="false" ht="45.05" hidden="false" customHeight="false" outlineLevel="0" collapsed="false">
      <c r="D1853" s="60"/>
      <c r="E1853" s="60"/>
      <c r="F1853" s="62"/>
      <c r="G1853" s="57" t="s">
        <v>6684</v>
      </c>
      <c r="H1853" s="57" t="s">
        <v>3792</v>
      </c>
      <c r="I1853" s="39"/>
      <c r="J1853" s="57" t="s">
        <v>3792</v>
      </c>
      <c r="K1853" s="57" t="s">
        <v>3792</v>
      </c>
    </row>
    <row r="1854" customFormat="false" ht="34.2" hidden="false" customHeight="false" outlineLevel="0" collapsed="false">
      <c r="D1854" s="1" t="s">
        <v>6685</v>
      </c>
      <c r="E1854" s="1" t="s">
        <v>6686</v>
      </c>
      <c r="F1854" s="0" t="s">
        <v>5342</v>
      </c>
      <c r="G1854" s="57" t="s">
        <v>1137</v>
      </c>
      <c r="H1854" s="57" t="s">
        <v>6687</v>
      </c>
      <c r="I1854" s="37" t="s">
        <v>50</v>
      </c>
      <c r="J1854" s="57" t="s">
        <v>6688</v>
      </c>
      <c r="K1854" s="57" t="s">
        <v>6689</v>
      </c>
    </row>
    <row r="1855" customFormat="false" ht="34.2" hidden="false" customHeight="false" outlineLevel="0" collapsed="false">
      <c r="C1855" s="64"/>
      <c r="D1855" s="66"/>
      <c r="E1855" s="66"/>
      <c r="F1855" s="65"/>
      <c r="G1855" s="57" t="s">
        <v>6690</v>
      </c>
      <c r="H1855" s="57" t="s">
        <v>3792</v>
      </c>
      <c r="I1855" s="37"/>
      <c r="J1855" s="57" t="s">
        <v>3792</v>
      </c>
      <c r="K1855" s="57" t="s">
        <v>3792</v>
      </c>
    </row>
    <row r="1856" customFormat="false" ht="34.2" hidden="false" customHeight="false" outlineLevel="0" collapsed="false">
      <c r="C1856" s="1" t="s">
        <v>6691</v>
      </c>
      <c r="D1856" s="1" t="s">
        <v>6692</v>
      </c>
      <c r="E1856" s="1" t="s">
        <v>6693</v>
      </c>
      <c r="F1856" s="0" t="s">
        <v>5342</v>
      </c>
      <c r="G1856" s="57" t="s">
        <v>6694</v>
      </c>
      <c r="H1856" s="57" t="s">
        <v>6695</v>
      </c>
      <c r="I1856" s="37" t="s">
        <v>50</v>
      </c>
      <c r="J1856" s="57" t="s">
        <v>6696</v>
      </c>
      <c r="K1856" s="57" t="s">
        <v>6697</v>
      </c>
    </row>
    <row r="1857" customFormat="false" ht="45.05" hidden="false" customHeight="false" outlineLevel="0" collapsed="false">
      <c r="D1857" s="60"/>
      <c r="E1857" s="60"/>
      <c r="F1857" s="62"/>
      <c r="G1857" s="57" t="s">
        <v>6698</v>
      </c>
      <c r="H1857" s="57" t="s">
        <v>3792</v>
      </c>
      <c r="I1857" s="37"/>
      <c r="J1857" s="57" t="s">
        <v>3792</v>
      </c>
      <c r="K1857" s="60"/>
    </row>
    <row r="1858" customFormat="false" ht="34.2" hidden="false" customHeight="false" outlineLevel="0" collapsed="false">
      <c r="D1858" s="1" t="s">
        <v>6699</v>
      </c>
      <c r="E1858" s="1" t="s">
        <v>6700</v>
      </c>
      <c r="F1858" s="0" t="s">
        <v>5334</v>
      </c>
      <c r="G1858" s="57" t="s">
        <v>6701</v>
      </c>
      <c r="H1858" s="57" t="s">
        <v>6702</v>
      </c>
      <c r="I1858" s="39" t="s">
        <v>67</v>
      </c>
      <c r="J1858" s="57" t="s">
        <v>6703</v>
      </c>
      <c r="K1858" s="57" t="s">
        <v>6704</v>
      </c>
    </row>
    <row r="1859" customFormat="false" ht="34.2" hidden="false" customHeight="false" outlineLevel="0" collapsed="false">
      <c r="D1859" s="60"/>
      <c r="E1859" s="60"/>
      <c r="F1859" s="62"/>
      <c r="G1859" s="57" t="s">
        <v>6705</v>
      </c>
      <c r="H1859" s="57" t="s">
        <v>3792</v>
      </c>
      <c r="I1859" s="39"/>
      <c r="J1859" s="57" t="s">
        <v>3792</v>
      </c>
      <c r="K1859" s="57" t="s">
        <v>3792</v>
      </c>
    </row>
    <row r="1860" customFormat="false" ht="34.2" hidden="false" customHeight="false" outlineLevel="0" collapsed="false">
      <c r="D1860" s="1" t="s">
        <v>6706</v>
      </c>
      <c r="E1860" s="1" t="s">
        <v>6707</v>
      </c>
      <c r="F1860" s="0" t="s">
        <v>5342</v>
      </c>
      <c r="G1860" s="57" t="s">
        <v>6708</v>
      </c>
      <c r="H1860" s="57" t="s">
        <v>6709</v>
      </c>
      <c r="I1860" s="34" t="s">
        <v>40</v>
      </c>
      <c r="J1860" s="57" t="s">
        <v>6710</v>
      </c>
      <c r="K1860" s="57" t="s">
        <v>6711</v>
      </c>
    </row>
    <row r="1861" customFormat="false" ht="34.2" hidden="false" customHeight="false" outlineLevel="0" collapsed="false">
      <c r="D1861" s="60"/>
      <c r="E1861" s="60"/>
      <c r="F1861" s="62"/>
      <c r="G1861" s="57" t="s">
        <v>6712</v>
      </c>
      <c r="H1861" s="57" t="s">
        <v>3792</v>
      </c>
      <c r="I1861" s="34"/>
      <c r="J1861" s="57" t="s">
        <v>3792</v>
      </c>
      <c r="K1861" s="57" t="s">
        <v>3792</v>
      </c>
    </row>
    <row r="1862" customFormat="false" ht="45.05" hidden="false" customHeight="false" outlineLevel="0" collapsed="false">
      <c r="D1862" s="1" t="s">
        <v>6713</v>
      </c>
      <c r="E1862" s="1" t="s">
        <v>6714</v>
      </c>
      <c r="F1862" s="0" t="s">
        <v>5334</v>
      </c>
      <c r="G1862" s="57" t="s">
        <v>6715</v>
      </c>
      <c r="H1862" s="57" t="s">
        <v>6716</v>
      </c>
      <c r="I1862" s="39" t="s">
        <v>67</v>
      </c>
      <c r="J1862" s="57" t="s">
        <v>6717</v>
      </c>
      <c r="K1862" s="57" t="s">
        <v>6718</v>
      </c>
    </row>
    <row r="1863" customFormat="false" ht="34.2" hidden="false" customHeight="false" outlineLevel="0" collapsed="false">
      <c r="D1863" s="60"/>
      <c r="E1863" s="60"/>
      <c r="F1863" s="62"/>
      <c r="G1863" s="57" t="s">
        <v>6719</v>
      </c>
      <c r="H1863" s="57" t="s">
        <v>3792</v>
      </c>
      <c r="I1863" s="39"/>
      <c r="J1863" s="57" t="s">
        <v>3792</v>
      </c>
      <c r="K1863" s="57" t="s">
        <v>3792</v>
      </c>
    </row>
    <row r="1864" customFormat="false" ht="34.2" hidden="false" customHeight="false" outlineLevel="0" collapsed="false">
      <c r="D1864" s="1" t="s">
        <v>6720</v>
      </c>
      <c r="E1864" s="1" t="s">
        <v>6721</v>
      </c>
      <c r="F1864" s="0" t="s">
        <v>5342</v>
      </c>
      <c r="G1864" s="57" t="s">
        <v>6722</v>
      </c>
      <c r="H1864" s="57" t="s">
        <v>6723</v>
      </c>
      <c r="I1864" s="37" t="s">
        <v>50</v>
      </c>
      <c r="J1864" s="57" t="s">
        <v>6724</v>
      </c>
      <c r="K1864" s="57" t="s">
        <v>6725</v>
      </c>
    </row>
    <row r="1865" customFormat="false" ht="45.05" hidden="false" customHeight="false" outlineLevel="0" collapsed="false">
      <c r="C1865" s="64"/>
      <c r="D1865" s="66"/>
      <c r="E1865" s="66"/>
      <c r="F1865" s="65"/>
      <c r="G1865" s="57" t="s">
        <v>6726</v>
      </c>
      <c r="H1865" s="57" t="s">
        <v>6727</v>
      </c>
      <c r="I1865" s="37"/>
      <c r="J1865" s="57" t="s">
        <v>3792</v>
      </c>
      <c r="K1865" s="57" t="s">
        <v>3792</v>
      </c>
    </row>
    <row r="1866" customFormat="false" ht="45.05" hidden="false" customHeight="false" outlineLevel="0" collapsed="false">
      <c r="C1866" s="1" t="s">
        <v>6728</v>
      </c>
      <c r="D1866" s="1" t="s">
        <v>6729</v>
      </c>
      <c r="E1866" s="1" t="s">
        <v>6730</v>
      </c>
      <c r="F1866" s="0" t="s">
        <v>5334</v>
      </c>
      <c r="G1866" s="57" t="s">
        <v>6731</v>
      </c>
      <c r="H1866" s="57" t="s">
        <v>3792</v>
      </c>
      <c r="I1866" s="37" t="s">
        <v>50</v>
      </c>
      <c r="J1866" s="57" t="s">
        <v>6732</v>
      </c>
      <c r="K1866" s="57" t="s">
        <v>6733</v>
      </c>
    </row>
    <row r="1867" customFormat="false" ht="34.2" hidden="false" customHeight="false" outlineLevel="0" collapsed="false">
      <c r="D1867" s="60"/>
      <c r="E1867" s="60"/>
      <c r="F1867" s="62"/>
      <c r="G1867" s="57" t="s">
        <v>6734</v>
      </c>
      <c r="H1867" s="57"/>
      <c r="I1867" s="37"/>
      <c r="J1867" s="57"/>
      <c r="K1867" s="57" t="s">
        <v>3792</v>
      </c>
    </row>
    <row r="1868" customFormat="false" ht="21.75" hidden="false" customHeight="false" outlineLevel="0" collapsed="false">
      <c r="D1868" s="1" t="s">
        <v>6735</v>
      </c>
      <c r="E1868" s="1" t="s">
        <v>6736</v>
      </c>
      <c r="F1868" s="0" t="s">
        <v>5334</v>
      </c>
      <c r="G1868" s="57" t="s">
        <v>6737</v>
      </c>
      <c r="H1868" s="57" t="s">
        <v>6738</v>
      </c>
      <c r="I1868" s="39" t="s">
        <v>67</v>
      </c>
      <c r="J1868" s="57" t="s">
        <v>6739</v>
      </c>
      <c r="K1868" s="57" t="s">
        <v>6740</v>
      </c>
    </row>
    <row r="1869" customFormat="false" ht="34.2" hidden="false" customHeight="false" outlineLevel="0" collapsed="false">
      <c r="D1869" s="60"/>
      <c r="E1869" s="60"/>
      <c r="F1869" s="62"/>
      <c r="G1869" s="57" t="s">
        <v>6741</v>
      </c>
      <c r="H1869" s="57" t="s">
        <v>3792</v>
      </c>
      <c r="I1869" s="39"/>
      <c r="J1869" s="57" t="s">
        <v>3792</v>
      </c>
      <c r="K1869" s="57" t="s">
        <v>3792</v>
      </c>
    </row>
    <row r="1870" customFormat="false" ht="34.2" hidden="false" customHeight="false" outlineLevel="0" collapsed="false">
      <c r="D1870" s="1" t="s">
        <v>6742</v>
      </c>
      <c r="E1870" s="1" t="s">
        <v>6743</v>
      </c>
      <c r="F1870" s="0" t="s">
        <v>5342</v>
      </c>
      <c r="G1870" s="57" t="s">
        <v>6744</v>
      </c>
      <c r="H1870" s="57" t="s">
        <v>6745</v>
      </c>
      <c r="I1870" s="34" t="s">
        <v>40</v>
      </c>
      <c r="J1870" s="57" t="s">
        <v>6746</v>
      </c>
      <c r="K1870" s="57" t="s">
        <v>6747</v>
      </c>
    </row>
    <row r="1871" customFormat="false" ht="34.2" hidden="false" customHeight="false" outlineLevel="0" collapsed="false">
      <c r="D1871" s="60"/>
      <c r="E1871" s="60"/>
      <c r="F1871" s="62"/>
      <c r="G1871" s="57" t="s">
        <v>6748</v>
      </c>
      <c r="H1871" s="57" t="s">
        <v>3792</v>
      </c>
      <c r="I1871" s="34"/>
      <c r="J1871" s="57" t="s">
        <v>3792</v>
      </c>
      <c r="K1871" s="57" t="s">
        <v>3792</v>
      </c>
    </row>
    <row r="1872" customFormat="false" ht="45.05" hidden="false" customHeight="false" outlineLevel="0" collapsed="false">
      <c r="D1872" s="1" t="s">
        <v>6749</v>
      </c>
      <c r="E1872" s="1" t="s">
        <v>6750</v>
      </c>
      <c r="F1872" s="0" t="s">
        <v>5342</v>
      </c>
      <c r="G1872" s="57" t="s">
        <v>6751</v>
      </c>
      <c r="H1872" s="57" t="s">
        <v>6752</v>
      </c>
      <c r="I1872" s="39" t="s">
        <v>67</v>
      </c>
      <c r="J1872" s="57" t="s">
        <v>6753</v>
      </c>
      <c r="K1872" s="57" t="s">
        <v>6754</v>
      </c>
    </row>
    <row r="1873" customFormat="false" ht="34.2" hidden="false" customHeight="false" outlineLevel="0" collapsed="false">
      <c r="D1873" s="60"/>
      <c r="E1873" s="60"/>
      <c r="F1873" s="62"/>
      <c r="G1873" s="57" t="s">
        <v>6755</v>
      </c>
      <c r="H1873" s="57" t="s">
        <v>3792</v>
      </c>
      <c r="I1873" s="39"/>
      <c r="J1873" s="57" t="s">
        <v>3792</v>
      </c>
      <c r="K1873" s="57" t="s">
        <v>3792</v>
      </c>
    </row>
    <row r="1874" customFormat="false" ht="45.05" hidden="false" customHeight="false" outlineLevel="0" collapsed="false">
      <c r="D1874" s="1" t="s">
        <v>6756</v>
      </c>
      <c r="E1874" s="1" t="s">
        <v>6757</v>
      </c>
      <c r="F1874" s="0" t="s">
        <v>5342</v>
      </c>
      <c r="G1874" s="57" t="s">
        <v>6758</v>
      </c>
      <c r="H1874" s="57" t="s">
        <v>6759</v>
      </c>
      <c r="I1874" s="37" t="s">
        <v>50</v>
      </c>
      <c r="J1874" s="57" t="s">
        <v>6760</v>
      </c>
      <c r="K1874" s="57" t="s">
        <v>6761</v>
      </c>
    </row>
    <row r="1875" customFormat="false" ht="34.2" hidden="false" customHeight="false" outlineLevel="0" collapsed="false">
      <c r="C1875" s="64"/>
      <c r="D1875" s="66"/>
      <c r="E1875" s="66"/>
      <c r="F1875" s="65"/>
      <c r="G1875" s="57" t="s">
        <v>6762</v>
      </c>
      <c r="H1875" s="57" t="s">
        <v>3792</v>
      </c>
      <c r="I1875" s="37"/>
      <c r="J1875" s="57" t="s">
        <v>3792</v>
      </c>
      <c r="K1875" s="57" t="s">
        <v>3792</v>
      </c>
    </row>
    <row r="1876" customFormat="false" ht="45.05" hidden="false" customHeight="false" outlineLevel="0" collapsed="false">
      <c r="C1876" s="59" t="s">
        <v>6763</v>
      </c>
      <c r="D1876" s="1" t="s">
        <v>6764</v>
      </c>
      <c r="E1876" s="1" t="s">
        <v>6765</v>
      </c>
      <c r="F1876" s="0" t="s">
        <v>5334</v>
      </c>
      <c r="G1876" s="57" t="s">
        <v>6766</v>
      </c>
      <c r="H1876" s="57" t="s">
        <v>6767</v>
      </c>
      <c r="I1876" s="37" t="s">
        <v>50</v>
      </c>
      <c r="J1876" s="57" t="s">
        <v>6768</v>
      </c>
      <c r="K1876" s="57" t="s">
        <v>6769</v>
      </c>
    </row>
    <row r="1877" customFormat="false" ht="45.05" hidden="false" customHeight="false" outlineLevel="0" collapsed="false">
      <c r="D1877" s="60"/>
      <c r="E1877" s="60"/>
      <c r="F1877" s="62"/>
      <c r="G1877" s="57" t="s">
        <v>6770</v>
      </c>
      <c r="H1877" s="57" t="s">
        <v>3792</v>
      </c>
      <c r="I1877" s="37"/>
      <c r="J1877" s="57" t="s">
        <v>3792</v>
      </c>
      <c r="K1877" s="57" t="s">
        <v>3792</v>
      </c>
    </row>
    <row r="1878" customFormat="false" ht="34.2" hidden="false" customHeight="false" outlineLevel="0" collapsed="false">
      <c r="D1878" s="1" t="s">
        <v>6771</v>
      </c>
      <c r="E1878" s="1" t="s">
        <v>6772</v>
      </c>
      <c r="F1878" s="0" t="s">
        <v>5342</v>
      </c>
      <c r="G1878" s="57" t="s">
        <v>5454</v>
      </c>
      <c r="H1878" s="57" t="s">
        <v>6773</v>
      </c>
      <c r="I1878" s="39" t="s">
        <v>67</v>
      </c>
      <c r="J1878" s="57" t="s">
        <v>6774</v>
      </c>
      <c r="K1878" s="57" t="s">
        <v>6775</v>
      </c>
    </row>
    <row r="1879" customFormat="false" ht="34.2" hidden="false" customHeight="false" outlineLevel="0" collapsed="false">
      <c r="D1879" s="60"/>
      <c r="E1879" s="60"/>
      <c r="F1879" s="62"/>
      <c r="G1879" s="57" t="s">
        <v>6776</v>
      </c>
      <c r="H1879" s="57" t="s">
        <v>3792</v>
      </c>
      <c r="I1879" s="39"/>
      <c r="J1879" s="57" t="s">
        <v>3792</v>
      </c>
      <c r="K1879" s="57" t="s">
        <v>3792</v>
      </c>
    </row>
    <row r="1880" customFormat="false" ht="34.2" hidden="false" customHeight="false" outlineLevel="0" collapsed="false">
      <c r="D1880" s="1" t="s">
        <v>6777</v>
      </c>
      <c r="E1880" s="1" t="s">
        <v>6778</v>
      </c>
      <c r="F1880" s="0" t="s">
        <v>5334</v>
      </c>
      <c r="G1880" s="57" t="s">
        <v>6779</v>
      </c>
      <c r="H1880" s="57" t="s">
        <v>6780</v>
      </c>
      <c r="I1880" s="34" t="s">
        <v>40</v>
      </c>
      <c r="J1880" s="57" t="s">
        <v>6781</v>
      </c>
      <c r="K1880" s="57" t="s">
        <v>6782</v>
      </c>
    </row>
    <row r="1881" customFormat="false" ht="34.2" hidden="false" customHeight="false" outlineLevel="0" collapsed="false">
      <c r="D1881" s="60"/>
      <c r="E1881" s="60"/>
      <c r="F1881" s="62"/>
      <c r="G1881" s="57" t="s">
        <v>6783</v>
      </c>
      <c r="H1881" s="57" t="s">
        <v>3792</v>
      </c>
      <c r="I1881" s="34"/>
      <c r="J1881" s="57" t="s">
        <v>3792</v>
      </c>
      <c r="K1881" s="57" t="s">
        <v>3792</v>
      </c>
    </row>
    <row r="1882" customFormat="false" ht="21.75" hidden="false" customHeight="false" outlineLevel="0" collapsed="false">
      <c r="D1882" s="1" t="s">
        <v>6784</v>
      </c>
      <c r="E1882" s="1" t="s">
        <v>6785</v>
      </c>
      <c r="F1882" s="0" t="s">
        <v>5342</v>
      </c>
      <c r="G1882" s="57" t="s">
        <v>6786</v>
      </c>
      <c r="H1882" s="57" t="s">
        <v>6787</v>
      </c>
      <c r="I1882" s="39" t="s">
        <v>67</v>
      </c>
      <c r="J1882" s="57" t="s">
        <v>6788</v>
      </c>
      <c r="K1882" s="57" t="s">
        <v>6789</v>
      </c>
    </row>
    <row r="1883" customFormat="false" ht="34.2" hidden="false" customHeight="false" outlineLevel="0" collapsed="false">
      <c r="D1883" s="60"/>
      <c r="E1883" s="60"/>
      <c r="F1883" s="62"/>
      <c r="G1883" s="57" t="s">
        <v>6790</v>
      </c>
      <c r="H1883" s="57" t="s">
        <v>3792</v>
      </c>
      <c r="I1883" s="39"/>
      <c r="J1883" s="57" t="s">
        <v>3792</v>
      </c>
      <c r="K1883" s="57" t="s">
        <v>3792</v>
      </c>
    </row>
    <row r="1884" customFormat="false" ht="34.2" hidden="false" customHeight="false" outlineLevel="0" collapsed="false">
      <c r="D1884" s="1" t="s">
        <v>6791</v>
      </c>
      <c r="E1884" s="1" t="s">
        <v>6792</v>
      </c>
      <c r="F1884" s="0" t="s">
        <v>5342</v>
      </c>
      <c r="G1884" s="57" t="s">
        <v>6793</v>
      </c>
      <c r="H1884" s="57" t="s">
        <v>6794</v>
      </c>
      <c r="I1884" s="37" t="s">
        <v>50</v>
      </c>
      <c r="J1884" s="57" t="s">
        <v>6795</v>
      </c>
      <c r="K1884" s="57" t="s">
        <v>6796</v>
      </c>
    </row>
    <row r="1885" customFormat="false" ht="21.75" hidden="false" customHeight="false" outlineLevel="0" collapsed="false">
      <c r="C1885" s="64"/>
      <c r="D1885" s="66"/>
      <c r="E1885" s="66"/>
      <c r="F1885" s="65"/>
      <c r="G1885" s="57" t="s">
        <v>6797</v>
      </c>
      <c r="H1885" s="57" t="s">
        <v>3792</v>
      </c>
      <c r="I1885" s="37"/>
      <c r="J1885" s="57" t="s">
        <v>3792</v>
      </c>
      <c r="K1885" s="57" t="s">
        <v>3792</v>
      </c>
    </row>
    <row r="1886" customFormat="false" ht="34.2" hidden="false" customHeight="false" outlineLevel="0" collapsed="false">
      <c r="C1886" s="59" t="s">
        <v>6798</v>
      </c>
      <c r="D1886" s="1" t="s">
        <v>6799</v>
      </c>
      <c r="E1886" s="1" t="s">
        <v>6800</v>
      </c>
      <c r="F1886" s="0" t="s">
        <v>5342</v>
      </c>
      <c r="G1886" s="57" t="s">
        <v>6801</v>
      </c>
      <c r="H1886" s="57" t="s">
        <v>6802</v>
      </c>
      <c r="I1886" s="37" t="s">
        <v>50</v>
      </c>
      <c r="J1886" s="57" t="s">
        <v>6803</v>
      </c>
      <c r="K1886" s="57" t="s">
        <v>6804</v>
      </c>
    </row>
    <row r="1887" customFormat="false" ht="34.2" hidden="false" customHeight="false" outlineLevel="0" collapsed="false">
      <c r="D1887" s="60"/>
      <c r="E1887" s="60"/>
      <c r="F1887" s="62"/>
      <c r="G1887" s="57" t="s">
        <v>6805</v>
      </c>
      <c r="H1887" s="57" t="s">
        <v>3792</v>
      </c>
      <c r="I1887" s="37"/>
      <c r="J1887" s="57" t="s">
        <v>3792</v>
      </c>
      <c r="K1887" s="57" t="s">
        <v>3792</v>
      </c>
    </row>
    <row r="1888" customFormat="false" ht="34.2" hidden="false" customHeight="false" outlineLevel="0" collapsed="false">
      <c r="D1888" s="1" t="s">
        <v>6806</v>
      </c>
      <c r="E1888" s="1" t="s">
        <v>6807</v>
      </c>
      <c r="F1888" s="0" t="s">
        <v>5334</v>
      </c>
      <c r="G1888" s="57" t="s">
        <v>6808</v>
      </c>
      <c r="H1888" s="57" t="s">
        <v>6809</v>
      </c>
      <c r="I1888" s="39" t="s">
        <v>67</v>
      </c>
      <c r="J1888" s="57" t="s">
        <v>6810</v>
      </c>
      <c r="K1888" s="57" t="s">
        <v>6811</v>
      </c>
    </row>
    <row r="1889" customFormat="false" ht="34.2" hidden="false" customHeight="false" outlineLevel="0" collapsed="false">
      <c r="D1889" s="60"/>
      <c r="E1889" s="60"/>
      <c r="F1889" s="62"/>
      <c r="G1889" s="57" t="s">
        <v>6812</v>
      </c>
      <c r="H1889" s="57" t="s">
        <v>3792</v>
      </c>
      <c r="I1889" s="39"/>
      <c r="J1889" s="57" t="s">
        <v>3792</v>
      </c>
      <c r="K1889" s="57" t="s">
        <v>3792</v>
      </c>
    </row>
    <row r="1890" customFormat="false" ht="45.05" hidden="false" customHeight="false" outlineLevel="0" collapsed="false">
      <c r="D1890" s="1" t="s">
        <v>6813</v>
      </c>
      <c r="E1890" s="1" t="s">
        <v>6814</v>
      </c>
      <c r="F1890" s="0" t="s">
        <v>5334</v>
      </c>
      <c r="G1890" s="57" t="s">
        <v>6815</v>
      </c>
      <c r="H1890" s="57" t="s">
        <v>6816</v>
      </c>
      <c r="I1890" s="34" t="s">
        <v>40</v>
      </c>
      <c r="J1890" s="57" t="s">
        <v>6817</v>
      </c>
      <c r="K1890" s="57" t="s">
        <v>6818</v>
      </c>
    </row>
    <row r="1891" customFormat="false" ht="21.75" hidden="false" customHeight="false" outlineLevel="0" collapsed="false">
      <c r="D1891" s="60"/>
      <c r="E1891" s="60"/>
      <c r="F1891" s="62"/>
      <c r="G1891" s="57" t="s">
        <v>6819</v>
      </c>
      <c r="H1891" s="57" t="s">
        <v>3792</v>
      </c>
      <c r="I1891" s="34"/>
      <c r="J1891" s="57" t="s">
        <v>3792</v>
      </c>
      <c r="K1891" s="57" t="s">
        <v>3792</v>
      </c>
    </row>
    <row r="1892" customFormat="false" ht="34.2" hidden="false" customHeight="false" outlineLevel="0" collapsed="false">
      <c r="D1892" s="1" t="s">
        <v>6820</v>
      </c>
      <c r="E1892" s="1" t="s">
        <v>6821</v>
      </c>
      <c r="F1892" s="0" t="s">
        <v>5342</v>
      </c>
      <c r="G1892" s="57" t="s">
        <v>6822</v>
      </c>
      <c r="H1892" s="57" t="s">
        <v>6823</v>
      </c>
      <c r="I1892" s="39" t="s">
        <v>67</v>
      </c>
      <c r="J1892" s="57" t="s">
        <v>6824</v>
      </c>
      <c r="K1892" s="57" t="s">
        <v>6825</v>
      </c>
    </row>
    <row r="1893" customFormat="false" ht="34.2" hidden="false" customHeight="false" outlineLevel="0" collapsed="false">
      <c r="D1893" s="60"/>
      <c r="E1893" s="60"/>
      <c r="F1893" s="62"/>
      <c r="G1893" s="57" t="s">
        <v>6826</v>
      </c>
      <c r="H1893" s="57" t="s">
        <v>3792</v>
      </c>
      <c r="I1893" s="39"/>
      <c r="J1893" s="57" t="s">
        <v>3792</v>
      </c>
      <c r="K1893" s="57" t="s">
        <v>3792</v>
      </c>
    </row>
    <row r="1894" customFormat="false" ht="45.05" hidden="false" customHeight="false" outlineLevel="0" collapsed="false">
      <c r="D1894" s="1" t="s">
        <v>6827</v>
      </c>
      <c r="E1894" s="1" t="s">
        <v>6828</v>
      </c>
      <c r="F1894" s="0" t="s">
        <v>5334</v>
      </c>
      <c r="G1894" s="57" t="s">
        <v>6829</v>
      </c>
      <c r="H1894" s="57" t="s">
        <v>6830</v>
      </c>
      <c r="I1894" s="37" t="s">
        <v>50</v>
      </c>
      <c r="J1894" s="57" t="s">
        <v>6831</v>
      </c>
      <c r="K1894" s="57" t="s">
        <v>6832</v>
      </c>
    </row>
    <row r="1895" customFormat="false" ht="34.2" hidden="false" customHeight="false" outlineLevel="0" collapsed="false">
      <c r="C1895" s="64"/>
      <c r="D1895" s="66"/>
      <c r="E1895" s="66"/>
      <c r="F1895" s="65"/>
      <c r="G1895" s="57" t="s">
        <v>6833</v>
      </c>
      <c r="H1895" s="57" t="s">
        <v>3792</v>
      </c>
      <c r="I1895" s="37"/>
      <c r="J1895" s="57" t="s">
        <v>3792</v>
      </c>
      <c r="K1895" s="57" t="s">
        <v>3792</v>
      </c>
    </row>
    <row r="1896" customFormat="false" ht="34.2" hidden="false" customHeight="false" outlineLevel="0" collapsed="false">
      <c r="C1896" s="59" t="s">
        <v>6834</v>
      </c>
      <c r="D1896" s="1" t="s">
        <v>6835</v>
      </c>
      <c r="E1896" s="1" t="s">
        <v>6836</v>
      </c>
      <c r="F1896" s="0" t="s">
        <v>5334</v>
      </c>
      <c r="G1896" s="57" t="s">
        <v>6837</v>
      </c>
      <c r="H1896" s="57" t="s">
        <v>6838</v>
      </c>
      <c r="I1896" s="37" t="s">
        <v>50</v>
      </c>
      <c r="J1896" s="57" t="s">
        <v>6839</v>
      </c>
      <c r="K1896" s="57" t="s">
        <v>6840</v>
      </c>
    </row>
    <row r="1897" customFormat="false" ht="45.05" hidden="false" customHeight="false" outlineLevel="0" collapsed="false">
      <c r="D1897" s="60"/>
      <c r="E1897" s="60"/>
      <c r="F1897" s="62"/>
      <c r="G1897" s="57" t="s">
        <v>6841</v>
      </c>
      <c r="H1897" s="57" t="s">
        <v>3792</v>
      </c>
      <c r="I1897" s="37"/>
      <c r="J1897" s="57" t="s">
        <v>3792</v>
      </c>
      <c r="K1897" s="57" t="s">
        <v>3792</v>
      </c>
    </row>
    <row r="1898" customFormat="false" ht="34.2" hidden="false" customHeight="false" outlineLevel="0" collapsed="false">
      <c r="D1898" s="1" t="s">
        <v>6842</v>
      </c>
      <c r="E1898" s="1" t="s">
        <v>6843</v>
      </c>
      <c r="F1898" s="0" t="s">
        <v>5342</v>
      </c>
      <c r="G1898" s="57" t="s">
        <v>6844</v>
      </c>
      <c r="H1898" s="57" t="s">
        <v>6845</v>
      </c>
      <c r="I1898" s="39" t="s">
        <v>67</v>
      </c>
      <c r="J1898" s="57" t="s">
        <v>6846</v>
      </c>
      <c r="K1898" s="57" t="s">
        <v>6847</v>
      </c>
    </row>
    <row r="1899" customFormat="false" ht="34.2" hidden="false" customHeight="false" outlineLevel="0" collapsed="false">
      <c r="D1899" s="60"/>
      <c r="E1899" s="60"/>
      <c r="F1899" s="62"/>
      <c r="G1899" s="57" t="s">
        <v>6848</v>
      </c>
      <c r="H1899" s="57" t="s">
        <v>3792</v>
      </c>
      <c r="I1899" s="39"/>
      <c r="J1899" s="57" t="s">
        <v>3792</v>
      </c>
      <c r="K1899" s="57" t="s">
        <v>3792</v>
      </c>
    </row>
    <row r="1900" customFormat="false" ht="45.05" hidden="false" customHeight="false" outlineLevel="0" collapsed="false">
      <c r="D1900" s="1" t="s">
        <v>6849</v>
      </c>
      <c r="E1900" s="1" t="s">
        <v>6850</v>
      </c>
      <c r="F1900" s="0" t="s">
        <v>5342</v>
      </c>
      <c r="G1900" s="57" t="s">
        <v>6851</v>
      </c>
      <c r="H1900" s="57" t="s">
        <v>6852</v>
      </c>
      <c r="I1900" s="34" t="s">
        <v>40</v>
      </c>
      <c r="J1900" s="57" t="s">
        <v>6853</v>
      </c>
      <c r="K1900" s="57" t="s">
        <v>6854</v>
      </c>
    </row>
    <row r="1901" customFormat="false" ht="34.2" hidden="false" customHeight="false" outlineLevel="0" collapsed="false">
      <c r="D1901" s="60"/>
      <c r="E1901" s="60"/>
      <c r="F1901" s="62"/>
      <c r="G1901" s="57" t="s">
        <v>6855</v>
      </c>
      <c r="H1901" s="57" t="s">
        <v>3792</v>
      </c>
      <c r="I1901" s="34"/>
      <c r="J1901" s="57" t="s">
        <v>3792</v>
      </c>
      <c r="K1901" s="57" t="s">
        <v>3792</v>
      </c>
    </row>
    <row r="1902" customFormat="false" ht="34.2" hidden="false" customHeight="false" outlineLevel="0" collapsed="false">
      <c r="D1902" s="1" t="s">
        <v>6856</v>
      </c>
      <c r="E1902" s="1" t="s">
        <v>6857</v>
      </c>
      <c r="F1902" s="0" t="s">
        <v>5334</v>
      </c>
      <c r="G1902" s="57" t="s">
        <v>6858</v>
      </c>
      <c r="H1902" s="57" t="s">
        <v>6859</v>
      </c>
      <c r="I1902" s="39" t="s">
        <v>67</v>
      </c>
      <c r="J1902" s="57" t="s">
        <v>6860</v>
      </c>
      <c r="K1902" s="57" t="s">
        <v>6861</v>
      </c>
    </row>
    <row r="1903" customFormat="false" ht="34.2" hidden="false" customHeight="false" outlineLevel="0" collapsed="false">
      <c r="D1903" s="60"/>
      <c r="E1903" s="60"/>
      <c r="F1903" s="62"/>
      <c r="G1903" s="57" t="s">
        <v>6862</v>
      </c>
      <c r="H1903" s="57" t="s">
        <v>3792</v>
      </c>
      <c r="I1903" s="39"/>
      <c r="J1903" s="57" t="s">
        <v>3792</v>
      </c>
      <c r="K1903" s="57" t="s">
        <v>3792</v>
      </c>
    </row>
    <row r="1904" customFormat="false" ht="34.2" hidden="false" customHeight="false" outlineLevel="0" collapsed="false">
      <c r="D1904" s="1" t="s">
        <v>6863</v>
      </c>
      <c r="E1904" s="1" t="s">
        <v>6864</v>
      </c>
      <c r="F1904" s="0" t="s">
        <v>5342</v>
      </c>
      <c r="G1904" s="57" t="s">
        <v>6865</v>
      </c>
      <c r="H1904" s="57" t="s">
        <v>6866</v>
      </c>
      <c r="I1904" s="37" t="s">
        <v>50</v>
      </c>
      <c r="J1904" s="57" t="s">
        <v>6867</v>
      </c>
      <c r="K1904" s="57" t="s">
        <v>5970</v>
      </c>
    </row>
    <row r="1905" customFormat="false" ht="34.2" hidden="false" customHeight="false" outlineLevel="0" collapsed="false">
      <c r="C1905" s="64"/>
      <c r="D1905" s="66"/>
      <c r="E1905" s="66"/>
      <c r="F1905" s="65"/>
      <c r="G1905" s="57" t="s">
        <v>6868</v>
      </c>
      <c r="H1905" s="57" t="s">
        <v>3792</v>
      </c>
      <c r="I1905" s="37"/>
      <c r="J1905" s="57" t="s">
        <v>3792</v>
      </c>
      <c r="K1905" s="57" t="s">
        <v>3792</v>
      </c>
    </row>
    <row r="1906" customFormat="false" ht="34.2" hidden="false" customHeight="false" outlineLevel="0" collapsed="false">
      <c r="C1906" s="59" t="s">
        <v>6869</v>
      </c>
      <c r="D1906" s="1" t="s">
        <v>6870</v>
      </c>
      <c r="E1906" s="1" t="s">
        <v>6871</v>
      </c>
      <c r="F1906" s="0" t="s">
        <v>5342</v>
      </c>
      <c r="G1906" s="57" t="s">
        <v>6872</v>
      </c>
      <c r="H1906" s="57" t="s">
        <v>6873</v>
      </c>
      <c r="I1906" s="37" t="s">
        <v>50</v>
      </c>
      <c r="J1906" s="57" t="s">
        <v>6874</v>
      </c>
      <c r="K1906" s="57" t="s">
        <v>6875</v>
      </c>
    </row>
    <row r="1907" customFormat="false" ht="34.2" hidden="false" customHeight="false" outlineLevel="0" collapsed="false">
      <c r="D1907" s="60"/>
      <c r="E1907" s="60"/>
      <c r="F1907" s="62"/>
      <c r="G1907" s="57" t="s">
        <v>6876</v>
      </c>
      <c r="H1907" s="57" t="s">
        <v>3792</v>
      </c>
      <c r="I1907" s="37"/>
      <c r="J1907" s="57" t="s">
        <v>3792</v>
      </c>
      <c r="K1907" s="57" t="s">
        <v>3792</v>
      </c>
    </row>
    <row r="1908" customFormat="false" ht="45.05" hidden="false" customHeight="false" outlineLevel="0" collapsed="false">
      <c r="D1908" s="1" t="s">
        <v>6877</v>
      </c>
      <c r="E1908" s="1" t="s">
        <v>6878</v>
      </c>
      <c r="F1908" s="0" t="s">
        <v>5334</v>
      </c>
      <c r="G1908" s="57" t="s">
        <v>6879</v>
      </c>
      <c r="H1908" s="57" t="s">
        <v>6880</v>
      </c>
      <c r="I1908" s="39" t="s">
        <v>67</v>
      </c>
      <c r="J1908" s="57" t="s">
        <v>6881</v>
      </c>
      <c r="K1908" s="57" t="s">
        <v>6882</v>
      </c>
    </row>
    <row r="1909" customFormat="false" ht="34.2" hidden="false" customHeight="false" outlineLevel="0" collapsed="false">
      <c r="D1909" s="60"/>
      <c r="E1909" s="60"/>
      <c r="F1909" s="62"/>
      <c r="G1909" s="57" t="s">
        <v>6883</v>
      </c>
      <c r="H1909" s="57" t="s">
        <v>3792</v>
      </c>
      <c r="I1909" s="39"/>
      <c r="J1909" s="57" t="s">
        <v>3792</v>
      </c>
      <c r="K1909" s="57" t="s">
        <v>3792</v>
      </c>
    </row>
    <row r="1910" customFormat="false" ht="45.05" hidden="false" customHeight="false" outlineLevel="0" collapsed="false">
      <c r="D1910" s="1" t="s">
        <v>6884</v>
      </c>
      <c r="E1910" s="1" t="s">
        <v>6885</v>
      </c>
      <c r="F1910" s="0" t="s">
        <v>5334</v>
      </c>
      <c r="G1910" s="57" t="s">
        <v>6886</v>
      </c>
      <c r="H1910" s="57" t="s">
        <v>6887</v>
      </c>
      <c r="I1910" s="34" t="s">
        <v>40</v>
      </c>
      <c r="J1910" s="57" t="s">
        <v>6888</v>
      </c>
      <c r="K1910" s="57" t="s">
        <v>6889</v>
      </c>
    </row>
    <row r="1911" customFormat="false" ht="34.2" hidden="false" customHeight="false" outlineLevel="0" collapsed="false">
      <c r="D1911" s="60"/>
      <c r="E1911" s="60"/>
      <c r="F1911" s="62"/>
      <c r="G1911" s="57" t="s">
        <v>6890</v>
      </c>
      <c r="H1911" s="57" t="s">
        <v>3792</v>
      </c>
      <c r="I1911" s="34"/>
      <c r="J1911" s="57" t="s">
        <v>3792</v>
      </c>
      <c r="K1911" s="57" t="s">
        <v>3792</v>
      </c>
    </row>
    <row r="1912" customFormat="false" ht="45.05" hidden="false" customHeight="false" outlineLevel="0" collapsed="false">
      <c r="D1912" s="1" t="s">
        <v>6891</v>
      </c>
      <c r="E1912" s="1" t="s">
        <v>6892</v>
      </c>
      <c r="F1912" s="0" t="s">
        <v>5342</v>
      </c>
      <c r="G1912" s="57" t="s">
        <v>6893</v>
      </c>
      <c r="H1912" s="57" t="s">
        <v>6894</v>
      </c>
      <c r="I1912" s="39" t="s">
        <v>67</v>
      </c>
      <c r="J1912" s="57" t="s">
        <v>6895</v>
      </c>
      <c r="K1912" s="57" t="s">
        <v>6896</v>
      </c>
    </row>
    <row r="1913" customFormat="false" ht="21.75" hidden="false" customHeight="false" outlineLevel="0" collapsed="false">
      <c r="D1913" s="60"/>
      <c r="E1913" s="60"/>
      <c r="F1913" s="62"/>
      <c r="G1913" s="57" t="s">
        <v>6897</v>
      </c>
      <c r="H1913" s="57" t="s">
        <v>3792</v>
      </c>
      <c r="I1913" s="39"/>
      <c r="J1913" s="57" t="s">
        <v>3792</v>
      </c>
      <c r="K1913" s="57" t="s">
        <v>3792</v>
      </c>
    </row>
    <row r="1914" customFormat="false" ht="34.2" hidden="false" customHeight="false" outlineLevel="0" collapsed="false">
      <c r="D1914" s="1" t="s">
        <v>6898</v>
      </c>
      <c r="E1914" s="1" t="s">
        <v>6899</v>
      </c>
      <c r="F1914" s="0" t="s">
        <v>5342</v>
      </c>
      <c r="G1914" s="57" t="s">
        <v>6900</v>
      </c>
      <c r="H1914" s="57" t="s">
        <v>6901</v>
      </c>
      <c r="I1914" s="37" t="s">
        <v>50</v>
      </c>
      <c r="J1914" s="57" t="s">
        <v>6902</v>
      </c>
      <c r="K1914" s="57" t="s">
        <v>6903</v>
      </c>
    </row>
    <row r="1915" customFormat="false" ht="34.2" hidden="false" customHeight="false" outlineLevel="0" collapsed="false">
      <c r="C1915" s="64"/>
      <c r="D1915" s="66"/>
      <c r="E1915" s="66"/>
      <c r="F1915" s="69"/>
      <c r="G1915" s="57" t="s">
        <v>6904</v>
      </c>
      <c r="H1915" s="57" t="s">
        <v>3792</v>
      </c>
      <c r="I1915" s="37"/>
      <c r="J1915" s="57" t="s">
        <v>3792</v>
      </c>
      <c r="K1915" s="57" t="s">
        <v>3792</v>
      </c>
    </row>
    <row r="1916" customFormat="false" ht="34.2" hidden="false" customHeight="false" outlineLevel="0" collapsed="false">
      <c r="C1916" s="59" t="s">
        <v>6905</v>
      </c>
      <c r="D1916" s="1" t="s">
        <v>6906</v>
      </c>
      <c r="E1916" s="1" t="s">
        <v>6907</v>
      </c>
      <c r="F1916" s="57" t="s">
        <v>5334</v>
      </c>
      <c r="G1916" s="57" t="s">
        <v>6908</v>
      </c>
      <c r="H1916" s="57" t="s">
        <v>6909</v>
      </c>
      <c r="I1916" s="37" t="s">
        <v>50</v>
      </c>
      <c r="J1916" s="57" t="s">
        <v>6910</v>
      </c>
      <c r="K1916" s="57" t="s">
        <v>6911</v>
      </c>
    </row>
    <row r="1917" customFormat="false" ht="34.2" hidden="false" customHeight="false" outlineLevel="0" collapsed="false">
      <c r="D1917" s="60"/>
      <c r="E1917" s="60"/>
      <c r="F1917" s="61"/>
      <c r="G1917" s="57" t="s">
        <v>6912</v>
      </c>
      <c r="H1917" s="57" t="s">
        <v>3792</v>
      </c>
      <c r="I1917" s="37"/>
      <c r="J1917" s="57" t="s">
        <v>3792</v>
      </c>
      <c r="K1917" s="57" t="s">
        <v>3792</v>
      </c>
    </row>
    <row r="1918" customFormat="false" ht="34.2" hidden="false" customHeight="false" outlineLevel="0" collapsed="false">
      <c r="D1918" s="1" t="s">
        <v>6913</v>
      </c>
      <c r="E1918" s="1" t="s">
        <v>6914</v>
      </c>
      <c r="F1918" s="57" t="s">
        <v>5342</v>
      </c>
      <c r="G1918" s="57" t="s">
        <v>6915</v>
      </c>
      <c r="H1918" s="57" t="s">
        <v>6916</v>
      </c>
      <c r="I1918" s="39" t="s">
        <v>67</v>
      </c>
      <c r="J1918" s="57" t="s">
        <v>6917</v>
      </c>
      <c r="K1918" s="57" t="s">
        <v>6918</v>
      </c>
    </row>
    <row r="1919" customFormat="false" ht="34.2" hidden="false" customHeight="false" outlineLevel="0" collapsed="false">
      <c r="D1919" s="60"/>
      <c r="E1919" s="60"/>
      <c r="F1919" s="61"/>
      <c r="G1919" s="57" t="s">
        <v>6919</v>
      </c>
      <c r="H1919" s="57" t="s">
        <v>3792</v>
      </c>
      <c r="I1919" s="39"/>
      <c r="J1919" s="57" t="s">
        <v>3792</v>
      </c>
      <c r="K1919" s="57" t="s">
        <v>3792</v>
      </c>
    </row>
    <row r="1920" customFormat="false" ht="45.05" hidden="false" customHeight="false" outlineLevel="0" collapsed="false">
      <c r="D1920" s="1" t="s">
        <v>6920</v>
      </c>
      <c r="E1920" s="1" t="s">
        <v>6921</v>
      </c>
      <c r="F1920" s="0" t="s">
        <v>5334</v>
      </c>
      <c r="G1920" s="57" t="s">
        <v>6922</v>
      </c>
      <c r="H1920" s="57" t="s">
        <v>6923</v>
      </c>
      <c r="I1920" s="34" t="s">
        <v>40</v>
      </c>
      <c r="J1920" s="57" t="s">
        <v>6924</v>
      </c>
      <c r="K1920" s="57" t="s">
        <v>6925</v>
      </c>
    </row>
    <row r="1921" customFormat="false" ht="34.2" hidden="false" customHeight="false" outlineLevel="0" collapsed="false">
      <c r="D1921" s="60"/>
      <c r="E1921" s="60"/>
      <c r="F1921" s="62"/>
      <c r="G1921" s="57" t="s">
        <v>6926</v>
      </c>
      <c r="H1921" s="57" t="s">
        <v>3792</v>
      </c>
      <c r="I1921" s="34"/>
      <c r="J1921" s="57" t="s">
        <v>3792</v>
      </c>
      <c r="K1921" s="57" t="s">
        <v>3792</v>
      </c>
    </row>
    <row r="1922" customFormat="false" ht="34.2" hidden="false" customHeight="false" outlineLevel="0" collapsed="false">
      <c r="D1922" s="1" t="s">
        <v>6927</v>
      </c>
      <c r="E1922" s="1" t="s">
        <v>6928</v>
      </c>
      <c r="F1922" s="0" t="s">
        <v>5334</v>
      </c>
      <c r="G1922" s="57" t="s">
        <v>6929</v>
      </c>
      <c r="H1922" s="57" t="s">
        <v>6930</v>
      </c>
      <c r="I1922" s="39" t="s">
        <v>67</v>
      </c>
      <c r="J1922" s="57" t="s">
        <v>6931</v>
      </c>
      <c r="K1922" s="57" t="s">
        <v>6932</v>
      </c>
    </row>
    <row r="1923" customFormat="false" ht="34.2" hidden="false" customHeight="false" outlineLevel="0" collapsed="false">
      <c r="D1923" s="60"/>
      <c r="E1923" s="60"/>
      <c r="F1923" s="62"/>
      <c r="G1923" s="57" t="s">
        <v>6933</v>
      </c>
      <c r="H1923" s="57" t="s">
        <v>3792</v>
      </c>
      <c r="I1923" s="39"/>
      <c r="J1923" s="57" t="s">
        <v>3792</v>
      </c>
      <c r="K1923" s="57" t="s">
        <v>3792</v>
      </c>
    </row>
    <row r="1924" customFormat="false" ht="34.2" hidden="false" customHeight="false" outlineLevel="0" collapsed="false">
      <c r="D1924" s="1" t="s">
        <v>6934</v>
      </c>
      <c r="E1924" s="1" t="s">
        <v>6935</v>
      </c>
      <c r="F1924" s="0" t="s">
        <v>5342</v>
      </c>
      <c r="G1924" s="57" t="s">
        <v>6936</v>
      </c>
      <c r="H1924" s="57" t="s">
        <v>6937</v>
      </c>
      <c r="I1924" s="37" t="s">
        <v>50</v>
      </c>
      <c r="J1924" s="57" t="s">
        <v>6938</v>
      </c>
      <c r="K1924" s="57" t="s">
        <v>6939</v>
      </c>
    </row>
    <row r="1925" customFormat="false" ht="34.2" hidden="false" customHeight="false" outlineLevel="0" collapsed="false">
      <c r="C1925" s="64"/>
      <c r="D1925" s="66"/>
      <c r="E1925" s="66"/>
      <c r="F1925" s="65"/>
      <c r="G1925" s="57" t="s">
        <v>6940</v>
      </c>
      <c r="H1925" s="57" t="s">
        <v>3792</v>
      </c>
      <c r="I1925" s="37"/>
      <c r="J1925" s="57" t="s">
        <v>3792</v>
      </c>
      <c r="K1925" s="57" t="s">
        <v>3792</v>
      </c>
    </row>
    <row r="1926" customFormat="false" ht="34.2" hidden="false" customHeight="false" outlineLevel="0" collapsed="false">
      <c r="C1926" s="1" t="s">
        <v>6941</v>
      </c>
      <c r="D1926" s="1" t="s">
        <v>6942</v>
      </c>
      <c r="E1926" s="1" t="s">
        <v>6943</v>
      </c>
      <c r="F1926" s="0" t="s">
        <v>5334</v>
      </c>
      <c r="G1926" s="57" t="s">
        <v>6944</v>
      </c>
      <c r="H1926" s="57" t="s">
        <v>6945</v>
      </c>
      <c r="I1926" s="37" t="s">
        <v>50</v>
      </c>
      <c r="J1926" s="57" t="s">
        <v>6946</v>
      </c>
      <c r="K1926" s="57" t="s">
        <v>6947</v>
      </c>
    </row>
    <row r="1927" customFormat="false" ht="34.2" hidden="false" customHeight="false" outlineLevel="0" collapsed="false">
      <c r="D1927" s="60"/>
      <c r="E1927" s="60"/>
      <c r="F1927" s="62"/>
      <c r="G1927" s="57" t="s">
        <v>6948</v>
      </c>
      <c r="H1927" s="57" t="s">
        <v>3792</v>
      </c>
      <c r="I1927" s="37"/>
      <c r="J1927" s="57" t="s">
        <v>3792</v>
      </c>
      <c r="K1927" s="57" t="s">
        <v>3792</v>
      </c>
    </row>
    <row r="1928" customFormat="false" ht="34.2" hidden="false" customHeight="false" outlineLevel="0" collapsed="false">
      <c r="D1928" s="1" t="s">
        <v>6949</v>
      </c>
      <c r="E1928" s="1" t="s">
        <v>6950</v>
      </c>
      <c r="F1928" s="0" t="s">
        <v>5342</v>
      </c>
      <c r="G1928" s="57" t="s">
        <v>6951</v>
      </c>
      <c r="H1928" s="57" t="s">
        <v>6952</v>
      </c>
      <c r="I1928" s="39" t="s">
        <v>67</v>
      </c>
      <c r="J1928" s="57" t="s">
        <v>6953</v>
      </c>
      <c r="K1928" s="57" t="s">
        <v>6954</v>
      </c>
    </row>
    <row r="1929" customFormat="false" ht="34.2" hidden="false" customHeight="false" outlineLevel="0" collapsed="false">
      <c r="D1929" s="60"/>
      <c r="E1929" s="60"/>
      <c r="F1929" s="62"/>
      <c r="G1929" s="57" t="s">
        <v>6955</v>
      </c>
      <c r="H1929" s="57" t="s">
        <v>3792</v>
      </c>
      <c r="I1929" s="39"/>
      <c r="J1929" s="57" t="s">
        <v>3792</v>
      </c>
      <c r="K1929" s="57" t="s">
        <v>3792</v>
      </c>
    </row>
    <row r="1930" customFormat="false" ht="34.2" hidden="false" customHeight="false" outlineLevel="0" collapsed="false">
      <c r="D1930" s="1" t="s">
        <v>6956</v>
      </c>
      <c r="E1930" s="1" t="s">
        <v>6957</v>
      </c>
      <c r="F1930" s="0" t="s">
        <v>5342</v>
      </c>
      <c r="G1930" s="57" t="s">
        <v>6958</v>
      </c>
      <c r="H1930" s="57" t="s">
        <v>6959</v>
      </c>
      <c r="I1930" s="34" t="s">
        <v>40</v>
      </c>
      <c r="J1930" s="57" t="s">
        <v>6960</v>
      </c>
      <c r="K1930" s="57" t="s">
        <v>6961</v>
      </c>
    </row>
    <row r="1931" customFormat="false" ht="34.2" hidden="false" customHeight="false" outlineLevel="0" collapsed="false">
      <c r="D1931" s="60"/>
      <c r="E1931" s="60"/>
      <c r="F1931" s="62"/>
      <c r="G1931" s="57" t="s">
        <v>6962</v>
      </c>
      <c r="H1931" s="57" t="s">
        <v>3792</v>
      </c>
      <c r="I1931" s="34"/>
      <c r="J1931" s="57" t="s">
        <v>3792</v>
      </c>
      <c r="K1931" s="57" t="s">
        <v>3792</v>
      </c>
    </row>
    <row r="1932" customFormat="false" ht="34.2" hidden="false" customHeight="false" outlineLevel="0" collapsed="false">
      <c r="D1932" s="1" t="s">
        <v>6963</v>
      </c>
      <c r="E1932" s="1" t="s">
        <v>6964</v>
      </c>
      <c r="F1932" s="0" t="s">
        <v>5334</v>
      </c>
      <c r="G1932" s="57" t="s">
        <v>6965</v>
      </c>
      <c r="H1932" s="57" t="s">
        <v>6966</v>
      </c>
      <c r="I1932" s="39" t="s">
        <v>67</v>
      </c>
      <c r="J1932" s="57" t="s">
        <v>6967</v>
      </c>
      <c r="K1932" s="57" t="s">
        <v>6968</v>
      </c>
    </row>
    <row r="1933" customFormat="false" ht="34.2" hidden="false" customHeight="false" outlineLevel="0" collapsed="false">
      <c r="D1933" s="60"/>
      <c r="E1933" s="60"/>
      <c r="F1933" s="62"/>
      <c r="G1933" s="57" t="s">
        <v>6969</v>
      </c>
      <c r="H1933" s="57" t="s">
        <v>3792</v>
      </c>
      <c r="I1933" s="39"/>
      <c r="J1933" s="57" t="s">
        <v>3792</v>
      </c>
      <c r="K1933" s="57" t="s">
        <v>3792</v>
      </c>
    </row>
    <row r="1934" customFormat="false" ht="45.05" hidden="false" customHeight="false" outlineLevel="0" collapsed="false">
      <c r="D1934" s="1" t="s">
        <v>6970</v>
      </c>
      <c r="E1934" s="1" t="s">
        <v>6971</v>
      </c>
      <c r="F1934" s="0" t="s">
        <v>5342</v>
      </c>
      <c r="G1934" s="57" t="s">
        <v>6972</v>
      </c>
      <c r="H1934" s="57" t="s">
        <v>6973</v>
      </c>
      <c r="I1934" s="37" t="s">
        <v>50</v>
      </c>
      <c r="J1934" s="57" t="s">
        <v>6974</v>
      </c>
      <c r="K1934" s="57" t="s">
        <v>6975</v>
      </c>
    </row>
    <row r="1935" customFormat="false" ht="34.2" hidden="false" customHeight="false" outlineLevel="0" collapsed="false">
      <c r="B1935" s="67"/>
      <c r="C1935" s="68"/>
      <c r="D1935" s="68"/>
      <c r="E1935" s="68"/>
      <c r="F1935" s="65"/>
      <c r="G1935" s="57" t="s">
        <v>6976</v>
      </c>
      <c r="H1935" s="57" t="s">
        <v>3792</v>
      </c>
      <c r="I1935" s="37"/>
      <c r="J1935" s="57" t="s">
        <v>3792</v>
      </c>
      <c r="K1935" s="57" t="s">
        <v>3792</v>
      </c>
    </row>
    <row r="1936" customFormat="false" ht="34.2" hidden="false" customHeight="false" outlineLevel="0" collapsed="false">
      <c r="B1936" s="1" t="s">
        <v>6977</v>
      </c>
      <c r="C1936" s="59" t="s">
        <v>6978</v>
      </c>
      <c r="D1936" s="1" t="s">
        <v>6979</v>
      </c>
      <c r="E1936" s="1" t="s">
        <v>6980</v>
      </c>
      <c r="F1936" s="0" t="s">
        <v>5334</v>
      </c>
      <c r="G1936" s="57" t="s">
        <v>6981</v>
      </c>
      <c r="H1936" s="57" t="s">
        <v>6982</v>
      </c>
      <c r="I1936" s="37" t="s">
        <v>50</v>
      </c>
      <c r="J1936" s="57" t="s">
        <v>6983</v>
      </c>
      <c r="K1936" s="57" t="s">
        <v>6984</v>
      </c>
    </row>
    <row r="1937" customFormat="false" ht="34.2" hidden="false" customHeight="false" outlineLevel="0" collapsed="false">
      <c r="D1937" s="60"/>
      <c r="E1937" s="60"/>
      <c r="F1937" s="62"/>
      <c r="G1937" s="57" t="s">
        <v>6985</v>
      </c>
      <c r="H1937" s="57" t="s">
        <v>3792</v>
      </c>
      <c r="I1937" s="37"/>
      <c r="J1937" s="57" t="s">
        <v>3792</v>
      </c>
      <c r="K1937" s="57" t="s">
        <v>3792</v>
      </c>
    </row>
    <row r="1938" customFormat="false" ht="45.05" hidden="false" customHeight="false" outlineLevel="0" collapsed="false">
      <c r="F1938" s="0" t="s">
        <v>5342</v>
      </c>
      <c r="G1938" s="57" t="s">
        <v>6986</v>
      </c>
      <c r="H1938" s="57" t="s">
        <v>6987</v>
      </c>
      <c r="I1938" s="39" t="s">
        <v>67</v>
      </c>
      <c r="J1938" s="57" t="s">
        <v>6988</v>
      </c>
      <c r="K1938" s="57" t="s">
        <v>6989</v>
      </c>
    </row>
    <row r="1939" customFormat="false" ht="34.2" hidden="false" customHeight="false" outlineLevel="0" collapsed="false">
      <c r="D1939" s="60" t="s">
        <v>6990</v>
      </c>
      <c r="E1939" s="60" t="s">
        <v>6991</v>
      </c>
      <c r="F1939" s="62"/>
      <c r="G1939" s="57" t="s">
        <v>6992</v>
      </c>
      <c r="H1939" s="57" t="s">
        <v>3792</v>
      </c>
      <c r="I1939" s="39"/>
      <c r="J1939" s="57" t="s">
        <v>3792</v>
      </c>
      <c r="K1939" s="57" t="s">
        <v>3792</v>
      </c>
    </row>
    <row r="1940" customFormat="false" ht="34.2" hidden="false" customHeight="false" outlineLevel="0" collapsed="false">
      <c r="F1940" s="0" t="s">
        <v>5334</v>
      </c>
      <c r="G1940" s="57" t="s">
        <v>6993</v>
      </c>
      <c r="H1940" s="57" t="s">
        <v>6994</v>
      </c>
      <c r="I1940" s="34" t="s">
        <v>40</v>
      </c>
      <c r="J1940" s="57" t="s">
        <v>6995</v>
      </c>
      <c r="K1940" s="57" t="s">
        <v>6996</v>
      </c>
    </row>
    <row r="1941" customFormat="false" ht="34.2" hidden="false" customHeight="false" outlineLevel="0" collapsed="false">
      <c r="D1941" s="60" t="s">
        <v>6997</v>
      </c>
      <c r="E1941" s="60" t="s">
        <v>6998</v>
      </c>
      <c r="F1941" s="62"/>
      <c r="G1941" s="57" t="s">
        <v>6999</v>
      </c>
      <c r="H1941" s="57" t="s">
        <v>3792</v>
      </c>
      <c r="I1941" s="34"/>
      <c r="J1941" s="57" t="s">
        <v>3792</v>
      </c>
      <c r="K1941" s="57" t="s">
        <v>3792</v>
      </c>
    </row>
    <row r="1942" customFormat="false" ht="34.2" hidden="false" customHeight="false" outlineLevel="0" collapsed="false">
      <c r="F1942" s="0" t="s">
        <v>5334</v>
      </c>
      <c r="G1942" s="57" t="s">
        <v>6965</v>
      </c>
      <c r="H1942" s="57" t="s">
        <v>7000</v>
      </c>
      <c r="I1942" s="39" t="s">
        <v>67</v>
      </c>
      <c r="J1942" s="57" t="s">
        <v>7001</v>
      </c>
      <c r="K1942" s="57" t="s">
        <v>7002</v>
      </c>
    </row>
    <row r="1943" customFormat="false" ht="34.2" hidden="false" customHeight="false" outlineLevel="0" collapsed="false">
      <c r="D1943" s="60" t="s">
        <v>7003</v>
      </c>
      <c r="E1943" s="60" t="s">
        <v>7004</v>
      </c>
      <c r="F1943" s="62"/>
      <c r="G1943" s="57" t="s">
        <v>6969</v>
      </c>
      <c r="H1943" s="57" t="s">
        <v>3792</v>
      </c>
      <c r="I1943" s="39"/>
      <c r="J1943" s="57" t="s">
        <v>3792</v>
      </c>
      <c r="K1943" s="57" t="s">
        <v>3792</v>
      </c>
    </row>
    <row r="1944" customFormat="false" ht="45.05" hidden="false" customHeight="false" outlineLevel="0" collapsed="false">
      <c r="F1944" s="0" t="s">
        <v>5342</v>
      </c>
      <c r="G1944" s="57" t="s">
        <v>6972</v>
      </c>
      <c r="H1944" s="57" t="s">
        <v>7005</v>
      </c>
      <c r="I1944" s="37" t="s">
        <v>50</v>
      </c>
      <c r="J1944" s="57" t="s">
        <v>7006</v>
      </c>
      <c r="K1944" s="57" t="s">
        <v>7007</v>
      </c>
    </row>
    <row r="1945" customFormat="false" ht="34.2" hidden="false" customHeight="false" outlineLevel="0" collapsed="false">
      <c r="C1945" s="64"/>
      <c r="D1945" s="66" t="s">
        <v>7008</v>
      </c>
      <c r="E1945" s="66" t="s">
        <v>7009</v>
      </c>
      <c r="F1945" s="65"/>
      <c r="G1945" s="57" t="s">
        <v>6976</v>
      </c>
      <c r="H1945" s="57" t="s">
        <v>3792</v>
      </c>
      <c r="I1945" s="37"/>
      <c r="J1945" s="57" t="s">
        <v>3792</v>
      </c>
      <c r="K1945" s="57" t="s">
        <v>3792</v>
      </c>
    </row>
    <row r="1946" customFormat="false" ht="34.2" hidden="false" customHeight="false" outlineLevel="0" collapsed="false">
      <c r="F1946" s="0" t="s">
        <v>5342</v>
      </c>
      <c r="G1946" s="57" t="s">
        <v>6981</v>
      </c>
      <c r="H1946" s="57" t="s">
        <v>7010</v>
      </c>
      <c r="I1946" s="37" t="s">
        <v>50</v>
      </c>
      <c r="J1946" s="57" t="s">
        <v>7011</v>
      </c>
      <c r="K1946" s="57" t="s">
        <v>7012</v>
      </c>
    </row>
    <row r="1947" customFormat="false" ht="34.2" hidden="false" customHeight="false" outlineLevel="0" collapsed="false">
      <c r="C1947" s="59" t="s">
        <v>7013</v>
      </c>
      <c r="D1947" s="60" t="s">
        <v>6979</v>
      </c>
      <c r="E1947" s="60" t="s">
        <v>7014</v>
      </c>
      <c r="F1947" s="62"/>
      <c r="G1947" s="57" t="s">
        <v>6985</v>
      </c>
      <c r="H1947" s="57" t="s">
        <v>3792</v>
      </c>
      <c r="I1947" s="37"/>
      <c r="J1947" s="57" t="s">
        <v>3792</v>
      </c>
      <c r="K1947" s="57" t="s">
        <v>3792</v>
      </c>
    </row>
    <row r="1948" customFormat="false" ht="45.05" hidden="false" customHeight="false" outlineLevel="0" collapsed="false">
      <c r="F1948" s="0" t="s">
        <v>5334</v>
      </c>
      <c r="G1948" s="57" t="s">
        <v>6986</v>
      </c>
      <c r="H1948" s="57" t="s">
        <v>7015</v>
      </c>
      <c r="I1948" s="39" t="s">
        <v>67</v>
      </c>
      <c r="J1948" s="57" t="s">
        <v>7016</v>
      </c>
      <c r="K1948" s="57" t="s">
        <v>7017</v>
      </c>
    </row>
    <row r="1949" customFormat="false" ht="34.2" hidden="false" customHeight="false" outlineLevel="0" collapsed="false">
      <c r="D1949" s="60" t="s">
        <v>6990</v>
      </c>
      <c r="E1949" s="60" t="s">
        <v>7018</v>
      </c>
      <c r="F1949" s="62"/>
      <c r="G1949" s="57" t="s">
        <v>6992</v>
      </c>
      <c r="H1949" s="57" t="s">
        <v>3792</v>
      </c>
      <c r="I1949" s="39"/>
      <c r="J1949" s="57" t="s">
        <v>3792</v>
      </c>
      <c r="K1949" s="57" t="s">
        <v>3792</v>
      </c>
    </row>
    <row r="1950" customFormat="false" ht="34.2" hidden="false" customHeight="false" outlineLevel="0" collapsed="false">
      <c r="F1950" s="0" t="s">
        <v>5334</v>
      </c>
      <c r="G1950" s="57" t="s">
        <v>6993</v>
      </c>
      <c r="H1950" s="57" t="s">
        <v>7019</v>
      </c>
      <c r="I1950" s="34" t="s">
        <v>40</v>
      </c>
      <c r="J1950" s="57" t="s">
        <v>7020</v>
      </c>
      <c r="K1950" s="57" t="s">
        <v>7021</v>
      </c>
    </row>
    <row r="1951" customFormat="false" ht="34.2" hidden="false" customHeight="false" outlineLevel="0" collapsed="false">
      <c r="D1951" s="60" t="s">
        <v>6997</v>
      </c>
      <c r="E1951" s="60" t="s">
        <v>7022</v>
      </c>
      <c r="F1951" s="62"/>
      <c r="G1951" s="57" t="s">
        <v>6999</v>
      </c>
      <c r="H1951" s="57" t="s">
        <v>3792</v>
      </c>
      <c r="I1951" s="34"/>
      <c r="J1951" s="57" t="s">
        <v>3792</v>
      </c>
      <c r="K1951" s="57" t="s">
        <v>3792</v>
      </c>
    </row>
    <row r="1952" customFormat="false" ht="34.2" hidden="false" customHeight="false" outlineLevel="0" collapsed="false">
      <c r="F1952" s="0" t="s">
        <v>5342</v>
      </c>
      <c r="G1952" s="57" t="s">
        <v>7023</v>
      </c>
      <c r="H1952" s="57" t="s">
        <v>7024</v>
      </c>
      <c r="I1952" s="39" t="s">
        <v>67</v>
      </c>
      <c r="J1952" s="57" t="s">
        <v>7025</v>
      </c>
      <c r="K1952" s="57" t="s">
        <v>7026</v>
      </c>
    </row>
    <row r="1953" customFormat="false" ht="34.2" hidden="false" customHeight="false" outlineLevel="0" collapsed="false">
      <c r="D1953" s="60" t="s">
        <v>7003</v>
      </c>
      <c r="E1953" s="60" t="s">
        <v>7004</v>
      </c>
      <c r="F1953" s="62"/>
      <c r="G1953" s="57" t="s">
        <v>7027</v>
      </c>
      <c r="H1953" s="57" t="s">
        <v>7028</v>
      </c>
      <c r="I1953" s="39"/>
      <c r="J1953" s="0"/>
      <c r="K1953" s="57" t="s">
        <v>3792</v>
      </c>
    </row>
    <row r="1954" customFormat="false" ht="34.2" hidden="false" customHeight="false" outlineLevel="0" collapsed="false">
      <c r="F1954" s="0" t="s">
        <v>5342</v>
      </c>
      <c r="G1954" s="57" t="s">
        <v>7029</v>
      </c>
      <c r="H1954" s="57" t="s">
        <v>7030</v>
      </c>
      <c r="I1954" s="37" t="s">
        <v>50</v>
      </c>
      <c r="J1954" s="57" t="s">
        <v>7001</v>
      </c>
      <c r="K1954" s="57" t="s">
        <v>7031</v>
      </c>
    </row>
    <row r="1955" customFormat="false" ht="45.05" hidden="false" customHeight="false" outlineLevel="0" collapsed="false">
      <c r="C1955" s="64"/>
      <c r="D1955" s="66" t="s">
        <v>7008</v>
      </c>
      <c r="E1955" s="66" t="s">
        <v>7009</v>
      </c>
      <c r="F1955" s="65"/>
      <c r="G1955" s="57" t="s">
        <v>7032</v>
      </c>
      <c r="H1955" s="57" t="s">
        <v>3792</v>
      </c>
      <c r="I1955" s="37"/>
      <c r="J1955" s="57" t="s">
        <v>3792</v>
      </c>
      <c r="K1955" s="57" t="s">
        <v>3792</v>
      </c>
    </row>
    <row r="1956" customFormat="false" ht="45.05" hidden="false" customHeight="false" outlineLevel="0" collapsed="false">
      <c r="F1956" s="0" t="s">
        <v>5334</v>
      </c>
      <c r="G1956" s="57" t="s">
        <v>7033</v>
      </c>
      <c r="H1956" s="57" t="s">
        <v>7034</v>
      </c>
      <c r="I1956" s="37" t="s">
        <v>50</v>
      </c>
      <c r="J1956" s="57" t="s">
        <v>7035</v>
      </c>
      <c r="K1956" s="57" t="s">
        <v>7036</v>
      </c>
    </row>
    <row r="1957" customFormat="false" ht="34.2" hidden="false" customHeight="false" outlineLevel="0" collapsed="false">
      <c r="C1957" s="59" t="s">
        <v>7037</v>
      </c>
      <c r="D1957" s="60" t="s">
        <v>7038</v>
      </c>
      <c r="E1957" s="60" t="s">
        <v>7039</v>
      </c>
      <c r="F1957" s="62"/>
      <c r="G1957" s="57" t="s">
        <v>7040</v>
      </c>
      <c r="H1957" s="57" t="s">
        <v>3792</v>
      </c>
      <c r="I1957" s="37"/>
      <c r="J1957" s="57" t="s">
        <v>3792</v>
      </c>
      <c r="K1957" s="57" t="s">
        <v>3792</v>
      </c>
    </row>
    <row r="1958" customFormat="false" ht="34.2" hidden="false" customHeight="false" outlineLevel="0" collapsed="false">
      <c r="F1958" s="0" t="s">
        <v>5342</v>
      </c>
      <c r="G1958" s="57" t="s">
        <v>7041</v>
      </c>
      <c r="H1958" s="57" t="s">
        <v>7042</v>
      </c>
      <c r="I1958" s="39" t="s">
        <v>67</v>
      </c>
      <c r="J1958" s="57" t="s">
        <v>7011</v>
      </c>
      <c r="K1958" s="57" t="s">
        <v>7043</v>
      </c>
    </row>
    <row r="1959" customFormat="false" ht="45.05" hidden="false" customHeight="false" outlineLevel="0" collapsed="false">
      <c r="D1959" s="60" t="s">
        <v>7044</v>
      </c>
      <c r="E1959" s="60" t="s">
        <v>7045</v>
      </c>
      <c r="F1959" s="62"/>
      <c r="G1959" s="57" t="s">
        <v>7046</v>
      </c>
      <c r="H1959" s="57" t="s">
        <v>3792</v>
      </c>
      <c r="I1959" s="39"/>
      <c r="J1959" s="57" t="s">
        <v>3792</v>
      </c>
      <c r="K1959" s="57" t="s">
        <v>3792</v>
      </c>
    </row>
    <row r="1960" customFormat="false" ht="34.2" hidden="false" customHeight="false" outlineLevel="0" collapsed="false">
      <c r="F1960" s="0" t="s">
        <v>5342</v>
      </c>
      <c r="G1960" s="57" t="s">
        <v>7047</v>
      </c>
      <c r="H1960" s="57" t="s">
        <v>7048</v>
      </c>
      <c r="I1960" s="34" t="s">
        <v>40</v>
      </c>
      <c r="J1960" s="57" t="s">
        <v>7016</v>
      </c>
      <c r="K1960" s="57" t="s">
        <v>7049</v>
      </c>
    </row>
    <row r="1961" customFormat="false" ht="45.05" hidden="false" customHeight="false" outlineLevel="0" collapsed="false">
      <c r="D1961" s="60" t="s">
        <v>7050</v>
      </c>
      <c r="E1961" s="60" t="s">
        <v>7051</v>
      </c>
      <c r="F1961" s="62"/>
      <c r="G1961" s="57" t="s">
        <v>7052</v>
      </c>
      <c r="H1961" s="57" t="s">
        <v>3792</v>
      </c>
      <c r="I1961" s="34"/>
      <c r="J1961" s="57" t="s">
        <v>3792</v>
      </c>
      <c r="K1961" s="57" t="s">
        <v>3792</v>
      </c>
    </row>
    <row r="1962" customFormat="false" ht="34.2" hidden="false" customHeight="false" outlineLevel="0" collapsed="false">
      <c r="F1962" s="0" t="s">
        <v>5334</v>
      </c>
      <c r="G1962" s="57" t="s">
        <v>7053</v>
      </c>
      <c r="H1962" s="57" t="s">
        <v>7054</v>
      </c>
      <c r="I1962" s="39" t="s">
        <v>67</v>
      </c>
      <c r="J1962" s="57" t="s">
        <v>7020</v>
      </c>
      <c r="K1962" s="57" t="s">
        <v>7055</v>
      </c>
    </row>
    <row r="1963" customFormat="false" ht="34.2" hidden="false" customHeight="false" outlineLevel="0" collapsed="false">
      <c r="D1963" s="60" t="s">
        <v>7056</v>
      </c>
      <c r="E1963" s="60" t="s">
        <v>7057</v>
      </c>
      <c r="F1963" s="62"/>
      <c r="G1963" s="57" t="s">
        <v>7058</v>
      </c>
      <c r="H1963" s="57" t="s">
        <v>3792</v>
      </c>
      <c r="I1963" s="39"/>
      <c r="J1963" s="57" t="s">
        <v>3792</v>
      </c>
      <c r="K1963" s="57" t="s">
        <v>3792</v>
      </c>
    </row>
    <row r="1964" customFormat="false" ht="34.2" hidden="false" customHeight="false" outlineLevel="0" collapsed="false">
      <c r="F1964" s="0" t="s">
        <v>5342</v>
      </c>
      <c r="G1964" s="57" t="s">
        <v>7053</v>
      </c>
      <c r="H1964" s="57" t="s">
        <v>7059</v>
      </c>
      <c r="I1964" s="37" t="s">
        <v>50</v>
      </c>
      <c r="J1964" s="57" t="s">
        <v>7025</v>
      </c>
      <c r="K1964" s="57" t="s">
        <v>7060</v>
      </c>
    </row>
    <row r="1965" customFormat="false" ht="34.2" hidden="false" customHeight="false" outlineLevel="0" collapsed="false">
      <c r="C1965" s="64"/>
      <c r="D1965" s="66" t="s">
        <v>7061</v>
      </c>
      <c r="E1965" s="66" t="s">
        <v>7062</v>
      </c>
      <c r="F1965" s="65"/>
      <c r="G1965" s="57" t="s">
        <v>7058</v>
      </c>
      <c r="H1965" s="57" t="s">
        <v>3792</v>
      </c>
      <c r="I1965" s="37"/>
      <c r="J1965" s="57" t="s">
        <v>3792</v>
      </c>
      <c r="K1965" s="57" t="s">
        <v>3792</v>
      </c>
    </row>
    <row r="1966" customFormat="false" ht="66.85" hidden="false" customHeight="false" outlineLevel="0" collapsed="false">
      <c r="F1966" s="0" t="s">
        <v>5334</v>
      </c>
      <c r="G1966" s="57" t="s">
        <v>7063</v>
      </c>
      <c r="H1966" s="57" t="s">
        <v>7064</v>
      </c>
      <c r="I1966" s="37" t="s">
        <v>50</v>
      </c>
      <c r="J1966" s="57" t="s">
        <v>7065</v>
      </c>
      <c r="K1966" s="57" t="s">
        <v>7066</v>
      </c>
    </row>
    <row r="1967" customFormat="false" ht="66.85" hidden="false" customHeight="false" outlineLevel="0" collapsed="false">
      <c r="C1967" s="59" t="s">
        <v>7067</v>
      </c>
      <c r="D1967" s="60" t="s">
        <v>7068</v>
      </c>
      <c r="E1967" s="60" t="s">
        <v>7069</v>
      </c>
      <c r="F1967" s="62"/>
      <c r="G1967" s="57" t="s">
        <v>7070</v>
      </c>
      <c r="H1967" s="57" t="s">
        <v>3792</v>
      </c>
      <c r="I1967" s="37"/>
      <c r="J1967" s="57" t="s">
        <v>3792</v>
      </c>
      <c r="K1967" s="57" t="s">
        <v>3792</v>
      </c>
    </row>
    <row r="1968" customFormat="false" ht="55.95" hidden="false" customHeight="false" outlineLevel="0" collapsed="false">
      <c r="F1968" s="0" t="s">
        <v>5334</v>
      </c>
      <c r="G1968" s="57" t="s">
        <v>7071</v>
      </c>
      <c r="H1968" s="57" t="s">
        <v>7072</v>
      </c>
      <c r="I1968" s="39" t="s">
        <v>67</v>
      </c>
      <c r="J1968" s="57" t="s">
        <v>7073</v>
      </c>
      <c r="K1968" s="57" t="s">
        <v>7074</v>
      </c>
    </row>
    <row r="1969" customFormat="false" ht="66.85" hidden="false" customHeight="false" outlineLevel="0" collapsed="false">
      <c r="D1969" s="60" t="s">
        <v>7075</v>
      </c>
      <c r="E1969" s="60" t="s">
        <v>7076</v>
      </c>
      <c r="F1969" s="62"/>
      <c r="G1969" s="57" t="s">
        <v>7077</v>
      </c>
      <c r="H1969" s="57" t="s">
        <v>3792</v>
      </c>
      <c r="I1969" s="39"/>
      <c r="J1969" s="57" t="s">
        <v>3792</v>
      </c>
      <c r="K1969" s="57" t="s">
        <v>3792</v>
      </c>
    </row>
    <row r="1970" customFormat="false" ht="77.7" hidden="false" customHeight="false" outlineLevel="0" collapsed="false">
      <c r="F1970" s="0" t="s">
        <v>5342</v>
      </c>
      <c r="G1970" s="57" t="s">
        <v>7078</v>
      </c>
      <c r="H1970" s="57" t="s">
        <v>7079</v>
      </c>
      <c r="I1970" s="34" t="s">
        <v>40</v>
      </c>
      <c r="J1970" s="57" t="s">
        <v>7080</v>
      </c>
      <c r="K1970" s="57" t="s">
        <v>7081</v>
      </c>
    </row>
    <row r="1971" customFormat="false" ht="66.85" hidden="false" customHeight="false" outlineLevel="0" collapsed="false">
      <c r="D1971" s="60" t="s">
        <v>7082</v>
      </c>
      <c r="E1971" s="60" t="s">
        <v>7083</v>
      </c>
      <c r="F1971" s="62"/>
      <c r="G1971" s="57" t="s">
        <v>7084</v>
      </c>
      <c r="H1971" s="57" t="s">
        <v>3792</v>
      </c>
      <c r="I1971" s="34"/>
      <c r="J1971" s="57" t="s">
        <v>3792</v>
      </c>
      <c r="K1971" s="57" t="s">
        <v>3792</v>
      </c>
    </row>
    <row r="1972" customFormat="false" ht="66.85" hidden="false" customHeight="false" outlineLevel="0" collapsed="false">
      <c r="F1972" s="0" t="s">
        <v>5334</v>
      </c>
      <c r="G1972" s="57" t="s">
        <v>7085</v>
      </c>
      <c r="H1972" s="57" t="s">
        <v>7086</v>
      </c>
      <c r="I1972" s="39" t="s">
        <v>67</v>
      </c>
      <c r="J1972" s="57" t="s">
        <v>7087</v>
      </c>
      <c r="K1972" s="57" t="s">
        <v>7088</v>
      </c>
    </row>
    <row r="1973" customFormat="false" ht="34.2" hidden="false" customHeight="false" outlineLevel="0" collapsed="false">
      <c r="D1973" s="60" t="s">
        <v>7089</v>
      </c>
      <c r="E1973" s="60" t="s">
        <v>7090</v>
      </c>
      <c r="F1973" s="62"/>
      <c r="G1973" s="57" t="s">
        <v>7091</v>
      </c>
      <c r="H1973" s="57" t="s">
        <v>3792</v>
      </c>
      <c r="I1973" s="39"/>
      <c r="J1973" s="57" t="s">
        <v>3792</v>
      </c>
      <c r="K1973" s="57" t="s">
        <v>3792</v>
      </c>
    </row>
    <row r="1974" customFormat="false" ht="66.85" hidden="false" customHeight="false" outlineLevel="0" collapsed="false">
      <c r="F1974" s="0" t="s">
        <v>5334</v>
      </c>
      <c r="G1974" s="57" t="s">
        <v>7092</v>
      </c>
      <c r="H1974" s="57" t="s">
        <v>7093</v>
      </c>
      <c r="I1974" s="37" t="s">
        <v>50</v>
      </c>
      <c r="J1974" s="57" t="s">
        <v>7094</v>
      </c>
      <c r="K1974" s="57" t="s">
        <v>7095</v>
      </c>
    </row>
    <row r="1975" customFormat="false" ht="55.95" hidden="false" customHeight="false" outlineLevel="0" collapsed="false">
      <c r="C1975" s="64"/>
      <c r="D1975" s="66" t="s">
        <v>7096</v>
      </c>
      <c r="E1975" s="66" t="s">
        <v>7097</v>
      </c>
      <c r="F1975" s="65"/>
      <c r="G1975" s="57" t="s">
        <v>7098</v>
      </c>
      <c r="H1975" s="57" t="s">
        <v>3792</v>
      </c>
      <c r="I1975" s="37"/>
      <c r="J1975" s="57" t="s">
        <v>3792</v>
      </c>
      <c r="K1975" s="57" t="s">
        <v>3792</v>
      </c>
    </row>
    <row r="1976" customFormat="false" ht="34.2" hidden="false" customHeight="false" outlineLevel="0" collapsed="false">
      <c r="F1976" s="0" t="s">
        <v>5342</v>
      </c>
      <c r="G1976" s="57" t="s">
        <v>7099</v>
      </c>
      <c r="H1976" s="57" t="s">
        <v>7100</v>
      </c>
      <c r="I1976" s="37" t="s">
        <v>50</v>
      </c>
      <c r="J1976" s="57" t="s">
        <v>7101</v>
      </c>
      <c r="K1976" s="57" t="s">
        <v>7102</v>
      </c>
    </row>
    <row r="1977" customFormat="false" ht="55.95" hidden="false" customHeight="false" outlineLevel="0" collapsed="false">
      <c r="C1977" s="59" t="s">
        <v>7103</v>
      </c>
      <c r="D1977" s="60" t="s">
        <v>7104</v>
      </c>
      <c r="E1977" s="60" t="s">
        <v>7105</v>
      </c>
      <c r="F1977" s="62"/>
      <c r="G1977" s="57" t="s">
        <v>7106</v>
      </c>
      <c r="H1977" s="57" t="s">
        <v>3792</v>
      </c>
      <c r="I1977" s="37"/>
      <c r="J1977" s="57" t="s">
        <v>3792</v>
      </c>
      <c r="K1977" s="57" t="s">
        <v>3792</v>
      </c>
    </row>
    <row r="1978" customFormat="false" ht="66.85" hidden="false" customHeight="false" outlineLevel="0" collapsed="false">
      <c r="D1978" s="1" t="s">
        <v>7107</v>
      </c>
      <c r="E1978" s="1" t="s">
        <v>7108</v>
      </c>
      <c r="F1978" s="0" t="s">
        <v>5334</v>
      </c>
      <c r="G1978" s="57" t="s">
        <v>7109</v>
      </c>
      <c r="H1978" s="57" t="s">
        <v>7110</v>
      </c>
      <c r="I1978" s="39" t="s">
        <v>67</v>
      </c>
      <c r="J1978" s="57" t="s">
        <v>7111</v>
      </c>
      <c r="K1978" s="57" t="s">
        <v>7112</v>
      </c>
    </row>
    <row r="1979" customFormat="false" ht="34.2" hidden="false" customHeight="false" outlineLevel="0" collapsed="false">
      <c r="D1979" s="60"/>
      <c r="E1979" s="60"/>
      <c r="F1979" s="62"/>
      <c r="G1979" s="57" t="s">
        <v>7113</v>
      </c>
      <c r="H1979" s="57" t="s">
        <v>3792</v>
      </c>
      <c r="I1979" s="39"/>
      <c r="J1979" s="57" t="s">
        <v>3792</v>
      </c>
      <c r="K1979" s="57" t="s">
        <v>3792</v>
      </c>
    </row>
    <row r="1980" customFormat="false" ht="66.85" hidden="false" customHeight="false" outlineLevel="0" collapsed="false">
      <c r="D1980" s="1" t="s">
        <v>7114</v>
      </c>
      <c r="E1980" s="1" t="s">
        <v>7115</v>
      </c>
      <c r="F1980" s="0" t="s">
        <v>5342</v>
      </c>
      <c r="G1980" s="57" t="s">
        <v>7116</v>
      </c>
      <c r="H1980" s="57" t="s">
        <v>7117</v>
      </c>
      <c r="I1980" s="34" t="s">
        <v>40</v>
      </c>
      <c r="J1980" s="57" t="s">
        <v>5891</v>
      </c>
      <c r="K1980" s="57" t="s">
        <v>7118</v>
      </c>
    </row>
    <row r="1981" customFormat="false" ht="55.95" hidden="false" customHeight="false" outlineLevel="0" collapsed="false">
      <c r="D1981" s="60"/>
      <c r="E1981" s="60"/>
      <c r="F1981" s="62"/>
      <c r="G1981" s="57" t="s">
        <v>7119</v>
      </c>
      <c r="H1981" s="57" t="s">
        <v>3792</v>
      </c>
      <c r="I1981" s="34"/>
      <c r="J1981" s="57" t="s">
        <v>3792</v>
      </c>
      <c r="K1981" s="57" t="s">
        <v>3792</v>
      </c>
    </row>
    <row r="1982" customFormat="false" ht="66.85" hidden="false" customHeight="false" outlineLevel="0" collapsed="false">
      <c r="D1982" s="1" t="s">
        <v>7120</v>
      </c>
      <c r="E1982" s="1" t="s">
        <v>7121</v>
      </c>
      <c r="F1982" s="0" t="s">
        <v>5342</v>
      </c>
      <c r="G1982" s="57" t="s">
        <v>7122</v>
      </c>
      <c r="H1982" s="57" t="s">
        <v>7123</v>
      </c>
      <c r="I1982" s="39" t="s">
        <v>67</v>
      </c>
      <c r="J1982" s="57" t="s">
        <v>5898</v>
      </c>
      <c r="K1982" s="57" t="s">
        <v>7124</v>
      </c>
    </row>
    <row r="1983" customFormat="false" ht="45.05" hidden="false" customHeight="false" outlineLevel="0" collapsed="false">
      <c r="D1983" s="60"/>
      <c r="E1983" s="60"/>
      <c r="F1983" s="62"/>
      <c r="G1983" s="57" t="s">
        <v>7125</v>
      </c>
      <c r="H1983" s="57" t="s">
        <v>3792</v>
      </c>
      <c r="I1983" s="39"/>
      <c r="J1983" s="57" t="s">
        <v>3792</v>
      </c>
      <c r="K1983" s="57" t="s">
        <v>3792</v>
      </c>
    </row>
    <row r="1984" customFormat="false" ht="45.05" hidden="false" customHeight="false" outlineLevel="0" collapsed="false">
      <c r="D1984" s="1" t="s">
        <v>7126</v>
      </c>
      <c r="E1984" s="1" t="s">
        <v>7127</v>
      </c>
      <c r="F1984" s="0" t="s">
        <v>5334</v>
      </c>
      <c r="G1984" s="57" t="s">
        <v>7128</v>
      </c>
      <c r="H1984" s="57" t="s">
        <v>7129</v>
      </c>
      <c r="I1984" s="37" t="s">
        <v>50</v>
      </c>
      <c r="J1984" s="57" t="s">
        <v>7130</v>
      </c>
      <c r="K1984" s="57" t="s">
        <v>5970</v>
      </c>
    </row>
    <row r="1985" customFormat="false" ht="66.85" hidden="false" customHeight="false" outlineLevel="0" collapsed="false">
      <c r="C1985" s="64"/>
      <c r="D1985" s="66"/>
      <c r="E1985" s="66"/>
      <c r="F1985" s="65"/>
      <c r="G1985" s="57" t="s">
        <v>7131</v>
      </c>
      <c r="H1985" s="57" t="s">
        <v>3792</v>
      </c>
      <c r="I1985" s="37"/>
      <c r="J1985" s="57" t="s">
        <v>3792</v>
      </c>
      <c r="K1985" s="57" t="s">
        <v>3792</v>
      </c>
    </row>
    <row r="1986" customFormat="false" ht="45.05" hidden="false" customHeight="false" outlineLevel="0" collapsed="false">
      <c r="C1986" s="59" t="s">
        <v>7132</v>
      </c>
      <c r="D1986" s="1" t="s">
        <v>7133</v>
      </c>
      <c r="E1986" s="1" t="s">
        <v>7134</v>
      </c>
      <c r="F1986" s="0" t="s">
        <v>5334</v>
      </c>
      <c r="G1986" s="57" t="s">
        <v>7135</v>
      </c>
      <c r="H1986" s="57" t="s">
        <v>7136</v>
      </c>
      <c r="I1986" s="37" t="s">
        <v>50</v>
      </c>
      <c r="J1986" s="57" t="s">
        <v>7137</v>
      </c>
      <c r="K1986" s="57" t="s">
        <v>7138</v>
      </c>
    </row>
    <row r="1987" customFormat="false" ht="55.95" hidden="false" customHeight="false" outlineLevel="0" collapsed="false">
      <c r="D1987" s="60"/>
      <c r="E1987" s="60"/>
      <c r="F1987" s="62"/>
      <c r="G1987" s="57" t="s">
        <v>7139</v>
      </c>
      <c r="H1987" s="57" t="s">
        <v>3792</v>
      </c>
      <c r="I1987" s="37"/>
      <c r="J1987" s="57" t="s">
        <v>3792</v>
      </c>
      <c r="K1987" s="57" t="s">
        <v>3792</v>
      </c>
    </row>
    <row r="1988" customFormat="false" ht="55.95" hidden="false" customHeight="false" outlineLevel="0" collapsed="false">
      <c r="D1988" s="1" t="s">
        <v>7140</v>
      </c>
      <c r="E1988" s="1" t="s">
        <v>7141</v>
      </c>
      <c r="F1988" s="0" t="s">
        <v>5342</v>
      </c>
      <c r="G1988" s="57" t="s">
        <v>7142</v>
      </c>
      <c r="H1988" s="57" t="s">
        <v>7143</v>
      </c>
      <c r="I1988" s="39" t="s">
        <v>67</v>
      </c>
      <c r="J1988" s="57" t="s">
        <v>7144</v>
      </c>
      <c r="K1988" s="57" t="s">
        <v>7145</v>
      </c>
    </row>
    <row r="1989" customFormat="false" ht="45.05" hidden="false" customHeight="false" outlineLevel="0" collapsed="false">
      <c r="D1989" s="60"/>
      <c r="E1989" s="60"/>
      <c r="F1989" s="62"/>
      <c r="G1989" s="57" t="s">
        <v>7146</v>
      </c>
      <c r="H1989" s="57" t="s">
        <v>3792</v>
      </c>
      <c r="I1989" s="39"/>
      <c r="J1989" s="57" t="s">
        <v>3792</v>
      </c>
      <c r="K1989" s="57" t="s">
        <v>3792</v>
      </c>
    </row>
    <row r="1990" customFormat="false" ht="45.05" hidden="false" customHeight="false" outlineLevel="0" collapsed="false">
      <c r="D1990" s="1" t="s">
        <v>7147</v>
      </c>
      <c r="E1990" s="1" t="s">
        <v>7148</v>
      </c>
      <c r="F1990" s="0" t="s">
        <v>5334</v>
      </c>
      <c r="G1990" s="57" t="s">
        <v>7149</v>
      </c>
      <c r="H1990" s="57" t="s">
        <v>7150</v>
      </c>
      <c r="I1990" s="34" t="s">
        <v>40</v>
      </c>
      <c r="J1990" s="57" t="s">
        <v>7151</v>
      </c>
      <c r="K1990" s="57" t="s">
        <v>7152</v>
      </c>
    </row>
    <row r="1991" customFormat="false" ht="45.05" hidden="false" customHeight="false" outlineLevel="0" collapsed="false">
      <c r="D1991" s="60"/>
      <c r="E1991" s="60"/>
      <c r="F1991" s="62"/>
      <c r="G1991" s="57" t="s">
        <v>7153</v>
      </c>
      <c r="H1991" s="57" t="s">
        <v>3792</v>
      </c>
      <c r="I1991" s="34"/>
      <c r="J1991" s="57" t="s">
        <v>3792</v>
      </c>
      <c r="K1991" s="57" t="s">
        <v>3792</v>
      </c>
    </row>
    <row r="1992" customFormat="false" ht="66.85" hidden="false" customHeight="false" outlineLevel="0" collapsed="false">
      <c r="D1992" s="1" t="s">
        <v>7154</v>
      </c>
      <c r="E1992" s="1" t="s">
        <v>7155</v>
      </c>
      <c r="F1992" s="0" t="s">
        <v>5334</v>
      </c>
      <c r="G1992" s="57" t="s">
        <v>7156</v>
      </c>
      <c r="H1992" s="57" t="s">
        <v>7157</v>
      </c>
      <c r="I1992" s="39" t="s">
        <v>67</v>
      </c>
      <c r="J1992" s="57" t="s">
        <v>7158</v>
      </c>
      <c r="K1992" s="57" t="s">
        <v>7159</v>
      </c>
    </row>
    <row r="1993" customFormat="false" ht="45.05" hidden="false" customHeight="false" outlineLevel="0" collapsed="false">
      <c r="D1993" s="60"/>
      <c r="E1993" s="60"/>
      <c r="F1993" s="62"/>
      <c r="G1993" s="57" t="s">
        <v>7160</v>
      </c>
      <c r="H1993" s="57" t="s">
        <v>3792</v>
      </c>
      <c r="I1993" s="39"/>
      <c r="J1993" s="57" t="s">
        <v>3792</v>
      </c>
      <c r="K1993" s="57" t="s">
        <v>3792</v>
      </c>
    </row>
    <row r="1994" customFormat="false" ht="45.05" hidden="false" customHeight="false" outlineLevel="0" collapsed="false">
      <c r="D1994" s="1" t="s">
        <v>7161</v>
      </c>
      <c r="E1994" s="1" t="s">
        <v>7162</v>
      </c>
      <c r="F1994" s="0" t="s">
        <v>5334</v>
      </c>
      <c r="G1994" s="57" t="s">
        <v>7163</v>
      </c>
      <c r="H1994" s="57" t="s">
        <v>7164</v>
      </c>
      <c r="I1994" s="37" t="s">
        <v>50</v>
      </c>
      <c r="J1994" s="57" t="s">
        <v>7165</v>
      </c>
      <c r="K1994" s="57" t="s">
        <v>7166</v>
      </c>
    </row>
    <row r="1995" customFormat="false" ht="55.95" hidden="false" customHeight="false" outlineLevel="0" collapsed="false">
      <c r="C1995" s="64"/>
      <c r="D1995" s="66"/>
      <c r="E1995" s="66"/>
      <c r="F1995" s="65"/>
      <c r="G1995" s="57" t="s">
        <v>7167</v>
      </c>
      <c r="H1995" s="57" t="s">
        <v>3792</v>
      </c>
      <c r="I1995" s="37"/>
      <c r="J1995" s="57" t="s">
        <v>3792</v>
      </c>
      <c r="K1995" s="57" t="s">
        <v>3792</v>
      </c>
    </row>
    <row r="1996" customFormat="false" ht="55.95" hidden="false" customHeight="false" outlineLevel="0" collapsed="false">
      <c r="C1996" s="59" t="s">
        <v>7168</v>
      </c>
      <c r="D1996" s="1" t="s">
        <v>7169</v>
      </c>
      <c r="E1996" s="1" t="s">
        <v>7170</v>
      </c>
      <c r="F1996" s="0" t="s">
        <v>5342</v>
      </c>
      <c r="G1996" s="57" t="s">
        <v>7171</v>
      </c>
      <c r="H1996" s="57" t="s">
        <v>7172</v>
      </c>
      <c r="I1996" s="37" t="s">
        <v>50</v>
      </c>
      <c r="J1996" s="57" t="s">
        <v>7173</v>
      </c>
      <c r="K1996" s="57" t="s">
        <v>7174</v>
      </c>
    </row>
    <row r="1997" customFormat="false" ht="45.05" hidden="false" customHeight="false" outlineLevel="0" collapsed="false">
      <c r="D1997" s="60"/>
      <c r="E1997" s="60"/>
      <c r="F1997" s="62"/>
      <c r="G1997" s="57" t="s">
        <v>7175</v>
      </c>
      <c r="H1997" s="57" t="s">
        <v>3792</v>
      </c>
      <c r="I1997" s="37"/>
      <c r="J1997" s="57" t="s">
        <v>3792</v>
      </c>
      <c r="K1997" s="57" t="s">
        <v>3792</v>
      </c>
    </row>
    <row r="1998" customFormat="false" ht="66.85" hidden="false" customHeight="false" outlineLevel="0" collapsed="false">
      <c r="D1998" s="1" t="s">
        <v>7176</v>
      </c>
      <c r="E1998" s="1" t="s">
        <v>7177</v>
      </c>
      <c r="F1998" s="0" t="s">
        <v>5334</v>
      </c>
      <c r="G1998" s="57" t="s">
        <v>7178</v>
      </c>
      <c r="H1998" s="57" t="s">
        <v>7179</v>
      </c>
      <c r="I1998" s="39" t="s">
        <v>67</v>
      </c>
      <c r="J1998" s="57" t="s">
        <v>7180</v>
      </c>
      <c r="K1998" s="57" t="s">
        <v>7181</v>
      </c>
    </row>
    <row r="1999" customFormat="false" ht="45.05" hidden="false" customHeight="false" outlineLevel="0" collapsed="false">
      <c r="D1999" s="60"/>
      <c r="E1999" s="60"/>
      <c r="F1999" s="62"/>
      <c r="G1999" s="57" t="s">
        <v>7182</v>
      </c>
      <c r="H1999" s="57" t="s">
        <v>3792</v>
      </c>
      <c r="I1999" s="39"/>
      <c r="J1999" s="57" t="s">
        <v>3792</v>
      </c>
      <c r="K1999" s="57" t="s">
        <v>3792</v>
      </c>
    </row>
    <row r="2000" customFormat="false" ht="45.05" hidden="false" customHeight="false" outlineLevel="0" collapsed="false">
      <c r="D2000" s="1" t="s">
        <v>7183</v>
      </c>
      <c r="E2000" s="1" t="s">
        <v>7184</v>
      </c>
      <c r="F2000" s="0" t="s">
        <v>5334</v>
      </c>
      <c r="G2000" s="57" t="s">
        <v>7185</v>
      </c>
      <c r="H2000" s="57" t="s">
        <v>7186</v>
      </c>
      <c r="I2000" s="34" t="s">
        <v>40</v>
      </c>
      <c r="J2000" s="57" t="s">
        <v>7187</v>
      </c>
      <c r="K2000" s="57" t="s">
        <v>7188</v>
      </c>
    </row>
    <row r="2001" customFormat="false" ht="77.7" hidden="false" customHeight="false" outlineLevel="0" collapsed="false">
      <c r="D2001" s="60"/>
      <c r="E2001" s="60"/>
      <c r="F2001" s="62"/>
      <c r="G2001" s="57" t="s">
        <v>7189</v>
      </c>
      <c r="H2001" s="57" t="s">
        <v>3792</v>
      </c>
      <c r="I2001" s="34"/>
      <c r="J2001" s="57" t="s">
        <v>3792</v>
      </c>
      <c r="K2001" s="57" t="s">
        <v>3792</v>
      </c>
    </row>
    <row r="2002" customFormat="false" ht="66.85" hidden="false" customHeight="false" outlineLevel="0" collapsed="false">
      <c r="D2002" s="1" t="s">
        <v>7190</v>
      </c>
      <c r="E2002" s="1" t="s">
        <v>7191</v>
      </c>
      <c r="F2002" s="0" t="s">
        <v>5342</v>
      </c>
      <c r="G2002" s="57" t="s">
        <v>7192</v>
      </c>
      <c r="H2002" s="57" t="s">
        <v>7193</v>
      </c>
      <c r="I2002" s="39" t="s">
        <v>67</v>
      </c>
      <c r="J2002" s="57" t="s">
        <v>7194</v>
      </c>
      <c r="K2002" s="57" t="s">
        <v>7195</v>
      </c>
    </row>
    <row r="2003" customFormat="false" ht="45.05" hidden="false" customHeight="false" outlineLevel="0" collapsed="false">
      <c r="D2003" s="60"/>
      <c r="E2003" s="60"/>
      <c r="F2003" s="62"/>
      <c r="G2003" s="57" t="s">
        <v>7196</v>
      </c>
      <c r="H2003" s="57" t="s">
        <v>3792</v>
      </c>
      <c r="I2003" s="39"/>
      <c r="J2003" s="57" t="s">
        <v>3792</v>
      </c>
      <c r="K2003" s="57" t="s">
        <v>3792</v>
      </c>
    </row>
    <row r="2004" customFormat="false" ht="45.05" hidden="false" customHeight="false" outlineLevel="0" collapsed="false">
      <c r="D2004" s="1" t="s">
        <v>7197</v>
      </c>
      <c r="E2004" s="1" t="s">
        <v>7198</v>
      </c>
      <c r="F2004" s="0" t="s">
        <v>5342</v>
      </c>
      <c r="G2004" s="57" t="s">
        <v>7199</v>
      </c>
      <c r="H2004" s="57" t="s">
        <v>7200</v>
      </c>
      <c r="I2004" s="37" t="s">
        <v>50</v>
      </c>
      <c r="J2004" s="57" t="s">
        <v>7201</v>
      </c>
      <c r="K2004" s="57" t="s">
        <v>7202</v>
      </c>
    </row>
    <row r="2005" customFormat="false" ht="45.05" hidden="false" customHeight="false" outlineLevel="0" collapsed="false">
      <c r="C2005" s="64"/>
      <c r="D2005" s="66"/>
      <c r="E2005" s="66"/>
      <c r="F2005" s="65"/>
      <c r="G2005" s="57" t="s">
        <v>7203</v>
      </c>
      <c r="H2005" s="57" t="s">
        <v>3792</v>
      </c>
      <c r="I2005" s="37"/>
      <c r="J2005" s="57" t="s">
        <v>3792</v>
      </c>
      <c r="K2005" s="57" t="s">
        <v>3792</v>
      </c>
    </row>
    <row r="2006" customFormat="false" ht="34.2" hidden="false" customHeight="false" outlineLevel="0" collapsed="false">
      <c r="C2006" s="1" t="s">
        <v>7204</v>
      </c>
      <c r="D2006" s="1" t="s">
        <v>7205</v>
      </c>
      <c r="E2006" s="1" t="s">
        <v>7206</v>
      </c>
      <c r="F2006" s="0" t="s">
        <v>5334</v>
      </c>
      <c r="G2006" s="57" t="s">
        <v>7207</v>
      </c>
      <c r="H2006" s="57" t="s">
        <v>7208</v>
      </c>
      <c r="I2006" s="37" t="s">
        <v>50</v>
      </c>
      <c r="J2006" s="57" t="s">
        <v>7209</v>
      </c>
      <c r="K2006" s="57" t="s">
        <v>7210</v>
      </c>
    </row>
    <row r="2007" customFormat="false" ht="55.95" hidden="false" customHeight="false" outlineLevel="0" collapsed="false">
      <c r="D2007" s="60"/>
      <c r="E2007" s="60"/>
      <c r="F2007" s="62"/>
      <c r="G2007" s="57" t="s">
        <v>7211</v>
      </c>
      <c r="H2007" s="57" t="s">
        <v>3792</v>
      </c>
      <c r="I2007" s="37"/>
      <c r="J2007" s="57" t="s">
        <v>3792</v>
      </c>
      <c r="K2007" s="57" t="s">
        <v>3792</v>
      </c>
    </row>
    <row r="2008" customFormat="false" ht="34.2" hidden="false" customHeight="false" outlineLevel="0" collapsed="false">
      <c r="D2008" s="1" t="s">
        <v>7212</v>
      </c>
      <c r="E2008" s="1" t="s">
        <v>7213</v>
      </c>
      <c r="F2008" s="0" t="s">
        <v>5334</v>
      </c>
      <c r="G2008" s="57" t="s">
        <v>7214</v>
      </c>
      <c r="H2008" s="57" t="s">
        <v>7215</v>
      </c>
      <c r="I2008" s="39" t="s">
        <v>67</v>
      </c>
      <c r="J2008" s="57" t="s">
        <v>7216</v>
      </c>
      <c r="K2008" s="57" t="s">
        <v>7217</v>
      </c>
    </row>
    <row r="2009" customFormat="false" ht="66.85" hidden="false" customHeight="false" outlineLevel="0" collapsed="false">
      <c r="D2009" s="60"/>
      <c r="E2009" s="60"/>
      <c r="F2009" s="62"/>
      <c r="G2009" s="57" t="s">
        <v>7218</v>
      </c>
      <c r="H2009" s="57" t="s">
        <v>3792</v>
      </c>
      <c r="I2009" s="39"/>
      <c r="J2009" s="57" t="s">
        <v>3792</v>
      </c>
      <c r="K2009" s="57" t="s">
        <v>3792</v>
      </c>
    </row>
    <row r="2010" customFormat="false" ht="55.95" hidden="false" customHeight="false" outlineLevel="0" collapsed="false">
      <c r="D2010" s="1" t="s">
        <v>7219</v>
      </c>
      <c r="E2010" s="1" t="s">
        <v>7220</v>
      </c>
      <c r="F2010" s="0" t="s">
        <v>5342</v>
      </c>
      <c r="G2010" s="57" t="s">
        <v>7221</v>
      </c>
      <c r="H2010" s="57" t="s">
        <v>7222</v>
      </c>
      <c r="I2010" s="34" t="s">
        <v>40</v>
      </c>
      <c r="J2010" s="57" t="s">
        <v>7223</v>
      </c>
      <c r="K2010" s="57" t="s">
        <v>7224</v>
      </c>
    </row>
    <row r="2011" customFormat="false" ht="55.95" hidden="false" customHeight="false" outlineLevel="0" collapsed="false">
      <c r="D2011" s="60"/>
      <c r="E2011" s="60"/>
      <c r="F2011" s="62"/>
      <c r="G2011" s="57" t="s">
        <v>7225</v>
      </c>
      <c r="H2011" s="57" t="s">
        <v>3792</v>
      </c>
      <c r="I2011" s="34"/>
      <c r="J2011" s="57" t="s">
        <v>3792</v>
      </c>
      <c r="K2011" s="57" t="s">
        <v>3792</v>
      </c>
    </row>
    <row r="2012" customFormat="false" ht="55.95" hidden="false" customHeight="false" outlineLevel="0" collapsed="false">
      <c r="D2012" s="1" t="s">
        <v>7226</v>
      </c>
      <c r="E2012" s="1" t="s">
        <v>7227</v>
      </c>
      <c r="F2012" s="0" t="s">
        <v>5342</v>
      </c>
      <c r="G2012" s="57" t="s">
        <v>7228</v>
      </c>
      <c r="H2012" s="57" t="s">
        <v>7229</v>
      </c>
      <c r="I2012" s="39" t="s">
        <v>67</v>
      </c>
      <c r="J2012" s="57" t="s">
        <v>7230</v>
      </c>
      <c r="K2012" s="57" t="s">
        <v>7231</v>
      </c>
    </row>
    <row r="2013" customFormat="false" ht="45.05" hidden="false" customHeight="false" outlineLevel="0" collapsed="false">
      <c r="D2013" s="60"/>
      <c r="E2013" s="60"/>
      <c r="F2013" s="62"/>
      <c r="G2013" s="57" t="s">
        <v>7232</v>
      </c>
      <c r="H2013" s="57" t="s">
        <v>3792</v>
      </c>
      <c r="I2013" s="39"/>
      <c r="J2013" s="57" t="s">
        <v>3792</v>
      </c>
      <c r="K2013" s="57" t="s">
        <v>3792</v>
      </c>
    </row>
    <row r="2014" customFormat="false" ht="45.05" hidden="false" customHeight="false" outlineLevel="0" collapsed="false">
      <c r="D2014" s="1" t="s">
        <v>7233</v>
      </c>
      <c r="E2014" s="1" t="s">
        <v>7234</v>
      </c>
      <c r="F2014" s="0" t="s">
        <v>5342</v>
      </c>
      <c r="G2014" s="57" t="s">
        <v>7235</v>
      </c>
      <c r="H2014" s="57" t="s">
        <v>7236</v>
      </c>
      <c r="I2014" s="37" t="s">
        <v>50</v>
      </c>
      <c r="J2014" s="57" t="s">
        <v>7237</v>
      </c>
      <c r="K2014" s="57" t="s">
        <v>7238</v>
      </c>
    </row>
    <row r="2015" customFormat="false" ht="34.2" hidden="false" customHeight="false" outlineLevel="0" collapsed="false">
      <c r="C2015" s="64"/>
      <c r="D2015" s="66"/>
      <c r="E2015" s="66"/>
      <c r="F2015" s="69"/>
      <c r="G2015" s="57" t="s">
        <v>7239</v>
      </c>
      <c r="H2015" s="57" t="s">
        <v>3792</v>
      </c>
      <c r="I2015" s="37"/>
      <c r="J2015" s="57" t="s">
        <v>3792</v>
      </c>
      <c r="K2015" s="57" t="s">
        <v>3792</v>
      </c>
    </row>
    <row r="2016" customFormat="false" ht="45.05" hidden="false" customHeight="false" outlineLevel="0" collapsed="false">
      <c r="C2016" s="59" t="s">
        <v>7240</v>
      </c>
      <c r="D2016" s="1" t="s">
        <v>7241</v>
      </c>
      <c r="E2016" s="1" t="s">
        <v>7242</v>
      </c>
      <c r="F2016" s="0" t="s">
        <v>5334</v>
      </c>
      <c r="G2016" s="57" t="s">
        <v>7243</v>
      </c>
      <c r="H2016" s="57" t="s">
        <v>7244</v>
      </c>
      <c r="I2016" s="37" t="s">
        <v>50</v>
      </c>
      <c r="J2016" s="57" t="s">
        <v>7245</v>
      </c>
      <c r="K2016" s="57" t="s">
        <v>7246</v>
      </c>
    </row>
    <row r="2017" customFormat="false" ht="45.05" hidden="false" customHeight="false" outlineLevel="0" collapsed="false">
      <c r="D2017" s="60"/>
      <c r="E2017" s="60"/>
      <c r="F2017" s="62"/>
      <c r="G2017" s="57" t="s">
        <v>7247</v>
      </c>
      <c r="H2017" s="57" t="s">
        <v>3792</v>
      </c>
      <c r="I2017" s="37"/>
      <c r="J2017" s="57" t="s">
        <v>3792</v>
      </c>
      <c r="K2017" s="57" t="s">
        <v>3792</v>
      </c>
    </row>
    <row r="2018" customFormat="false" ht="66.85" hidden="false" customHeight="false" outlineLevel="0" collapsed="false">
      <c r="D2018" s="1" t="s">
        <v>7248</v>
      </c>
      <c r="E2018" s="1" t="s">
        <v>7249</v>
      </c>
      <c r="F2018" s="0" t="s">
        <v>5342</v>
      </c>
      <c r="G2018" s="57" t="s">
        <v>7250</v>
      </c>
      <c r="H2018" s="57" t="s">
        <v>7251</v>
      </c>
      <c r="I2018" s="39" t="s">
        <v>67</v>
      </c>
      <c r="J2018" s="57" t="s">
        <v>7252</v>
      </c>
      <c r="K2018" s="57" t="s">
        <v>7253</v>
      </c>
    </row>
    <row r="2019" customFormat="false" ht="45.05" hidden="false" customHeight="false" outlineLevel="0" collapsed="false">
      <c r="D2019" s="60"/>
      <c r="E2019" s="60"/>
      <c r="F2019" s="62"/>
      <c r="G2019" s="57" t="s">
        <v>7254</v>
      </c>
      <c r="H2019" s="57" t="s">
        <v>3792</v>
      </c>
      <c r="I2019" s="39"/>
      <c r="J2019" s="57" t="s">
        <v>3792</v>
      </c>
      <c r="K2019" s="57" t="s">
        <v>3792</v>
      </c>
    </row>
    <row r="2020" customFormat="false" ht="55.95" hidden="false" customHeight="false" outlineLevel="0" collapsed="false">
      <c r="D2020" s="1" t="s">
        <v>7255</v>
      </c>
      <c r="E2020" s="1" t="s">
        <v>7256</v>
      </c>
      <c r="F2020" s="0" t="s">
        <v>5334</v>
      </c>
      <c r="G2020" s="57" t="s">
        <v>7257</v>
      </c>
      <c r="H2020" s="57" t="s">
        <v>7258</v>
      </c>
      <c r="I2020" s="34" t="s">
        <v>40</v>
      </c>
      <c r="J2020" s="57" t="s">
        <v>6724</v>
      </c>
      <c r="K2020" s="57" t="s">
        <v>7259</v>
      </c>
    </row>
    <row r="2021" customFormat="false" ht="55.95" hidden="false" customHeight="false" outlineLevel="0" collapsed="false">
      <c r="D2021" s="60"/>
      <c r="E2021" s="60"/>
      <c r="F2021" s="62"/>
      <c r="G2021" s="57" t="s">
        <v>7260</v>
      </c>
      <c r="H2021" s="57" t="s">
        <v>3792</v>
      </c>
      <c r="I2021" s="34"/>
      <c r="J2021" s="57" t="s">
        <v>3792</v>
      </c>
      <c r="K2021" s="57" t="s">
        <v>3792</v>
      </c>
    </row>
    <row r="2022" customFormat="false" ht="55.95" hidden="false" customHeight="false" outlineLevel="0" collapsed="false">
      <c r="D2022" s="1" t="s">
        <v>7261</v>
      </c>
      <c r="E2022" s="1" t="s">
        <v>7262</v>
      </c>
      <c r="F2022" s="0" t="s">
        <v>5342</v>
      </c>
      <c r="G2022" s="57" t="s">
        <v>7263</v>
      </c>
      <c r="H2022" s="57" t="s">
        <v>7264</v>
      </c>
      <c r="I2022" s="39" t="s">
        <v>67</v>
      </c>
      <c r="J2022" s="57" t="s">
        <v>7265</v>
      </c>
      <c r="K2022" s="57" t="s">
        <v>7266</v>
      </c>
    </row>
    <row r="2023" customFormat="false" ht="45.05" hidden="false" customHeight="false" outlineLevel="0" collapsed="false">
      <c r="D2023" s="60"/>
      <c r="E2023" s="60"/>
      <c r="F2023" s="62"/>
      <c r="G2023" s="57" t="s">
        <v>7267</v>
      </c>
      <c r="H2023" s="57" t="s">
        <v>3792</v>
      </c>
      <c r="I2023" s="39"/>
      <c r="J2023" s="57" t="s">
        <v>3792</v>
      </c>
      <c r="K2023" s="57" t="s">
        <v>3792</v>
      </c>
    </row>
    <row r="2024" customFormat="false" ht="55.95" hidden="false" customHeight="false" outlineLevel="0" collapsed="false">
      <c r="D2024" s="1" t="s">
        <v>7268</v>
      </c>
      <c r="E2024" s="1" t="s">
        <v>7269</v>
      </c>
      <c r="F2024" s="0" t="s">
        <v>5334</v>
      </c>
      <c r="G2024" s="57" t="s">
        <v>7270</v>
      </c>
      <c r="H2024" s="57" t="s">
        <v>7271</v>
      </c>
      <c r="I2024" s="37" t="s">
        <v>50</v>
      </c>
      <c r="J2024" s="57" t="s">
        <v>7272</v>
      </c>
      <c r="K2024" s="57" t="s">
        <v>7273</v>
      </c>
    </row>
    <row r="2025" customFormat="false" ht="66.85" hidden="false" customHeight="false" outlineLevel="0" collapsed="false">
      <c r="B2025" s="67"/>
      <c r="C2025" s="68"/>
      <c r="D2025" s="68"/>
      <c r="E2025" s="68"/>
      <c r="F2025" s="65"/>
      <c r="G2025" s="57" t="s">
        <v>7274</v>
      </c>
      <c r="H2025" s="57" t="s">
        <v>3792</v>
      </c>
      <c r="I2025" s="37"/>
      <c r="J2025" s="57" t="s">
        <v>3792</v>
      </c>
      <c r="K2025" s="57" t="s">
        <v>3792</v>
      </c>
    </row>
    <row r="2026" customFormat="false" ht="45.05" hidden="false" customHeight="false" outlineLevel="0" collapsed="false">
      <c r="B2026" s="1" t="s">
        <v>7275</v>
      </c>
      <c r="C2026" s="1" t="s">
        <v>7276</v>
      </c>
      <c r="D2026" s="1" t="s">
        <v>7277</v>
      </c>
      <c r="E2026" s="1" t="s">
        <v>7278</v>
      </c>
      <c r="F2026" s="0" t="s">
        <v>5342</v>
      </c>
      <c r="G2026" s="57" t="s">
        <v>7279</v>
      </c>
      <c r="H2026" s="57" t="s">
        <v>7280</v>
      </c>
      <c r="I2026" s="37" t="s">
        <v>50</v>
      </c>
      <c r="J2026" s="57" t="s">
        <v>7281</v>
      </c>
      <c r="K2026" s="57" t="s">
        <v>7282</v>
      </c>
    </row>
    <row r="2027" customFormat="false" ht="45.05" hidden="false" customHeight="false" outlineLevel="0" collapsed="false">
      <c r="D2027" s="60"/>
      <c r="E2027" s="60"/>
      <c r="F2027" s="62"/>
      <c r="G2027" s="57" t="s">
        <v>7283</v>
      </c>
      <c r="H2027" s="57" t="s">
        <v>3792</v>
      </c>
      <c r="I2027" s="37"/>
      <c r="J2027" s="57" t="s">
        <v>3792</v>
      </c>
      <c r="K2027" s="57" t="s">
        <v>3792</v>
      </c>
    </row>
    <row r="2028" customFormat="false" ht="55.95" hidden="false" customHeight="false" outlineLevel="0" collapsed="false">
      <c r="D2028" s="1" t="s">
        <v>7284</v>
      </c>
      <c r="E2028" s="1" t="s">
        <v>7285</v>
      </c>
      <c r="F2028" s="0" t="s">
        <v>5334</v>
      </c>
      <c r="G2028" s="57" t="s">
        <v>7286</v>
      </c>
      <c r="H2028" s="57" t="s">
        <v>7287</v>
      </c>
      <c r="I2028" s="39" t="s">
        <v>67</v>
      </c>
      <c r="J2028" s="57" t="s">
        <v>7288</v>
      </c>
      <c r="K2028" s="57" t="s">
        <v>7289</v>
      </c>
    </row>
    <row r="2029" customFormat="false" ht="55.95" hidden="false" customHeight="false" outlineLevel="0" collapsed="false">
      <c r="D2029" s="60"/>
      <c r="E2029" s="60"/>
      <c r="F2029" s="62"/>
      <c r="G2029" s="57" t="s">
        <v>7290</v>
      </c>
      <c r="H2029" s="57" t="s">
        <v>3792</v>
      </c>
      <c r="I2029" s="39"/>
      <c r="J2029" s="57" t="s">
        <v>3792</v>
      </c>
      <c r="K2029" s="57" t="s">
        <v>3792</v>
      </c>
    </row>
    <row r="2030" customFormat="false" ht="45.05" hidden="false" customHeight="false" outlineLevel="0" collapsed="false">
      <c r="D2030" s="1" t="s">
        <v>7291</v>
      </c>
      <c r="E2030" s="1" t="s">
        <v>7292</v>
      </c>
      <c r="F2030" s="0" t="s">
        <v>5342</v>
      </c>
      <c r="G2030" s="57" t="s">
        <v>7293</v>
      </c>
      <c r="H2030" s="57" t="s">
        <v>7294</v>
      </c>
      <c r="I2030" s="34" t="s">
        <v>40</v>
      </c>
      <c r="J2030" s="57" t="s">
        <v>7295</v>
      </c>
      <c r="K2030" s="57" t="s">
        <v>7296</v>
      </c>
    </row>
    <row r="2031" customFormat="false" ht="55.95" hidden="false" customHeight="false" outlineLevel="0" collapsed="false">
      <c r="D2031" s="60"/>
      <c r="E2031" s="60"/>
      <c r="F2031" s="62"/>
      <c r="G2031" s="57" t="s">
        <v>7297</v>
      </c>
      <c r="H2031" s="57" t="s">
        <v>3792</v>
      </c>
      <c r="I2031" s="34"/>
      <c r="J2031" s="57" t="s">
        <v>3792</v>
      </c>
      <c r="K2031" s="57" t="s">
        <v>3792</v>
      </c>
    </row>
    <row r="2032" customFormat="false" ht="55.95" hidden="false" customHeight="false" outlineLevel="0" collapsed="false">
      <c r="D2032" s="1" t="s">
        <v>7298</v>
      </c>
      <c r="E2032" s="1" t="s">
        <v>7299</v>
      </c>
      <c r="F2032" s="0" t="s">
        <v>5342</v>
      </c>
      <c r="G2032" s="57" t="s">
        <v>7300</v>
      </c>
      <c r="H2032" s="57" t="s">
        <v>7301</v>
      </c>
      <c r="I2032" s="39" t="s">
        <v>67</v>
      </c>
      <c r="J2032" s="57" t="s">
        <v>7302</v>
      </c>
      <c r="K2032" s="57" t="s">
        <v>7303</v>
      </c>
    </row>
    <row r="2033" customFormat="false" ht="45.05" hidden="false" customHeight="false" outlineLevel="0" collapsed="false">
      <c r="D2033" s="60" t="s">
        <v>7304</v>
      </c>
      <c r="E2033" s="60" t="s">
        <v>7305</v>
      </c>
      <c r="F2033" s="62"/>
      <c r="G2033" s="57" t="s">
        <v>7306</v>
      </c>
      <c r="H2033" s="57" t="s">
        <v>3792</v>
      </c>
      <c r="I2033" s="39"/>
      <c r="J2033" s="57" t="s">
        <v>3792</v>
      </c>
      <c r="K2033" s="57" t="s">
        <v>3792</v>
      </c>
    </row>
    <row r="2034" customFormat="false" ht="66.85" hidden="false" customHeight="false" outlineLevel="0" collapsed="false">
      <c r="F2034" s="0" t="s">
        <v>5334</v>
      </c>
      <c r="G2034" s="57" t="s">
        <v>7307</v>
      </c>
      <c r="H2034" s="57" t="s">
        <v>7308</v>
      </c>
      <c r="I2034" s="37" t="s">
        <v>50</v>
      </c>
      <c r="J2034" s="57" t="s">
        <v>7309</v>
      </c>
      <c r="K2034" s="57" t="s">
        <v>7238</v>
      </c>
    </row>
    <row r="2035" customFormat="false" ht="55.95" hidden="false" customHeight="false" outlineLevel="0" collapsed="false">
      <c r="C2035" s="64" t="s">
        <v>7310</v>
      </c>
      <c r="D2035" s="66" t="s">
        <v>7311</v>
      </c>
      <c r="E2035" s="66" t="s">
        <v>7312</v>
      </c>
      <c r="F2035" s="65"/>
      <c r="G2035" s="57" t="s">
        <v>7313</v>
      </c>
      <c r="H2035" s="57" t="s">
        <v>3792</v>
      </c>
      <c r="I2035" s="37"/>
      <c r="J2035" s="57" t="s">
        <v>3792</v>
      </c>
      <c r="K2035" s="57" t="s">
        <v>3792</v>
      </c>
    </row>
    <row r="2036" customFormat="false" ht="66.85" hidden="false" customHeight="false" outlineLevel="0" collapsed="false">
      <c r="F2036" s="0" t="s">
        <v>5342</v>
      </c>
      <c r="G2036" s="57" t="s">
        <v>7314</v>
      </c>
      <c r="H2036" s="57" t="s">
        <v>7315</v>
      </c>
      <c r="I2036" s="37" t="s">
        <v>50</v>
      </c>
      <c r="J2036" s="57" t="s">
        <v>7316</v>
      </c>
      <c r="K2036" s="57" t="s">
        <v>7246</v>
      </c>
    </row>
    <row r="2037" customFormat="false" ht="55.95" hidden="false" customHeight="false" outlineLevel="0" collapsed="false">
      <c r="D2037" s="60" t="s">
        <v>7317</v>
      </c>
      <c r="E2037" s="60" t="s">
        <v>7318</v>
      </c>
      <c r="F2037" s="62"/>
      <c r="G2037" s="57" t="s">
        <v>7319</v>
      </c>
      <c r="H2037" s="57" t="s">
        <v>3792</v>
      </c>
      <c r="I2037" s="37"/>
      <c r="J2037" s="57" t="s">
        <v>3792</v>
      </c>
      <c r="K2037" s="57" t="s">
        <v>3792</v>
      </c>
    </row>
    <row r="2038" customFormat="false" ht="45.05" hidden="false" customHeight="false" outlineLevel="0" collapsed="false">
      <c r="F2038" s="0" t="s">
        <v>5334</v>
      </c>
      <c r="G2038" s="57" t="s">
        <v>7320</v>
      </c>
      <c r="H2038" s="57" t="s">
        <v>7321</v>
      </c>
      <c r="I2038" s="39" t="s">
        <v>67</v>
      </c>
      <c r="J2038" s="57" t="s">
        <v>7322</v>
      </c>
      <c r="K2038" s="57" t="s">
        <v>7253</v>
      </c>
    </row>
    <row r="2039" customFormat="false" ht="45.05" hidden="false" customHeight="false" outlineLevel="0" collapsed="false">
      <c r="D2039" s="60" t="s">
        <v>7323</v>
      </c>
      <c r="E2039" s="60" t="s">
        <v>7324</v>
      </c>
      <c r="F2039" s="62"/>
      <c r="G2039" s="57" t="s">
        <v>7325</v>
      </c>
      <c r="H2039" s="57" t="s">
        <v>3792</v>
      </c>
      <c r="I2039" s="39"/>
      <c r="J2039" s="57" t="s">
        <v>3792</v>
      </c>
      <c r="K2039" s="57" t="s">
        <v>3792</v>
      </c>
    </row>
    <row r="2040" customFormat="false" ht="34.2" hidden="false" customHeight="false" outlineLevel="0" collapsed="false">
      <c r="F2040" s="0" t="s">
        <v>5342</v>
      </c>
      <c r="G2040" s="57" t="s">
        <v>7326</v>
      </c>
      <c r="H2040" s="57" t="s">
        <v>7327</v>
      </c>
      <c r="I2040" s="34" t="s">
        <v>40</v>
      </c>
      <c r="J2040" s="57" t="s">
        <v>7328</v>
      </c>
      <c r="K2040" s="57" t="s">
        <v>7259</v>
      </c>
    </row>
    <row r="2041" customFormat="false" ht="34.2" hidden="false" customHeight="false" outlineLevel="0" collapsed="false">
      <c r="D2041" s="60" t="s">
        <v>7329</v>
      </c>
      <c r="E2041" s="60" t="s">
        <v>7330</v>
      </c>
      <c r="F2041" s="62"/>
      <c r="G2041" s="57" t="s">
        <v>7331</v>
      </c>
      <c r="H2041" s="57" t="s">
        <v>3792</v>
      </c>
      <c r="I2041" s="34"/>
      <c r="J2041" s="57" t="s">
        <v>3792</v>
      </c>
      <c r="K2041" s="57" t="s">
        <v>3792</v>
      </c>
    </row>
    <row r="2042" customFormat="false" ht="55.95" hidden="false" customHeight="false" outlineLevel="0" collapsed="false">
      <c r="F2042" s="0" t="s">
        <v>5342</v>
      </c>
      <c r="G2042" s="57" t="s">
        <v>7332</v>
      </c>
      <c r="H2042" s="57" t="s">
        <v>7333</v>
      </c>
      <c r="I2042" s="39" t="s">
        <v>67</v>
      </c>
      <c r="J2042" s="57" t="s">
        <v>7334</v>
      </c>
      <c r="K2042" s="57" t="s">
        <v>7266</v>
      </c>
    </row>
    <row r="2043" customFormat="false" ht="34.2" hidden="false" customHeight="false" outlineLevel="0" collapsed="false">
      <c r="D2043" s="60" t="s">
        <v>7335</v>
      </c>
      <c r="E2043" s="60" t="s">
        <v>7336</v>
      </c>
      <c r="F2043" s="62"/>
      <c r="G2043" s="57" t="s">
        <v>7337</v>
      </c>
      <c r="H2043" s="57" t="s">
        <v>3792</v>
      </c>
      <c r="I2043" s="39"/>
      <c r="J2043" s="57" t="s">
        <v>3792</v>
      </c>
      <c r="K2043" s="57" t="s">
        <v>3792</v>
      </c>
    </row>
    <row r="2044" customFormat="false" ht="45.05" hidden="false" customHeight="false" outlineLevel="0" collapsed="false">
      <c r="F2044" s="0" t="s">
        <v>5334</v>
      </c>
      <c r="G2044" s="57" t="s">
        <v>7338</v>
      </c>
      <c r="H2044" s="57" t="s">
        <v>7339</v>
      </c>
      <c r="I2044" s="37" t="s">
        <v>50</v>
      </c>
      <c r="J2044" s="57" t="s">
        <v>7340</v>
      </c>
      <c r="K2044" s="57" t="s">
        <v>7273</v>
      </c>
    </row>
    <row r="2045" customFormat="false" ht="55.95" hidden="false" customHeight="false" outlineLevel="0" collapsed="false">
      <c r="C2045" s="64" t="s">
        <v>7341</v>
      </c>
      <c r="D2045" s="66" t="s">
        <v>7342</v>
      </c>
      <c r="E2045" s="66" t="s">
        <v>7343</v>
      </c>
      <c r="F2045" s="65"/>
      <c r="G2045" s="57" t="s">
        <v>7344</v>
      </c>
      <c r="H2045" s="57" t="s">
        <v>3792</v>
      </c>
      <c r="I2045" s="37"/>
      <c r="J2045" s="57" t="s">
        <v>3792</v>
      </c>
      <c r="K2045" s="57" t="s">
        <v>3792</v>
      </c>
    </row>
    <row r="2046" customFormat="false" ht="45.05" hidden="false" customHeight="false" outlineLevel="0" collapsed="false">
      <c r="F2046" s="0" t="s">
        <v>5334</v>
      </c>
      <c r="G2046" s="57" t="s">
        <v>7345</v>
      </c>
      <c r="H2046" s="57" t="s">
        <v>7346</v>
      </c>
      <c r="I2046" s="37" t="s">
        <v>50</v>
      </c>
      <c r="J2046" s="57" t="s">
        <v>7347</v>
      </c>
      <c r="K2046" s="57" t="s">
        <v>7282</v>
      </c>
    </row>
    <row r="2047" customFormat="false" ht="66.85" hidden="false" customHeight="false" outlineLevel="0" collapsed="false">
      <c r="D2047" s="60" t="s">
        <v>7348</v>
      </c>
      <c r="E2047" s="60" t="s">
        <v>7349</v>
      </c>
      <c r="F2047" s="62"/>
      <c r="G2047" s="57" t="s">
        <v>7350</v>
      </c>
      <c r="H2047" s="57" t="s">
        <v>3792</v>
      </c>
      <c r="I2047" s="37"/>
      <c r="J2047" s="57" t="s">
        <v>3792</v>
      </c>
      <c r="K2047" s="57" t="s">
        <v>3792</v>
      </c>
    </row>
    <row r="2048" customFormat="false" ht="45.05" hidden="false" customHeight="false" outlineLevel="0" collapsed="false">
      <c r="F2048" s="0" t="s">
        <v>5342</v>
      </c>
      <c r="G2048" s="57" t="s">
        <v>7351</v>
      </c>
      <c r="H2048" s="57" t="s">
        <v>7352</v>
      </c>
      <c r="I2048" s="39" t="s">
        <v>67</v>
      </c>
      <c r="J2048" s="57" t="s">
        <v>7353</v>
      </c>
      <c r="K2048" s="57" t="s">
        <v>7289</v>
      </c>
    </row>
    <row r="2049" customFormat="false" ht="45.05" hidden="false" customHeight="false" outlineLevel="0" collapsed="false">
      <c r="D2049" s="60" t="s">
        <v>7354</v>
      </c>
      <c r="E2049" s="60" t="s">
        <v>7355</v>
      </c>
      <c r="F2049" s="62"/>
      <c r="G2049" s="57" t="s">
        <v>7356</v>
      </c>
      <c r="H2049" s="57" t="s">
        <v>3792</v>
      </c>
      <c r="I2049" s="39"/>
      <c r="J2049" s="57" t="s">
        <v>3792</v>
      </c>
      <c r="K2049" s="57" t="s">
        <v>3792</v>
      </c>
    </row>
    <row r="2050" customFormat="false" ht="55.95" hidden="false" customHeight="false" outlineLevel="0" collapsed="false">
      <c r="F2050" s="0" t="s">
        <v>5334</v>
      </c>
      <c r="G2050" s="57" t="s">
        <v>7357</v>
      </c>
      <c r="H2050" s="57" t="s">
        <v>7358</v>
      </c>
      <c r="I2050" s="34" t="s">
        <v>40</v>
      </c>
      <c r="J2050" s="57" t="s">
        <v>7359</v>
      </c>
      <c r="K2050" s="57" t="s">
        <v>7296</v>
      </c>
    </row>
    <row r="2051" customFormat="false" ht="45.05" hidden="false" customHeight="false" outlineLevel="0" collapsed="false">
      <c r="D2051" s="60" t="s">
        <v>7360</v>
      </c>
      <c r="E2051" s="60" t="s">
        <v>7361</v>
      </c>
      <c r="F2051" s="62"/>
      <c r="G2051" s="57" t="s">
        <v>7362</v>
      </c>
      <c r="H2051" s="57" t="s">
        <v>3792</v>
      </c>
      <c r="I2051" s="34"/>
      <c r="J2051" s="57" t="s">
        <v>3792</v>
      </c>
      <c r="K2051" s="57" t="s">
        <v>3792</v>
      </c>
    </row>
    <row r="2052" customFormat="false" ht="66.85" hidden="false" customHeight="false" outlineLevel="0" collapsed="false">
      <c r="F2052" s="0" t="s">
        <v>5342</v>
      </c>
      <c r="G2052" s="57" t="s">
        <v>7363</v>
      </c>
      <c r="H2052" s="57" t="s">
        <v>7364</v>
      </c>
      <c r="I2052" s="39" t="s">
        <v>67</v>
      </c>
      <c r="J2052" s="57" t="s">
        <v>7365</v>
      </c>
      <c r="K2052" s="57" t="s">
        <v>7303</v>
      </c>
    </row>
    <row r="2053" customFormat="false" ht="45.05" hidden="false" customHeight="false" outlineLevel="0" collapsed="false">
      <c r="D2053" s="60" t="s">
        <v>7366</v>
      </c>
      <c r="E2053" s="60" t="s">
        <v>7367</v>
      </c>
      <c r="F2053" s="62"/>
      <c r="G2053" s="57" t="s">
        <v>7368</v>
      </c>
      <c r="H2053" s="57" t="s">
        <v>3792</v>
      </c>
      <c r="I2053" s="39"/>
      <c r="J2053" s="57" t="s">
        <v>3792</v>
      </c>
      <c r="K2053" s="57" t="s">
        <v>3792</v>
      </c>
    </row>
    <row r="2054" customFormat="false" ht="55.95" hidden="false" customHeight="false" outlineLevel="0" collapsed="false">
      <c r="F2054" s="0" t="s">
        <v>5342</v>
      </c>
      <c r="G2054" s="57" t="s">
        <v>7369</v>
      </c>
      <c r="H2054" s="57" t="s">
        <v>7370</v>
      </c>
      <c r="I2054" s="37" t="s">
        <v>50</v>
      </c>
      <c r="J2054" s="57" t="s">
        <v>7371</v>
      </c>
      <c r="K2054" s="57" t="s">
        <v>7372</v>
      </c>
    </row>
    <row r="2055" customFormat="false" ht="66.85" hidden="false" customHeight="false" outlineLevel="0" collapsed="false">
      <c r="C2055" s="70" t="s">
        <v>7373</v>
      </c>
      <c r="D2055" s="66" t="s">
        <v>7374</v>
      </c>
      <c r="E2055" s="66" t="s">
        <v>7375</v>
      </c>
      <c r="F2055" s="65"/>
      <c r="G2055" s="57" t="s">
        <v>7376</v>
      </c>
      <c r="I2055" s="37"/>
      <c r="J2055" s="57" t="s">
        <v>3792</v>
      </c>
      <c r="K2055" s="57" t="s">
        <v>3792</v>
      </c>
    </row>
    <row r="2056" customFormat="false" ht="45.05" hidden="false" customHeight="false" outlineLevel="0" collapsed="false">
      <c r="F2056" s="0" t="s">
        <v>5334</v>
      </c>
      <c r="G2056" s="57" t="s">
        <v>7377</v>
      </c>
      <c r="H2056" s="57" t="s">
        <v>7374</v>
      </c>
      <c r="I2056" s="37" t="s">
        <v>50</v>
      </c>
      <c r="J2056" s="57" t="s">
        <v>7378</v>
      </c>
      <c r="K2056" s="57" t="s">
        <v>7379</v>
      </c>
    </row>
    <row r="2057" customFormat="false" ht="34.2" hidden="false" customHeight="false" outlineLevel="0" collapsed="false">
      <c r="D2057" s="60" t="s">
        <v>7380</v>
      </c>
      <c r="E2057" s="60" t="s">
        <v>7381</v>
      </c>
      <c r="F2057" s="62"/>
      <c r="G2057" s="57" t="s">
        <v>7382</v>
      </c>
      <c r="H2057" s="57" t="s">
        <v>3792</v>
      </c>
      <c r="I2057" s="37"/>
      <c r="J2057" s="57" t="s">
        <v>3792</v>
      </c>
      <c r="K2057" s="57" t="s">
        <v>3792</v>
      </c>
    </row>
    <row r="2058" customFormat="false" ht="66.85" hidden="false" customHeight="false" outlineLevel="0" collapsed="false">
      <c r="F2058" s="0" t="s">
        <v>5342</v>
      </c>
      <c r="G2058" s="57" t="s">
        <v>7383</v>
      </c>
      <c r="H2058" s="57" t="s">
        <v>7380</v>
      </c>
      <c r="I2058" s="39" t="s">
        <v>67</v>
      </c>
      <c r="J2058" s="57" t="s">
        <v>7384</v>
      </c>
      <c r="K2058" s="57" t="s">
        <v>7385</v>
      </c>
    </row>
    <row r="2059" customFormat="false" ht="55.95" hidden="false" customHeight="false" outlineLevel="0" collapsed="false">
      <c r="D2059" s="60" t="s">
        <v>7386</v>
      </c>
      <c r="E2059" s="60" t="s">
        <v>7387</v>
      </c>
      <c r="F2059" s="62"/>
      <c r="G2059" s="57" t="s">
        <v>7388</v>
      </c>
      <c r="H2059" s="57" t="s">
        <v>3792</v>
      </c>
      <c r="I2059" s="39"/>
      <c r="J2059" s="57" t="s">
        <v>3792</v>
      </c>
      <c r="K2059" s="57" t="s">
        <v>3792</v>
      </c>
    </row>
    <row r="2060" customFormat="false" ht="45.05" hidden="false" customHeight="false" outlineLevel="0" collapsed="false">
      <c r="F2060" s="0" t="s">
        <v>5342</v>
      </c>
      <c r="G2060" s="57" t="s">
        <v>7389</v>
      </c>
      <c r="H2060" s="57" t="s">
        <v>7386</v>
      </c>
      <c r="I2060" s="34" t="s">
        <v>40</v>
      </c>
      <c r="J2060" s="57" t="s">
        <v>7390</v>
      </c>
      <c r="K2060" s="57" t="s">
        <v>7391</v>
      </c>
    </row>
    <row r="2061" customFormat="false" ht="55.95" hidden="false" customHeight="false" outlineLevel="0" collapsed="false">
      <c r="D2061" s="60" t="s">
        <v>7392</v>
      </c>
      <c r="E2061" s="60" t="s">
        <v>7393</v>
      </c>
      <c r="F2061" s="62"/>
      <c r="G2061" s="57" t="s">
        <v>7394</v>
      </c>
      <c r="H2061" s="57" t="s">
        <v>3792</v>
      </c>
      <c r="I2061" s="34"/>
      <c r="J2061" s="57" t="s">
        <v>3792</v>
      </c>
      <c r="K2061" s="57" t="s">
        <v>3792</v>
      </c>
    </row>
    <row r="2062" customFormat="false" ht="55.95" hidden="false" customHeight="false" outlineLevel="0" collapsed="false">
      <c r="F2062" s="0" t="s">
        <v>5334</v>
      </c>
      <c r="G2062" s="57" t="s">
        <v>7395</v>
      </c>
      <c r="H2062" s="57" t="s">
        <v>7392</v>
      </c>
      <c r="I2062" s="39" t="s">
        <v>67</v>
      </c>
      <c r="J2062" s="57" t="s">
        <v>7396</v>
      </c>
      <c r="K2062" s="57" t="s">
        <v>7397</v>
      </c>
    </row>
    <row r="2063" customFormat="false" ht="55.95" hidden="false" customHeight="false" outlineLevel="0" collapsed="false">
      <c r="D2063" s="60" t="s">
        <v>7398</v>
      </c>
      <c r="E2063" s="60" t="s">
        <v>7399</v>
      </c>
      <c r="F2063" s="62"/>
      <c r="G2063" s="57" t="s">
        <v>7400</v>
      </c>
      <c r="H2063" s="57" t="s">
        <v>3792</v>
      </c>
      <c r="I2063" s="39"/>
      <c r="J2063" s="57" t="s">
        <v>3792</v>
      </c>
      <c r="K2063" s="57" t="s">
        <v>3792</v>
      </c>
    </row>
    <row r="2064" customFormat="false" ht="55.95" hidden="false" customHeight="false" outlineLevel="0" collapsed="false">
      <c r="F2064" s="0" t="s">
        <v>5334</v>
      </c>
      <c r="G2064" s="57" t="s">
        <v>7401</v>
      </c>
      <c r="H2064" s="57" t="s">
        <v>7398</v>
      </c>
      <c r="I2064" s="37" t="s">
        <v>50</v>
      </c>
      <c r="J2064" s="57" t="s">
        <v>7402</v>
      </c>
      <c r="K2064" s="57" t="s">
        <v>7403</v>
      </c>
    </row>
    <row r="2065" customFormat="false" ht="45.05" hidden="false" customHeight="false" outlineLevel="0" collapsed="false">
      <c r="C2065" s="70" t="s">
        <v>7404</v>
      </c>
      <c r="D2065" s="66" t="s">
        <v>7405</v>
      </c>
      <c r="E2065" s="66" t="s">
        <v>7406</v>
      </c>
      <c r="F2065" s="65"/>
      <c r="G2065" s="57" t="s">
        <v>7407</v>
      </c>
      <c r="H2065" s="57" t="s">
        <v>3792</v>
      </c>
      <c r="I2065" s="37"/>
      <c r="J2065" s="57" t="s">
        <v>3792</v>
      </c>
      <c r="K2065" s="57" t="s">
        <v>3792</v>
      </c>
    </row>
    <row r="2066" customFormat="false" ht="45.05" hidden="false" customHeight="false" outlineLevel="0" collapsed="false">
      <c r="F2066" s="0" t="s">
        <v>5334</v>
      </c>
      <c r="G2066" s="57" t="s">
        <v>7408</v>
      </c>
      <c r="H2066" s="57" t="s">
        <v>7405</v>
      </c>
      <c r="I2066" s="37" t="s">
        <v>50</v>
      </c>
      <c r="J2066" s="57" t="s">
        <v>7409</v>
      </c>
      <c r="K2066" s="57" t="s">
        <v>7410</v>
      </c>
    </row>
    <row r="2067" customFormat="false" ht="45.05" hidden="false" customHeight="false" outlineLevel="0" collapsed="false">
      <c r="D2067" s="60" t="s">
        <v>7411</v>
      </c>
      <c r="E2067" s="60" t="s">
        <v>7412</v>
      </c>
      <c r="F2067" s="62"/>
      <c r="G2067" s="57" t="s">
        <v>7413</v>
      </c>
      <c r="H2067" s="57" t="s">
        <v>3792</v>
      </c>
      <c r="I2067" s="37"/>
      <c r="K2067" s="57" t="s">
        <v>3792</v>
      </c>
    </row>
    <row r="2068" customFormat="false" ht="34.2" hidden="false" customHeight="false" outlineLevel="0" collapsed="false">
      <c r="F2068" s="0" t="s">
        <v>5342</v>
      </c>
      <c r="G2068" s="57" t="s">
        <v>7414</v>
      </c>
      <c r="H2068" s="57" t="s">
        <v>7411</v>
      </c>
      <c r="I2068" s="39" t="s">
        <v>67</v>
      </c>
      <c r="J2068" s="57" t="s">
        <v>7415</v>
      </c>
      <c r="K2068" s="57" t="s">
        <v>7416</v>
      </c>
    </row>
    <row r="2069" customFormat="false" ht="66.85" hidden="false" customHeight="false" outlineLevel="0" collapsed="false">
      <c r="D2069" s="60" t="s">
        <v>7417</v>
      </c>
      <c r="E2069" s="60" t="s">
        <v>7418</v>
      </c>
      <c r="F2069" s="62"/>
      <c r="G2069" s="57" t="s">
        <v>7419</v>
      </c>
      <c r="H2069" s="57" t="s">
        <v>3792</v>
      </c>
      <c r="I2069" s="39"/>
      <c r="J2069" s="57" t="s">
        <v>3792</v>
      </c>
      <c r="K2069" s="57" t="s">
        <v>3792</v>
      </c>
    </row>
    <row r="2070" customFormat="false" ht="34.2" hidden="false" customHeight="false" outlineLevel="0" collapsed="false">
      <c r="F2070" s="0" t="s">
        <v>5342</v>
      </c>
      <c r="G2070" s="57" t="s">
        <v>7420</v>
      </c>
      <c r="H2070" s="57" t="s">
        <v>7417</v>
      </c>
      <c r="I2070" s="34" t="s">
        <v>40</v>
      </c>
      <c r="J2070" s="57" t="s">
        <v>7421</v>
      </c>
      <c r="K2070" s="57" t="s">
        <v>7422</v>
      </c>
    </row>
    <row r="2071" customFormat="false" ht="34.2" hidden="false" customHeight="false" outlineLevel="0" collapsed="false">
      <c r="D2071" s="60" t="s">
        <v>7423</v>
      </c>
      <c r="E2071" s="60" t="s">
        <v>7424</v>
      </c>
      <c r="F2071" s="62"/>
      <c r="G2071" s="57" t="s">
        <v>7425</v>
      </c>
      <c r="H2071" s="57" t="s">
        <v>3792</v>
      </c>
      <c r="I2071" s="34"/>
      <c r="J2071" s="57" t="s">
        <v>3792</v>
      </c>
      <c r="K2071" s="57" t="s">
        <v>3792</v>
      </c>
    </row>
    <row r="2072" customFormat="false" ht="34.2" hidden="false" customHeight="false" outlineLevel="0" collapsed="false">
      <c r="F2072" s="0" t="s">
        <v>5334</v>
      </c>
      <c r="G2072" s="57" t="s">
        <v>7426</v>
      </c>
      <c r="H2072" s="57" t="s">
        <v>7423</v>
      </c>
      <c r="I2072" s="39" t="s">
        <v>67</v>
      </c>
      <c r="J2072" s="57" t="s">
        <v>7427</v>
      </c>
      <c r="K2072" s="57" t="s">
        <v>7428</v>
      </c>
    </row>
    <row r="2073" customFormat="false" ht="45.05" hidden="false" customHeight="false" outlineLevel="0" collapsed="false">
      <c r="D2073" s="60" t="s">
        <v>7429</v>
      </c>
      <c r="E2073" s="60" t="s">
        <v>7430</v>
      </c>
      <c r="F2073" s="62"/>
      <c r="G2073" s="57" t="s">
        <v>7431</v>
      </c>
      <c r="H2073" s="57" t="s">
        <v>3792</v>
      </c>
      <c r="I2073" s="39"/>
      <c r="J2073" s="57" t="s">
        <v>3792</v>
      </c>
      <c r="K2073" s="57" t="s">
        <v>3792</v>
      </c>
    </row>
    <row r="2074" customFormat="false" ht="21.75" hidden="false" customHeight="false" outlineLevel="0" collapsed="false">
      <c r="F2074" s="0" t="s">
        <v>5342</v>
      </c>
      <c r="G2074" s="57" t="s">
        <v>7432</v>
      </c>
      <c r="H2074" s="57" t="s">
        <v>7429</v>
      </c>
      <c r="I2074" s="37" t="s">
        <v>50</v>
      </c>
      <c r="J2074" s="57" t="s">
        <v>7433</v>
      </c>
      <c r="K2074" s="57" t="s">
        <v>7434</v>
      </c>
    </row>
    <row r="2075" customFormat="false" ht="45.05" hidden="false" customHeight="false" outlineLevel="0" collapsed="false">
      <c r="C2075" s="70" t="s">
        <v>7435</v>
      </c>
      <c r="D2075" s="66" t="s">
        <v>7436</v>
      </c>
      <c r="E2075" s="66" t="s">
        <v>7437</v>
      </c>
      <c r="F2075" s="65"/>
      <c r="G2075" s="57" t="s">
        <v>7438</v>
      </c>
      <c r="H2075" s="57" t="s">
        <v>3792</v>
      </c>
      <c r="I2075" s="37"/>
      <c r="J2075" s="57" t="s">
        <v>3792</v>
      </c>
      <c r="K2075" s="57" t="s">
        <v>3792</v>
      </c>
    </row>
    <row r="2076" customFormat="false" ht="45.05" hidden="false" customHeight="false" outlineLevel="0" collapsed="false">
      <c r="F2076" s="0" t="s">
        <v>5342</v>
      </c>
      <c r="G2076" s="57" t="s">
        <v>7439</v>
      </c>
      <c r="H2076" s="57" t="s">
        <v>7436</v>
      </c>
      <c r="I2076" s="37" t="s">
        <v>50</v>
      </c>
      <c r="J2076" s="57" t="s">
        <v>7440</v>
      </c>
      <c r="K2076" s="57" t="s">
        <v>7441</v>
      </c>
    </row>
    <row r="2077" customFormat="false" ht="77.7" hidden="false" customHeight="false" outlineLevel="0" collapsed="false">
      <c r="D2077" s="60" t="s">
        <v>7442</v>
      </c>
      <c r="E2077" s="60" t="s">
        <v>7443</v>
      </c>
      <c r="F2077" s="62"/>
      <c r="G2077" s="57" t="s">
        <v>7444</v>
      </c>
      <c r="H2077" s="57" t="s">
        <v>3792</v>
      </c>
      <c r="I2077" s="37"/>
      <c r="J2077" s="57" t="s">
        <v>3792</v>
      </c>
      <c r="K2077" s="57" t="s">
        <v>3792</v>
      </c>
    </row>
    <row r="2078" customFormat="false" ht="45.05" hidden="false" customHeight="false" outlineLevel="0" collapsed="false">
      <c r="F2078" s="0" t="s">
        <v>5334</v>
      </c>
      <c r="G2078" s="57" t="s">
        <v>7445</v>
      </c>
      <c r="H2078" s="57" t="s">
        <v>7442</v>
      </c>
      <c r="I2078" s="39" t="s">
        <v>67</v>
      </c>
      <c r="J2078" s="57" t="s">
        <v>7446</v>
      </c>
      <c r="K2078" s="57" t="s">
        <v>7447</v>
      </c>
    </row>
    <row r="2079" customFormat="false" ht="66.85" hidden="false" customHeight="false" outlineLevel="0" collapsed="false">
      <c r="D2079" s="60" t="s">
        <v>7448</v>
      </c>
      <c r="E2079" s="60" t="s">
        <v>7449</v>
      </c>
      <c r="F2079" s="62"/>
      <c r="G2079" s="57" t="s">
        <v>7450</v>
      </c>
      <c r="H2079" s="57" t="s">
        <v>3792</v>
      </c>
      <c r="I2079" s="39"/>
      <c r="J2079" s="57" t="s">
        <v>3792</v>
      </c>
      <c r="K2079" s="57" t="s">
        <v>3792</v>
      </c>
    </row>
    <row r="2080" customFormat="false" ht="45.05" hidden="false" customHeight="false" outlineLevel="0" collapsed="false">
      <c r="F2080" s="0" t="s">
        <v>5334</v>
      </c>
      <c r="G2080" s="57" t="s">
        <v>7451</v>
      </c>
      <c r="H2080" s="57" t="s">
        <v>7448</v>
      </c>
      <c r="I2080" s="34" t="s">
        <v>40</v>
      </c>
      <c r="J2080" s="57" t="s">
        <v>7452</v>
      </c>
      <c r="K2080" s="57" t="s">
        <v>7453</v>
      </c>
    </row>
    <row r="2081" customFormat="false" ht="45.05" hidden="false" customHeight="false" outlineLevel="0" collapsed="false">
      <c r="D2081" s="60" t="s">
        <v>7454</v>
      </c>
      <c r="E2081" s="60" t="s">
        <v>7455</v>
      </c>
      <c r="F2081" s="62"/>
      <c r="G2081" s="57" t="s">
        <v>7456</v>
      </c>
      <c r="H2081" s="57" t="s">
        <v>3792</v>
      </c>
      <c r="I2081" s="34"/>
      <c r="J2081" s="57" t="s">
        <v>3792</v>
      </c>
      <c r="K2081" s="57" t="s">
        <v>3792</v>
      </c>
    </row>
    <row r="2082" customFormat="false" ht="55.95" hidden="false" customHeight="false" outlineLevel="0" collapsed="false">
      <c r="F2082" s="0" t="s">
        <v>5342</v>
      </c>
      <c r="G2082" s="57" t="s">
        <v>7457</v>
      </c>
      <c r="H2082" s="57" t="s">
        <v>7454</v>
      </c>
      <c r="I2082" s="39" t="s">
        <v>67</v>
      </c>
      <c r="J2082" s="57" t="s">
        <v>7458</v>
      </c>
      <c r="K2082" s="57" t="s">
        <v>7459</v>
      </c>
    </row>
    <row r="2083" customFormat="false" ht="34.2" hidden="false" customHeight="false" outlineLevel="0" collapsed="false">
      <c r="D2083" s="60" t="s">
        <v>7460</v>
      </c>
      <c r="E2083" s="60" t="s">
        <v>7461</v>
      </c>
      <c r="F2083" s="62"/>
      <c r="G2083" s="57" t="s">
        <v>7462</v>
      </c>
      <c r="H2083" s="57" t="s">
        <v>3792</v>
      </c>
      <c r="I2083" s="39"/>
      <c r="J2083" s="57" t="s">
        <v>3792</v>
      </c>
      <c r="K2083" s="57" t="s">
        <v>3792</v>
      </c>
    </row>
    <row r="2084" customFormat="false" ht="34.2" hidden="false" customHeight="false" outlineLevel="0" collapsed="false">
      <c r="F2084" s="0" t="s">
        <v>5334</v>
      </c>
      <c r="G2084" s="57" t="s">
        <v>7463</v>
      </c>
      <c r="H2084" s="57" t="s">
        <v>7460</v>
      </c>
      <c r="I2084" s="37" t="s">
        <v>50</v>
      </c>
      <c r="J2084" s="57" t="s">
        <v>7464</v>
      </c>
      <c r="K2084" s="57" t="s">
        <v>7465</v>
      </c>
    </row>
    <row r="2085" customFormat="false" ht="66.85" hidden="false" customHeight="false" outlineLevel="0" collapsed="false">
      <c r="C2085" s="70" t="s">
        <v>7466</v>
      </c>
      <c r="D2085" s="66" t="s">
        <v>7467</v>
      </c>
      <c r="E2085" s="66" t="s">
        <v>7468</v>
      </c>
      <c r="F2085" s="65"/>
      <c r="G2085" s="57" t="s">
        <v>7469</v>
      </c>
      <c r="H2085" s="57" t="s">
        <v>3792</v>
      </c>
      <c r="I2085" s="37"/>
      <c r="J2085" s="57" t="s">
        <v>3792</v>
      </c>
      <c r="K2085" s="57" t="s">
        <v>3792</v>
      </c>
    </row>
    <row r="2086" customFormat="false" ht="66.85" hidden="false" customHeight="false" outlineLevel="0" collapsed="false">
      <c r="F2086" s="0" t="s">
        <v>5342</v>
      </c>
      <c r="G2086" s="57" t="s">
        <v>7470</v>
      </c>
      <c r="H2086" s="57" t="s">
        <v>7467</v>
      </c>
      <c r="I2086" s="37" t="s">
        <v>50</v>
      </c>
      <c r="J2086" s="57" t="s">
        <v>7471</v>
      </c>
      <c r="K2086" s="57" t="s">
        <v>7472</v>
      </c>
    </row>
    <row r="2087" customFormat="false" ht="66.85" hidden="false" customHeight="false" outlineLevel="0" collapsed="false">
      <c r="D2087" s="60" t="s">
        <v>7473</v>
      </c>
      <c r="E2087" s="60" t="s">
        <v>7474</v>
      </c>
      <c r="F2087" s="62"/>
      <c r="G2087" s="57" t="s">
        <v>7475</v>
      </c>
      <c r="H2087" s="57" t="s">
        <v>3792</v>
      </c>
      <c r="I2087" s="37"/>
      <c r="J2087" s="57" t="s">
        <v>3792</v>
      </c>
      <c r="K2087" s="57" t="s">
        <v>3792</v>
      </c>
    </row>
    <row r="2088" customFormat="false" ht="45.05" hidden="false" customHeight="false" outlineLevel="0" collapsed="false">
      <c r="F2088" s="0" t="s">
        <v>5342</v>
      </c>
      <c r="G2088" s="57" t="s">
        <v>7476</v>
      </c>
      <c r="H2088" s="57" t="s">
        <v>7473</v>
      </c>
      <c r="I2088" s="39" t="s">
        <v>67</v>
      </c>
      <c r="J2088" s="57" t="s">
        <v>7477</v>
      </c>
      <c r="K2088" s="57" t="s">
        <v>7478</v>
      </c>
    </row>
    <row r="2089" customFormat="false" ht="34.2" hidden="false" customHeight="false" outlineLevel="0" collapsed="false">
      <c r="D2089" s="60" t="s">
        <v>7479</v>
      </c>
      <c r="E2089" s="60" t="s">
        <v>7480</v>
      </c>
      <c r="F2089" s="62"/>
      <c r="G2089" s="57" t="s">
        <v>7481</v>
      </c>
      <c r="H2089" s="57" t="s">
        <v>3792</v>
      </c>
      <c r="I2089" s="39"/>
      <c r="J2089" s="57" t="s">
        <v>3792</v>
      </c>
      <c r="K2089" s="57" t="s">
        <v>3792</v>
      </c>
    </row>
    <row r="2090" customFormat="false" ht="45.05" hidden="false" customHeight="false" outlineLevel="0" collapsed="false">
      <c r="F2090" s="0" t="s">
        <v>5334</v>
      </c>
      <c r="G2090" s="57" t="s">
        <v>7482</v>
      </c>
      <c r="H2090" s="57" t="s">
        <v>7479</v>
      </c>
      <c r="I2090" s="34" t="s">
        <v>40</v>
      </c>
      <c r="J2090" s="57" t="s">
        <v>7483</v>
      </c>
      <c r="K2090" s="57" t="s">
        <v>7484</v>
      </c>
    </row>
    <row r="2091" customFormat="false" ht="34.2" hidden="false" customHeight="false" outlineLevel="0" collapsed="false">
      <c r="D2091" s="60" t="s">
        <v>7485</v>
      </c>
      <c r="E2091" s="60" t="s">
        <v>7486</v>
      </c>
      <c r="F2091" s="62"/>
      <c r="G2091" s="57" t="s">
        <v>7487</v>
      </c>
      <c r="H2091" s="57" t="s">
        <v>3792</v>
      </c>
      <c r="I2091" s="34"/>
      <c r="J2091" s="57" t="s">
        <v>3792</v>
      </c>
      <c r="K2091" s="57" t="s">
        <v>3792</v>
      </c>
    </row>
    <row r="2092" customFormat="false" ht="55.95" hidden="false" customHeight="false" outlineLevel="0" collapsed="false">
      <c r="F2092" s="0" t="s">
        <v>5334</v>
      </c>
      <c r="G2092" s="57" t="s">
        <v>7488</v>
      </c>
      <c r="H2092" s="57" t="s">
        <v>7485</v>
      </c>
      <c r="I2092" s="39" t="s">
        <v>67</v>
      </c>
      <c r="J2092" s="57" t="s">
        <v>7489</v>
      </c>
      <c r="K2092" s="57" t="s">
        <v>7490</v>
      </c>
    </row>
    <row r="2093" customFormat="false" ht="55.95" hidden="false" customHeight="false" outlineLevel="0" collapsed="false">
      <c r="D2093" s="60" t="s">
        <v>7491</v>
      </c>
      <c r="E2093" s="60" t="s">
        <v>7492</v>
      </c>
      <c r="F2093" s="62"/>
      <c r="G2093" s="57" t="s">
        <v>7493</v>
      </c>
      <c r="H2093" s="57" t="s">
        <v>3792</v>
      </c>
      <c r="I2093" s="39"/>
      <c r="J2093" s="57" t="s">
        <v>3792</v>
      </c>
      <c r="K2093" s="57" t="s">
        <v>3792</v>
      </c>
    </row>
    <row r="2094" customFormat="false" ht="55.95" hidden="false" customHeight="false" outlineLevel="0" collapsed="false">
      <c r="F2094" s="0" t="s">
        <v>5342</v>
      </c>
      <c r="G2094" s="57" t="s">
        <v>7494</v>
      </c>
      <c r="H2094" s="57" t="s">
        <v>7491</v>
      </c>
      <c r="I2094" s="37" t="s">
        <v>50</v>
      </c>
      <c r="J2094" s="57" t="s">
        <v>7495</v>
      </c>
      <c r="K2094" s="57" t="s">
        <v>7496</v>
      </c>
    </row>
    <row r="2095" customFormat="false" ht="55.95" hidden="false" customHeight="false" outlineLevel="0" collapsed="false">
      <c r="C2095" s="70" t="s">
        <v>7497</v>
      </c>
      <c r="D2095" s="66" t="s">
        <v>7498</v>
      </c>
      <c r="E2095" s="66" t="s">
        <v>7499</v>
      </c>
      <c r="F2095" s="65"/>
      <c r="G2095" s="57" t="s">
        <v>7500</v>
      </c>
      <c r="H2095" s="57" t="s">
        <v>3792</v>
      </c>
      <c r="I2095" s="37"/>
      <c r="J2095" s="57" t="s">
        <v>3792</v>
      </c>
      <c r="K2095" s="57" t="s">
        <v>3792</v>
      </c>
    </row>
    <row r="2096" customFormat="false" ht="34.2" hidden="false" customHeight="false" outlineLevel="0" collapsed="false">
      <c r="F2096" s="0" t="s">
        <v>5342</v>
      </c>
      <c r="G2096" s="57" t="s">
        <v>7501</v>
      </c>
      <c r="H2096" s="57" t="s">
        <v>7498</v>
      </c>
      <c r="I2096" s="37" t="s">
        <v>50</v>
      </c>
      <c r="J2096" s="57" t="s">
        <v>7502</v>
      </c>
      <c r="K2096" s="57" t="s">
        <v>7503</v>
      </c>
    </row>
    <row r="2097" customFormat="false" ht="34.2" hidden="false" customHeight="false" outlineLevel="0" collapsed="false">
      <c r="D2097" s="60" t="s">
        <v>7504</v>
      </c>
      <c r="E2097" s="60" t="s">
        <v>7505</v>
      </c>
      <c r="F2097" s="62"/>
      <c r="G2097" s="57" t="s">
        <v>7506</v>
      </c>
      <c r="H2097" s="57" t="s">
        <v>3792</v>
      </c>
      <c r="I2097" s="37"/>
      <c r="J2097" s="57" t="s">
        <v>3792</v>
      </c>
      <c r="K2097" s="57" t="s">
        <v>3792</v>
      </c>
    </row>
    <row r="2098" customFormat="false" ht="55.95" hidden="false" customHeight="false" outlineLevel="0" collapsed="false">
      <c r="F2098" s="0" t="s">
        <v>5334</v>
      </c>
      <c r="G2098" s="57" t="s">
        <v>7507</v>
      </c>
      <c r="H2098" s="57" t="s">
        <v>7504</v>
      </c>
      <c r="I2098" s="39" t="s">
        <v>67</v>
      </c>
      <c r="J2098" s="57" t="s">
        <v>7508</v>
      </c>
      <c r="K2098" s="57" t="s">
        <v>7509</v>
      </c>
    </row>
    <row r="2099" customFormat="false" ht="21.75" hidden="false" customHeight="false" outlineLevel="0" collapsed="false">
      <c r="D2099" s="60" t="s">
        <v>7510</v>
      </c>
      <c r="E2099" s="60" t="s">
        <v>7511</v>
      </c>
      <c r="F2099" s="62"/>
      <c r="G2099" s="57" t="s">
        <v>7512</v>
      </c>
      <c r="H2099" s="57" t="s">
        <v>3792</v>
      </c>
      <c r="I2099" s="39"/>
      <c r="J2099" s="57" t="s">
        <v>3792</v>
      </c>
      <c r="K2099" s="57" t="s">
        <v>3792</v>
      </c>
    </row>
    <row r="2100" customFormat="false" ht="55.95" hidden="false" customHeight="false" outlineLevel="0" collapsed="false">
      <c r="F2100" s="0" t="s">
        <v>5334</v>
      </c>
      <c r="G2100" s="57" t="s">
        <v>7513</v>
      </c>
      <c r="H2100" s="57" t="s">
        <v>7510</v>
      </c>
      <c r="I2100" s="34" t="s">
        <v>40</v>
      </c>
      <c r="J2100" s="57" t="s">
        <v>7514</v>
      </c>
      <c r="K2100" s="57" t="s">
        <v>7515</v>
      </c>
    </row>
    <row r="2101" customFormat="false" ht="34.2" hidden="false" customHeight="false" outlineLevel="0" collapsed="false">
      <c r="D2101" s="60" t="s">
        <v>7516</v>
      </c>
      <c r="E2101" s="60" t="s">
        <v>7517</v>
      </c>
      <c r="F2101" s="62"/>
      <c r="G2101" s="57" t="s">
        <v>7518</v>
      </c>
      <c r="H2101" s="57" t="s">
        <v>3792</v>
      </c>
      <c r="I2101" s="34"/>
      <c r="J2101" s="57" t="s">
        <v>3792</v>
      </c>
      <c r="K2101" s="57" t="s">
        <v>3792</v>
      </c>
    </row>
    <row r="2102" customFormat="false" ht="45.05" hidden="false" customHeight="false" outlineLevel="0" collapsed="false">
      <c r="F2102" s="0" t="s">
        <v>5342</v>
      </c>
      <c r="G2102" s="57" t="s">
        <v>7519</v>
      </c>
      <c r="H2102" s="57" t="s">
        <v>7516</v>
      </c>
      <c r="I2102" s="39" t="s">
        <v>67</v>
      </c>
      <c r="J2102" s="57" t="s">
        <v>7520</v>
      </c>
      <c r="K2102" s="57" t="s">
        <v>7521</v>
      </c>
    </row>
    <row r="2103" customFormat="false" ht="66.85" hidden="false" customHeight="false" outlineLevel="0" collapsed="false">
      <c r="D2103" s="60" t="s">
        <v>7522</v>
      </c>
      <c r="E2103" s="60" t="s">
        <v>7523</v>
      </c>
      <c r="F2103" s="62"/>
      <c r="G2103" s="57" t="s">
        <v>7524</v>
      </c>
      <c r="H2103" s="57" t="s">
        <v>3792</v>
      </c>
      <c r="I2103" s="39"/>
      <c r="J2103" s="57" t="s">
        <v>3792</v>
      </c>
      <c r="K2103" s="57" t="s">
        <v>3792</v>
      </c>
    </row>
    <row r="2104" customFormat="false" ht="34.2" hidden="false" customHeight="false" outlineLevel="0" collapsed="false">
      <c r="F2104" s="0" t="s">
        <v>5334</v>
      </c>
      <c r="G2104" s="57" t="s">
        <v>7525</v>
      </c>
      <c r="H2104" s="57" t="s">
        <v>7522</v>
      </c>
      <c r="I2104" s="37" t="s">
        <v>50</v>
      </c>
      <c r="J2104" s="57" t="s">
        <v>7526</v>
      </c>
      <c r="K2104" s="57" t="s">
        <v>7527</v>
      </c>
    </row>
    <row r="2105" customFormat="false" ht="55.95" hidden="false" customHeight="false" outlineLevel="0" collapsed="false">
      <c r="C2105" s="64" t="s">
        <v>7528</v>
      </c>
      <c r="D2105" s="66" t="s">
        <v>7529</v>
      </c>
      <c r="E2105" s="66" t="s">
        <v>7530</v>
      </c>
      <c r="F2105" s="65"/>
      <c r="G2105" s="57" t="s">
        <v>7531</v>
      </c>
      <c r="H2105" s="57" t="s">
        <v>3792</v>
      </c>
      <c r="I2105" s="37"/>
      <c r="J2105" s="57" t="s">
        <v>3792</v>
      </c>
      <c r="K2105" s="57" t="s">
        <v>3792</v>
      </c>
    </row>
    <row r="2106" customFormat="false" ht="34.2" hidden="false" customHeight="false" outlineLevel="0" collapsed="false">
      <c r="F2106" s="0" t="s">
        <v>5334</v>
      </c>
      <c r="G2106" s="57" t="s">
        <v>7532</v>
      </c>
      <c r="H2106" s="57" t="s">
        <v>7529</v>
      </c>
      <c r="I2106" s="37" t="s">
        <v>50</v>
      </c>
      <c r="J2106" s="57" t="s">
        <v>7533</v>
      </c>
      <c r="K2106" s="57" t="s">
        <v>7534</v>
      </c>
    </row>
    <row r="2107" customFormat="false" ht="55.95" hidden="false" customHeight="false" outlineLevel="0" collapsed="false">
      <c r="D2107" s="60" t="s">
        <v>7535</v>
      </c>
      <c r="E2107" s="60" t="s">
        <v>7536</v>
      </c>
      <c r="F2107" s="62"/>
      <c r="G2107" s="57" t="s">
        <v>7537</v>
      </c>
      <c r="H2107" s="57" t="s">
        <v>3792</v>
      </c>
      <c r="I2107" s="37"/>
      <c r="J2107" s="57" t="s">
        <v>3792</v>
      </c>
      <c r="K2107" s="57" t="s">
        <v>3792</v>
      </c>
    </row>
    <row r="2108" customFormat="false" ht="45.05" hidden="false" customHeight="false" outlineLevel="0" collapsed="false">
      <c r="F2108" s="0" t="s">
        <v>5342</v>
      </c>
      <c r="G2108" s="57" t="s">
        <v>7538</v>
      </c>
      <c r="H2108" s="57" t="s">
        <v>7535</v>
      </c>
      <c r="I2108" s="39" t="s">
        <v>67</v>
      </c>
      <c r="J2108" s="57" t="s">
        <v>7539</v>
      </c>
      <c r="K2108" s="57" t="s">
        <v>7303</v>
      </c>
    </row>
    <row r="2109" customFormat="false" ht="55.95" hidden="false" customHeight="false" outlineLevel="0" collapsed="false">
      <c r="D2109" s="60" t="s">
        <v>7540</v>
      </c>
      <c r="E2109" s="60" t="s">
        <v>7541</v>
      </c>
      <c r="F2109" s="62"/>
      <c r="G2109" s="57" t="s">
        <v>7542</v>
      </c>
      <c r="H2109" s="57" t="s">
        <v>3792</v>
      </c>
      <c r="I2109" s="39"/>
      <c r="J2109" s="57" t="s">
        <v>3792</v>
      </c>
      <c r="K2109" s="57" t="s">
        <v>3792</v>
      </c>
    </row>
    <row r="2110" customFormat="false" ht="55.95" hidden="false" customHeight="false" outlineLevel="0" collapsed="false">
      <c r="F2110" s="0" t="s">
        <v>5334</v>
      </c>
      <c r="G2110" s="57" t="s">
        <v>7543</v>
      </c>
      <c r="H2110" s="57" t="s">
        <v>7540</v>
      </c>
      <c r="I2110" s="34" t="s">
        <v>40</v>
      </c>
      <c r="J2110" s="57" t="s">
        <v>7544</v>
      </c>
      <c r="K2110" s="57" t="s">
        <v>7545</v>
      </c>
    </row>
    <row r="2111" customFormat="false" ht="34.2" hidden="false" customHeight="false" outlineLevel="0" collapsed="false">
      <c r="D2111" s="60" t="s">
        <v>7546</v>
      </c>
      <c r="E2111" s="60" t="s">
        <v>7547</v>
      </c>
      <c r="F2111" s="62"/>
      <c r="G2111" s="57" t="s">
        <v>7548</v>
      </c>
      <c r="H2111" s="57" t="s">
        <v>3792</v>
      </c>
      <c r="I2111" s="34"/>
      <c r="J2111" s="57" t="s">
        <v>3792</v>
      </c>
      <c r="K2111" s="57" t="s">
        <v>3792</v>
      </c>
    </row>
    <row r="2112" customFormat="false" ht="34.2" hidden="false" customHeight="false" outlineLevel="0" collapsed="false">
      <c r="F2112" s="0" t="s">
        <v>5342</v>
      </c>
      <c r="G2112" s="57" t="s">
        <v>7549</v>
      </c>
      <c r="H2112" s="57" t="s">
        <v>7546</v>
      </c>
      <c r="I2112" s="39" t="s">
        <v>67</v>
      </c>
      <c r="J2112" s="57" t="s">
        <v>7550</v>
      </c>
      <c r="K2112" s="57" t="s">
        <v>7551</v>
      </c>
    </row>
    <row r="2113" customFormat="false" ht="45.05" hidden="false" customHeight="false" outlineLevel="0" collapsed="false">
      <c r="D2113" s="60" t="s">
        <v>7552</v>
      </c>
      <c r="E2113" s="60" t="s">
        <v>7553</v>
      </c>
      <c r="F2113" s="62"/>
      <c r="G2113" s="57" t="s">
        <v>7554</v>
      </c>
      <c r="H2113" s="57" t="s">
        <v>3792</v>
      </c>
      <c r="I2113" s="39"/>
      <c r="J2113" s="57" t="s">
        <v>3792</v>
      </c>
      <c r="K2113" s="57" t="s">
        <v>3792</v>
      </c>
    </row>
    <row r="2114" customFormat="false" ht="45.05" hidden="false" customHeight="false" outlineLevel="0" collapsed="false">
      <c r="F2114" s="0" t="s">
        <v>5342</v>
      </c>
      <c r="G2114" s="57" t="s">
        <v>7555</v>
      </c>
      <c r="H2114" s="57" t="s">
        <v>7552</v>
      </c>
      <c r="I2114" s="37" t="s">
        <v>50</v>
      </c>
      <c r="J2114" s="57" t="s">
        <v>7556</v>
      </c>
      <c r="K2114" s="57" t="s">
        <v>7557</v>
      </c>
    </row>
    <row r="2115" customFormat="false" ht="34.2" hidden="false" customHeight="false" outlineLevel="0" collapsed="false">
      <c r="B2115" s="67" t="s">
        <v>7558</v>
      </c>
      <c r="C2115" s="68" t="s">
        <v>7559</v>
      </c>
      <c r="D2115" s="68" t="s">
        <v>7560</v>
      </c>
      <c r="E2115" s="68" t="s">
        <v>7561</v>
      </c>
      <c r="F2115" s="65"/>
      <c r="G2115" s="57" t="s">
        <v>7562</v>
      </c>
      <c r="H2115" s="57" t="s">
        <v>3792</v>
      </c>
      <c r="I2115" s="37"/>
      <c r="J2115" s="57" t="s">
        <v>3792</v>
      </c>
      <c r="K2115" s="57" t="s">
        <v>3792</v>
      </c>
    </row>
    <row r="2116" customFormat="false" ht="55.95" hidden="false" customHeight="false" outlineLevel="0" collapsed="false">
      <c r="F2116" s="0" t="s">
        <v>5334</v>
      </c>
      <c r="G2116" s="57" t="s">
        <v>7563</v>
      </c>
      <c r="H2116" s="57" t="s">
        <v>7560</v>
      </c>
      <c r="I2116" s="37" t="s">
        <v>50</v>
      </c>
      <c r="J2116" s="57" t="s">
        <v>7564</v>
      </c>
      <c r="K2116" s="57" t="s">
        <v>7565</v>
      </c>
    </row>
    <row r="2117" customFormat="false" ht="66.85" hidden="false" customHeight="false" outlineLevel="0" collapsed="false">
      <c r="D2117" s="60" t="s">
        <v>7566</v>
      </c>
      <c r="E2117" s="60" t="s">
        <v>7567</v>
      </c>
      <c r="F2117" s="62"/>
      <c r="G2117" s="57" t="s">
        <v>7568</v>
      </c>
      <c r="H2117" s="57" t="s">
        <v>3792</v>
      </c>
      <c r="I2117" s="37"/>
      <c r="J2117" s="57" t="s">
        <v>3792</v>
      </c>
      <c r="K2117" s="57" t="s">
        <v>3792</v>
      </c>
    </row>
    <row r="2118" customFormat="false" ht="45.05" hidden="false" customHeight="false" outlineLevel="0" collapsed="false">
      <c r="F2118" s="0" t="s">
        <v>5334</v>
      </c>
      <c r="G2118" s="57" t="s">
        <v>7569</v>
      </c>
      <c r="H2118" s="57" t="s">
        <v>7566</v>
      </c>
      <c r="I2118" s="39" t="s">
        <v>67</v>
      </c>
      <c r="J2118" s="57" t="s">
        <v>7570</v>
      </c>
      <c r="K2118" s="57" t="s">
        <v>7571</v>
      </c>
    </row>
    <row r="2119" customFormat="false" ht="34.2" hidden="false" customHeight="false" outlineLevel="0" collapsed="false">
      <c r="D2119" s="60" t="s">
        <v>7572</v>
      </c>
      <c r="E2119" s="60" t="s">
        <v>7573</v>
      </c>
      <c r="F2119" s="62"/>
      <c r="G2119" s="57" t="s">
        <v>7574</v>
      </c>
      <c r="H2119" s="57" t="s">
        <v>3792</v>
      </c>
      <c r="I2119" s="39"/>
      <c r="J2119" s="57" t="s">
        <v>3792</v>
      </c>
      <c r="K2119" s="57" t="s">
        <v>3792</v>
      </c>
    </row>
    <row r="2120" customFormat="false" ht="34.2" hidden="false" customHeight="false" outlineLevel="0" collapsed="false">
      <c r="F2120" s="0" t="s">
        <v>5342</v>
      </c>
      <c r="G2120" s="57" t="s">
        <v>7575</v>
      </c>
      <c r="H2120" s="57" t="s">
        <v>7572</v>
      </c>
      <c r="I2120" s="34" t="s">
        <v>40</v>
      </c>
      <c r="J2120" s="57" t="s">
        <v>7576</v>
      </c>
      <c r="K2120" s="57" t="s">
        <v>7577</v>
      </c>
    </row>
    <row r="2121" customFormat="false" ht="34.2" hidden="false" customHeight="false" outlineLevel="0" collapsed="false">
      <c r="D2121" s="60" t="s">
        <v>7578</v>
      </c>
      <c r="E2121" s="60" t="s">
        <v>7579</v>
      </c>
      <c r="F2121" s="62"/>
      <c r="G2121" s="57" t="s">
        <v>7580</v>
      </c>
      <c r="H2121" s="57" t="s">
        <v>3792</v>
      </c>
      <c r="I2121" s="34"/>
      <c r="J2121" s="57" t="s">
        <v>3792</v>
      </c>
      <c r="K2121" s="57" t="s">
        <v>3792</v>
      </c>
    </row>
    <row r="2122" customFormat="false" ht="66.85" hidden="false" customHeight="false" outlineLevel="0" collapsed="false">
      <c r="F2122" s="0" t="s">
        <v>5334</v>
      </c>
      <c r="G2122" s="57" t="s">
        <v>7581</v>
      </c>
      <c r="H2122" s="57" t="s">
        <v>7578</v>
      </c>
      <c r="I2122" s="39" t="s">
        <v>67</v>
      </c>
      <c r="J2122" s="57" t="s">
        <v>7582</v>
      </c>
      <c r="K2122" s="57" t="s">
        <v>7583</v>
      </c>
    </row>
    <row r="2123" customFormat="false" ht="34.2" hidden="false" customHeight="false" outlineLevel="0" collapsed="false">
      <c r="D2123" s="60" t="s">
        <v>7584</v>
      </c>
      <c r="E2123" s="60" t="s">
        <v>7585</v>
      </c>
      <c r="F2123" s="62"/>
      <c r="G2123" s="57" t="s">
        <v>7586</v>
      </c>
      <c r="H2123" s="57" t="s">
        <v>3792</v>
      </c>
      <c r="I2123" s="39"/>
      <c r="J2123" s="57" t="s">
        <v>3792</v>
      </c>
      <c r="K2123" s="57" t="s">
        <v>3792</v>
      </c>
    </row>
    <row r="2124" customFormat="false" ht="34.2" hidden="false" customHeight="false" outlineLevel="0" collapsed="false">
      <c r="F2124" s="0" t="s">
        <v>5334</v>
      </c>
      <c r="G2124" s="57" t="s">
        <v>7587</v>
      </c>
      <c r="H2124" s="57" t="s">
        <v>7584</v>
      </c>
      <c r="I2124" s="37" t="s">
        <v>50</v>
      </c>
      <c r="J2124" s="57" t="s">
        <v>7588</v>
      </c>
      <c r="K2124" s="57" t="s">
        <v>7589</v>
      </c>
    </row>
    <row r="2125" customFormat="false" ht="45.05" hidden="false" customHeight="false" outlineLevel="0" collapsed="false">
      <c r="C2125" s="64" t="s">
        <v>7310</v>
      </c>
      <c r="D2125" s="66" t="s">
        <v>7590</v>
      </c>
      <c r="E2125" s="66" t="s">
        <v>7591</v>
      </c>
      <c r="F2125" s="65"/>
      <c r="G2125" s="57" t="s">
        <v>7592</v>
      </c>
      <c r="H2125" s="57" t="s">
        <v>3792</v>
      </c>
      <c r="I2125" s="37"/>
      <c r="J2125" s="57" t="s">
        <v>3792</v>
      </c>
      <c r="K2125" s="57" t="s">
        <v>3792</v>
      </c>
    </row>
    <row r="2126" customFormat="false" ht="45.05" hidden="false" customHeight="false" outlineLevel="0" collapsed="false">
      <c r="F2126" s="0" t="s">
        <v>5334</v>
      </c>
      <c r="G2126" s="57" t="s">
        <v>7593</v>
      </c>
      <c r="H2126" s="57" t="s">
        <v>7590</v>
      </c>
      <c r="I2126" s="37" t="s">
        <v>50</v>
      </c>
      <c r="J2126" s="57" t="s">
        <v>7594</v>
      </c>
      <c r="K2126" s="57" t="s">
        <v>7595</v>
      </c>
    </row>
    <row r="2127" customFormat="false" ht="45.05" hidden="false" customHeight="false" outlineLevel="0" collapsed="false">
      <c r="D2127" s="60" t="s">
        <v>7596</v>
      </c>
      <c r="E2127" s="60" t="s">
        <v>7597</v>
      </c>
      <c r="F2127" s="62"/>
      <c r="G2127" s="57" t="s">
        <v>7598</v>
      </c>
      <c r="H2127" s="57" t="s">
        <v>3792</v>
      </c>
      <c r="I2127" s="37"/>
      <c r="J2127" s="57" t="s">
        <v>3792</v>
      </c>
      <c r="K2127" s="57" t="s">
        <v>3792</v>
      </c>
    </row>
    <row r="2128" customFormat="false" ht="34.2" hidden="false" customHeight="false" outlineLevel="0" collapsed="false">
      <c r="F2128" s="0" t="s">
        <v>5342</v>
      </c>
      <c r="G2128" s="57" t="s">
        <v>7599</v>
      </c>
      <c r="H2128" s="57" t="s">
        <v>7596</v>
      </c>
      <c r="I2128" s="39" t="s">
        <v>67</v>
      </c>
      <c r="J2128" s="57" t="s">
        <v>7600</v>
      </c>
      <c r="K2128" s="57" t="s">
        <v>7601</v>
      </c>
    </row>
    <row r="2129" customFormat="false" ht="45.05" hidden="false" customHeight="false" outlineLevel="0" collapsed="false">
      <c r="D2129" s="60" t="s">
        <v>7335</v>
      </c>
      <c r="E2129" s="60" t="s">
        <v>7602</v>
      </c>
      <c r="F2129" s="62"/>
      <c r="G2129" s="57" t="s">
        <v>7603</v>
      </c>
      <c r="H2129" s="57" t="s">
        <v>3792</v>
      </c>
      <c r="I2129" s="39"/>
      <c r="J2129" s="57" t="s">
        <v>3792</v>
      </c>
      <c r="K2129" s="57" t="s">
        <v>3792</v>
      </c>
    </row>
    <row r="2130" customFormat="false" ht="45.05" hidden="false" customHeight="false" outlineLevel="0" collapsed="false">
      <c r="F2130" s="0" t="s">
        <v>5342</v>
      </c>
      <c r="G2130" s="57" t="s">
        <v>7338</v>
      </c>
      <c r="H2130" s="57" t="s">
        <v>7335</v>
      </c>
      <c r="I2130" s="34" t="s">
        <v>40</v>
      </c>
      <c r="J2130" s="57" t="s">
        <v>7604</v>
      </c>
      <c r="K2130" s="57" t="s">
        <v>7605</v>
      </c>
    </row>
    <row r="2131" customFormat="false" ht="55.95" hidden="false" customHeight="false" outlineLevel="0" collapsed="false">
      <c r="D2131" s="60" t="s">
        <v>7606</v>
      </c>
      <c r="E2131" s="60" t="s">
        <v>7607</v>
      </c>
      <c r="F2131" s="62"/>
      <c r="G2131" s="57" t="s">
        <v>7608</v>
      </c>
      <c r="H2131" s="57" t="s">
        <v>3792</v>
      </c>
      <c r="I2131" s="34"/>
      <c r="J2131" s="57" t="s">
        <v>3792</v>
      </c>
      <c r="K2131" s="57" t="s">
        <v>3792</v>
      </c>
    </row>
    <row r="2132" customFormat="false" ht="55.95" hidden="false" customHeight="false" outlineLevel="0" collapsed="false">
      <c r="F2132" s="0" t="s">
        <v>5342</v>
      </c>
      <c r="G2132" s="57" t="s">
        <v>7609</v>
      </c>
      <c r="H2132" s="57" t="s">
        <v>7606</v>
      </c>
      <c r="I2132" s="39" t="s">
        <v>67</v>
      </c>
      <c r="J2132" s="57" t="s">
        <v>7610</v>
      </c>
      <c r="K2132" s="57" t="s">
        <v>7611</v>
      </c>
    </row>
    <row r="2133" customFormat="false" ht="55.95" hidden="false" customHeight="false" outlineLevel="0" collapsed="false">
      <c r="D2133" s="60" t="s">
        <v>7612</v>
      </c>
      <c r="E2133" s="60" t="s">
        <v>7613</v>
      </c>
      <c r="F2133" s="62"/>
      <c r="G2133" s="57" t="s">
        <v>7614</v>
      </c>
      <c r="H2133" s="57" t="s">
        <v>3792</v>
      </c>
      <c r="I2133" s="39"/>
      <c r="J2133" s="57" t="s">
        <v>3792</v>
      </c>
      <c r="K2133" s="57" t="s">
        <v>3792</v>
      </c>
    </row>
    <row r="2134" customFormat="false" ht="77.7" hidden="false" customHeight="false" outlineLevel="0" collapsed="false">
      <c r="F2134" s="0" t="s">
        <v>5342</v>
      </c>
      <c r="G2134" s="57" t="s">
        <v>7615</v>
      </c>
      <c r="H2134" s="57" t="s">
        <v>7612</v>
      </c>
      <c r="I2134" s="37" t="s">
        <v>50</v>
      </c>
      <c r="J2134" s="57" t="s">
        <v>7616</v>
      </c>
      <c r="K2134" s="57" t="s">
        <v>7617</v>
      </c>
    </row>
    <row r="2135" customFormat="false" ht="55.95" hidden="false" customHeight="false" outlineLevel="0" collapsed="false">
      <c r="C2135" s="70" t="s">
        <v>7618</v>
      </c>
      <c r="D2135" s="66" t="s">
        <v>7619</v>
      </c>
      <c r="E2135" s="66" t="s">
        <v>7620</v>
      </c>
      <c r="F2135" s="65"/>
      <c r="G2135" s="57" t="s">
        <v>7621</v>
      </c>
      <c r="H2135" s="57" t="s">
        <v>3792</v>
      </c>
      <c r="I2135" s="37"/>
      <c r="J2135" s="57" t="s">
        <v>3792</v>
      </c>
      <c r="K2135" s="57" t="s">
        <v>3792</v>
      </c>
    </row>
    <row r="2136" customFormat="false" ht="34.2" hidden="false" customHeight="false" outlineLevel="0" collapsed="false">
      <c r="F2136" s="0" t="s">
        <v>5334</v>
      </c>
      <c r="G2136" s="57" t="s">
        <v>7622</v>
      </c>
      <c r="H2136" s="57" t="s">
        <v>7619</v>
      </c>
      <c r="I2136" s="37" t="s">
        <v>50</v>
      </c>
      <c r="J2136" s="57" t="s">
        <v>7623</v>
      </c>
      <c r="K2136" s="57" t="s">
        <v>7624</v>
      </c>
    </row>
    <row r="2137" customFormat="false" ht="66.85" hidden="false" customHeight="false" outlineLevel="0" collapsed="false">
      <c r="D2137" s="60" t="s">
        <v>7625</v>
      </c>
      <c r="E2137" s="60" t="s">
        <v>7626</v>
      </c>
      <c r="F2137" s="62"/>
      <c r="G2137" s="57" t="s">
        <v>7350</v>
      </c>
      <c r="H2137" s="57" t="s">
        <v>3792</v>
      </c>
      <c r="I2137" s="37"/>
      <c r="J2137" s="57" t="s">
        <v>3792</v>
      </c>
      <c r="K2137" s="57" t="s">
        <v>3792</v>
      </c>
    </row>
    <row r="2138" customFormat="false" ht="66.85" hidden="false" customHeight="false" outlineLevel="0" collapsed="false">
      <c r="F2138" s="0" t="s">
        <v>5342</v>
      </c>
      <c r="G2138" s="57" t="s">
        <v>7627</v>
      </c>
      <c r="H2138" s="57" t="s">
        <v>7625</v>
      </c>
      <c r="I2138" s="39" t="s">
        <v>67</v>
      </c>
      <c r="J2138" s="57" t="s">
        <v>7628</v>
      </c>
      <c r="K2138" s="57" t="s">
        <v>7629</v>
      </c>
    </row>
    <row r="2139" customFormat="false" ht="55.95" hidden="false" customHeight="false" outlineLevel="0" collapsed="false">
      <c r="D2139" s="60" t="s">
        <v>7630</v>
      </c>
      <c r="E2139" s="60" t="s">
        <v>7631</v>
      </c>
      <c r="F2139" s="62"/>
      <c r="G2139" s="57" t="s">
        <v>7632</v>
      </c>
      <c r="H2139" s="57" t="s">
        <v>3792</v>
      </c>
      <c r="I2139" s="39"/>
      <c r="J2139" s="57" t="s">
        <v>3792</v>
      </c>
      <c r="K2139" s="57" t="s">
        <v>3792</v>
      </c>
    </row>
    <row r="2140" customFormat="false" ht="45.05" hidden="false" customHeight="false" outlineLevel="0" collapsed="false">
      <c r="F2140" s="0" t="s">
        <v>5342</v>
      </c>
      <c r="G2140" s="57" t="s">
        <v>7633</v>
      </c>
      <c r="H2140" s="57" t="s">
        <v>7630</v>
      </c>
      <c r="I2140" s="34" t="s">
        <v>40</v>
      </c>
      <c r="J2140" s="57" t="s">
        <v>7634</v>
      </c>
      <c r="K2140" s="57" t="s">
        <v>7635</v>
      </c>
    </row>
    <row r="2141" customFormat="false" ht="55.95" hidden="false" customHeight="false" outlineLevel="0" collapsed="false">
      <c r="D2141" s="60" t="s">
        <v>7636</v>
      </c>
      <c r="E2141" s="60" t="s">
        <v>7637</v>
      </c>
      <c r="F2141" s="62"/>
      <c r="G2141" s="57" t="s">
        <v>7638</v>
      </c>
      <c r="H2141" s="57" t="s">
        <v>3792</v>
      </c>
      <c r="I2141" s="34"/>
      <c r="J2141" s="57" t="s">
        <v>3792</v>
      </c>
      <c r="K2141" s="57" t="s">
        <v>3792</v>
      </c>
    </row>
    <row r="2142" customFormat="false" ht="45.05" hidden="false" customHeight="false" outlineLevel="0" collapsed="false">
      <c r="F2142" s="0" t="s">
        <v>5334</v>
      </c>
      <c r="G2142" s="57" t="s">
        <v>7639</v>
      </c>
      <c r="H2142" s="57" t="s">
        <v>7636</v>
      </c>
      <c r="I2142" s="39" t="s">
        <v>67</v>
      </c>
      <c r="J2142" s="57" t="s">
        <v>7640</v>
      </c>
      <c r="K2142" s="57" t="s">
        <v>7641</v>
      </c>
    </row>
    <row r="2143" customFormat="false" ht="45.05" hidden="false" customHeight="false" outlineLevel="0" collapsed="false">
      <c r="D2143" s="60" t="s">
        <v>7642</v>
      </c>
      <c r="E2143" s="60" t="s">
        <v>7643</v>
      </c>
      <c r="F2143" s="62"/>
      <c r="G2143" s="57" t="s">
        <v>7644</v>
      </c>
      <c r="H2143" s="57" t="s">
        <v>3792</v>
      </c>
      <c r="I2143" s="39"/>
      <c r="J2143" s="57" t="s">
        <v>3792</v>
      </c>
      <c r="K2143" s="57" t="s">
        <v>3792</v>
      </c>
    </row>
    <row r="2144" customFormat="false" ht="55.95" hidden="false" customHeight="false" outlineLevel="0" collapsed="false">
      <c r="F2144" s="0" t="s">
        <v>5334</v>
      </c>
      <c r="G2144" s="57" t="s">
        <v>7645</v>
      </c>
      <c r="H2144" s="57" t="s">
        <v>7642</v>
      </c>
      <c r="I2144" s="37" t="s">
        <v>50</v>
      </c>
      <c r="J2144" s="57" t="s">
        <v>7646</v>
      </c>
      <c r="K2144" s="57" t="s">
        <v>7647</v>
      </c>
    </row>
    <row r="2145" customFormat="false" ht="66.85" hidden="false" customHeight="false" outlineLevel="0" collapsed="false">
      <c r="C2145" s="64" t="s">
        <v>7648</v>
      </c>
      <c r="D2145" s="66" t="s">
        <v>7649</v>
      </c>
      <c r="E2145" s="66" t="s">
        <v>7650</v>
      </c>
      <c r="F2145" s="65"/>
      <c r="G2145" s="57" t="s">
        <v>7651</v>
      </c>
      <c r="H2145" s="57" t="s">
        <v>3792</v>
      </c>
      <c r="I2145" s="37"/>
      <c r="J2145" s="57" t="s">
        <v>3792</v>
      </c>
      <c r="K2145" s="57" t="s">
        <v>3792</v>
      </c>
    </row>
    <row r="2146" customFormat="false" ht="45.05" hidden="false" customHeight="false" outlineLevel="0" collapsed="false">
      <c r="F2146" s="0" t="s">
        <v>5342</v>
      </c>
      <c r="G2146" s="57" t="s">
        <v>7652</v>
      </c>
      <c r="H2146" s="57" t="s">
        <v>7649</v>
      </c>
      <c r="I2146" s="37" t="s">
        <v>50</v>
      </c>
      <c r="J2146" s="57" t="s">
        <v>7653</v>
      </c>
      <c r="K2146" s="57" t="s">
        <v>7654</v>
      </c>
    </row>
    <row r="2147" customFormat="false" ht="45.05" hidden="false" customHeight="false" outlineLevel="0" collapsed="false">
      <c r="D2147" s="60" t="s">
        <v>7655</v>
      </c>
      <c r="E2147" s="60" t="s">
        <v>7656</v>
      </c>
      <c r="F2147" s="62"/>
      <c r="G2147" s="57" t="s">
        <v>7657</v>
      </c>
      <c r="H2147" s="57" t="s">
        <v>3792</v>
      </c>
      <c r="I2147" s="37"/>
      <c r="J2147" s="57" t="s">
        <v>3792</v>
      </c>
      <c r="K2147" s="57" t="s">
        <v>3792</v>
      </c>
    </row>
    <row r="2148" customFormat="false" ht="55.95" hidden="false" customHeight="false" outlineLevel="0" collapsed="false">
      <c r="F2148" s="0" t="s">
        <v>5334</v>
      </c>
      <c r="G2148" s="57" t="s">
        <v>7658</v>
      </c>
      <c r="H2148" s="57" t="s">
        <v>7655</v>
      </c>
      <c r="I2148" s="39" t="s">
        <v>67</v>
      </c>
      <c r="J2148" s="57" t="s">
        <v>7659</v>
      </c>
      <c r="K2148" s="57" t="s">
        <v>5970</v>
      </c>
    </row>
    <row r="2149" customFormat="false" ht="45.05" hidden="false" customHeight="false" outlineLevel="0" collapsed="false">
      <c r="D2149" s="60" t="s">
        <v>7660</v>
      </c>
      <c r="E2149" s="60" t="s">
        <v>7661</v>
      </c>
      <c r="F2149" s="62"/>
      <c r="G2149" s="57" t="s">
        <v>7662</v>
      </c>
      <c r="H2149" s="57" t="s">
        <v>3792</v>
      </c>
      <c r="I2149" s="39"/>
      <c r="J2149" s="57" t="s">
        <v>3792</v>
      </c>
      <c r="K2149" s="57" t="s">
        <v>3792</v>
      </c>
    </row>
    <row r="2150" customFormat="false" ht="45.05" hidden="false" customHeight="false" outlineLevel="0" collapsed="false">
      <c r="F2150" s="0" t="s">
        <v>5334</v>
      </c>
      <c r="G2150" s="57" t="s">
        <v>7663</v>
      </c>
      <c r="H2150" s="57" t="s">
        <v>7660</v>
      </c>
      <c r="I2150" s="34" t="s">
        <v>40</v>
      </c>
      <c r="J2150" s="57" t="s">
        <v>7664</v>
      </c>
      <c r="K2150" s="57" t="s">
        <v>7665</v>
      </c>
    </row>
    <row r="2151" customFormat="false" ht="34.2" hidden="false" customHeight="false" outlineLevel="0" collapsed="false">
      <c r="D2151" s="60" t="s">
        <v>7666</v>
      </c>
      <c r="E2151" s="60" t="s">
        <v>7667</v>
      </c>
      <c r="F2151" s="62"/>
      <c r="G2151" s="57" t="s">
        <v>7668</v>
      </c>
      <c r="H2151" s="57" t="s">
        <v>3792</v>
      </c>
      <c r="I2151" s="34"/>
      <c r="J2151" s="57" t="s">
        <v>3792</v>
      </c>
      <c r="K2151" s="57" t="s">
        <v>3792</v>
      </c>
    </row>
    <row r="2152" customFormat="false" ht="45.05" hidden="false" customHeight="false" outlineLevel="0" collapsed="false">
      <c r="F2152" s="0" t="s">
        <v>5342</v>
      </c>
      <c r="G2152" s="57" t="s">
        <v>7669</v>
      </c>
      <c r="H2152" s="57" t="s">
        <v>7666</v>
      </c>
      <c r="I2152" s="39" t="s">
        <v>67</v>
      </c>
      <c r="J2152" s="57" t="s">
        <v>7670</v>
      </c>
      <c r="K2152" s="57" t="s">
        <v>7671</v>
      </c>
    </row>
    <row r="2153" customFormat="false" ht="45.05" hidden="false" customHeight="false" outlineLevel="0" collapsed="false">
      <c r="D2153" s="60" t="s">
        <v>7672</v>
      </c>
      <c r="E2153" s="60" t="s">
        <v>7673</v>
      </c>
      <c r="F2153" s="62"/>
      <c r="G2153" s="57" t="s">
        <v>7674</v>
      </c>
      <c r="H2153" s="57" t="s">
        <v>3792</v>
      </c>
      <c r="I2153" s="39"/>
      <c r="J2153" s="57" t="s">
        <v>3792</v>
      </c>
      <c r="K2153" s="60"/>
    </row>
    <row r="2154" customFormat="false" ht="55.95" hidden="false" customHeight="false" outlineLevel="0" collapsed="false">
      <c r="F2154" s="0" t="s">
        <v>5334</v>
      </c>
      <c r="G2154" s="57" t="s">
        <v>7675</v>
      </c>
      <c r="H2154" s="57" t="s">
        <v>7672</v>
      </c>
      <c r="I2154" s="37" t="s">
        <v>50</v>
      </c>
      <c r="J2154" s="57" t="s">
        <v>7676</v>
      </c>
      <c r="K2154" s="57" t="s">
        <v>5338</v>
      </c>
    </row>
    <row r="2155" customFormat="false" ht="66.85" hidden="false" customHeight="false" outlineLevel="0" collapsed="false">
      <c r="C2155" s="70" t="s">
        <v>7677</v>
      </c>
      <c r="D2155" s="66" t="s">
        <v>7678</v>
      </c>
      <c r="E2155" s="66" t="s">
        <v>7679</v>
      </c>
      <c r="F2155" s="65"/>
      <c r="G2155" s="57" t="s">
        <v>7680</v>
      </c>
      <c r="H2155" s="57" t="s">
        <v>3792</v>
      </c>
      <c r="I2155" s="37"/>
      <c r="J2155" s="57" t="s">
        <v>3792</v>
      </c>
      <c r="K2155" s="57" t="s">
        <v>3792</v>
      </c>
    </row>
    <row r="2156" customFormat="false" ht="34.2" hidden="false" customHeight="false" outlineLevel="0" collapsed="false">
      <c r="F2156" s="0" t="s">
        <v>5342</v>
      </c>
      <c r="G2156" s="57" t="s">
        <v>7681</v>
      </c>
      <c r="H2156" s="57" t="s">
        <v>7678</v>
      </c>
      <c r="I2156" s="37" t="s">
        <v>50</v>
      </c>
      <c r="J2156" s="57" t="s">
        <v>7328</v>
      </c>
      <c r="K2156" s="57" t="s">
        <v>5346</v>
      </c>
    </row>
    <row r="2157" customFormat="false" ht="55.95" hidden="false" customHeight="false" outlineLevel="0" collapsed="false">
      <c r="D2157" s="60" t="s">
        <v>7682</v>
      </c>
      <c r="E2157" s="60" t="s">
        <v>7683</v>
      </c>
      <c r="F2157" s="62"/>
      <c r="G2157" s="57" t="s">
        <v>7684</v>
      </c>
      <c r="H2157" s="57" t="s">
        <v>3792</v>
      </c>
      <c r="I2157" s="37"/>
      <c r="J2157" s="57" t="s">
        <v>3792</v>
      </c>
      <c r="K2157" s="57" t="s">
        <v>3792</v>
      </c>
    </row>
    <row r="2158" customFormat="false" ht="34.2" hidden="false" customHeight="false" outlineLevel="0" collapsed="false">
      <c r="F2158" s="0" t="s">
        <v>5334</v>
      </c>
      <c r="G2158" s="57" t="s">
        <v>7685</v>
      </c>
      <c r="H2158" s="57" t="s">
        <v>7682</v>
      </c>
      <c r="I2158" s="39" t="s">
        <v>67</v>
      </c>
      <c r="J2158" s="57" t="s">
        <v>7686</v>
      </c>
      <c r="K2158" s="57" t="s">
        <v>5353</v>
      </c>
    </row>
    <row r="2159" customFormat="false" ht="55.95" hidden="false" customHeight="false" outlineLevel="0" collapsed="false">
      <c r="D2159" s="60" t="s">
        <v>7687</v>
      </c>
      <c r="E2159" s="60" t="s">
        <v>7688</v>
      </c>
      <c r="F2159" s="62"/>
      <c r="G2159" s="57" t="s">
        <v>7689</v>
      </c>
      <c r="H2159" s="57" t="s">
        <v>3792</v>
      </c>
      <c r="I2159" s="39"/>
      <c r="J2159" s="57" t="s">
        <v>3792</v>
      </c>
      <c r="K2159" s="57" t="s">
        <v>3792</v>
      </c>
    </row>
    <row r="2160" customFormat="false" ht="55.95" hidden="false" customHeight="false" outlineLevel="0" collapsed="false">
      <c r="F2160" s="0" t="s">
        <v>5342</v>
      </c>
      <c r="G2160" s="57" t="s">
        <v>7690</v>
      </c>
      <c r="H2160" s="57" t="s">
        <v>7687</v>
      </c>
      <c r="I2160" s="34" t="s">
        <v>40</v>
      </c>
      <c r="J2160" s="57" t="s">
        <v>7691</v>
      </c>
      <c r="K2160" s="57" t="s">
        <v>5360</v>
      </c>
    </row>
    <row r="2161" customFormat="false" ht="34.2" hidden="false" customHeight="false" outlineLevel="0" collapsed="false">
      <c r="D2161" s="60" t="s">
        <v>7692</v>
      </c>
      <c r="E2161" s="60" t="s">
        <v>7693</v>
      </c>
      <c r="F2161" s="62"/>
      <c r="G2161" s="57" t="s">
        <v>7694</v>
      </c>
      <c r="H2161" s="57" t="s">
        <v>3792</v>
      </c>
      <c r="I2161" s="34"/>
      <c r="J2161" s="57" t="s">
        <v>3792</v>
      </c>
      <c r="K2161" s="57" t="s">
        <v>3792</v>
      </c>
    </row>
    <row r="2162" customFormat="false" ht="45.05" hidden="false" customHeight="false" outlineLevel="0" collapsed="false">
      <c r="F2162" s="0" t="s">
        <v>5334</v>
      </c>
      <c r="G2162" s="57" t="s">
        <v>7695</v>
      </c>
      <c r="H2162" s="57" t="s">
        <v>7692</v>
      </c>
      <c r="I2162" s="39" t="s">
        <v>67</v>
      </c>
      <c r="J2162" s="57" t="s">
        <v>7696</v>
      </c>
      <c r="K2162" s="57" t="s">
        <v>5367</v>
      </c>
    </row>
    <row r="2163" customFormat="false" ht="45.05" hidden="false" customHeight="false" outlineLevel="0" collapsed="false">
      <c r="D2163" s="60" t="s">
        <v>7697</v>
      </c>
      <c r="E2163" s="60" t="s">
        <v>7698</v>
      </c>
      <c r="F2163" s="62"/>
      <c r="G2163" s="57" t="s">
        <v>7699</v>
      </c>
      <c r="H2163" s="57" t="s">
        <v>3792</v>
      </c>
      <c r="I2163" s="39"/>
      <c r="J2163" s="57" t="s">
        <v>3792</v>
      </c>
      <c r="K2163" s="57" t="s">
        <v>3792</v>
      </c>
    </row>
    <row r="2164" customFormat="false" ht="34.2" hidden="false" customHeight="false" outlineLevel="0" collapsed="false">
      <c r="F2164" s="0" t="s">
        <v>5342</v>
      </c>
      <c r="G2164" s="57" t="s">
        <v>7700</v>
      </c>
      <c r="H2164" s="57" t="s">
        <v>7697</v>
      </c>
      <c r="I2164" s="37" t="s">
        <v>50</v>
      </c>
      <c r="J2164" s="57" t="s">
        <v>7701</v>
      </c>
      <c r="K2164" s="57" t="s">
        <v>5375</v>
      </c>
    </row>
    <row r="2165" customFormat="false" ht="55.95" hidden="false" customHeight="false" outlineLevel="0" collapsed="false">
      <c r="C2165" s="64" t="s">
        <v>7702</v>
      </c>
      <c r="D2165" s="66" t="s">
        <v>7703</v>
      </c>
      <c r="E2165" s="66" t="s">
        <v>7704</v>
      </c>
      <c r="F2165" s="65"/>
      <c r="G2165" s="57" t="s">
        <v>7705</v>
      </c>
      <c r="I2165" s="37"/>
      <c r="J2165" s="57" t="s">
        <v>3792</v>
      </c>
      <c r="K2165" s="57" t="s">
        <v>3792</v>
      </c>
    </row>
    <row r="2166" customFormat="false" ht="77.7" hidden="false" customHeight="false" outlineLevel="0" collapsed="false">
      <c r="F2166" s="0" t="s">
        <v>5334</v>
      </c>
      <c r="G2166" s="57" t="s">
        <v>7706</v>
      </c>
      <c r="H2166" s="57" t="s">
        <v>7703</v>
      </c>
      <c r="I2166" s="37" t="s">
        <v>50</v>
      </c>
      <c r="J2166" s="57" t="s">
        <v>7707</v>
      </c>
      <c r="K2166" s="57" t="s">
        <v>5380</v>
      </c>
    </row>
    <row r="2167" customFormat="false" ht="66.85" hidden="false" customHeight="false" outlineLevel="0" collapsed="false">
      <c r="D2167" s="60" t="s">
        <v>7708</v>
      </c>
      <c r="E2167" s="60" t="s">
        <v>7709</v>
      </c>
      <c r="F2167" s="62"/>
      <c r="G2167" s="57" t="s">
        <v>7710</v>
      </c>
      <c r="H2167" s="57" t="s">
        <v>3792</v>
      </c>
      <c r="I2167" s="37"/>
      <c r="J2167" s="57" t="s">
        <v>3792</v>
      </c>
      <c r="K2167" s="57" t="s">
        <v>3792</v>
      </c>
    </row>
    <row r="2168" customFormat="false" ht="66.85" hidden="false" customHeight="false" outlineLevel="0" collapsed="false">
      <c r="F2168" s="0" t="s">
        <v>5342</v>
      </c>
      <c r="G2168" s="57" t="s">
        <v>7711</v>
      </c>
      <c r="H2168" s="57" t="s">
        <v>7708</v>
      </c>
      <c r="I2168" s="39" t="s">
        <v>67</v>
      </c>
      <c r="J2168" s="57" t="s">
        <v>7712</v>
      </c>
      <c r="K2168" s="57" t="s">
        <v>5387</v>
      </c>
    </row>
    <row r="2169" customFormat="false" ht="55.95" hidden="false" customHeight="false" outlineLevel="0" collapsed="false">
      <c r="D2169" s="60" t="s">
        <v>7713</v>
      </c>
      <c r="E2169" s="60" t="s">
        <v>7714</v>
      </c>
      <c r="F2169" s="62"/>
      <c r="G2169" s="57" t="s">
        <v>7715</v>
      </c>
      <c r="H2169" s="57" t="s">
        <v>3792</v>
      </c>
      <c r="I2169" s="39"/>
      <c r="J2169" s="57" t="s">
        <v>3792</v>
      </c>
      <c r="K2169" s="57" t="s">
        <v>3792</v>
      </c>
    </row>
    <row r="2170" customFormat="false" ht="45.05" hidden="false" customHeight="false" outlineLevel="0" collapsed="false">
      <c r="F2170" s="0" t="s">
        <v>5342</v>
      </c>
      <c r="G2170" s="57" t="s">
        <v>7716</v>
      </c>
      <c r="H2170" s="57" t="s">
        <v>7713</v>
      </c>
      <c r="I2170" s="34" t="s">
        <v>40</v>
      </c>
      <c r="J2170" s="57" t="s">
        <v>7717</v>
      </c>
      <c r="K2170" s="57" t="s">
        <v>5394</v>
      </c>
    </row>
    <row r="2171" customFormat="false" ht="55.95" hidden="false" customHeight="false" outlineLevel="0" collapsed="false">
      <c r="D2171" s="60" t="s">
        <v>7718</v>
      </c>
      <c r="E2171" s="60" t="s">
        <v>7719</v>
      </c>
      <c r="F2171" s="62"/>
      <c r="G2171" s="57" t="s">
        <v>7720</v>
      </c>
      <c r="H2171" s="57" t="s">
        <v>3792</v>
      </c>
      <c r="I2171" s="34"/>
      <c r="J2171" s="57" t="s">
        <v>3792</v>
      </c>
      <c r="K2171" s="57" t="s">
        <v>3792</v>
      </c>
    </row>
    <row r="2172" customFormat="false" ht="55.95" hidden="false" customHeight="false" outlineLevel="0" collapsed="false">
      <c r="F2172" s="0" t="s">
        <v>5334</v>
      </c>
      <c r="G2172" s="57" t="s">
        <v>7721</v>
      </c>
      <c r="H2172" s="57" t="s">
        <v>7718</v>
      </c>
      <c r="I2172" s="39" t="s">
        <v>67</v>
      </c>
      <c r="J2172" s="57" t="s">
        <v>7722</v>
      </c>
      <c r="K2172" s="57" t="s">
        <v>5401</v>
      </c>
    </row>
    <row r="2173" customFormat="false" ht="66.85" hidden="false" customHeight="false" outlineLevel="0" collapsed="false">
      <c r="D2173" s="60" t="s">
        <v>7723</v>
      </c>
      <c r="E2173" s="60" t="s">
        <v>7724</v>
      </c>
      <c r="F2173" s="62"/>
      <c r="G2173" s="57" t="s">
        <v>7725</v>
      </c>
      <c r="H2173" s="57" t="s">
        <v>3792</v>
      </c>
      <c r="I2173" s="39"/>
      <c r="J2173" s="57" t="s">
        <v>3792</v>
      </c>
      <c r="K2173" s="57" t="s">
        <v>3792</v>
      </c>
    </row>
    <row r="2174" customFormat="false" ht="66.85" hidden="false" customHeight="false" outlineLevel="0" collapsed="false">
      <c r="F2174" s="0" t="s">
        <v>5334</v>
      </c>
      <c r="G2174" s="57" t="s">
        <v>7726</v>
      </c>
      <c r="H2174" s="57" t="s">
        <v>7723</v>
      </c>
      <c r="I2174" s="37" t="s">
        <v>50</v>
      </c>
      <c r="J2174" s="57" t="s">
        <v>7727</v>
      </c>
      <c r="K2174" s="57" t="s">
        <v>5411</v>
      </c>
    </row>
    <row r="2175" customFormat="false" ht="55.95" hidden="false" customHeight="false" outlineLevel="0" collapsed="false">
      <c r="C2175" s="70" t="s">
        <v>7728</v>
      </c>
      <c r="D2175" s="66" t="s">
        <v>7729</v>
      </c>
      <c r="E2175" s="66" t="s">
        <v>7730</v>
      </c>
      <c r="F2175" s="65"/>
      <c r="G2175" s="57" t="s">
        <v>7731</v>
      </c>
      <c r="H2175" s="57" t="s">
        <v>3792</v>
      </c>
      <c r="I2175" s="37"/>
      <c r="J2175" s="57" t="s">
        <v>3792</v>
      </c>
      <c r="K2175" s="57" t="s">
        <v>3792</v>
      </c>
    </row>
    <row r="2176" customFormat="false" ht="55.95" hidden="false" customHeight="false" outlineLevel="0" collapsed="false">
      <c r="F2176" s="0" t="s">
        <v>5342</v>
      </c>
      <c r="G2176" s="57" t="s">
        <v>7732</v>
      </c>
      <c r="H2176" s="57" t="s">
        <v>7729</v>
      </c>
      <c r="I2176" s="37" t="s">
        <v>50</v>
      </c>
      <c r="J2176" s="57" t="s">
        <v>7733</v>
      </c>
      <c r="K2176" s="57" t="s">
        <v>5418</v>
      </c>
    </row>
    <row r="2177" customFormat="false" ht="45.05" hidden="false" customHeight="false" outlineLevel="0" collapsed="false">
      <c r="D2177" s="60" t="s">
        <v>7734</v>
      </c>
      <c r="E2177" s="60" t="s">
        <v>7735</v>
      </c>
      <c r="F2177" s="62"/>
      <c r="G2177" s="57" t="s">
        <v>7736</v>
      </c>
      <c r="H2177" s="57" t="s">
        <v>3792</v>
      </c>
      <c r="I2177" s="37"/>
      <c r="J2177" s="57" t="s">
        <v>3792</v>
      </c>
      <c r="K2177" s="57" t="s">
        <v>3792</v>
      </c>
    </row>
    <row r="2178" customFormat="false" ht="66.85" hidden="false" customHeight="false" outlineLevel="0" collapsed="false">
      <c r="F2178" s="0" t="s">
        <v>5342</v>
      </c>
      <c r="G2178" s="57" t="s">
        <v>7737</v>
      </c>
      <c r="H2178" s="57" t="s">
        <v>7734</v>
      </c>
      <c r="I2178" s="39" t="s">
        <v>67</v>
      </c>
      <c r="J2178" s="57" t="s">
        <v>7738</v>
      </c>
      <c r="K2178" s="57" t="s">
        <v>5425</v>
      </c>
    </row>
    <row r="2179" customFormat="false" ht="66.85" hidden="false" customHeight="false" outlineLevel="0" collapsed="false">
      <c r="D2179" s="60" t="s">
        <v>7739</v>
      </c>
      <c r="E2179" s="60" t="s">
        <v>7740</v>
      </c>
      <c r="F2179" s="62"/>
      <c r="G2179" s="57" t="s">
        <v>7741</v>
      </c>
      <c r="H2179" s="57" t="s">
        <v>3792</v>
      </c>
      <c r="I2179" s="39"/>
      <c r="J2179" s="57" t="s">
        <v>3792</v>
      </c>
      <c r="K2179" s="57" t="s">
        <v>3792</v>
      </c>
    </row>
    <row r="2180" customFormat="false" ht="55.95" hidden="false" customHeight="false" outlineLevel="0" collapsed="false">
      <c r="F2180" s="0" t="s">
        <v>5334</v>
      </c>
      <c r="G2180" s="57" t="s">
        <v>7742</v>
      </c>
      <c r="H2180" s="57" t="s">
        <v>7739</v>
      </c>
      <c r="I2180" s="34" t="s">
        <v>40</v>
      </c>
      <c r="J2180" s="57" t="s">
        <v>7743</v>
      </c>
      <c r="K2180" s="57" t="s">
        <v>5432</v>
      </c>
    </row>
    <row r="2181" customFormat="false" ht="66.85" hidden="false" customHeight="false" outlineLevel="0" collapsed="false">
      <c r="D2181" s="60" t="s">
        <v>7744</v>
      </c>
      <c r="E2181" s="60" t="s">
        <v>7745</v>
      </c>
      <c r="F2181" s="62"/>
      <c r="G2181" s="57" t="s">
        <v>7746</v>
      </c>
      <c r="H2181" s="57" t="s">
        <v>3792</v>
      </c>
      <c r="I2181" s="34"/>
      <c r="J2181" s="57" t="s">
        <v>3792</v>
      </c>
      <c r="K2181" s="57" t="s">
        <v>3792</v>
      </c>
    </row>
    <row r="2182" customFormat="false" ht="66.85" hidden="false" customHeight="false" outlineLevel="0" collapsed="false">
      <c r="F2182" s="0" t="s">
        <v>5334</v>
      </c>
      <c r="G2182" s="57" t="s">
        <v>7747</v>
      </c>
      <c r="H2182" s="57" t="s">
        <v>7744</v>
      </c>
      <c r="I2182" s="39" t="s">
        <v>67</v>
      </c>
      <c r="J2182" s="57" t="s">
        <v>7748</v>
      </c>
      <c r="K2182" s="57" t="s">
        <v>5438</v>
      </c>
    </row>
    <row r="2183" customFormat="false" ht="66.85" hidden="false" customHeight="false" outlineLevel="0" collapsed="false">
      <c r="D2183" s="60" t="s">
        <v>7749</v>
      </c>
      <c r="E2183" s="60" t="s">
        <v>7750</v>
      </c>
      <c r="F2183" s="62"/>
      <c r="G2183" s="57" t="s">
        <v>7751</v>
      </c>
      <c r="H2183" s="57" t="s">
        <v>3792</v>
      </c>
      <c r="I2183" s="39"/>
      <c r="J2183" s="57" t="s">
        <v>3792</v>
      </c>
      <c r="K2183" s="57" t="s">
        <v>3792</v>
      </c>
    </row>
    <row r="2184" customFormat="false" ht="45.05" hidden="false" customHeight="false" outlineLevel="0" collapsed="false">
      <c r="F2184" s="0" t="s">
        <v>5334</v>
      </c>
      <c r="G2184" s="57" t="s">
        <v>7752</v>
      </c>
      <c r="H2184" s="57" t="s">
        <v>7749</v>
      </c>
      <c r="I2184" s="37" t="s">
        <v>50</v>
      </c>
      <c r="J2184" s="57" t="s">
        <v>7753</v>
      </c>
      <c r="K2184" s="57" t="s">
        <v>5446</v>
      </c>
    </row>
    <row r="2185" customFormat="false" ht="45.05" hidden="false" customHeight="false" outlineLevel="0" collapsed="false">
      <c r="C2185" s="64" t="s">
        <v>7754</v>
      </c>
      <c r="D2185" s="66" t="s">
        <v>7755</v>
      </c>
      <c r="E2185" s="66" t="s">
        <v>7756</v>
      </c>
      <c r="F2185" s="65"/>
      <c r="G2185" s="57" t="s">
        <v>7757</v>
      </c>
      <c r="H2185" s="57" t="s">
        <v>3792</v>
      </c>
      <c r="I2185" s="37"/>
      <c r="J2185" s="57" t="s">
        <v>3792</v>
      </c>
      <c r="K2185" s="57" t="s">
        <v>3792</v>
      </c>
    </row>
    <row r="2186" customFormat="false" ht="45.05" hidden="false" customHeight="false" outlineLevel="0" collapsed="false">
      <c r="F2186" s="0" t="s">
        <v>5342</v>
      </c>
      <c r="G2186" s="57" t="s">
        <v>7758</v>
      </c>
      <c r="H2186" s="57" t="s">
        <v>7755</v>
      </c>
      <c r="I2186" s="37" t="s">
        <v>50</v>
      </c>
      <c r="J2186" s="57" t="s">
        <v>7759</v>
      </c>
      <c r="K2186" s="57" t="s">
        <v>5453</v>
      </c>
    </row>
    <row r="2187" customFormat="false" ht="45.05" hidden="false" customHeight="false" outlineLevel="0" collapsed="false">
      <c r="D2187" s="60" t="s">
        <v>7760</v>
      </c>
      <c r="E2187" s="60" t="s">
        <v>7761</v>
      </c>
      <c r="F2187" s="62"/>
      <c r="G2187" s="57" t="s">
        <v>7762</v>
      </c>
      <c r="H2187" s="57" t="s">
        <v>3792</v>
      </c>
      <c r="I2187" s="37"/>
      <c r="J2187" s="57" t="s">
        <v>3792</v>
      </c>
      <c r="K2187" s="57" t="s">
        <v>3792</v>
      </c>
    </row>
    <row r="2188" customFormat="false" ht="55.95" hidden="false" customHeight="false" outlineLevel="0" collapsed="false">
      <c r="F2188" s="0" t="s">
        <v>5334</v>
      </c>
      <c r="G2188" s="57" t="s">
        <v>7763</v>
      </c>
      <c r="H2188" s="57" t="s">
        <v>7760</v>
      </c>
      <c r="I2188" s="39" t="s">
        <v>67</v>
      </c>
      <c r="J2188" s="57" t="s">
        <v>7764</v>
      </c>
      <c r="K2188" s="57" t="s">
        <v>5460</v>
      </c>
    </row>
    <row r="2189" customFormat="false" ht="55.95" hidden="false" customHeight="false" outlineLevel="0" collapsed="false">
      <c r="D2189" s="60" t="s">
        <v>7765</v>
      </c>
      <c r="E2189" s="60" t="s">
        <v>7766</v>
      </c>
      <c r="F2189" s="62"/>
      <c r="G2189" s="57" t="s">
        <v>7767</v>
      </c>
      <c r="H2189" s="57" t="s">
        <v>3792</v>
      </c>
      <c r="I2189" s="39"/>
      <c r="J2189" s="57" t="s">
        <v>3792</v>
      </c>
      <c r="K2189" s="57" t="s">
        <v>3792</v>
      </c>
    </row>
    <row r="2190" customFormat="false" ht="45.05" hidden="false" customHeight="false" outlineLevel="0" collapsed="false">
      <c r="F2190" s="0" t="s">
        <v>5342</v>
      </c>
      <c r="G2190" s="57" t="s">
        <v>7768</v>
      </c>
      <c r="H2190" s="57" t="s">
        <v>7765</v>
      </c>
      <c r="I2190" s="34" t="s">
        <v>40</v>
      </c>
      <c r="J2190" s="57" t="s">
        <v>7769</v>
      </c>
      <c r="K2190" s="57" t="s">
        <v>5467</v>
      </c>
    </row>
    <row r="2191" customFormat="false" ht="66.85" hidden="false" customHeight="false" outlineLevel="0" collapsed="false">
      <c r="D2191" s="60" t="s">
        <v>7770</v>
      </c>
      <c r="E2191" s="60" t="s">
        <v>7771</v>
      </c>
      <c r="F2191" s="62"/>
      <c r="G2191" s="57" t="s">
        <v>7772</v>
      </c>
      <c r="H2191" s="57" t="s">
        <v>3792</v>
      </c>
      <c r="I2191" s="34"/>
      <c r="J2191" s="57" t="s">
        <v>3792</v>
      </c>
      <c r="K2191" s="57" t="s">
        <v>3792</v>
      </c>
    </row>
    <row r="2192" customFormat="false" ht="55.95" hidden="false" customHeight="false" outlineLevel="0" collapsed="false">
      <c r="F2192" s="0" t="s">
        <v>5334</v>
      </c>
      <c r="G2192" s="57" t="s">
        <v>7773</v>
      </c>
      <c r="H2192" s="57" t="s">
        <v>7770</v>
      </c>
      <c r="I2192" s="39" t="s">
        <v>67</v>
      </c>
      <c r="J2192" s="57" t="s">
        <v>7774</v>
      </c>
      <c r="K2192" s="57" t="s">
        <v>5474</v>
      </c>
    </row>
    <row r="2193" customFormat="false" ht="45.05" hidden="false" customHeight="false" outlineLevel="0" collapsed="false">
      <c r="D2193" s="60" t="s">
        <v>7775</v>
      </c>
      <c r="E2193" s="60" t="s">
        <v>7776</v>
      </c>
      <c r="F2193" s="62"/>
      <c r="G2193" s="57" t="s">
        <v>7777</v>
      </c>
      <c r="H2193" s="57" t="s">
        <v>3792</v>
      </c>
      <c r="I2193" s="39"/>
      <c r="J2193" s="57" t="s">
        <v>3792</v>
      </c>
      <c r="K2193" s="57" t="s">
        <v>3792</v>
      </c>
    </row>
    <row r="2194" customFormat="false" ht="34.2" hidden="false" customHeight="false" outlineLevel="0" collapsed="false">
      <c r="F2194" s="0" t="s">
        <v>5342</v>
      </c>
      <c r="G2194" s="57" t="s">
        <v>7778</v>
      </c>
      <c r="H2194" s="57" t="s">
        <v>7775</v>
      </c>
      <c r="I2194" s="37" t="s">
        <v>50</v>
      </c>
      <c r="J2194" s="57" t="s">
        <v>7779</v>
      </c>
      <c r="K2194" s="57" t="s">
        <v>5482</v>
      </c>
    </row>
    <row r="2195" customFormat="false" ht="34.2" hidden="false" customHeight="false" outlineLevel="0" collapsed="false">
      <c r="C2195" s="64" t="s">
        <v>7780</v>
      </c>
      <c r="D2195" s="66" t="s">
        <v>7781</v>
      </c>
      <c r="E2195" s="66" t="s">
        <v>7782</v>
      </c>
      <c r="F2195" s="69"/>
      <c r="G2195" s="57" t="s">
        <v>7783</v>
      </c>
      <c r="H2195" s="57" t="s">
        <v>3792</v>
      </c>
      <c r="I2195" s="37"/>
      <c r="J2195" s="57" t="s">
        <v>3792</v>
      </c>
      <c r="K2195" s="57" t="s">
        <v>3792</v>
      </c>
    </row>
    <row r="2196" customFormat="false" ht="66.85" hidden="false" customHeight="false" outlineLevel="0" collapsed="false">
      <c r="F2196" s="0" t="s">
        <v>5334</v>
      </c>
      <c r="G2196" s="57" t="s">
        <v>7784</v>
      </c>
      <c r="H2196" s="57" t="s">
        <v>7781</v>
      </c>
      <c r="I2196" s="37" t="s">
        <v>50</v>
      </c>
      <c r="J2196" s="57" t="s">
        <v>7785</v>
      </c>
      <c r="K2196" s="57" t="s">
        <v>5489</v>
      </c>
    </row>
    <row r="2197" customFormat="false" ht="45.05" hidden="false" customHeight="false" outlineLevel="0" collapsed="false">
      <c r="D2197" s="60" t="s">
        <v>7786</v>
      </c>
      <c r="E2197" s="60" t="s">
        <v>7787</v>
      </c>
      <c r="F2197" s="62"/>
      <c r="G2197" s="57" t="s">
        <v>7788</v>
      </c>
      <c r="H2197" s="57" t="s">
        <v>3792</v>
      </c>
      <c r="I2197" s="37"/>
      <c r="J2197" s="57" t="s">
        <v>3792</v>
      </c>
      <c r="K2197" s="57" t="s">
        <v>3792</v>
      </c>
    </row>
    <row r="2198" customFormat="false" ht="66.85" hidden="false" customHeight="false" outlineLevel="0" collapsed="false">
      <c r="F2198" s="0" t="s">
        <v>5334</v>
      </c>
      <c r="G2198" s="57" t="s">
        <v>7789</v>
      </c>
      <c r="H2198" s="57" t="s">
        <v>7786</v>
      </c>
      <c r="I2198" s="39" t="s">
        <v>67</v>
      </c>
      <c r="J2198" s="57" t="s">
        <v>7790</v>
      </c>
      <c r="K2198" s="57" t="s">
        <v>5496</v>
      </c>
    </row>
    <row r="2199" customFormat="false" ht="55.95" hidden="false" customHeight="false" outlineLevel="0" collapsed="false">
      <c r="D2199" s="60" t="s">
        <v>7791</v>
      </c>
      <c r="E2199" s="60" t="s">
        <v>7792</v>
      </c>
      <c r="F2199" s="62"/>
      <c r="G2199" s="57" t="s">
        <v>7793</v>
      </c>
      <c r="H2199" s="57" t="s">
        <v>3792</v>
      </c>
      <c r="I2199" s="39"/>
      <c r="J2199" s="57" t="s">
        <v>3792</v>
      </c>
      <c r="K2199" s="57" t="s">
        <v>3792</v>
      </c>
    </row>
    <row r="2200" customFormat="false" ht="66.85" hidden="false" customHeight="false" outlineLevel="0" collapsed="false">
      <c r="F2200" s="0" t="s">
        <v>5334</v>
      </c>
      <c r="G2200" s="57" t="s">
        <v>7794</v>
      </c>
      <c r="H2200" s="57" t="s">
        <v>7791</v>
      </c>
      <c r="I2200" s="34" t="s">
        <v>40</v>
      </c>
      <c r="J2200" s="57" t="s">
        <v>7795</v>
      </c>
      <c r="K2200" s="57" t="s">
        <v>5503</v>
      </c>
    </row>
    <row r="2201" customFormat="false" ht="45.05" hidden="false" customHeight="false" outlineLevel="0" collapsed="false">
      <c r="D2201" s="60" t="s">
        <v>7796</v>
      </c>
      <c r="E2201" s="60" t="s">
        <v>7797</v>
      </c>
      <c r="F2201" s="62"/>
      <c r="G2201" s="57" t="s">
        <v>7798</v>
      </c>
      <c r="H2201" s="57" t="s">
        <v>3792</v>
      </c>
      <c r="I2201" s="34"/>
      <c r="J2201" s="57" t="s">
        <v>3792</v>
      </c>
      <c r="K2201" s="57" t="s">
        <v>3792</v>
      </c>
    </row>
    <row r="2202" customFormat="false" ht="55.95" hidden="false" customHeight="false" outlineLevel="0" collapsed="false">
      <c r="F2202" s="0" t="s">
        <v>5342</v>
      </c>
      <c r="G2202" s="57" t="s">
        <v>7799</v>
      </c>
      <c r="H2202" s="57" t="s">
        <v>7796</v>
      </c>
      <c r="I2202" s="39" t="s">
        <v>67</v>
      </c>
      <c r="J2202" s="57" t="s">
        <v>7800</v>
      </c>
      <c r="K2202" s="57" t="s">
        <v>5510</v>
      </c>
    </row>
    <row r="2203" customFormat="false" ht="55.95" hidden="false" customHeight="false" outlineLevel="0" collapsed="false">
      <c r="D2203" s="60" t="s">
        <v>7801</v>
      </c>
      <c r="E2203" s="60" t="s">
        <v>7802</v>
      </c>
      <c r="F2203" s="62"/>
      <c r="G2203" s="57" t="s">
        <v>7803</v>
      </c>
      <c r="H2203" s="57" t="s">
        <v>3792</v>
      </c>
      <c r="I2203" s="39"/>
      <c r="J2203" s="57" t="s">
        <v>3792</v>
      </c>
      <c r="K2203" s="57" t="s">
        <v>3792</v>
      </c>
    </row>
    <row r="2204" customFormat="false" ht="45.05" hidden="false" customHeight="false" outlineLevel="0" collapsed="false">
      <c r="F2204" s="0" t="s">
        <v>5342</v>
      </c>
      <c r="G2204" s="57" t="s">
        <v>7804</v>
      </c>
      <c r="H2204" s="57" t="s">
        <v>7801</v>
      </c>
      <c r="I2204" s="37" t="s">
        <v>50</v>
      </c>
      <c r="J2204" s="57" t="s">
        <v>7805</v>
      </c>
      <c r="K2204" s="57" t="s">
        <v>5518</v>
      </c>
    </row>
    <row r="2205" customFormat="false" ht="55.95" hidden="false" customHeight="false" outlineLevel="0" collapsed="false">
      <c r="B2205" s="67" t="s">
        <v>7806</v>
      </c>
      <c r="C2205" s="68" t="s">
        <v>7807</v>
      </c>
      <c r="D2205" s="68" t="s">
        <v>7808</v>
      </c>
      <c r="E2205" s="68" t="s">
        <v>7809</v>
      </c>
      <c r="F2205" s="65"/>
      <c r="G2205" s="57" t="s">
        <v>7810</v>
      </c>
      <c r="H2205" s="57" t="s">
        <v>3792</v>
      </c>
      <c r="I2205" s="37"/>
      <c r="J2205" s="57" t="s">
        <v>3792</v>
      </c>
      <c r="K2205" s="57" t="s">
        <v>3792</v>
      </c>
    </row>
    <row r="2206" customFormat="false" ht="66.85" hidden="false" customHeight="false" outlineLevel="0" collapsed="false">
      <c r="F2206" s="0" t="s">
        <v>5334</v>
      </c>
      <c r="G2206" s="57" t="s">
        <v>7811</v>
      </c>
      <c r="H2206" s="57" t="s">
        <v>7808</v>
      </c>
      <c r="I2206" s="37" t="s">
        <v>50</v>
      </c>
      <c r="J2206" s="57" t="s">
        <v>7812</v>
      </c>
      <c r="K2206" s="57" t="s">
        <v>5525</v>
      </c>
    </row>
    <row r="2207" customFormat="false" ht="55.95" hidden="false" customHeight="false" outlineLevel="0" collapsed="false">
      <c r="D2207" s="60" t="s">
        <v>7813</v>
      </c>
      <c r="E2207" s="60" t="s">
        <v>7814</v>
      </c>
      <c r="F2207" s="62"/>
      <c r="G2207" s="57" t="s">
        <v>7815</v>
      </c>
      <c r="H2207" s="57" t="s">
        <v>3792</v>
      </c>
      <c r="I2207" s="37"/>
      <c r="J2207" s="57" t="s">
        <v>3792</v>
      </c>
      <c r="K2207" s="57" t="s">
        <v>3792</v>
      </c>
    </row>
    <row r="2208" customFormat="false" ht="45.05" hidden="false" customHeight="false" outlineLevel="0" collapsed="false">
      <c r="F2208" s="0" t="s">
        <v>5342</v>
      </c>
      <c r="G2208" s="57" t="s">
        <v>7816</v>
      </c>
      <c r="H2208" s="57" t="s">
        <v>7813</v>
      </c>
      <c r="I2208" s="39" t="s">
        <v>67</v>
      </c>
      <c r="J2208" s="57" t="s">
        <v>7817</v>
      </c>
      <c r="K2208" s="57" t="s">
        <v>5532</v>
      </c>
    </row>
    <row r="2209" customFormat="false" ht="45.05" hidden="false" customHeight="false" outlineLevel="0" collapsed="false">
      <c r="D2209" s="60" t="s">
        <v>7818</v>
      </c>
      <c r="E2209" s="60" t="s">
        <v>7819</v>
      </c>
      <c r="F2209" s="62"/>
      <c r="G2209" s="57" t="s">
        <v>7820</v>
      </c>
      <c r="H2209" s="57" t="s">
        <v>3792</v>
      </c>
      <c r="I2209" s="39"/>
      <c r="J2209" s="57" t="s">
        <v>3792</v>
      </c>
      <c r="K2209" s="57" t="s">
        <v>3792</v>
      </c>
    </row>
    <row r="2210" customFormat="false" ht="45.05" hidden="false" customHeight="false" outlineLevel="0" collapsed="false">
      <c r="F2210" s="0" t="s">
        <v>5342</v>
      </c>
      <c r="G2210" s="57" t="s">
        <v>7821</v>
      </c>
      <c r="H2210" s="57" t="s">
        <v>7818</v>
      </c>
      <c r="I2210" s="34" t="s">
        <v>40</v>
      </c>
      <c r="J2210" s="57" t="s">
        <v>7822</v>
      </c>
      <c r="K2210" s="57" t="s">
        <v>5539</v>
      </c>
    </row>
    <row r="2211" customFormat="false" ht="45.05" hidden="false" customHeight="false" outlineLevel="0" collapsed="false">
      <c r="D2211" s="60" t="s">
        <v>7823</v>
      </c>
      <c r="E2211" s="60" t="s">
        <v>7824</v>
      </c>
      <c r="F2211" s="62"/>
      <c r="G2211" s="57" t="s">
        <v>7825</v>
      </c>
      <c r="H2211" s="57" t="s">
        <v>3792</v>
      </c>
      <c r="I2211" s="34"/>
      <c r="J2211" s="57" t="s">
        <v>3792</v>
      </c>
      <c r="K2211" s="57" t="s">
        <v>3792</v>
      </c>
    </row>
    <row r="2212" customFormat="false" ht="34.2" hidden="false" customHeight="false" outlineLevel="0" collapsed="false">
      <c r="F2212" s="0" t="s">
        <v>5334</v>
      </c>
      <c r="G2212" s="57" t="s">
        <v>7826</v>
      </c>
      <c r="H2212" s="57" t="s">
        <v>7823</v>
      </c>
      <c r="I2212" s="39" t="s">
        <v>67</v>
      </c>
      <c r="J2212" s="57" t="s">
        <v>7827</v>
      </c>
      <c r="K2212" s="57" t="s">
        <v>5546</v>
      </c>
    </row>
    <row r="2213" customFormat="false" ht="55.95" hidden="false" customHeight="false" outlineLevel="0" collapsed="false">
      <c r="D2213" s="60" t="s">
        <v>7828</v>
      </c>
      <c r="E2213" s="60" t="s">
        <v>7829</v>
      </c>
      <c r="F2213" s="62"/>
      <c r="G2213" s="57" t="s">
        <v>7830</v>
      </c>
      <c r="H2213" s="57" t="s">
        <v>3792</v>
      </c>
      <c r="I2213" s="39"/>
      <c r="J2213" s="57" t="s">
        <v>3792</v>
      </c>
      <c r="K2213" s="57" t="s">
        <v>3792</v>
      </c>
    </row>
    <row r="2214" customFormat="false" ht="55.95" hidden="false" customHeight="false" outlineLevel="0" collapsed="false">
      <c r="F2214" s="0" t="s">
        <v>5342</v>
      </c>
      <c r="G2214" s="57" t="s">
        <v>7831</v>
      </c>
      <c r="H2214" s="57" t="s">
        <v>7828</v>
      </c>
      <c r="I2214" s="37" t="s">
        <v>50</v>
      </c>
      <c r="J2214" s="57" t="s">
        <v>7832</v>
      </c>
      <c r="K2214" s="57" t="s">
        <v>5555</v>
      </c>
    </row>
    <row r="2215" customFormat="false" ht="55.95" hidden="false" customHeight="false" outlineLevel="0" collapsed="false">
      <c r="C2215" s="70" t="s">
        <v>7833</v>
      </c>
      <c r="D2215" s="66" t="s">
        <v>7834</v>
      </c>
      <c r="E2215" s="66" t="s">
        <v>7835</v>
      </c>
      <c r="F2215" s="65"/>
      <c r="G2215" s="57" t="s">
        <v>7836</v>
      </c>
      <c r="H2215" s="57" t="s">
        <v>3792</v>
      </c>
      <c r="I2215" s="37"/>
      <c r="J2215" s="57" t="s">
        <v>3792</v>
      </c>
      <c r="K2215" s="57" t="s">
        <v>3792</v>
      </c>
    </row>
    <row r="2216" customFormat="false" ht="45.05" hidden="false" customHeight="false" outlineLevel="0" collapsed="false">
      <c r="F2216" s="0" t="s">
        <v>5342</v>
      </c>
      <c r="G2216" s="57" t="s">
        <v>7837</v>
      </c>
      <c r="H2216" s="57" t="s">
        <v>7834</v>
      </c>
      <c r="I2216" s="37" t="s">
        <v>50</v>
      </c>
      <c r="J2216" s="57" t="s">
        <v>7838</v>
      </c>
      <c r="K2216" s="57" t="s">
        <v>5562</v>
      </c>
    </row>
    <row r="2217" customFormat="false" ht="34.2" hidden="false" customHeight="false" outlineLevel="0" collapsed="false">
      <c r="D2217" s="60" t="s">
        <v>7839</v>
      </c>
      <c r="E2217" s="60" t="s">
        <v>7840</v>
      </c>
      <c r="F2217" s="62"/>
      <c r="G2217" s="57" t="s">
        <v>7841</v>
      </c>
      <c r="H2217" s="57" t="s">
        <v>3792</v>
      </c>
      <c r="I2217" s="37"/>
      <c r="J2217" s="57" t="s">
        <v>3792</v>
      </c>
      <c r="K2217" s="57" t="s">
        <v>3792</v>
      </c>
    </row>
    <row r="2218" customFormat="false" ht="34.2" hidden="false" customHeight="false" outlineLevel="0" collapsed="false">
      <c r="F2218" s="0" t="s">
        <v>5334</v>
      </c>
      <c r="G2218" s="57" t="s">
        <v>7842</v>
      </c>
      <c r="H2218" s="57" t="s">
        <v>7839</v>
      </c>
      <c r="I2218" s="39" t="s">
        <v>67</v>
      </c>
      <c r="J2218" s="57" t="s">
        <v>7843</v>
      </c>
      <c r="K2218" s="57" t="s">
        <v>5568</v>
      </c>
    </row>
    <row r="2219" customFormat="false" ht="55.95" hidden="false" customHeight="false" outlineLevel="0" collapsed="false">
      <c r="D2219" s="60" t="s">
        <v>7844</v>
      </c>
      <c r="E2219" s="60" t="s">
        <v>7845</v>
      </c>
      <c r="F2219" s="62"/>
      <c r="G2219" s="57" t="s">
        <v>7846</v>
      </c>
      <c r="H2219" s="57" t="s">
        <v>3792</v>
      </c>
      <c r="I2219" s="39"/>
      <c r="J2219" s="57" t="s">
        <v>3792</v>
      </c>
      <c r="K2219" s="57" t="s">
        <v>3792</v>
      </c>
    </row>
    <row r="2220" customFormat="false" ht="34.2" hidden="false" customHeight="false" outlineLevel="0" collapsed="false">
      <c r="F2220" s="0" t="s">
        <v>5334</v>
      </c>
      <c r="G2220" s="57" t="s">
        <v>7847</v>
      </c>
      <c r="H2220" s="57" t="s">
        <v>7844</v>
      </c>
      <c r="I2220" s="34" t="s">
        <v>40</v>
      </c>
      <c r="J2220" s="57" t="s">
        <v>7848</v>
      </c>
      <c r="K2220" s="57" t="s">
        <v>5573</v>
      </c>
    </row>
    <row r="2221" customFormat="false" ht="34.2" hidden="false" customHeight="false" outlineLevel="0" collapsed="false">
      <c r="D2221" s="60" t="s">
        <v>7849</v>
      </c>
      <c r="E2221" s="60" t="s">
        <v>7850</v>
      </c>
      <c r="F2221" s="62"/>
      <c r="G2221" s="57" t="s">
        <v>7851</v>
      </c>
      <c r="H2221" s="57" t="s">
        <v>3792</v>
      </c>
      <c r="I2221" s="34"/>
      <c r="J2221" s="57" t="s">
        <v>3792</v>
      </c>
      <c r="K2221" s="57" t="s">
        <v>3792</v>
      </c>
    </row>
    <row r="2222" customFormat="false" ht="45.05" hidden="false" customHeight="false" outlineLevel="0" collapsed="false">
      <c r="F2222" s="0" t="s">
        <v>5334</v>
      </c>
      <c r="G2222" s="57" t="s">
        <v>7852</v>
      </c>
      <c r="H2222" s="57" t="s">
        <v>7849</v>
      </c>
      <c r="I2222" s="39" t="s">
        <v>67</v>
      </c>
      <c r="J2222" s="57" t="s">
        <v>7853</v>
      </c>
      <c r="K2222" s="57" t="s">
        <v>5578</v>
      </c>
    </row>
    <row r="2223" customFormat="false" ht="45.05" hidden="false" customHeight="false" outlineLevel="0" collapsed="false">
      <c r="D2223" s="60" t="s">
        <v>7854</v>
      </c>
      <c r="E2223" s="60" t="s">
        <v>7855</v>
      </c>
      <c r="F2223" s="62"/>
      <c r="G2223" s="57" t="s">
        <v>7856</v>
      </c>
      <c r="H2223" s="57" t="s">
        <v>3792</v>
      </c>
      <c r="I2223" s="39"/>
      <c r="J2223" s="57" t="s">
        <v>3792</v>
      </c>
      <c r="K2223" s="57" t="s">
        <v>3792</v>
      </c>
    </row>
    <row r="2224" customFormat="false" ht="45.05" hidden="false" customHeight="false" outlineLevel="0" collapsed="false">
      <c r="F2224" s="0" t="s">
        <v>5342</v>
      </c>
      <c r="G2224" s="57" t="s">
        <v>7857</v>
      </c>
      <c r="H2224" s="57" t="s">
        <v>7854</v>
      </c>
      <c r="I2224" s="37" t="s">
        <v>50</v>
      </c>
      <c r="J2224" s="57" t="s">
        <v>7858</v>
      </c>
      <c r="K2224" s="57" t="s">
        <v>5584</v>
      </c>
    </row>
    <row r="2225" customFormat="false" ht="55.95" hidden="false" customHeight="false" outlineLevel="0" collapsed="false">
      <c r="C2225" s="70" t="s">
        <v>7859</v>
      </c>
      <c r="D2225" s="66" t="s">
        <v>7860</v>
      </c>
      <c r="E2225" s="66" t="s">
        <v>7861</v>
      </c>
      <c r="F2225" s="65"/>
      <c r="G2225" s="57" t="s">
        <v>7862</v>
      </c>
      <c r="H2225" s="57" t="s">
        <v>3792</v>
      </c>
      <c r="I2225" s="37"/>
      <c r="J2225" s="57" t="s">
        <v>3792</v>
      </c>
      <c r="K2225" s="57" t="s">
        <v>3792</v>
      </c>
    </row>
    <row r="2226" customFormat="false" ht="45.05" hidden="false" customHeight="false" outlineLevel="0" collapsed="false">
      <c r="F2226" s="0" t="s">
        <v>5334</v>
      </c>
      <c r="G2226" s="57" t="s">
        <v>7863</v>
      </c>
      <c r="H2226" s="57" t="s">
        <v>7860</v>
      </c>
      <c r="I2226" s="37" t="s">
        <v>50</v>
      </c>
      <c r="J2226" s="57" t="s">
        <v>7864</v>
      </c>
      <c r="K2226" s="57" t="s">
        <v>5589</v>
      </c>
    </row>
    <row r="2227" customFormat="false" ht="34.2" hidden="false" customHeight="false" outlineLevel="0" collapsed="false">
      <c r="D2227" s="60" t="s">
        <v>7865</v>
      </c>
      <c r="E2227" s="60" t="s">
        <v>7866</v>
      </c>
      <c r="F2227" s="62"/>
      <c r="G2227" s="57" t="s">
        <v>7867</v>
      </c>
      <c r="H2227" s="57" t="s">
        <v>3792</v>
      </c>
      <c r="I2227" s="37"/>
      <c r="J2227" s="57" t="s">
        <v>3792</v>
      </c>
      <c r="K2227" s="57" t="s">
        <v>3792</v>
      </c>
    </row>
    <row r="2228" customFormat="false" ht="55.95" hidden="false" customHeight="false" outlineLevel="0" collapsed="false">
      <c r="F2228" s="0" t="s">
        <v>5342</v>
      </c>
      <c r="G2228" s="57" t="s">
        <v>7868</v>
      </c>
      <c r="H2228" s="57" t="s">
        <v>7865</v>
      </c>
      <c r="I2228" s="39" t="s">
        <v>67</v>
      </c>
      <c r="J2228" s="57" t="s">
        <v>7869</v>
      </c>
      <c r="K2228" s="57" t="s">
        <v>5594</v>
      </c>
    </row>
    <row r="2229" customFormat="false" ht="45.05" hidden="false" customHeight="false" outlineLevel="0" collapsed="false">
      <c r="D2229" s="60" t="s">
        <v>7870</v>
      </c>
      <c r="E2229" s="60" t="s">
        <v>7871</v>
      </c>
      <c r="F2229" s="62"/>
      <c r="G2229" s="57" t="s">
        <v>7872</v>
      </c>
      <c r="H2229" s="57" t="s">
        <v>3792</v>
      </c>
      <c r="I2229" s="39"/>
      <c r="J2229" s="57" t="s">
        <v>3792</v>
      </c>
      <c r="K2229" s="57" t="s">
        <v>3792</v>
      </c>
    </row>
    <row r="2230" customFormat="false" ht="77.7" hidden="false" customHeight="false" outlineLevel="0" collapsed="false">
      <c r="F2230" s="0" t="s">
        <v>5342</v>
      </c>
      <c r="G2230" s="57" t="s">
        <v>7873</v>
      </c>
      <c r="H2230" s="57" t="s">
        <v>7870</v>
      </c>
      <c r="I2230" s="34" t="s">
        <v>40</v>
      </c>
      <c r="J2230" s="57" t="s">
        <v>7874</v>
      </c>
      <c r="K2230" s="57" t="s">
        <v>5599</v>
      </c>
    </row>
    <row r="2231" customFormat="false" ht="34.2" hidden="false" customHeight="false" outlineLevel="0" collapsed="false">
      <c r="D2231" s="60" t="s">
        <v>7875</v>
      </c>
      <c r="E2231" s="60" t="s">
        <v>7876</v>
      </c>
      <c r="F2231" s="62"/>
      <c r="G2231" s="57" t="s">
        <v>7877</v>
      </c>
      <c r="H2231" s="57" t="s">
        <v>3792</v>
      </c>
      <c r="I2231" s="34"/>
      <c r="J2231" s="57" t="s">
        <v>3792</v>
      </c>
      <c r="K2231" s="57" t="s">
        <v>3792</v>
      </c>
    </row>
    <row r="2232" customFormat="false" ht="55.95" hidden="false" customHeight="false" outlineLevel="0" collapsed="false">
      <c r="F2232" s="0" t="s">
        <v>5334</v>
      </c>
      <c r="G2232" s="57" t="s">
        <v>7878</v>
      </c>
      <c r="H2232" s="57" t="s">
        <v>7875</v>
      </c>
      <c r="I2232" s="39" t="s">
        <v>67</v>
      </c>
      <c r="J2232" s="57" t="s">
        <v>7879</v>
      </c>
      <c r="K2232" s="57" t="s">
        <v>5604</v>
      </c>
    </row>
    <row r="2233" customFormat="false" ht="45.05" hidden="false" customHeight="false" outlineLevel="0" collapsed="false">
      <c r="D2233" s="60" t="s">
        <v>7880</v>
      </c>
      <c r="E2233" s="60" t="s">
        <v>7881</v>
      </c>
      <c r="F2233" s="62"/>
      <c r="G2233" s="57" t="s">
        <v>7882</v>
      </c>
      <c r="H2233" s="57" t="s">
        <v>3792</v>
      </c>
      <c r="I2233" s="39"/>
      <c r="J2233" s="57" t="s">
        <v>3792</v>
      </c>
      <c r="K2233" s="57" t="s">
        <v>3792</v>
      </c>
    </row>
    <row r="2234" customFormat="false" ht="45.05" hidden="false" customHeight="false" outlineLevel="0" collapsed="false">
      <c r="F2234" s="0" t="s">
        <v>5334</v>
      </c>
      <c r="G2234" s="57" t="s">
        <v>7883</v>
      </c>
      <c r="H2234" s="57" t="s">
        <v>7880</v>
      </c>
      <c r="I2234" s="37" t="s">
        <v>50</v>
      </c>
      <c r="J2234" s="57" t="s">
        <v>7884</v>
      </c>
      <c r="K2234" s="57" t="s">
        <v>5610</v>
      </c>
    </row>
    <row r="2235" customFormat="false" ht="34.2" hidden="false" customHeight="false" outlineLevel="0" collapsed="false">
      <c r="C2235" s="70" t="s">
        <v>7885</v>
      </c>
      <c r="D2235" s="66" t="s">
        <v>7886</v>
      </c>
      <c r="E2235" s="66" t="s">
        <v>7887</v>
      </c>
      <c r="F2235" s="65"/>
      <c r="G2235" s="57" t="s">
        <v>7888</v>
      </c>
      <c r="H2235" s="57" t="s">
        <v>3792</v>
      </c>
      <c r="I2235" s="37"/>
      <c r="J2235" s="57" t="s">
        <v>3792</v>
      </c>
      <c r="K2235" s="57" t="s">
        <v>3792</v>
      </c>
    </row>
    <row r="2236" customFormat="false" ht="45.05" hidden="false" customHeight="false" outlineLevel="0" collapsed="false">
      <c r="F2236" s="0" t="s">
        <v>5342</v>
      </c>
      <c r="G2236" s="57" t="s">
        <v>7889</v>
      </c>
      <c r="H2236" s="57" t="s">
        <v>7886</v>
      </c>
      <c r="I2236" s="37" t="s">
        <v>50</v>
      </c>
      <c r="J2236" s="57" t="s">
        <v>7890</v>
      </c>
      <c r="K2236" s="57" t="s">
        <v>5615</v>
      </c>
    </row>
    <row r="2237" customFormat="false" ht="34.2" hidden="false" customHeight="false" outlineLevel="0" collapsed="false">
      <c r="D2237" s="60" t="s">
        <v>7891</v>
      </c>
      <c r="E2237" s="60" t="s">
        <v>7892</v>
      </c>
      <c r="F2237" s="62"/>
      <c r="G2237" s="57" t="s">
        <v>7893</v>
      </c>
      <c r="H2237" s="57" t="s">
        <v>3792</v>
      </c>
      <c r="I2237" s="37"/>
      <c r="J2237" s="57" t="s">
        <v>3792</v>
      </c>
      <c r="K2237" s="57" t="s">
        <v>3792</v>
      </c>
    </row>
    <row r="2238" customFormat="false" ht="55.95" hidden="false" customHeight="false" outlineLevel="0" collapsed="false">
      <c r="F2238" s="0" t="s">
        <v>5342</v>
      </c>
      <c r="G2238" s="57" t="s">
        <v>7894</v>
      </c>
      <c r="H2238" s="57" t="s">
        <v>7891</v>
      </c>
      <c r="I2238" s="39" t="s">
        <v>67</v>
      </c>
      <c r="J2238" s="57" t="s">
        <v>7895</v>
      </c>
      <c r="K2238" s="57" t="s">
        <v>5620</v>
      </c>
    </row>
    <row r="2239" customFormat="false" ht="55.95" hidden="false" customHeight="false" outlineLevel="0" collapsed="false">
      <c r="D2239" s="60" t="s">
        <v>7896</v>
      </c>
      <c r="E2239" s="60" t="s">
        <v>7897</v>
      </c>
      <c r="F2239" s="62"/>
      <c r="G2239" s="57" t="s">
        <v>7898</v>
      </c>
      <c r="H2239" s="57" t="s">
        <v>3792</v>
      </c>
      <c r="I2239" s="39"/>
      <c r="J2239" s="57" t="s">
        <v>3792</v>
      </c>
      <c r="K2239" s="57" t="s">
        <v>3792</v>
      </c>
    </row>
    <row r="2240" customFormat="false" ht="45.05" hidden="false" customHeight="false" outlineLevel="0" collapsed="false">
      <c r="F2240" s="0" t="s">
        <v>5334</v>
      </c>
      <c r="G2240" s="57" t="s">
        <v>7899</v>
      </c>
      <c r="H2240" s="57" t="s">
        <v>7896</v>
      </c>
      <c r="I2240" s="34" t="s">
        <v>40</v>
      </c>
      <c r="J2240" s="57" t="s">
        <v>7900</v>
      </c>
      <c r="K2240" s="57" t="s">
        <v>5625</v>
      </c>
    </row>
    <row r="2241" customFormat="false" ht="66.85" hidden="false" customHeight="false" outlineLevel="0" collapsed="false">
      <c r="D2241" s="60" t="s">
        <v>7901</v>
      </c>
      <c r="E2241" s="60" t="s">
        <v>7902</v>
      </c>
      <c r="F2241" s="62"/>
      <c r="G2241" s="57" t="s">
        <v>7903</v>
      </c>
      <c r="H2241" s="57" t="s">
        <v>3792</v>
      </c>
      <c r="I2241" s="34"/>
      <c r="J2241" s="57" t="s">
        <v>3792</v>
      </c>
      <c r="K2241" s="57" t="s">
        <v>3792</v>
      </c>
    </row>
    <row r="2242" customFormat="false" ht="55.95" hidden="false" customHeight="false" outlineLevel="0" collapsed="false">
      <c r="F2242" s="0" t="s">
        <v>5334</v>
      </c>
      <c r="G2242" s="57" t="s">
        <v>7904</v>
      </c>
      <c r="H2242" s="57" t="s">
        <v>7901</v>
      </c>
      <c r="I2242" s="39" t="s">
        <v>67</v>
      </c>
      <c r="J2242" s="57" t="s">
        <v>7905</v>
      </c>
      <c r="K2242" s="57" t="s">
        <v>5630</v>
      </c>
    </row>
    <row r="2243" customFormat="false" ht="66.85" hidden="false" customHeight="false" outlineLevel="0" collapsed="false">
      <c r="D2243" s="60" t="s">
        <v>7906</v>
      </c>
      <c r="E2243" s="60" t="s">
        <v>7907</v>
      </c>
      <c r="F2243" s="62"/>
      <c r="G2243" s="57" t="s">
        <v>7908</v>
      </c>
      <c r="H2243" s="57" t="s">
        <v>3792</v>
      </c>
      <c r="I2243" s="39"/>
      <c r="J2243" s="57" t="s">
        <v>3792</v>
      </c>
      <c r="K2243" s="57" t="s">
        <v>3792</v>
      </c>
    </row>
    <row r="2244" customFormat="false" ht="55.95" hidden="false" customHeight="false" outlineLevel="0" collapsed="false">
      <c r="F2244" s="0" t="s">
        <v>5342</v>
      </c>
      <c r="G2244" s="57" t="s">
        <v>7909</v>
      </c>
      <c r="H2244" s="57" t="s">
        <v>7906</v>
      </c>
      <c r="I2244" s="37" t="s">
        <v>50</v>
      </c>
      <c r="J2244" s="57" t="s">
        <v>7910</v>
      </c>
      <c r="K2244" s="57" t="s">
        <v>5636</v>
      </c>
    </row>
    <row r="2245" customFormat="false" ht="45.05" hidden="false" customHeight="false" outlineLevel="0" collapsed="false">
      <c r="C2245" s="64" t="s">
        <v>7911</v>
      </c>
      <c r="D2245" s="66" t="s">
        <v>7912</v>
      </c>
      <c r="E2245" s="66" t="s">
        <v>7913</v>
      </c>
      <c r="F2245" s="65"/>
      <c r="G2245" s="57" t="s">
        <v>7914</v>
      </c>
      <c r="H2245" s="57" t="s">
        <v>3792</v>
      </c>
      <c r="I2245" s="37"/>
      <c r="J2245" s="57" t="s">
        <v>3792</v>
      </c>
      <c r="K2245" s="57" t="s">
        <v>3792</v>
      </c>
    </row>
    <row r="2246" customFormat="false" ht="55.95" hidden="false" customHeight="false" outlineLevel="0" collapsed="false">
      <c r="F2246" s="0" t="s">
        <v>5342</v>
      </c>
      <c r="G2246" s="57" t="s">
        <v>7915</v>
      </c>
      <c r="H2246" s="57" t="s">
        <v>7912</v>
      </c>
      <c r="I2246" s="37" t="s">
        <v>50</v>
      </c>
      <c r="J2246" s="57" t="s">
        <v>7916</v>
      </c>
      <c r="K2246" s="57" t="s">
        <v>5641</v>
      </c>
    </row>
    <row r="2247" customFormat="false" ht="45.05" hidden="false" customHeight="false" outlineLevel="0" collapsed="false">
      <c r="D2247" s="60" t="s">
        <v>7917</v>
      </c>
      <c r="E2247" s="60" t="s">
        <v>7918</v>
      </c>
      <c r="F2247" s="62"/>
      <c r="G2247" s="57" t="s">
        <v>7919</v>
      </c>
      <c r="H2247" s="57" t="s">
        <v>3792</v>
      </c>
      <c r="I2247" s="37"/>
      <c r="J2247" s="57" t="s">
        <v>3792</v>
      </c>
      <c r="K2247" s="57" t="s">
        <v>3792</v>
      </c>
    </row>
    <row r="2248" customFormat="false" ht="66.85" hidden="false" customHeight="false" outlineLevel="0" collapsed="false">
      <c r="F2248" s="0" t="s">
        <v>5334</v>
      </c>
      <c r="G2248" s="57" t="s">
        <v>7920</v>
      </c>
      <c r="H2248" s="57" t="s">
        <v>7917</v>
      </c>
      <c r="I2248" s="39" t="s">
        <v>67</v>
      </c>
      <c r="J2248" s="57" t="s">
        <v>7921</v>
      </c>
      <c r="K2248" s="57" t="s">
        <v>5646</v>
      </c>
    </row>
    <row r="2249" customFormat="false" ht="34.2" hidden="false" customHeight="false" outlineLevel="0" collapsed="false">
      <c r="D2249" s="60" t="s">
        <v>7922</v>
      </c>
      <c r="E2249" s="60" t="s">
        <v>7923</v>
      </c>
      <c r="F2249" s="62"/>
      <c r="G2249" s="57" t="s">
        <v>7924</v>
      </c>
      <c r="H2249" s="57" t="s">
        <v>3792</v>
      </c>
      <c r="I2249" s="39"/>
      <c r="J2249" s="57" t="s">
        <v>3792</v>
      </c>
      <c r="K2249" s="57" t="s">
        <v>3792</v>
      </c>
    </row>
    <row r="2250" customFormat="false" ht="34.2" hidden="false" customHeight="false" outlineLevel="0" collapsed="false">
      <c r="F2250" s="0" t="s">
        <v>5342</v>
      </c>
      <c r="G2250" s="57" t="s">
        <v>7925</v>
      </c>
      <c r="H2250" s="57" t="s">
        <v>7922</v>
      </c>
      <c r="I2250" s="34" t="s">
        <v>40</v>
      </c>
      <c r="J2250" s="57" t="s">
        <v>7926</v>
      </c>
      <c r="K2250" s="57" t="s">
        <v>5651</v>
      </c>
    </row>
    <row r="2251" customFormat="false" ht="45.05" hidden="false" customHeight="false" outlineLevel="0" collapsed="false">
      <c r="D2251" s="60" t="s">
        <v>7927</v>
      </c>
      <c r="E2251" s="60" t="s">
        <v>7928</v>
      </c>
      <c r="F2251" s="62"/>
      <c r="G2251" s="57" t="s">
        <v>7929</v>
      </c>
      <c r="H2251" s="57" t="s">
        <v>3792</v>
      </c>
      <c r="I2251" s="34"/>
      <c r="J2251" s="57" t="s">
        <v>3792</v>
      </c>
      <c r="K2251" s="57" t="s">
        <v>3792</v>
      </c>
    </row>
    <row r="2252" customFormat="false" ht="45.05" hidden="false" customHeight="false" outlineLevel="0" collapsed="false">
      <c r="F2252" s="0" t="s">
        <v>5334</v>
      </c>
      <c r="G2252" s="57" t="s">
        <v>7930</v>
      </c>
      <c r="H2252" s="57" t="s">
        <v>7927</v>
      </c>
      <c r="I2252" s="39" t="s">
        <v>67</v>
      </c>
      <c r="J2252" s="57" t="s">
        <v>7931</v>
      </c>
      <c r="K2252" s="57" t="s">
        <v>5656</v>
      </c>
    </row>
    <row r="2253" customFormat="false" ht="55.95" hidden="false" customHeight="false" outlineLevel="0" collapsed="false">
      <c r="D2253" s="60" t="s">
        <v>7932</v>
      </c>
      <c r="E2253" s="60" t="s">
        <v>7933</v>
      </c>
      <c r="F2253" s="62"/>
      <c r="G2253" s="57" t="s">
        <v>7934</v>
      </c>
      <c r="H2253" s="57" t="s">
        <v>3792</v>
      </c>
      <c r="I2253" s="39"/>
      <c r="J2253" s="57" t="s">
        <v>3792</v>
      </c>
      <c r="K2253" s="57" t="s">
        <v>3792</v>
      </c>
    </row>
    <row r="2254" customFormat="false" ht="55.95" hidden="false" customHeight="false" outlineLevel="0" collapsed="false">
      <c r="F2254" s="0" t="s">
        <v>5342</v>
      </c>
      <c r="G2254" s="57" t="s">
        <v>7935</v>
      </c>
      <c r="H2254" s="57" t="s">
        <v>7932</v>
      </c>
      <c r="I2254" s="37" t="s">
        <v>50</v>
      </c>
      <c r="J2254" s="57" t="s">
        <v>7936</v>
      </c>
      <c r="K2254" s="57" t="s">
        <v>5662</v>
      </c>
    </row>
    <row r="2255" customFormat="false" ht="34.2" hidden="false" customHeight="false" outlineLevel="0" collapsed="false">
      <c r="C2255" s="70" t="s">
        <v>7937</v>
      </c>
      <c r="D2255" s="66" t="s">
        <v>7938</v>
      </c>
      <c r="E2255" s="66" t="s">
        <v>7939</v>
      </c>
      <c r="F2255" s="65"/>
      <c r="G2255" s="57" t="s">
        <v>7940</v>
      </c>
      <c r="H2255" s="57" t="s">
        <v>3792</v>
      </c>
      <c r="I2255" s="37"/>
      <c r="J2255" s="57" t="s">
        <v>3792</v>
      </c>
      <c r="K2255" s="57" t="s">
        <v>3792</v>
      </c>
    </row>
    <row r="2256" customFormat="false" ht="34.2" hidden="false" customHeight="false" outlineLevel="0" collapsed="false">
      <c r="F2256" s="0" t="s">
        <v>5334</v>
      </c>
      <c r="G2256" s="57" t="s">
        <v>7941</v>
      </c>
      <c r="H2256" s="57" t="s">
        <v>7938</v>
      </c>
      <c r="I2256" s="37" t="s">
        <v>50</v>
      </c>
      <c r="J2256" s="57" t="s">
        <v>7942</v>
      </c>
      <c r="K2256" s="57" t="s">
        <v>5667</v>
      </c>
    </row>
    <row r="2257" customFormat="false" ht="55.95" hidden="false" customHeight="false" outlineLevel="0" collapsed="false">
      <c r="D2257" s="60" t="s">
        <v>7943</v>
      </c>
      <c r="E2257" s="60" t="s">
        <v>7944</v>
      </c>
      <c r="F2257" s="62"/>
      <c r="G2257" s="57" t="s">
        <v>7945</v>
      </c>
      <c r="H2257" s="57" t="s">
        <v>3792</v>
      </c>
      <c r="I2257" s="37"/>
      <c r="J2257" s="57" t="s">
        <v>3792</v>
      </c>
      <c r="K2257" s="57" t="s">
        <v>3792</v>
      </c>
    </row>
    <row r="2258" customFormat="false" ht="21.75" hidden="false" customHeight="false" outlineLevel="0" collapsed="false">
      <c r="F2258" s="0" t="s">
        <v>5334</v>
      </c>
      <c r="G2258" s="57" t="s">
        <v>7946</v>
      </c>
      <c r="H2258" s="57" t="s">
        <v>7943</v>
      </c>
      <c r="I2258" s="39" t="s">
        <v>67</v>
      </c>
      <c r="J2258" s="57" t="s">
        <v>7947</v>
      </c>
      <c r="K2258" s="57" t="s">
        <v>5672</v>
      </c>
    </row>
    <row r="2259" customFormat="false" ht="34.2" hidden="false" customHeight="false" outlineLevel="0" collapsed="false">
      <c r="D2259" s="60" t="s">
        <v>7948</v>
      </c>
      <c r="E2259" s="60" t="s">
        <v>7949</v>
      </c>
      <c r="F2259" s="62"/>
      <c r="G2259" s="57" t="s">
        <v>7950</v>
      </c>
      <c r="H2259" s="57" t="s">
        <v>3792</v>
      </c>
      <c r="I2259" s="39"/>
      <c r="J2259" s="57" t="s">
        <v>3792</v>
      </c>
      <c r="K2259" s="57" t="s">
        <v>3792</v>
      </c>
    </row>
    <row r="2260" customFormat="false" ht="45.05" hidden="false" customHeight="false" outlineLevel="0" collapsed="false">
      <c r="F2260" s="0" t="s">
        <v>5342</v>
      </c>
      <c r="G2260" s="57" t="s">
        <v>7951</v>
      </c>
      <c r="H2260" s="57" t="s">
        <v>7948</v>
      </c>
      <c r="I2260" s="34" t="s">
        <v>40</v>
      </c>
      <c r="J2260" s="57" t="s">
        <v>7952</v>
      </c>
      <c r="K2260" s="57" t="s">
        <v>5677</v>
      </c>
    </row>
    <row r="2261" customFormat="false" ht="45.05" hidden="false" customHeight="false" outlineLevel="0" collapsed="false">
      <c r="D2261" s="60" t="s">
        <v>7953</v>
      </c>
      <c r="E2261" s="60" t="s">
        <v>7954</v>
      </c>
      <c r="F2261" s="62"/>
      <c r="G2261" s="57" t="s">
        <v>7955</v>
      </c>
      <c r="H2261" s="57" t="s">
        <v>3792</v>
      </c>
      <c r="I2261" s="34"/>
      <c r="J2261" s="57" t="s">
        <v>3792</v>
      </c>
      <c r="K2261" s="57" t="s">
        <v>3792</v>
      </c>
    </row>
    <row r="2262" customFormat="false" ht="55.95" hidden="false" customHeight="false" outlineLevel="0" collapsed="false">
      <c r="F2262" s="0" t="s">
        <v>5334</v>
      </c>
      <c r="G2262" s="57" t="s">
        <v>7956</v>
      </c>
      <c r="H2262" s="57" t="s">
        <v>7953</v>
      </c>
      <c r="I2262" s="39" t="s">
        <v>67</v>
      </c>
      <c r="J2262" s="57" t="s">
        <v>7957</v>
      </c>
      <c r="K2262" s="57" t="s">
        <v>5682</v>
      </c>
    </row>
    <row r="2263" customFormat="false" ht="55.95" hidden="false" customHeight="false" outlineLevel="0" collapsed="false">
      <c r="D2263" s="60" t="s">
        <v>7958</v>
      </c>
      <c r="E2263" s="60" t="s">
        <v>7959</v>
      </c>
      <c r="F2263" s="62"/>
      <c r="G2263" s="57" t="s">
        <v>7960</v>
      </c>
      <c r="H2263" s="57" t="s">
        <v>3792</v>
      </c>
      <c r="I2263" s="39"/>
      <c r="J2263" s="57" t="s">
        <v>3792</v>
      </c>
      <c r="K2263" s="57" t="s">
        <v>3792</v>
      </c>
    </row>
    <row r="2264" customFormat="false" ht="55.95" hidden="false" customHeight="false" outlineLevel="0" collapsed="false">
      <c r="F2264" s="0" t="s">
        <v>5334</v>
      </c>
      <c r="G2264" s="57" t="s">
        <v>7961</v>
      </c>
      <c r="H2264" s="57" t="s">
        <v>7958</v>
      </c>
      <c r="I2264" s="37" t="s">
        <v>50</v>
      </c>
      <c r="J2264" s="57" t="s">
        <v>7962</v>
      </c>
      <c r="K2264" s="57" t="s">
        <v>5689</v>
      </c>
    </row>
    <row r="2265" customFormat="false" ht="45.05" hidden="false" customHeight="false" outlineLevel="0" collapsed="false">
      <c r="C2265" s="70" t="s">
        <v>7963</v>
      </c>
      <c r="D2265" s="66" t="s">
        <v>7964</v>
      </c>
      <c r="E2265" s="66" t="s">
        <v>7965</v>
      </c>
      <c r="F2265" s="65"/>
      <c r="G2265" s="57" t="s">
        <v>7966</v>
      </c>
      <c r="H2265" s="57" t="s">
        <v>3792</v>
      </c>
      <c r="I2265" s="37"/>
      <c r="K2265" s="57" t="s">
        <v>3792</v>
      </c>
    </row>
    <row r="2266" customFormat="false" ht="45.05" hidden="false" customHeight="false" outlineLevel="0" collapsed="false">
      <c r="F2266" s="0" t="s">
        <v>5342</v>
      </c>
      <c r="G2266" s="57" t="s">
        <v>7967</v>
      </c>
      <c r="H2266" s="57" t="s">
        <v>7964</v>
      </c>
      <c r="I2266" s="37" t="s">
        <v>50</v>
      </c>
      <c r="J2266" s="57" t="s">
        <v>7968</v>
      </c>
      <c r="K2266" s="57" t="s">
        <v>5694</v>
      </c>
    </row>
    <row r="2267" customFormat="false" ht="66.85" hidden="false" customHeight="false" outlineLevel="0" collapsed="false">
      <c r="D2267" s="60" t="s">
        <v>7969</v>
      </c>
      <c r="E2267" s="60" t="s">
        <v>7970</v>
      </c>
      <c r="F2267" s="62"/>
      <c r="G2267" s="57" t="s">
        <v>7971</v>
      </c>
      <c r="H2267" s="57" t="s">
        <v>3792</v>
      </c>
      <c r="I2267" s="37"/>
      <c r="J2267" s="57" t="s">
        <v>3792</v>
      </c>
      <c r="K2267" s="57" t="s">
        <v>3792</v>
      </c>
    </row>
    <row r="2268" customFormat="false" ht="34.2" hidden="false" customHeight="false" outlineLevel="0" collapsed="false">
      <c r="F2268" s="0" t="s">
        <v>5342</v>
      </c>
      <c r="G2268" s="57" t="s">
        <v>7972</v>
      </c>
      <c r="H2268" s="57" t="s">
        <v>7969</v>
      </c>
      <c r="I2268" s="39" t="s">
        <v>67</v>
      </c>
      <c r="J2268" s="57" t="s">
        <v>7973</v>
      </c>
      <c r="K2268" s="57" t="s">
        <v>5699</v>
      </c>
    </row>
    <row r="2269" customFormat="false" ht="55.95" hidden="false" customHeight="false" outlineLevel="0" collapsed="false">
      <c r="D2269" s="60" t="s">
        <v>7974</v>
      </c>
      <c r="E2269" s="60" t="s">
        <v>7975</v>
      </c>
      <c r="F2269" s="62"/>
      <c r="G2269" s="57" t="s">
        <v>7976</v>
      </c>
      <c r="H2269" s="57" t="s">
        <v>3792</v>
      </c>
      <c r="I2269" s="39"/>
      <c r="J2269" s="57" t="s">
        <v>3792</v>
      </c>
      <c r="K2269" s="57" t="s">
        <v>3792</v>
      </c>
    </row>
    <row r="2270" customFormat="false" ht="45.05" hidden="false" customHeight="false" outlineLevel="0" collapsed="false">
      <c r="F2270" s="0" t="s">
        <v>5342</v>
      </c>
      <c r="G2270" s="57" t="s">
        <v>7977</v>
      </c>
      <c r="H2270" s="57" t="s">
        <v>7974</v>
      </c>
      <c r="I2270" s="34" t="s">
        <v>40</v>
      </c>
      <c r="J2270" s="57" t="s">
        <v>7978</v>
      </c>
      <c r="K2270" s="57" t="s">
        <v>5704</v>
      </c>
    </row>
    <row r="2271" customFormat="false" ht="66.85" hidden="false" customHeight="false" outlineLevel="0" collapsed="false">
      <c r="D2271" s="60" t="s">
        <v>7979</v>
      </c>
      <c r="E2271" s="60" t="s">
        <v>7980</v>
      </c>
      <c r="F2271" s="62"/>
      <c r="G2271" s="57" t="s">
        <v>7981</v>
      </c>
      <c r="H2271" s="57" t="s">
        <v>3792</v>
      </c>
      <c r="I2271" s="34"/>
      <c r="J2271" s="57" t="s">
        <v>3792</v>
      </c>
      <c r="K2271" s="57" t="s">
        <v>3792</v>
      </c>
    </row>
    <row r="2272" customFormat="false" ht="66.85" hidden="false" customHeight="false" outlineLevel="0" collapsed="false">
      <c r="F2272" s="0" t="s">
        <v>5334</v>
      </c>
      <c r="G2272" s="57" t="s">
        <v>7982</v>
      </c>
      <c r="H2272" s="57" t="s">
        <v>7979</v>
      </c>
      <c r="I2272" s="39" t="s">
        <v>67</v>
      </c>
      <c r="J2272" s="57" t="s">
        <v>7983</v>
      </c>
      <c r="K2272" s="57" t="s">
        <v>5709</v>
      </c>
    </row>
    <row r="2273" customFormat="false" ht="66.85" hidden="false" customHeight="false" outlineLevel="0" collapsed="false">
      <c r="D2273" s="60" t="s">
        <v>7984</v>
      </c>
      <c r="E2273" s="60" t="s">
        <v>7985</v>
      </c>
      <c r="F2273" s="62"/>
      <c r="G2273" s="57" t="s">
        <v>7986</v>
      </c>
      <c r="H2273" s="57" t="s">
        <v>3792</v>
      </c>
      <c r="I2273" s="39"/>
      <c r="J2273" s="57" t="s">
        <v>3792</v>
      </c>
      <c r="K2273" s="57" t="s">
        <v>3792</v>
      </c>
    </row>
    <row r="2274" customFormat="false" ht="90.15" hidden="false" customHeight="false" outlineLevel="0" collapsed="false">
      <c r="F2274" s="0" t="s">
        <v>5342</v>
      </c>
      <c r="G2274" s="57" t="s">
        <v>7987</v>
      </c>
      <c r="H2274" s="57" t="s">
        <v>7984</v>
      </c>
      <c r="I2274" s="37" t="s">
        <v>50</v>
      </c>
      <c r="J2274" s="57" t="s">
        <v>7988</v>
      </c>
      <c r="K2274" s="57" t="s">
        <v>5715</v>
      </c>
    </row>
    <row r="2275" customFormat="false" ht="45.05" hidden="false" customHeight="false" outlineLevel="0" collapsed="false">
      <c r="C2275" s="64" t="s">
        <v>7989</v>
      </c>
      <c r="D2275" s="66" t="s">
        <v>7990</v>
      </c>
      <c r="E2275" s="66" t="s">
        <v>7991</v>
      </c>
      <c r="F2275" s="65"/>
      <c r="G2275" s="57" t="s">
        <v>7992</v>
      </c>
      <c r="H2275" s="57" t="s">
        <v>3792</v>
      </c>
      <c r="I2275" s="37"/>
      <c r="J2275" s="57" t="s">
        <v>3792</v>
      </c>
      <c r="K2275" s="57" t="s">
        <v>3792</v>
      </c>
    </row>
    <row r="2276" customFormat="false" ht="45.05" hidden="false" customHeight="false" outlineLevel="0" collapsed="false">
      <c r="F2276" s="0" t="s">
        <v>5334</v>
      </c>
      <c r="G2276" s="57" t="s">
        <v>7993</v>
      </c>
      <c r="H2276" s="57" t="s">
        <v>7990</v>
      </c>
      <c r="I2276" s="37" t="s">
        <v>50</v>
      </c>
      <c r="J2276" s="57" t="s">
        <v>7994</v>
      </c>
      <c r="K2276" s="57" t="s">
        <v>5720</v>
      </c>
    </row>
    <row r="2277" customFormat="false" ht="34.2" hidden="false" customHeight="false" outlineLevel="0" collapsed="false">
      <c r="D2277" s="60" t="s">
        <v>7995</v>
      </c>
      <c r="E2277" s="60" t="s">
        <v>7996</v>
      </c>
      <c r="F2277" s="62"/>
      <c r="G2277" s="57" t="s">
        <v>7997</v>
      </c>
      <c r="H2277" s="57" t="s">
        <v>3792</v>
      </c>
      <c r="I2277" s="37"/>
      <c r="J2277" s="57" t="s">
        <v>3792</v>
      </c>
      <c r="K2277" s="57" t="s">
        <v>3792</v>
      </c>
    </row>
    <row r="2278" customFormat="false" ht="21.75" hidden="false" customHeight="false" outlineLevel="0" collapsed="false">
      <c r="F2278" s="0" t="s">
        <v>5342</v>
      </c>
      <c r="G2278" s="57" t="s">
        <v>7998</v>
      </c>
      <c r="H2278" s="57" t="s">
        <v>7995</v>
      </c>
      <c r="I2278" s="39" t="s">
        <v>67</v>
      </c>
      <c r="J2278" s="57" t="s">
        <v>7999</v>
      </c>
      <c r="K2278" s="57" t="s">
        <v>5725</v>
      </c>
    </row>
    <row r="2279" customFormat="false" ht="45.05" hidden="false" customHeight="false" outlineLevel="0" collapsed="false">
      <c r="D2279" s="60" t="s">
        <v>8000</v>
      </c>
      <c r="E2279" s="60" t="s">
        <v>8001</v>
      </c>
      <c r="F2279" s="62"/>
      <c r="G2279" s="57" t="s">
        <v>8002</v>
      </c>
      <c r="H2279" s="57" t="s">
        <v>3792</v>
      </c>
      <c r="I2279" s="39"/>
      <c r="J2279" s="57" t="s">
        <v>3792</v>
      </c>
      <c r="K2279" s="57" t="s">
        <v>3792</v>
      </c>
    </row>
    <row r="2280" customFormat="false" ht="77.7" hidden="false" customHeight="false" outlineLevel="0" collapsed="false">
      <c r="F2280" s="0" t="s">
        <v>5334</v>
      </c>
      <c r="G2280" s="57" t="s">
        <v>8003</v>
      </c>
      <c r="H2280" s="57" t="s">
        <v>8000</v>
      </c>
      <c r="I2280" s="34" t="s">
        <v>40</v>
      </c>
      <c r="J2280" s="57" t="s">
        <v>8004</v>
      </c>
      <c r="K2280" s="57" t="s">
        <v>5730</v>
      </c>
    </row>
    <row r="2281" customFormat="false" ht="34.2" hidden="false" customHeight="false" outlineLevel="0" collapsed="false">
      <c r="D2281" s="60" t="s">
        <v>8005</v>
      </c>
      <c r="E2281" s="60" t="s">
        <v>8006</v>
      </c>
      <c r="F2281" s="62"/>
      <c r="G2281" s="57" t="s">
        <v>8007</v>
      </c>
      <c r="H2281" s="57" t="s">
        <v>3792</v>
      </c>
      <c r="I2281" s="34"/>
      <c r="J2281" s="57" t="s">
        <v>3792</v>
      </c>
      <c r="K2281" s="57" t="s">
        <v>3792</v>
      </c>
    </row>
    <row r="2282" customFormat="false" ht="45.05" hidden="false" customHeight="false" outlineLevel="0" collapsed="false">
      <c r="F2282" s="0" t="s">
        <v>5334</v>
      </c>
      <c r="G2282" s="57" t="s">
        <v>8008</v>
      </c>
      <c r="H2282" s="57" t="s">
        <v>8005</v>
      </c>
      <c r="I2282" s="39" t="s">
        <v>67</v>
      </c>
      <c r="J2282" s="57" t="s">
        <v>8009</v>
      </c>
      <c r="K2282" s="57" t="s">
        <v>5736</v>
      </c>
    </row>
    <row r="2283" customFormat="false" ht="55.95" hidden="false" customHeight="false" outlineLevel="0" collapsed="false">
      <c r="D2283" s="60" t="s">
        <v>8010</v>
      </c>
      <c r="E2283" s="60" t="s">
        <v>8011</v>
      </c>
      <c r="F2283" s="62"/>
      <c r="G2283" s="57" t="s">
        <v>8012</v>
      </c>
      <c r="H2283" s="57" t="s">
        <v>3792</v>
      </c>
      <c r="I2283" s="39"/>
      <c r="J2283" s="57" t="s">
        <v>3792</v>
      </c>
      <c r="K2283" s="57" t="s">
        <v>3792</v>
      </c>
    </row>
    <row r="2284" customFormat="false" ht="45.05" hidden="false" customHeight="false" outlineLevel="0" collapsed="false">
      <c r="F2284" s="0" t="s">
        <v>5334</v>
      </c>
      <c r="G2284" s="57" t="s">
        <v>8013</v>
      </c>
      <c r="H2284" s="57" t="s">
        <v>8010</v>
      </c>
      <c r="I2284" s="37" t="s">
        <v>50</v>
      </c>
      <c r="J2284" s="57" t="s">
        <v>8014</v>
      </c>
      <c r="K2284" s="57" t="s">
        <v>5744</v>
      </c>
    </row>
    <row r="2285" customFormat="false" ht="55.95" hidden="false" customHeight="false" outlineLevel="0" collapsed="false">
      <c r="C2285" s="70" t="s">
        <v>8015</v>
      </c>
      <c r="D2285" s="66" t="s">
        <v>8016</v>
      </c>
      <c r="E2285" s="66" t="s">
        <v>8017</v>
      </c>
      <c r="F2285" s="65"/>
      <c r="G2285" s="57" t="s">
        <v>8018</v>
      </c>
      <c r="H2285" s="57" t="s">
        <v>3792</v>
      </c>
      <c r="I2285" s="37"/>
      <c r="J2285" s="57" t="s">
        <v>3792</v>
      </c>
      <c r="K2285" s="57" t="s">
        <v>3792</v>
      </c>
    </row>
    <row r="2286" customFormat="false" ht="34.2" hidden="false" customHeight="false" outlineLevel="0" collapsed="false">
      <c r="F2286" s="0" t="s">
        <v>5342</v>
      </c>
      <c r="G2286" s="57" t="s">
        <v>8019</v>
      </c>
      <c r="H2286" s="57" t="s">
        <v>8016</v>
      </c>
      <c r="I2286" s="37" t="s">
        <v>50</v>
      </c>
      <c r="J2286" s="57" t="s">
        <v>8020</v>
      </c>
      <c r="K2286" s="57" t="s">
        <v>5751</v>
      </c>
    </row>
    <row r="2287" customFormat="false" ht="55.95" hidden="false" customHeight="false" outlineLevel="0" collapsed="false">
      <c r="D2287" s="60" t="s">
        <v>8021</v>
      </c>
      <c r="E2287" s="60" t="s">
        <v>8022</v>
      </c>
      <c r="F2287" s="62"/>
      <c r="G2287" s="57" t="s">
        <v>8023</v>
      </c>
      <c r="H2287" s="57" t="s">
        <v>3792</v>
      </c>
      <c r="I2287" s="37"/>
      <c r="J2287" s="57" t="s">
        <v>3792</v>
      </c>
      <c r="K2287" s="57" t="s">
        <v>3792</v>
      </c>
    </row>
    <row r="2288" customFormat="false" ht="55.95" hidden="false" customHeight="false" outlineLevel="0" collapsed="false">
      <c r="F2288" s="0" t="s">
        <v>5334</v>
      </c>
      <c r="G2288" s="57" t="s">
        <v>8024</v>
      </c>
      <c r="H2288" s="57" t="s">
        <v>8021</v>
      </c>
      <c r="I2288" s="39" t="s">
        <v>67</v>
      </c>
      <c r="J2288" s="57" t="s">
        <v>8025</v>
      </c>
      <c r="K2288" s="57" t="s">
        <v>5758</v>
      </c>
    </row>
    <row r="2289" customFormat="false" ht="45.05" hidden="false" customHeight="false" outlineLevel="0" collapsed="false">
      <c r="D2289" s="60" t="s">
        <v>8026</v>
      </c>
      <c r="E2289" s="60" t="s">
        <v>8027</v>
      </c>
      <c r="F2289" s="62"/>
      <c r="G2289" s="57" t="s">
        <v>8028</v>
      </c>
      <c r="H2289" s="57" t="s">
        <v>3792</v>
      </c>
      <c r="I2289" s="39"/>
      <c r="J2289" s="57" t="s">
        <v>3792</v>
      </c>
      <c r="K2289" s="57" t="s">
        <v>3792</v>
      </c>
    </row>
    <row r="2290" customFormat="false" ht="55.95" hidden="false" customHeight="false" outlineLevel="0" collapsed="false">
      <c r="F2290" s="0" t="s">
        <v>5334</v>
      </c>
      <c r="G2290" s="57" t="s">
        <v>8029</v>
      </c>
      <c r="H2290" s="57" t="s">
        <v>8026</v>
      </c>
      <c r="I2290" s="34" t="s">
        <v>40</v>
      </c>
      <c r="J2290" s="57" t="s">
        <v>8030</v>
      </c>
      <c r="K2290" s="57" t="s">
        <v>5765</v>
      </c>
    </row>
    <row r="2291" customFormat="false" ht="55.95" hidden="false" customHeight="false" outlineLevel="0" collapsed="false">
      <c r="D2291" s="60" t="s">
        <v>8031</v>
      </c>
      <c r="E2291" s="60" t="s">
        <v>8032</v>
      </c>
      <c r="F2291" s="62"/>
      <c r="G2291" s="57" t="s">
        <v>8033</v>
      </c>
      <c r="H2291" s="57" t="s">
        <v>3792</v>
      </c>
      <c r="I2291" s="34"/>
      <c r="J2291" s="57" t="s">
        <v>3792</v>
      </c>
      <c r="K2291" s="57" t="s">
        <v>3792</v>
      </c>
    </row>
    <row r="2292" customFormat="false" ht="45.05" hidden="false" customHeight="false" outlineLevel="0" collapsed="false">
      <c r="F2292" s="0" t="s">
        <v>5342</v>
      </c>
      <c r="G2292" s="57" t="s">
        <v>8034</v>
      </c>
      <c r="H2292" s="57" t="s">
        <v>8031</v>
      </c>
      <c r="I2292" s="39" t="s">
        <v>67</v>
      </c>
      <c r="J2292" s="57" t="s">
        <v>8035</v>
      </c>
      <c r="K2292" s="57" t="s">
        <v>5772</v>
      </c>
    </row>
    <row r="2293" customFormat="false" ht="45.05" hidden="false" customHeight="false" outlineLevel="0" collapsed="false">
      <c r="D2293" s="60" t="s">
        <v>8036</v>
      </c>
      <c r="E2293" s="60" t="s">
        <v>8037</v>
      </c>
      <c r="F2293" s="62"/>
      <c r="G2293" s="57" t="s">
        <v>8038</v>
      </c>
      <c r="H2293" s="57" t="s">
        <v>3792</v>
      </c>
      <c r="I2293" s="39"/>
      <c r="J2293" s="57" t="s">
        <v>3792</v>
      </c>
      <c r="K2293" s="57" t="s">
        <v>3792</v>
      </c>
    </row>
    <row r="2294" customFormat="false" ht="55.95" hidden="false" customHeight="false" outlineLevel="0" collapsed="false">
      <c r="F2294" s="0" t="s">
        <v>5334</v>
      </c>
      <c r="G2294" s="57" t="s">
        <v>8039</v>
      </c>
      <c r="H2294" s="57" t="s">
        <v>8036</v>
      </c>
      <c r="I2294" s="37" t="s">
        <v>50</v>
      </c>
      <c r="J2294" s="57" t="s">
        <v>8040</v>
      </c>
      <c r="K2294" s="57" t="s">
        <v>5780</v>
      </c>
    </row>
    <row r="2295" customFormat="false" ht="55.95" hidden="false" customHeight="false" outlineLevel="0" collapsed="false">
      <c r="B2295" s="67" t="s">
        <v>8041</v>
      </c>
      <c r="C2295" s="71" t="s">
        <v>8042</v>
      </c>
      <c r="D2295" s="68" t="s">
        <v>8043</v>
      </c>
      <c r="E2295" s="68" t="s">
        <v>8044</v>
      </c>
      <c r="F2295" s="69"/>
      <c r="G2295" s="57" t="s">
        <v>8045</v>
      </c>
      <c r="H2295" s="57" t="s">
        <v>3792</v>
      </c>
      <c r="I2295" s="37"/>
      <c r="J2295" s="57" t="s">
        <v>3792</v>
      </c>
      <c r="K2295" s="57" t="s">
        <v>3792</v>
      </c>
    </row>
    <row r="2296" customFormat="false" ht="21.75" hidden="false" customHeight="false" outlineLevel="0" collapsed="false">
      <c r="F2296" s="0" t="s">
        <v>5342</v>
      </c>
      <c r="G2296" s="57" t="s">
        <v>8046</v>
      </c>
      <c r="H2296" s="57" t="s">
        <v>8043</v>
      </c>
      <c r="I2296" s="37" t="s">
        <v>50</v>
      </c>
      <c r="J2296" s="57" t="s">
        <v>8047</v>
      </c>
      <c r="K2296" s="57" t="s">
        <v>5786</v>
      </c>
    </row>
    <row r="2297" customFormat="false" ht="55.95" hidden="false" customHeight="false" outlineLevel="0" collapsed="false">
      <c r="D2297" s="60" t="s">
        <v>8048</v>
      </c>
      <c r="E2297" s="60" t="s">
        <v>8049</v>
      </c>
      <c r="F2297" s="62"/>
      <c r="G2297" s="57" t="s">
        <v>8050</v>
      </c>
      <c r="H2297" s="57" t="s">
        <v>3792</v>
      </c>
      <c r="I2297" s="37"/>
      <c r="J2297" s="57" t="s">
        <v>3792</v>
      </c>
      <c r="K2297" s="57" t="s">
        <v>3792</v>
      </c>
    </row>
    <row r="2298" customFormat="false" ht="45.05" hidden="false" customHeight="false" outlineLevel="0" collapsed="false">
      <c r="F2298" s="0" t="s">
        <v>5334</v>
      </c>
      <c r="G2298" s="57" t="s">
        <v>8051</v>
      </c>
      <c r="H2298" s="57" t="s">
        <v>8048</v>
      </c>
      <c r="I2298" s="39" t="s">
        <v>67</v>
      </c>
      <c r="J2298" s="57" t="s">
        <v>8052</v>
      </c>
      <c r="K2298" s="57" t="s">
        <v>5793</v>
      </c>
    </row>
    <row r="2299" customFormat="false" ht="55.95" hidden="false" customHeight="false" outlineLevel="0" collapsed="false">
      <c r="D2299" s="60" t="s">
        <v>8053</v>
      </c>
      <c r="E2299" s="60" t="s">
        <v>8054</v>
      </c>
      <c r="F2299" s="62"/>
      <c r="G2299" s="57" t="s">
        <v>8055</v>
      </c>
      <c r="H2299" s="57" t="s">
        <v>3792</v>
      </c>
      <c r="I2299" s="39"/>
      <c r="J2299" s="57" t="s">
        <v>3792</v>
      </c>
      <c r="K2299" s="57" t="s">
        <v>3792</v>
      </c>
    </row>
    <row r="2300" customFormat="false" ht="55.95" hidden="false" customHeight="false" outlineLevel="0" collapsed="false">
      <c r="F2300" s="0" t="s">
        <v>5334</v>
      </c>
      <c r="G2300" s="57" t="s">
        <v>8056</v>
      </c>
      <c r="H2300" s="57" t="s">
        <v>8053</v>
      </c>
      <c r="I2300" s="34" t="s">
        <v>40</v>
      </c>
      <c r="J2300" s="57" t="s">
        <v>8057</v>
      </c>
      <c r="K2300" s="57" t="s">
        <v>5800</v>
      </c>
    </row>
    <row r="2301" customFormat="false" ht="34.2" hidden="false" customHeight="false" outlineLevel="0" collapsed="false">
      <c r="D2301" s="60" t="s">
        <v>8058</v>
      </c>
      <c r="E2301" s="60" t="s">
        <v>8059</v>
      </c>
      <c r="F2301" s="62"/>
      <c r="G2301" s="57" t="s">
        <v>8060</v>
      </c>
      <c r="H2301" s="57" t="s">
        <v>3792</v>
      </c>
      <c r="I2301" s="34"/>
      <c r="J2301" s="57" t="s">
        <v>3792</v>
      </c>
      <c r="K2301" s="57" t="s">
        <v>3792</v>
      </c>
    </row>
    <row r="2302" customFormat="false" ht="34.2" hidden="false" customHeight="false" outlineLevel="0" collapsed="false">
      <c r="F2302" s="0" t="s">
        <v>5342</v>
      </c>
      <c r="G2302" s="57" t="s">
        <v>8061</v>
      </c>
      <c r="H2302" s="57" t="s">
        <v>8058</v>
      </c>
      <c r="I2302" s="39" t="s">
        <v>67</v>
      </c>
      <c r="J2302" s="57" t="s">
        <v>8062</v>
      </c>
      <c r="K2302" s="57" t="s">
        <v>5807</v>
      </c>
    </row>
    <row r="2303" customFormat="false" ht="55.95" hidden="false" customHeight="false" outlineLevel="0" collapsed="false">
      <c r="D2303" s="60" t="s">
        <v>8063</v>
      </c>
      <c r="E2303" s="60" t="s">
        <v>8064</v>
      </c>
      <c r="F2303" s="62"/>
      <c r="G2303" s="57" t="s">
        <v>8065</v>
      </c>
      <c r="H2303" s="57" t="s">
        <v>3792</v>
      </c>
      <c r="I2303" s="39"/>
      <c r="J2303" s="57" t="s">
        <v>3792</v>
      </c>
      <c r="K2303" s="57" t="s">
        <v>3792</v>
      </c>
    </row>
    <row r="2304" customFormat="false" ht="34.2" hidden="false" customHeight="false" outlineLevel="0" collapsed="false">
      <c r="F2304" s="0" t="s">
        <v>5342</v>
      </c>
      <c r="G2304" s="57" t="s">
        <v>8066</v>
      </c>
      <c r="H2304" s="57" t="s">
        <v>8063</v>
      </c>
      <c r="I2304" s="37" t="s">
        <v>50</v>
      </c>
      <c r="J2304" s="57" t="s">
        <v>8067</v>
      </c>
      <c r="K2304" s="57" t="s">
        <v>5815</v>
      </c>
    </row>
    <row r="2305" customFormat="false" ht="55.95" hidden="false" customHeight="false" outlineLevel="0" collapsed="false">
      <c r="C2305" s="64" t="s">
        <v>8068</v>
      </c>
      <c r="D2305" s="66" t="s">
        <v>8069</v>
      </c>
      <c r="E2305" s="66" t="s">
        <v>8070</v>
      </c>
      <c r="F2305" s="65"/>
      <c r="G2305" s="57" t="s">
        <v>8071</v>
      </c>
      <c r="H2305" s="57" t="s">
        <v>3792</v>
      </c>
      <c r="I2305" s="37"/>
      <c r="J2305" s="57" t="s">
        <v>3792</v>
      </c>
      <c r="K2305" s="57" t="s">
        <v>3792</v>
      </c>
    </row>
    <row r="2306" customFormat="false" ht="55.95" hidden="false" customHeight="false" outlineLevel="0" collapsed="false">
      <c r="F2306" s="0" t="s">
        <v>5342</v>
      </c>
      <c r="G2306" s="57" t="s">
        <v>8072</v>
      </c>
      <c r="H2306" s="57" t="s">
        <v>8069</v>
      </c>
      <c r="I2306" s="37" t="s">
        <v>50</v>
      </c>
      <c r="J2306" s="57" t="s">
        <v>8073</v>
      </c>
      <c r="K2306" s="57" t="s">
        <v>5822</v>
      </c>
    </row>
    <row r="2307" customFormat="false" ht="55.95" hidden="false" customHeight="false" outlineLevel="0" collapsed="false">
      <c r="D2307" s="60" t="s">
        <v>8074</v>
      </c>
      <c r="E2307" s="60" t="s">
        <v>8075</v>
      </c>
      <c r="F2307" s="62"/>
      <c r="G2307" s="57" t="s">
        <v>8076</v>
      </c>
      <c r="H2307" s="57" t="s">
        <v>3792</v>
      </c>
      <c r="I2307" s="37"/>
      <c r="J2307" s="57" t="s">
        <v>3792</v>
      </c>
      <c r="K2307" s="57" t="s">
        <v>3792</v>
      </c>
    </row>
    <row r="2308" customFormat="false" ht="55.95" hidden="false" customHeight="false" outlineLevel="0" collapsed="false">
      <c r="F2308" s="0" t="s">
        <v>5334</v>
      </c>
      <c r="G2308" s="57" t="s">
        <v>8077</v>
      </c>
      <c r="H2308" s="57" t="s">
        <v>8074</v>
      </c>
      <c r="I2308" s="39" t="s">
        <v>67</v>
      </c>
      <c r="J2308" s="57" t="s">
        <v>8078</v>
      </c>
      <c r="K2308" s="57" t="s">
        <v>5829</v>
      </c>
    </row>
    <row r="2309" customFormat="false" ht="45.05" hidden="false" customHeight="false" outlineLevel="0" collapsed="false">
      <c r="D2309" s="60" t="s">
        <v>8079</v>
      </c>
      <c r="E2309" s="60" t="s">
        <v>8080</v>
      </c>
      <c r="F2309" s="62"/>
      <c r="G2309" s="57" t="s">
        <v>8081</v>
      </c>
      <c r="H2309" s="57" t="s">
        <v>3792</v>
      </c>
      <c r="I2309" s="39"/>
      <c r="J2309" s="57" t="s">
        <v>3792</v>
      </c>
      <c r="K2309" s="57" t="s">
        <v>3792</v>
      </c>
    </row>
    <row r="2310" customFormat="false" ht="45.05" hidden="false" customHeight="false" outlineLevel="0" collapsed="false">
      <c r="F2310" s="0" t="s">
        <v>5342</v>
      </c>
      <c r="G2310" s="57" t="s">
        <v>8082</v>
      </c>
      <c r="H2310" s="57" t="s">
        <v>8079</v>
      </c>
      <c r="I2310" s="34" t="s">
        <v>40</v>
      </c>
      <c r="J2310" s="57" t="s">
        <v>8083</v>
      </c>
      <c r="K2310" s="57" t="s">
        <v>5836</v>
      </c>
    </row>
    <row r="2311" customFormat="false" ht="45.05" hidden="false" customHeight="false" outlineLevel="0" collapsed="false">
      <c r="D2311" s="60" t="s">
        <v>8084</v>
      </c>
      <c r="E2311" s="60" t="s">
        <v>8085</v>
      </c>
      <c r="F2311" s="62"/>
      <c r="G2311" s="57" t="s">
        <v>8086</v>
      </c>
      <c r="H2311" s="57" t="s">
        <v>3792</v>
      </c>
      <c r="I2311" s="34"/>
      <c r="J2311" s="57" t="s">
        <v>3792</v>
      </c>
      <c r="K2311" s="57" t="s">
        <v>3792</v>
      </c>
    </row>
    <row r="2312" customFormat="false" ht="66.85" hidden="false" customHeight="false" outlineLevel="0" collapsed="false">
      <c r="F2312" s="0" t="s">
        <v>5334</v>
      </c>
      <c r="G2312" s="57" t="s">
        <v>8087</v>
      </c>
      <c r="H2312" s="57" t="s">
        <v>8084</v>
      </c>
      <c r="I2312" s="39" t="s">
        <v>67</v>
      </c>
      <c r="J2312" s="57" t="s">
        <v>8088</v>
      </c>
      <c r="K2312" s="57" t="s">
        <v>5843</v>
      </c>
    </row>
    <row r="2313" customFormat="false" ht="45.05" hidden="false" customHeight="false" outlineLevel="0" collapsed="false">
      <c r="D2313" s="60" t="s">
        <v>8089</v>
      </c>
      <c r="E2313" s="60" t="s">
        <v>8090</v>
      </c>
      <c r="F2313" s="62"/>
      <c r="G2313" s="57" t="s">
        <v>8091</v>
      </c>
      <c r="H2313" s="57" t="s">
        <v>3792</v>
      </c>
      <c r="I2313" s="39"/>
      <c r="J2313" s="57" t="s">
        <v>3792</v>
      </c>
      <c r="K2313" s="57" t="s">
        <v>3792</v>
      </c>
    </row>
    <row r="2314" customFormat="false" ht="55.95" hidden="false" customHeight="false" outlineLevel="0" collapsed="false">
      <c r="F2314" s="0" t="s">
        <v>5342</v>
      </c>
      <c r="G2314" s="57" t="s">
        <v>8092</v>
      </c>
      <c r="H2314" s="57" t="s">
        <v>8089</v>
      </c>
      <c r="I2314" s="37" t="s">
        <v>50</v>
      </c>
      <c r="J2314" s="57" t="s">
        <v>8093</v>
      </c>
      <c r="K2314" s="57" t="s">
        <v>5851</v>
      </c>
    </row>
    <row r="2315" customFormat="false" ht="55.95" hidden="false" customHeight="false" outlineLevel="0" collapsed="false">
      <c r="C2315" s="64" t="s">
        <v>8094</v>
      </c>
      <c r="D2315" s="66" t="s">
        <v>8095</v>
      </c>
      <c r="E2315" s="66" t="s">
        <v>8096</v>
      </c>
      <c r="F2315" s="65"/>
      <c r="G2315" s="57" t="s">
        <v>8097</v>
      </c>
      <c r="I2315" s="37"/>
      <c r="J2315" s="57" t="s">
        <v>3792</v>
      </c>
      <c r="K2315" s="57" t="s">
        <v>3792</v>
      </c>
    </row>
    <row r="2316" customFormat="false" ht="55.95" hidden="false" customHeight="false" outlineLevel="0" collapsed="false">
      <c r="F2316" s="0" t="s">
        <v>5334</v>
      </c>
      <c r="G2316" s="57" t="s">
        <v>8098</v>
      </c>
      <c r="H2316" s="57" t="s">
        <v>8095</v>
      </c>
      <c r="I2316" s="37" t="s">
        <v>50</v>
      </c>
      <c r="J2316" s="57" t="s">
        <v>8099</v>
      </c>
      <c r="K2316" s="57" t="s">
        <v>5857</v>
      </c>
    </row>
    <row r="2317" customFormat="false" ht="66.85" hidden="false" customHeight="false" outlineLevel="0" collapsed="false">
      <c r="D2317" s="60" t="s">
        <v>8100</v>
      </c>
      <c r="E2317" s="60" t="s">
        <v>8101</v>
      </c>
      <c r="F2317" s="62"/>
      <c r="G2317" s="57" t="s">
        <v>8102</v>
      </c>
      <c r="H2317" s="57" t="s">
        <v>3792</v>
      </c>
      <c r="I2317" s="37"/>
      <c r="J2317" s="57" t="s">
        <v>3792</v>
      </c>
      <c r="K2317" s="57" t="s">
        <v>3792</v>
      </c>
    </row>
    <row r="2318" customFormat="false" ht="45.05" hidden="false" customHeight="false" outlineLevel="0" collapsed="false">
      <c r="F2318" s="0" t="s">
        <v>5334</v>
      </c>
      <c r="G2318" s="57" t="s">
        <v>8103</v>
      </c>
      <c r="H2318" s="57" t="s">
        <v>8100</v>
      </c>
      <c r="I2318" s="39" t="s">
        <v>67</v>
      </c>
      <c r="J2318" s="57" t="s">
        <v>8104</v>
      </c>
      <c r="K2318" s="57" t="s">
        <v>5863</v>
      </c>
    </row>
    <row r="2319" customFormat="false" ht="34.2" hidden="false" customHeight="false" outlineLevel="0" collapsed="false">
      <c r="D2319" s="60" t="s">
        <v>8105</v>
      </c>
      <c r="E2319" s="60" t="s">
        <v>8106</v>
      </c>
      <c r="F2319" s="62"/>
      <c r="G2319" s="57" t="s">
        <v>8107</v>
      </c>
      <c r="H2319" s="57" t="s">
        <v>3792</v>
      </c>
      <c r="I2319" s="39"/>
      <c r="J2319" s="57" t="s">
        <v>3792</v>
      </c>
      <c r="K2319" s="57" t="s">
        <v>3792</v>
      </c>
    </row>
    <row r="2320" customFormat="false" ht="34.2" hidden="false" customHeight="false" outlineLevel="0" collapsed="false">
      <c r="F2320" s="0" t="s">
        <v>5342</v>
      </c>
      <c r="G2320" s="57" t="s">
        <v>8108</v>
      </c>
      <c r="H2320" s="57" t="s">
        <v>8105</v>
      </c>
      <c r="I2320" s="34" t="s">
        <v>40</v>
      </c>
      <c r="J2320" s="57" t="s">
        <v>8109</v>
      </c>
      <c r="K2320" s="57" t="s">
        <v>5870</v>
      </c>
    </row>
    <row r="2321" customFormat="false" ht="21.75" hidden="false" customHeight="false" outlineLevel="0" collapsed="false">
      <c r="D2321" s="60" t="s">
        <v>8110</v>
      </c>
      <c r="E2321" s="60" t="s">
        <v>8111</v>
      </c>
      <c r="F2321" s="62"/>
      <c r="G2321" s="57" t="s">
        <v>8112</v>
      </c>
      <c r="H2321" s="57" t="s">
        <v>3792</v>
      </c>
      <c r="I2321" s="34"/>
      <c r="J2321" s="57" t="s">
        <v>3792</v>
      </c>
      <c r="K2321" s="57" t="s">
        <v>3792</v>
      </c>
    </row>
    <row r="2322" customFormat="false" ht="34.2" hidden="false" customHeight="false" outlineLevel="0" collapsed="false">
      <c r="F2322" s="0" t="s">
        <v>5342</v>
      </c>
      <c r="G2322" s="57" t="s">
        <v>8113</v>
      </c>
      <c r="H2322" s="57" t="s">
        <v>8110</v>
      </c>
      <c r="I2322" s="39" t="s">
        <v>67</v>
      </c>
      <c r="J2322" s="57" t="s">
        <v>8114</v>
      </c>
      <c r="K2322" s="57" t="s">
        <v>5877</v>
      </c>
    </row>
    <row r="2323" customFormat="false" ht="45.05" hidden="false" customHeight="false" outlineLevel="0" collapsed="false">
      <c r="D2323" s="60" t="s">
        <v>8115</v>
      </c>
      <c r="E2323" s="60" t="s">
        <v>8116</v>
      </c>
      <c r="F2323" s="62"/>
      <c r="G2323" s="57" t="s">
        <v>8117</v>
      </c>
      <c r="H2323" s="57" t="s">
        <v>3792</v>
      </c>
      <c r="I2323" s="39"/>
      <c r="J2323" s="57" t="s">
        <v>3792</v>
      </c>
      <c r="K2323" s="57" t="s">
        <v>3792</v>
      </c>
    </row>
    <row r="2324" customFormat="false" ht="66.85" hidden="false" customHeight="false" outlineLevel="0" collapsed="false">
      <c r="F2324" s="0" t="s">
        <v>5342</v>
      </c>
      <c r="G2324" s="57" t="s">
        <v>8118</v>
      </c>
      <c r="H2324" s="57" t="s">
        <v>8115</v>
      </c>
      <c r="I2324" s="37" t="s">
        <v>50</v>
      </c>
      <c r="J2324" s="57" t="s">
        <v>8119</v>
      </c>
      <c r="K2324" s="57" t="s">
        <v>5885</v>
      </c>
    </row>
    <row r="2325" customFormat="false" ht="55.95" hidden="false" customHeight="false" outlineLevel="0" collapsed="false">
      <c r="C2325" s="70" t="s">
        <v>8120</v>
      </c>
      <c r="D2325" s="66" t="s">
        <v>8121</v>
      </c>
      <c r="E2325" s="66" t="s">
        <v>8122</v>
      </c>
      <c r="F2325" s="65"/>
      <c r="G2325" s="57" t="s">
        <v>8123</v>
      </c>
      <c r="H2325" s="57" t="s">
        <v>3792</v>
      </c>
      <c r="I2325" s="37"/>
      <c r="J2325" s="57" t="s">
        <v>3792</v>
      </c>
      <c r="K2325" s="57" t="s">
        <v>3792</v>
      </c>
    </row>
    <row r="2326" customFormat="false" ht="45.05" hidden="false" customHeight="false" outlineLevel="0" collapsed="false">
      <c r="F2326" s="0" t="s">
        <v>5334</v>
      </c>
      <c r="G2326" s="57" t="s">
        <v>8124</v>
      </c>
      <c r="H2326" s="57" t="s">
        <v>8121</v>
      </c>
      <c r="I2326" s="37" t="s">
        <v>50</v>
      </c>
      <c r="J2326" s="57" t="s">
        <v>8125</v>
      </c>
      <c r="K2326" s="57" t="s">
        <v>5892</v>
      </c>
    </row>
    <row r="2327" customFormat="false" ht="66.85" hidden="false" customHeight="false" outlineLevel="0" collapsed="false">
      <c r="D2327" s="60" t="s">
        <v>8126</v>
      </c>
      <c r="E2327" s="60" t="s">
        <v>8127</v>
      </c>
      <c r="F2327" s="62"/>
      <c r="G2327" s="57" t="s">
        <v>8128</v>
      </c>
      <c r="H2327" s="57" t="s">
        <v>3792</v>
      </c>
      <c r="I2327" s="37"/>
      <c r="J2327" s="57" t="s">
        <v>3792</v>
      </c>
      <c r="K2327" s="57" t="s">
        <v>3792</v>
      </c>
    </row>
    <row r="2328" customFormat="false" ht="45.05" hidden="false" customHeight="false" outlineLevel="0" collapsed="false">
      <c r="F2328" s="0" t="s">
        <v>5342</v>
      </c>
      <c r="G2328" s="57" t="s">
        <v>8129</v>
      </c>
      <c r="H2328" s="57" t="s">
        <v>8126</v>
      </c>
      <c r="I2328" s="39" t="s">
        <v>67</v>
      </c>
      <c r="J2328" s="57" t="s">
        <v>8130</v>
      </c>
      <c r="K2328" s="57" t="s">
        <v>5899</v>
      </c>
    </row>
    <row r="2329" customFormat="false" ht="55.95" hidden="false" customHeight="false" outlineLevel="0" collapsed="false">
      <c r="D2329" s="60" t="s">
        <v>8131</v>
      </c>
      <c r="E2329" s="60" t="s">
        <v>8132</v>
      </c>
      <c r="F2329" s="62"/>
      <c r="G2329" s="57" t="s">
        <v>8133</v>
      </c>
      <c r="H2329" s="57" t="s">
        <v>3792</v>
      </c>
      <c r="I2329" s="39"/>
      <c r="J2329" s="57" t="s">
        <v>3792</v>
      </c>
      <c r="K2329" s="57" t="s">
        <v>3792</v>
      </c>
    </row>
    <row r="2330" customFormat="false" ht="45.05" hidden="false" customHeight="false" outlineLevel="0" collapsed="false">
      <c r="F2330" s="0" t="s">
        <v>5334</v>
      </c>
      <c r="G2330" s="57" t="s">
        <v>8134</v>
      </c>
      <c r="H2330" s="57" t="s">
        <v>8131</v>
      </c>
      <c r="I2330" s="34" t="s">
        <v>40</v>
      </c>
      <c r="J2330" s="57" t="s">
        <v>8135</v>
      </c>
      <c r="K2330" s="57" t="s">
        <v>5906</v>
      </c>
    </row>
    <row r="2331" customFormat="false" ht="55.95" hidden="false" customHeight="false" outlineLevel="0" collapsed="false">
      <c r="D2331" s="60" t="s">
        <v>8136</v>
      </c>
      <c r="E2331" s="60" t="s">
        <v>8137</v>
      </c>
      <c r="F2331" s="62"/>
      <c r="G2331" s="57" t="s">
        <v>8138</v>
      </c>
      <c r="H2331" s="57" t="s">
        <v>3792</v>
      </c>
      <c r="I2331" s="34"/>
      <c r="J2331" s="57" t="s">
        <v>3792</v>
      </c>
      <c r="K2331" s="57" t="s">
        <v>3792</v>
      </c>
    </row>
    <row r="2332" customFormat="false" ht="45.05" hidden="false" customHeight="false" outlineLevel="0" collapsed="false">
      <c r="F2332" s="0" t="s">
        <v>5342</v>
      </c>
      <c r="G2332" s="57" t="s">
        <v>8139</v>
      </c>
      <c r="H2332" s="57" t="s">
        <v>8136</v>
      </c>
      <c r="I2332" s="39" t="s">
        <v>67</v>
      </c>
      <c r="J2332" s="57" t="s">
        <v>8140</v>
      </c>
      <c r="K2332" s="57" t="s">
        <v>5913</v>
      </c>
    </row>
    <row r="2333" customFormat="false" ht="34.2" hidden="false" customHeight="false" outlineLevel="0" collapsed="false">
      <c r="D2333" s="60" t="s">
        <v>8141</v>
      </c>
      <c r="E2333" s="60" t="s">
        <v>8142</v>
      </c>
      <c r="F2333" s="62"/>
      <c r="G2333" s="57" t="s">
        <v>8143</v>
      </c>
      <c r="H2333" s="57" t="s">
        <v>3792</v>
      </c>
      <c r="I2333" s="39"/>
      <c r="J2333" s="57" t="s">
        <v>3792</v>
      </c>
      <c r="K2333" s="57" t="s">
        <v>3792</v>
      </c>
    </row>
    <row r="2334" customFormat="false" ht="34.2" hidden="false" customHeight="false" outlineLevel="0" collapsed="false">
      <c r="F2334" s="0" t="s">
        <v>5342</v>
      </c>
      <c r="G2334" s="57" t="s">
        <v>8144</v>
      </c>
      <c r="H2334" s="57" t="s">
        <v>8141</v>
      </c>
      <c r="I2334" s="37" t="s">
        <v>50</v>
      </c>
      <c r="J2334" s="57" t="s">
        <v>8145</v>
      </c>
      <c r="K2334" s="57" t="s">
        <v>5921</v>
      </c>
    </row>
    <row r="2335" customFormat="false" ht="34.2" hidden="false" customHeight="false" outlineLevel="0" collapsed="false">
      <c r="C2335" s="64" t="s">
        <v>8146</v>
      </c>
      <c r="D2335" s="66" t="s">
        <v>8147</v>
      </c>
      <c r="E2335" s="66" t="s">
        <v>8148</v>
      </c>
      <c r="F2335" s="65"/>
      <c r="G2335" s="57" t="s">
        <v>8149</v>
      </c>
      <c r="H2335" s="57" t="s">
        <v>3792</v>
      </c>
      <c r="I2335" s="37"/>
      <c r="J2335" s="57" t="s">
        <v>3792</v>
      </c>
      <c r="K2335" s="57" t="s">
        <v>3792</v>
      </c>
    </row>
    <row r="2336" customFormat="false" ht="55.95" hidden="false" customHeight="false" outlineLevel="0" collapsed="false">
      <c r="F2336" s="0" t="s">
        <v>5342</v>
      </c>
      <c r="G2336" s="57" t="s">
        <v>8150</v>
      </c>
      <c r="H2336" s="57" t="s">
        <v>8147</v>
      </c>
      <c r="I2336" s="37" t="s">
        <v>50</v>
      </c>
      <c r="J2336" s="57" t="s">
        <v>8151</v>
      </c>
      <c r="K2336" s="57" t="s">
        <v>5928</v>
      </c>
    </row>
    <row r="2337" customFormat="false" ht="34.2" hidden="false" customHeight="false" outlineLevel="0" collapsed="false">
      <c r="D2337" s="60" t="s">
        <v>8152</v>
      </c>
      <c r="E2337" s="60" t="s">
        <v>8153</v>
      </c>
      <c r="F2337" s="62"/>
      <c r="G2337" s="57" t="s">
        <v>8154</v>
      </c>
      <c r="H2337" s="57" t="s">
        <v>3792</v>
      </c>
      <c r="I2337" s="37"/>
      <c r="J2337" s="57" t="s">
        <v>3792</v>
      </c>
      <c r="K2337" s="57" t="s">
        <v>3792</v>
      </c>
    </row>
    <row r="2338" customFormat="false" ht="45.05" hidden="false" customHeight="false" outlineLevel="0" collapsed="false">
      <c r="F2338" s="0" t="s">
        <v>5334</v>
      </c>
      <c r="G2338" s="57" t="s">
        <v>8155</v>
      </c>
      <c r="H2338" s="57" t="s">
        <v>8152</v>
      </c>
      <c r="I2338" s="39" t="s">
        <v>67</v>
      </c>
      <c r="J2338" s="57" t="s">
        <v>8156</v>
      </c>
      <c r="K2338" s="57" t="s">
        <v>5935</v>
      </c>
    </row>
    <row r="2339" customFormat="false" ht="21.75" hidden="false" customHeight="false" outlineLevel="0" collapsed="false">
      <c r="D2339" s="60" t="s">
        <v>8157</v>
      </c>
      <c r="E2339" s="60" t="s">
        <v>8158</v>
      </c>
      <c r="F2339" s="62"/>
      <c r="G2339" s="57" t="s">
        <v>8159</v>
      </c>
      <c r="H2339" s="57" t="s">
        <v>3792</v>
      </c>
      <c r="I2339" s="39"/>
      <c r="J2339" s="57" t="s">
        <v>3792</v>
      </c>
      <c r="K2339" s="57" t="s">
        <v>3792</v>
      </c>
    </row>
    <row r="2340" customFormat="false" ht="55.95" hidden="false" customHeight="false" outlineLevel="0" collapsed="false">
      <c r="F2340" s="0" t="s">
        <v>5334</v>
      </c>
      <c r="G2340" s="57" t="s">
        <v>8160</v>
      </c>
      <c r="H2340" s="57" t="s">
        <v>8157</v>
      </c>
      <c r="I2340" s="34" t="s">
        <v>40</v>
      </c>
      <c r="J2340" s="57" t="s">
        <v>8161</v>
      </c>
      <c r="K2340" s="57" t="s">
        <v>5942</v>
      </c>
    </row>
    <row r="2341" customFormat="false" ht="45.05" hidden="false" customHeight="false" outlineLevel="0" collapsed="false">
      <c r="D2341" s="60" t="s">
        <v>8162</v>
      </c>
      <c r="E2341" s="60" t="s">
        <v>8163</v>
      </c>
      <c r="F2341" s="62"/>
      <c r="G2341" s="57" t="s">
        <v>8164</v>
      </c>
      <c r="H2341" s="57" t="s">
        <v>3792</v>
      </c>
      <c r="I2341" s="34"/>
      <c r="J2341" s="57" t="s">
        <v>3792</v>
      </c>
      <c r="K2341" s="57" t="s">
        <v>3792</v>
      </c>
    </row>
    <row r="2342" customFormat="false" ht="55.95" hidden="false" customHeight="false" outlineLevel="0" collapsed="false">
      <c r="F2342" s="0" t="s">
        <v>5342</v>
      </c>
      <c r="G2342" s="57" t="s">
        <v>8165</v>
      </c>
      <c r="H2342" s="57" t="s">
        <v>8162</v>
      </c>
      <c r="I2342" s="39" t="s">
        <v>67</v>
      </c>
      <c r="J2342" s="57" t="s">
        <v>8166</v>
      </c>
      <c r="K2342" s="57" t="s">
        <v>5949</v>
      </c>
    </row>
    <row r="2343" customFormat="false" ht="66.85" hidden="false" customHeight="false" outlineLevel="0" collapsed="false">
      <c r="D2343" s="60" t="s">
        <v>8167</v>
      </c>
      <c r="E2343" s="60" t="s">
        <v>8168</v>
      </c>
      <c r="F2343" s="62"/>
      <c r="G2343" s="57" t="s">
        <v>8169</v>
      </c>
      <c r="H2343" s="57" t="s">
        <v>3792</v>
      </c>
      <c r="I2343" s="39"/>
      <c r="J2343" s="57" t="s">
        <v>3792</v>
      </c>
      <c r="K2343" s="57" t="s">
        <v>3792</v>
      </c>
    </row>
    <row r="2344" customFormat="false" ht="45.05" hidden="false" customHeight="false" outlineLevel="0" collapsed="false">
      <c r="F2344" s="0" t="s">
        <v>5334</v>
      </c>
      <c r="G2344" s="57" t="s">
        <v>8170</v>
      </c>
      <c r="H2344" s="57" t="s">
        <v>8167</v>
      </c>
      <c r="I2344" s="37" t="s">
        <v>50</v>
      </c>
      <c r="J2344" s="57" t="s">
        <v>8171</v>
      </c>
      <c r="K2344" s="57" t="s">
        <v>5957</v>
      </c>
    </row>
    <row r="2345" customFormat="false" ht="45.05" hidden="false" customHeight="false" outlineLevel="0" collapsed="false">
      <c r="C2345" s="64" t="s">
        <v>8172</v>
      </c>
      <c r="D2345" s="66" t="s">
        <v>8173</v>
      </c>
      <c r="E2345" s="66" t="s">
        <v>8174</v>
      </c>
      <c r="F2345" s="65"/>
      <c r="G2345" s="57" t="s">
        <v>8175</v>
      </c>
      <c r="H2345" s="57" t="s">
        <v>3792</v>
      </c>
      <c r="I2345" s="37"/>
      <c r="J2345" s="57" t="s">
        <v>3792</v>
      </c>
      <c r="K2345" s="57" t="s">
        <v>3792</v>
      </c>
    </row>
    <row r="2346" customFormat="false" ht="66.85" hidden="false" customHeight="false" outlineLevel="0" collapsed="false">
      <c r="F2346" s="0" t="s">
        <v>5334</v>
      </c>
      <c r="G2346" s="57" t="s">
        <v>8176</v>
      </c>
      <c r="H2346" s="57" t="s">
        <v>8173</v>
      </c>
      <c r="I2346" s="37" t="s">
        <v>50</v>
      </c>
      <c r="J2346" s="57" t="s">
        <v>8177</v>
      </c>
      <c r="K2346" s="57" t="s">
        <v>5963</v>
      </c>
    </row>
    <row r="2347" customFormat="false" ht="34.2" hidden="false" customHeight="false" outlineLevel="0" collapsed="false">
      <c r="D2347" s="60" t="s">
        <v>8178</v>
      </c>
      <c r="E2347" s="60" t="s">
        <v>8179</v>
      </c>
      <c r="F2347" s="62"/>
      <c r="G2347" s="57" t="s">
        <v>8180</v>
      </c>
      <c r="H2347" s="57" t="s">
        <v>3792</v>
      </c>
      <c r="I2347" s="37"/>
      <c r="J2347" s="57" t="s">
        <v>3792</v>
      </c>
      <c r="K2347" s="57" t="s">
        <v>3792</v>
      </c>
    </row>
    <row r="2348" customFormat="false" ht="45.05" hidden="false" customHeight="false" outlineLevel="0" collapsed="false">
      <c r="F2348" s="0" t="s">
        <v>5342</v>
      </c>
      <c r="G2348" s="57" t="s">
        <v>8181</v>
      </c>
      <c r="H2348" s="57" t="s">
        <v>8178</v>
      </c>
      <c r="I2348" s="39" t="s">
        <v>67</v>
      </c>
      <c r="J2348" s="57" t="s">
        <v>8182</v>
      </c>
      <c r="K2348" s="57" t="s">
        <v>5970</v>
      </c>
    </row>
    <row r="2349" customFormat="false" ht="34.2" hidden="false" customHeight="false" outlineLevel="0" collapsed="false">
      <c r="D2349" s="60" t="s">
        <v>8183</v>
      </c>
      <c r="E2349" s="60" t="s">
        <v>8184</v>
      </c>
      <c r="F2349" s="62"/>
      <c r="G2349" s="57" t="s">
        <v>8185</v>
      </c>
      <c r="H2349" s="57" t="s">
        <v>3792</v>
      </c>
      <c r="I2349" s="39"/>
      <c r="J2349" s="57" t="s">
        <v>3792</v>
      </c>
      <c r="K2349" s="57" t="s">
        <v>3792</v>
      </c>
    </row>
    <row r="2350" customFormat="false" ht="55.95" hidden="false" customHeight="false" outlineLevel="0" collapsed="false">
      <c r="F2350" s="0" t="s">
        <v>5342</v>
      </c>
      <c r="G2350" s="57" t="s">
        <v>8186</v>
      </c>
      <c r="H2350" s="57" t="s">
        <v>8183</v>
      </c>
      <c r="I2350" s="34" t="s">
        <v>40</v>
      </c>
      <c r="J2350" s="57" t="s">
        <v>8187</v>
      </c>
      <c r="K2350" s="57" t="s">
        <v>5977</v>
      </c>
    </row>
    <row r="2351" customFormat="false" ht="66.85" hidden="false" customHeight="false" outlineLevel="0" collapsed="false">
      <c r="D2351" s="60" t="s">
        <v>8188</v>
      </c>
      <c r="E2351" s="60" t="s">
        <v>8189</v>
      </c>
      <c r="F2351" s="62"/>
      <c r="G2351" s="57" t="s">
        <v>8190</v>
      </c>
      <c r="H2351" s="57" t="s">
        <v>3792</v>
      </c>
      <c r="I2351" s="34"/>
      <c r="J2351" s="57" t="s">
        <v>3792</v>
      </c>
      <c r="K2351" s="57" t="s">
        <v>3792</v>
      </c>
    </row>
    <row r="2352" customFormat="false" ht="55.95" hidden="false" customHeight="false" outlineLevel="0" collapsed="false">
      <c r="F2352" s="0" t="s">
        <v>5334</v>
      </c>
      <c r="G2352" s="57" t="s">
        <v>8191</v>
      </c>
      <c r="H2352" s="57" t="s">
        <v>8188</v>
      </c>
      <c r="I2352" s="39" t="s">
        <v>67</v>
      </c>
      <c r="J2352" s="57" t="s">
        <v>8192</v>
      </c>
      <c r="K2352" s="57" t="s">
        <v>5984</v>
      </c>
    </row>
    <row r="2353" customFormat="false" ht="45.05" hidden="false" customHeight="false" outlineLevel="0" collapsed="false">
      <c r="D2353" s="60" t="s">
        <v>8193</v>
      </c>
      <c r="E2353" s="60" t="s">
        <v>8194</v>
      </c>
      <c r="F2353" s="62"/>
      <c r="G2353" s="57" t="s">
        <v>8195</v>
      </c>
      <c r="H2353" s="57" t="s">
        <v>3792</v>
      </c>
      <c r="I2353" s="39"/>
      <c r="J2353" s="57" t="s">
        <v>3792</v>
      </c>
      <c r="K2353" s="57" t="s">
        <v>3792</v>
      </c>
    </row>
    <row r="2354" customFormat="false" ht="55.95" hidden="false" customHeight="false" outlineLevel="0" collapsed="false">
      <c r="F2354" s="0" t="s">
        <v>5342</v>
      </c>
      <c r="G2354" s="57" t="s">
        <v>8196</v>
      </c>
      <c r="H2354" s="57" t="s">
        <v>8193</v>
      </c>
      <c r="I2354" s="37" t="s">
        <v>50</v>
      </c>
      <c r="J2354" s="57" t="s">
        <v>8197</v>
      </c>
      <c r="K2354" s="57" t="s">
        <v>5993</v>
      </c>
    </row>
    <row r="2355" customFormat="false" ht="55.95" hidden="false" customHeight="false" outlineLevel="0" collapsed="false">
      <c r="C2355" s="70" t="s">
        <v>8198</v>
      </c>
      <c r="D2355" s="66" t="s">
        <v>8199</v>
      </c>
      <c r="E2355" s="66" t="s">
        <v>8200</v>
      </c>
      <c r="F2355" s="65"/>
      <c r="G2355" s="57" t="s">
        <v>8201</v>
      </c>
      <c r="H2355" s="57" t="s">
        <v>3792</v>
      </c>
      <c r="I2355" s="37"/>
      <c r="J2355" s="57" t="s">
        <v>3792</v>
      </c>
      <c r="K2355" s="57" t="s">
        <v>3792</v>
      </c>
    </row>
    <row r="2356" customFormat="false" ht="90.15" hidden="false" customHeight="false" outlineLevel="0" collapsed="false">
      <c r="F2356" s="0" t="s">
        <v>5342</v>
      </c>
      <c r="G2356" s="57" t="s">
        <v>8202</v>
      </c>
      <c r="H2356" s="57" t="s">
        <v>8199</v>
      </c>
      <c r="I2356" s="37" t="s">
        <v>50</v>
      </c>
      <c r="J2356" s="57" t="s">
        <v>8203</v>
      </c>
      <c r="K2356" s="57" t="s">
        <v>6001</v>
      </c>
    </row>
    <row r="2357" customFormat="false" ht="45.05" hidden="false" customHeight="false" outlineLevel="0" collapsed="false">
      <c r="D2357" s="60" t="s">
        <v>8204</v>
      </c>
      <c r="E2357" s="60" t="s">
        <v>8205</v>
      </c>
      <c r="F2357" s="62"/>
      <c r="G2357" s="57" t="s">
        <v>8206</v>
      </c>
      <c r="H2357" s="57" t="s">
        <v>3792</v>
      </c>
      <c r="I2357" s="37"/>
      <c r="J2357" s="57" t="s">
        <v>3792</v>
      </c>
      <c r="K2357" s="57" t="s">
        <v>3792</v>
      </c>
    </row>
    <row r="2358" customFormat="false" ht="55.95" hidden="false" customHeight="false" outlineLevel="0" collapsed="false">
      <c r="F2358" s="0" t="s">
        <v>5334</v>
      </c>
      <c r="G2358" s="57" t="s">
        <v>8207</v>
      </c>
      <c r="H2358" s="57" t="s">
        <v>8204</v>
      </c>
      <c r="I2358" s="39" t="s">
        <v>67</v>
      </c>
      <c r="J2358" s="57" t="s">
        <v>8208</v>
      </c>
      <c r="K2358" s="57" t="s">
        <v>6009</v>
      </c>
    </row>
    <row r="2359" customFormat="false" ht="55.95" hidden="false" customHeight="false" outlineLevel="0" collapsed="false">
      <c r="D2359" s="60" t="s">
        <v>8209</v>
      </c>
      <c r="E2359" s="60" t="s">
        <v>8210</v>
      </c>
      <c r="F2359" s="62"/>
      <c r="G2359" s="57" t="s">
        <v>8211</v>
      </c>
      <c r="H2359" s="57" t="s">
        <v>3792</v>
      </c>
      <c r="I2359" s="39"/>
      <c r="J2359" s="57" t="s">
        <v>3792</v>
      </c>
      <c r="K2359" s="57" t="s">
        <v>3792</v>
      </c>
    </row>
    <row r="2360" customFormat="false" ht="55.95" hidden="false" customHeight="false" outlineLevel="0" collapsed="false">
      <c r="F2360" s="0" t="s">
        <v>5334</v>
      </c>
      <c r="G2360" s="57" t="s">
        <v>8212</v>
      </c>
      <c r="H2360" s="57" t="s">
        <v>8209</v>
      </c>
      <c r="I2360" s="34" t="s">
        <v>40</v>
      </c>
      <c r="J2360" s="57" t="s">
        <v>8213</v>
      </c>
      <c r="K2360" s="57" t="s">
        <v>6017</v>
      </c>
    </row>
    <row r="2361" customFormat="false" ht="55.95" hidden="false" customHeight="false" outlineLevel="0" collapsed="false">
      <c r="D2361" s="60" t="s">
        <v>8214</v>
      </c>
      <c r="E2361" s="60" t="s">
        <v>8215</v>
      </c>
      <c r="F2361" s="62"/>
      <c r="G2361" s="57" t="s">
        <v>8216</v>
      </c>
      <c r="H2361" s="57" t="s">
        <v>3792</v>
      </c>
      <c r="I2361" s="34"/>
      <c r="J2361" s="57" t="s">
        <v>3792</v>
      </c>
      <c r="K2361" s="57" t="s">
        <v>3792</v>
      </c>
    </row>
    <row r="2362" customFormat="false" ht="34.2" hidden="false" customHeight="false" outlineLevel="0" collapsed="false">
      <c r="F2362" s="0" t="s">
        <v>5342</v>
      </c>
      <c r="G2362" s="57" t="s">
        <v>8217</v>
      </c>
      <c r="H2362" s="57" t="s">
        <v>8214</v>
      </c>
      <c r="I2362" s="39" t="s">
        <v>67</v>
      </c>
      <c r="J2362" s="57" t="s">
        <v>8218</v>
      </c>
      <c r="K2362" s="57" t="s">
        <v>6025</v>
      </c>
    </row>
    <row r="2363" customFormat="false" ht="55.95" hidden="false" customHeight="false" outlineLevel="0" collapsed="false">
      <c r="D2363" s="60" t="s">
        <v>8219</v>
      </c>
      <c r="E2363" s="60" t="s">
        <v>8220</v>
      </c>
      <c r="F2363" s="62"/>
      <c r="G2363" s="57" t="s">
        <v>8221</v>
      </c>
      <c r="H2363" s="57" t="s">
        <v>3792</v>
      </c>
      <c r="I2363" s="39"/>
      <c r="J2363" s="57" t="s">
        <v>3792</v>
      </c>
      <c r="K2363" s="57" t="s">
        <v>3792</v>
      </c>
    </row>
    <row r="2364" customFormat="false" ht="45.05" hidden="false" customHeight="false" outlineLevel="0" collapsed="false">
      <c r="F2364" s="0" t="s">
        <v>5342</v>
      </c>
      <c r="G2364" s="57" t="s">
        <v>8222</v>
      </c>
      <c r="H2364" s="57" t="s">
        <v>8219</v>
      </c>
      <c r="I2364" s="37" t="s">
        <v>50</v>
      </c>
      <c r="J2364" s="57" t="s">
        <v>8223</v>
      </c>
      <c r="K2364" s="57" t="s">
        <v>6034</v>
      </c>
    </row>
    <row r="2365" customFormat="false" ht="55.95" hidden="false" customHeight="false" outlineLevel="0" collapsed="false">
      <c r="C2365" s="70" t="s">
        <v>8224</v>
      </c>
      <c r="D2365" s="66" t="s">
        <v>8225</v>
      </c>
      <c r="E2365" s="66" t="s">
        <v>8226</v>
      </c>
      <c r="F2365" s="69"/>
      <c r="G2365" s="57" t="s">
        <v>8227</v>
      </c>
      <c r="H2365" s="57" t="s">
        <v>3792</v>
      </c>
      <c r="I2365" s="37"/>
      <c r="J2365" s="57" t="s">
        <v>3792</v>
      </c>
      <c r="K2365" s="57" t="s">
        <v>3792</v>
      </c>
    </row>
    <row r="2366" customFormat="false" ht="45.05" hidden="false" customHeight="false" outlineLevel="0" collapsed="false">
      <c r="F2366" s="57" t="s">
        <v>5334</v>
      </c>
      <c r="G2366" s="57" t="s">
        <v>8228</v>
      </c>
      <c r="H2366" s="57" t="s">
        <v>8225</v>
      </c>
      <c r="I2366" s="37" t="s">
        <v>50</v>
      </c>
      <c r="J2366" s="57" t="s">
        <v>8229</v>
      </c>
      <c r="K2366" s="57" t="s">
        <v>6042</v>
      </c>
    </row>
    <row r="2367" customFormat="false" ht="66.85" hidden="false" customHeight="false" outlineLevel="0" collapsed="false">
      <c r="D2367" s="60" t="s">
        <v>8230</v>
      </c>
      <c r="E2367" s="60" t="s">
        <v>8231</v>
      </c>
      <c r="F2367" s="61"/>
      <c r="G2367" s="57" t="s">
        <v>8232</v>
      </c>
      <c r="H2367" s="57" t="s">
        <v>3792</v>
      </c>
      <c r="I2367" s="37"/>
      <c r="J2367" s="57" t="s">
        <v>3792</v>
      </c>
      <c r="K2367" s="57" t="s">
        <v>3792</v>
      </c>
    </row>
    <row r="2368" customFormat="false" ht="55.95" hidden="false" customHeight="false" outlineLevel="0" collapsed="false">
      <c r="F2368" s="57" t="s">
        <v>5342</v>
      </c>
      <c r="G2368" s="57" t="s">
        <v>8233</v>
      </c>
      <c r="H2368" s="57" t="s">
        <v>8230</v>
      </c>
      <c r="I2368" s="39" t="s">
        <v>67</v>
      </c>
      <c r="J2368" s="57" t="s">
        <v>8234</v>
      </c>
      <c r="K2368" s="57" t="s">
        <v>6050</v>
      </c>
    </row>
    <row r="2369" customFormat="false" ht="66.85" hidden="false" customHeight="false" outlineLevel="0" collapsed="false">
      <c r="D2369" s="60" t="s">
        <v>8235</v>
      </c>
      <c r="E2369" s="60" t="s">
        <v>8236</v>
      </c>
      <c r="F2369" s="61"/>
      <c r="G2369" s="57" t="s">
        <v>8237</v>
      </c>
      <c r="H2369" s="57" t="s">
        <v>3792</v>
      </c>
      <c r="I2369" s="39"/>
      <c r="J2369" s="57" t="s">
        <v>3792</v>
      </c>
      <c r="K2369" s="57" t="s">
        <v>3792</v>
      </c>
    </row>
    <row r="2370" customFormat="false" ht="45.05" hidden="false" customHeight="false" outlineLevel="0" collapsed="false">
      <c r="F2370" s="0" t="s">
        <v>5334</v>
      </c>
      <c r="G2370" s="57" t="s">
        <v>8238</v>
      </c>
      <c r="H2370" s="57" t="s">
        <v>8235</v>
      </c>
      <c r="I2370" s="34" t="s">
        <v>40</v>
      </c>
      <c r="J2370" s="57" t="s">
        <v>8239</v>
      </c>
      <c r="K2370" s="57" t="s">
        <v>6058</v>
      </c>
    </row>
    <row r="2371" customFormat="false" ht="66.85" hidden="false" customHeight="false" outlineLevel="0" collapsed="false">
      <c r="D2371" s="60" t="s">
        <v>8240</v>
      </c>
      <c r="E2371" s="60" t="s">
        <v>8241</v>
      </c>
      <c r="F2371" s="62"/>
      <c r="G2371" s="57" t="s">
        <v>8242</v>
      </c>
      <c r="H2371" s="57" t="s">
        <v>3792</v>
      </c>
      <c r="I2371" s="34"/>
      <c r="J2371" s="57" t="s">
        <v>3792</v>
      </c>
      <c r="K2371" s="57" t="s">
        <v>3792</v>
      </c>
    </row>
    <row r="2372" customFormat="false" ht="66.85" hidden="false" customHeight="false" outlineLevel="0" collapsed="false">
      <c r="F2372" s="0" t="s">
        <v>5334</v>
      </c>
      <c r="G2372" s="57" t="s">
        <v>8243</v>
      </c>
      <c r="H2372" s="57" t="s">
        <v>8240</v>
      </c>
      <c r="I2372" s="39" t="s">
        <v>67</v>
      </c>
      <c r="J2372" s="57" t="s">
        <v>8244</v>
      </c>
      <c r="K2372" s="57" t="s">
        <v>6066</v>
      </c>
    </row>
    <row r="2373" customFormat="false" ht="66.85" hidden="false" customHeight="false" outlineLevel="0" collapsed="false">
      <c r="D2373" s="60" t="s">
        <v>8245</v>
      </c>
      <c r="E2373" s="60" t="s">
        <v>8246</v>
      </c>
      <c r="F2373" s="62"/>
      <c r="G2373" s="57" t="s">
        <v>8247</v>
      </c>
      <c r="H2373" s="57" t="s">
        <v>3792</v>
      </c>
      <c r="I2373" s="39"/>
      <c r="J2373" s="57" t="s">
        <v>3792</v>
      </c>
      <c r="K2373" s="57" t="s">
        <v>3792</v>
      </c>
    </row>
    <row r="2374" customFormat="false" ht="34.2" hidden="false" customHeight="false" outlineLevel="0" collapsed="false">
      <c r="F2374" s="0" t="s">
        <v>5342</v>
      </c>
      <c r="G2374" s="57" t="s">
        <v>8248</v>
      </c>
      <c r="H2374" s="57" t="s">
        <v>8245</v>
      </c>
      <c r="I2374" s="37" t="s">
        <v>50</v>
      </c>
      <c r="J2374" s="57" t="s">
        <v>8249</v>
      </c>
      <c r="K2374" s="57" t="s">
        <v>6075</v>
      </c>
    </row>
    <row r="2375" customFormat="false" ht="55.95" hidden="false" customHeight="false" outlineLevel="0" collapsed="false">
      <c r="C2375" s="64" t="s">
        <v>8250</v>
      </c>
      <c r="D2375" s="66" t="s">
        <v>8251</v>
      </c>
      <c r="E2375" s="66" t="s">
        <v>8252</v>
      </c>
      <c r="F2375" s="65"/>
      <c r="G2375" s="57" t="s">
        <v>8253</v>
      </c>
      <c r="H2375" s="57" t="s">
        <v>3792</v>
      </c>
      <c r="I2375" s="37"/>
      <c r="J2375" s="57" t="s">
        <v>3792</v>
      </c>
      <c r="K2375" s="57" t="s">
        <v>3792</v>
      </c>
    </row>
    <row r="2376" customFormat="false" ht="34.2" hidden="false" customHeight="false" outlineLevel="0" collapsed="false">
      <c r="F2376" s="0" t="s">
        <v>5334</v>
      </c>
      <c r="G2376" s="57" t="s">
        <v>8254</v>
      </c>
      <c r="H2376" s="57" t="s">
        <v>8251</v>
      </c>
      <c r="I2376" s="37" t="s">
        <v>50</v>
      </c>
      <c r="J2376" s="57" t="s">
        <v>8255</v>
      </c>
      <c r="K2376" s="57" t="s">
        <v>6083</v>
      </c>
    </row>
    <row r="2377" customFormat="false" ht="55.95" hidden="false" customHeight="false" outlineLevel="0" collapsed="false">
      <c r="D2377" s="60" t="s">
        <v>8256</v>
      </c>
      <c r="E2377" s="60" t="s">
        <v>8257</v>
      </c>
      <c r="F2377" s="62"/>
      <c r="G2377" s="57" t="s">
        <v>8258</v>
      </c>
      <c r="H2377" s="57" t="s">
        <v>3792</v>
      </c>
      <c r="I2377" s="37"/>
      <c r="J2377" s="57" t="s">
        <v>3792</v>
      </c>
      <c r="K2377" s="57" t="s">
        <v>3792</v>
      </c>
    </row>
    <row r="2378" customFormat="false" ht="45.05" hidden="false" customHeight="false" outlineLevel="0" collapsed="false">
      <c r="F2378" s="0" t="s">
        <v>5342</v>
      </c>
      <c r="G2378" s="57" t="s">
        <v>8259</v>
      </c>
      <c r="H2378" s="57" t="s">
        <v>8256</v>
      </c>
      <c r="I2378" s="39" t="s">
        <v>67</v>
      </c>
      <c r="J2378" s="57" t="s">
        <v>8260</v>
      </c>
      <c r="K2378" s="57" t="s">
        <v>6091</v>
      </c>
    </row>
    <row r="2379" customFormat="false" ht="45.05" hidden="false" customHeight="false" outlineLevel="0" collapsed="false">
      <c r="D2379" s="60" t="s">
        <v>8261</v>
      </c>
      <c r="E2379" s="60" t="s">
        <v>8262</v>
      </c>
      <c r="F2379" s="62"/>
      <c r="G2379" s="57" t="s">
        <v>8263</v>
      </c>
      <c r="H2379" s="57" t="s">
        <v>3792</v>
      </c>
      <c r="I2379" s="39"/>
      <c r="J2379" s="57" t="s">
        <v>3792</v>
      </c>
      <c r="K2379" s="57" t="s">
        <v>3792</v>
      </c>
    </row>
    <row r="2380" customFormat="false" ht="45.05" hidden="false" customHeight="false" outlineLevel="0" collapsed="false">
      <c r="F2380" s="0" t="s">
        <v>5342</v>
      </c>
      <c r="G2380" s="57" t="s">
        <v>8264</v>
      </c>
      <c r="H2380" s="57" t="s">
        <v>8261</v>
      </c>
      <c r="I2380" s="34" t="s">
        <v>40</v>
      </c>
      <c r="J2380" s="57" t="s">
        <v>8265</v>
      </c>
      <c r="K2380" s="57" t="s">
        <v>6099</v>
      </c>
    </row>
    <row r="2381" customFormat="false" ht="45.05" hidden="false" customHeight="false" outlineLevel="0" collapsed="false">
      <c r="D2381" s="60" t="s">
        <v>8266</v>
      </c>
      <c r="E2381" s="60" t="s">
        <v>8267</v>
      </c>
      <c r="F2381" s="62"/>
      <c r="G2381" s="57" t="s">
        <v>8268</v>
      </c>
      <c r="H2381" s="57" t="s">
        <v>3792</v>
      </c>
      <c r="I2381" s="34"/>
      <c r="J2381" s="57" t="s">
        <v>3792</v>
      </c>
      <c r="K2381" s="57" t="s">
        <v>3792</v>
      </c>
    </row>
    <row r="2382" customFormat="false" ht="66.85" hidden="false" customHeight="false" outlineLevel="0" collapsed="false">
      <c r="F2382" s="0" t="s">
        <v>5334</v>
      </c>
      <c r="G2382" s="57" t="s">
        <v>8269</v>
      </c>
      <c r="H2382" s="57" t="s">
        <v>8266</v>
      </c>
      <c r="I2382" s="39" t="s">
        <v>67</v>
      </c>
      <c r="J2382" s="57" t="s">
        <v>8270</v>
      </c>
      <c r="K2382" s="57" t="s">
        <v>6107</v>
      </c>
    </row>
    <row r="2383" customFormat="false" ht="45.05" hidden="false" customHeight="false" outlineLevel="0" collapsed="false">
      <c r="D2383" s="60" t="s">
        <v>8271</v>
      </c>
      <c r="E2383" s="60" t="s">
        <v>8272</v>
      </c>
      <c r="F2383" s="62"/>
      <c r="G2383" s="57" t="s">
        <v>8273</v>
      </c>
      <c r="H2383" s="57" t="s">
        <v>3792</v>
      </c>
      <c r="I2383" s="39"/>
      <c r="J2383" s="57" t="s">
        <v>3792</v>
      </c>
      <c r="K2383" s="57" t="s">
        <v>3792</v>
      </c>
    </row>
    <row r="2384" customFormat="false" ht="55.95" hidden="false" customHeight="false" outlineLevel="0" collapsed="false">
      <c r="F2384" s="0" t="s">
        <v>5342</v>
      </c>
      <c r="G2384" s="57" t="s">
        <v>8274</v>
      </c>
      <c r="H2384" s="57" t="s">
        <v>8271</v>
      </c>
      <c r="I2384" s="37" t="s">
        <v>50</v>
      </c>
      <c r="J2384" s="57" t="s">
        <v>8275</v>
      </c>
      <c r="K2384" s="57" t="s">
        <v>6116</v>
      </c>
    </row>
    <row r="2385" customFormat="false" ht="34.2" hidden="false" customHeight="false" outlineLevel="0" collapsed="false">
      <c r="B2385" s="67" t="s">
        <v>8276</v>
      </c>
      <c r="C2385" s="68" t="s">
        <v>8277</v>
      </c>
      <c r="D2385" s="68" t="s">
        <v>8278</v>
      </c>
      <c r="E2385" s="68" t="s">
        <v>8279</v>
      </c>
      <c r="F2385" s="65"/>
      <c r="G2385" s="57" t="s">
        <v>8280</v>
      </c>
      <c r="H2385" s="57" t="s">
        <v>3792</v>
      </c>
      <c r="I2385" s="37"/>
      <c r="J2385" s="57" t="s">
        <v>3792</v>
      </c>
      <c r="K2385" s="57" t="s">
        <v>3792</v>
      </c>
    </row>
    <row r="2386" customFormat="false" ht="55.95" hidden="false" customHeight="false" outlineLevel="0" collapsed="false">
      <c r="F2386" s="0" t="s">
        <v>5334</v>
      </c>
      <c r="G2386" s="57" t="s">
        <v>8281</v>
      </c>
      <c r="H2386" s="57" t="s">
        <v>8278</v>
      </c>
      <c r="I2386" s="37" t="s">
        <v>50</v>
      </c>
      <c r="J2386" s="57" t="s">
        <v>8282</v>
      </c>
      <c r="K2386" s="57" t="s">
        <v>6124</v>
      </c>
    </row>
    <row r="2387" customFormat="false" ht="45.05" hidden="false" customHeight="false" outlineLevel="0" collapsed="false">
      <c r="D2387" s="60" t="s">
        <v>8283</v>
      </c>
      <c r="E2387" s="60" t="s">
        <v>8284</v>
      </c>
      <c r="F2387" s="62"/>
      <c r="G2387" s="57" t="s">
        <v>8285</v>
      </c>
      <c r="H2387" s="57" t="s">
        <v>3792</v>
      </c>
      <c r="I2387" s="37"/>
      <c r="J2387" s="57" t="s">
        <v>3792</v>
      </c>
      <c r="K2387" s="57" t="s">
        <v>3792</v>
      </c>
    </row>
    <row r="2388" customFormat="false" ht="55.95" hidden="false" customHeight="false" outlineLevel="0" collapsed="false">
      <c r="F2388" s="0" t="s">
        <v>5342</v>
      </c>
      <c r="G2388" s="57" t="s">
        <v>8286</v>
      </c>
      <c r="H2388" s="57" t="s">
        <v>8283</v>
      </c>
      <c r="I2388" s="39" t="s">
        <v>67</v>
      </c>
      <c r="J2388" s="57" t="s">
        <v>8287</v>
      </c>
      <c r="K2388" s="57" t="s">
        <v>5970</v>
      </c>
    </row>
    <row r="2389" customFormat="false" ht="55.95" hidden="false" customHeight="false" outlineLevel="0" collapsed="false">
      <c r="D2389" s="60" t="s">
        <v>8288</v>
      </c>
      <c r="E2389" s="60" t="s">
        <v>8289</v>
      </c>
      <c r="F2389" s="62"/>
      <c r="G2389" s="57" t="s">
        <v>8290</v>
      </c>
      <c r="H2389" s="57" t="s">
        <v>3792</v>
      </c>
      <c r="I2389" s="39"/>
      <c r="J2389" s="57" t="s">
        <v>3792</v>
      </c>
      <c r="K2389" s="57" t="s">
        <v>3792</v>
      </c>
    </row>
    <row r="2390" customFormat="false" ht="55.95" hidden="false" customHeight="false" outlineLevel="0" collapsed="false">
      <c r="F2390" s="0" t="s">
        <v>5334</v>
      </c>
      <c r="G2390" s="57" t="s">
        <v>8291</v>
      </c>
      <c r="H2390" s="57" t="s">
        <v>8288</v>
      </c>
      <c r="I2390" s="34" t="s">
        <v>40</v>
      </c>
      <c r="J2390" s="57" t="s">
        <v>8292</v>
      </c>
      <c r="K2390" s="57" t="s">
        <v>6139</v>
      </c>
    </row>
    <row r="2391" customFormat="false" ht="55.95" hidden="false" customHeight="false" outlineLevel="0" collapsed="false">
      <c r="D2391" s="60" t="s">
        <v>8293</v>
      </c>
      <c r="E2391" s="60" t="s">
        <v>8294</v>
      </c>
      <c r="F2391" s="62"/>
      <c r="G2391" s="57" t="s">
        <v>8295</v>
      </c>
      <c r="H2391" s="57" t="s">
        <v>3792</v>
      </c>
      <c r="I2391" s="34"/>
      <c r="J2391" s="57" t="s">
        <v>3792</v>
      </c>
      <c r="K2391" s="57" t="s">
        <v>3792</v>
      </c>
    </row>
    <row r="2392" customFormat="false" ht="66.85" hidden="false" customHeight="false" outlineLevel="0" collapsed="false">
      <c r="F2392" s="0" t="s">
        <v>5334</v>
      </c>
      <c r="G2392" s="57" t="s">
        <v>8296</v>
      </c>
      <c r="H2392" s="57" t="s">
        <v>8293</v>
      </c>
      <c r="I2392" s="39" t="s">
        <v>67</v>
      </c>
      <c r="J2392" s="57" t="s">
        <v>8297</v>
      </c>
      <c r="K2392" s="57" t="s">
        <v>6147</v>
      </c>
    </row>
    <row r="2393" customFormat="false" ht="55.95" hidden="false" customHeight="false" outlineLevel="0" collapsed="false">
      <c r="D2393" s="60" t="s">
        <v>8298</v>
      </c>
      <c r="E2393" s="60" t="s">
        <v>8299</v>
      </c>
      <c r="F2393" s="62"/>
      <c r="G2393" s="57" t="s">
        <v>8300</v>
      </c>
      <c r="H2393" s="57" t="s">
        <v>3792</v>
      </c>
      <c r="I2393" s="39"/>
      <c r="J2393" s="57" t="s">
        <v>3792</v>
      </c>
      <c r="K2393" s="57" t="s">
        <v>3792</v>
      </c>
    </row>
    <row r="2394" customFormat="false" ht="55.95" hidden="false" customHeight="false" outlineLevel="0" collapsed="false">
      <c r="F2394" s="0" t="s">
        <v>5342</v>
      </c>
      <c r="G2394" s="57" t="s">
        <v>8301</v>
      </c>
      <c r="H2394" s="57" t="s">
        <v>8298</v>
      </c>
      <c r="I2394" s="37" t="s">
        <v>50</v>
      </c>
      <c r="J2394" s="57" t="s">
        <v>8302</v>
      </c>
      <c r="K2394" s="57" t="s">
        <v>6156</v>
      </c>
    </row>
    <row r="2395" customFormat="false" ht="45.05" hidden="false" customHeight="false" outlineLevel="0" collapsed="false">
      <c r="C2395" s="70" t="s">
        <v>8303</v>
      </c>
      <c r="D2395" s="66" t="s">
        <v>8304</v>
      </c>
      <c r="E2395" s="66" t="s">
        <v>8305</v>
      </c>
      <c r="F2395" s="65"/>
      <c r="G2395" s="57" t="s">
        <v>8306</v>
      </c>
      <c r="H2395" s="57" t="s">
        <v>3792</v>
      </c>
      <c r="I2395" s="37"/>
      <c r="J2395" s="57" t="s">
        <v>3792</v>
      </c>
      <c r="K2395" s="57" t="s">
        <v>3792</v>
      </c>
    </row>
    <row r="2396" customFormat="false" ht="21.75" hidden="false" customHeight="false" outlineLevel="0" collapsed="false">
      <c r="F2396" s="0" t="s">
        <v>5342</v>
      </c>
      <c r="G2396" s="57" t="s">
        <v>8307</v>
      </c>
      <c r="H2396" s="57" t="s">
        <v>8304</v>
      </c>
      <c r="I2396" s="37" t="s">
        <v>50</v>
      </c>
      <c r="J2396" s="57" t="s">
        <v>8308</v>
      </c>
      <c r="K2396" s="57" t="s">
        <v>6164</v>
      </c>
    </row>
    <row r="2397" customFormat="false" ht="45.05" hidden="false" customHeight="false" outlineLevel="0" collapsed="false">
      <c r="D2397" s="60" t="s">
        <v>8309</v>
      </c>
      <c r="E2397" s="60" t="s">
        <v>8310</v>
      </c>
      <c r="F2397" s="62"/>
      <c r="G2397" s="57" t="s">
        <v>8311</v>
      </c>
      <c r="H2397" s="57" t="s">
        <v>3792</v>
      </c>
      <c r="I2397" s="37"/>
      <c r="J2397" s="57" t="s">
        <v>3792</v>
      </c>
      <c r="K2397" s="57" t="s">
        <v>3792</v>
      </c>
    </row>
    <row r="2398" customFormat="false" ht="21.75" hidden="false" customHeight="false" outlineLevel="0" collapsed="false">
      <c r="F2398" s="0" t="s">
        <v>5334</v>
      </c>
      <c r="G2398" s="57" t="s">
        <v>8307</v>
      </c>
      <c r="H2398" s="57" t="s">
        <v>8309</v>
      </c>
      <c r="I2398" s="39" t="s">
        <v>67</v>
      </c>
      <c r="J2398" s="57" t="s">
        <v>8312</v>
      </c>
      <c r="K2398" s="57" t="s">
        <v>6172</v>
      </c>
    </row>
    <row r="2399" customFormat="false" ht="55.95" hidden="false" customHeight="false" outlineLevel="0" collapsed="false">
      <c r="D2399" s="60" t="s">
        <v>8313</v>
      </c>
      <c r="E2399" s="60" t="s">
        <v>8314</v>
      </c>
      <c r="F2399" s="62"/>
      <c r="G2399" s="57" t="s">
        <v>8315</v>
      </c>
      <c r="H2399" s="57" t="s">
        <v>3792</v>
      </c>
      <c r="I2399" s="39"/>
      <c r="J2399" s="57" t="s">
        <v>3792</v>
      </c>
      <c r="K2399" s="57" t="s">
        <v>3792</v>
      </c>
    </row>
    <row r="2400" customFormat="false" ht="21.75" hidden="false" customHeight="false" outlineLevel="0" collapsed="false">
      <c r="F2400" s="0" t="s">
        <v>5334</v>
      </c>
      <c r="G2400" s="57" t="s">
        <v>8307</v>
      </c>
      <c r="H2400" s="57" t="s">
        <v>8313</v>
      </c>
      <c r="I2400" s="34" t="s">
        <v>40</v>
      </c>
      <c r="J2400" s="57" t="s">
        <v>8316</v>
      </c>
      <c r="K2400" s="57" t="s">
        <v>6180</v>
      </c>
    </row>
    <row r="2401" customFormat="false" ht="66.85" hidden="false" customHeight="false" outlineLevel="0" collapsed="false">
      <c r="D2401" s="60" t="s">
        <v>8317</v>
      </c>
      <c r="E2401" s="60" t="s">
        <v>8318</v>
      </c>
      <c r="F2401" s="62"/>
      <c r="G2401" s="57" t="s">
        <v>8319</v>
      </c>
      <c r="H2401" s="57" t="s">
        <v>3792</v>
      </c>
      <c r="I2401" s="34"/>
      <c r="J2401" s="57" t="s">
        <v>3792</v>
      </c>
      <c r="K2401" s="57" t="s">
        <v>3792</v>
      </c>
    </row>
    <row r="2402" customFormat="false" ht="55.95" hidden="false" customHeight="false" outlineLevel="0" collapsed="false">
      <c r="F2402" s="0" t="s">
        <v>5342</v>
      </c>
      <c r="G2402" s="57" t="s">
        <v>8320</v>
      </c>
      <c r="H2402" s="57" t="s">
        <v>8317</v>
      </c>
      <c r="I2402" s="39" t="s">
        <v>67</v>
      </c>
      <c r="J2402" s="57" t="s">
        <v>8321</v>
      </c>
      <c r="K2402" s="57" t="s">
        <v>6188</v>
      </c>
    </row>
    <row r="2403" customFormat="false" ht="55.95" hidden="false" customHeight="false" outlineLevel="0" collapsed="false">
      <c r="D2403" s="60" t="s">
        <v>8322</v>
      </c>
      <c r="E2403" s="60" t="s">
        <v>8323</v>
      </c>
      <c r="F2403" s="62"/>
      <c r="G2403" s="57" t="s">
        <v>8324</v>
      </c>
      <c r="H2403" s="57" t="s">
        <v>3792</v>
      </c>
      <c r="I2403" s="39"/>
      <c r="J2403" s="57" t="s">
        <v>3792</v>
      </c>
      <c r="K2403" s="57" t="s">
        <v>3792</v>
      </c>
    </row>
    <row r="2404" customFormat="false" ht="55.95" hidden="false" customHeight="false" outlineLevel="0" collapsed="false">
      <c r="F2404" s="0" t="s">
        <v>5342</v>
      </c>
      <c r="G2404" s="57" t="s">
        <v>8325</v>
      </c>
      <c r="H2404" s="57" t="s">
        <v>8322</v>
      </c>
      <c r="I2404" s="37" t="s">
        <v>50</v>
      </c>
      <c r="J2404" s="57" t="s">
        <v>8326</v>
      </c>
      <c r="K2404" s="57" t="s">
        <v>6197</v>
      </c>
    </row>
    <row r="2405" customFormat="false" ht="45.05" hidden="false" customHeight="false" outlineLevel="0" collapsed="false">
      <c r="C2405" s="70" t="s">
        <v>8327</v>
      </c>
      <c r="D2405" s="66" t="s">
        <v>8328</v>
      </c>
      <c r="E2405" s="66" t="s">
        <v>8329</v>
      </c>
      <c r="F2405" s="65"/>
      <c r="G2405" s="57" t="s">
        <v>8330</v>
      </c>
      <c r="H2405" s="57" t="s">
        <v>3792</v>
      </c>
      <c r="I2405" s="37"/>
      <c r="J2405" s="57" t="s">
        <v>3792</v>
      </c>
      <c r="K2405" s="57" t="s">
        <v>3792</v>
      </c>
    </row>
    <row r="2406" customFormat="false" ht="66.85" hidden="false" customHeight="false" outlineLevel="0" collapsed="false">
      <c r="F2406" s="0" t="s">
        <v>5334</v>
      </c>
      <c r="G2406" s="57" t="s">
        <v>8331</v>
      </c>
      <c r="H2406" s="57" t="s">
        <v>8328</v>
      </c>
      <c r="I2406" s="37" t="s">
        <v>50</v>
      </c>
      <c r="J2406" s="57" t="s">
        <v>8332</v>
      </c>
      <c r="K2406" s="57" t="s">
        <v>6205</v>
      </c>
    </row>
    <row r="2407" customFormat="false" ht="55.95" hidden="false" customHeight="false" outlineLevel="0" collapsed="false">
      <c r="D2407" s="60" t="s">
        <v>8333</v>
      </c>
      <c r="E2407" s="60" t="s">
        <v>8334</v>
      </c>
      <c r="F2407" s="62"/>
      <c r="G2407" s="57" t="s">
        <v>8335</v>
      </c>
      <c r="H2407" s="57" t="s">
        <v>3792</v>
      </c>
      <c r="I2407" s="37"/>
      <c r="J2407" s="57" t="s">
        <v>3792</v>
      </c>
      <c r="K2407" s="57" t="s">
        <v>3792</v>
      </c>
    </row>
    <row r="2408" customFormat="false" ht="55.95" hidden="false" customHeight="false" outlineLevel="0" collapsed="false">
      <c r="F2408" s="0" t="s">
        <v>5342</v>
      </c>
      <c r="G2408" s="57" t="s">
        <v>8336</v>
      </c>
      <c r="H2408" s="57" t="s">
        <v>8333</v>
      </c>
      <c r="I2408" s="39" t="s">
        <v>67</v>
      </c>
      <c r="J2408" s="57" t="s">
        <v>8337</v>
      </c>
      <c r="K2408" s="57" t="s">
        <v>6213</v>
      </c>
    </row>
    <row r="2409" customFormat="false" ht="45.05" hidden="false" customHeight="false" outlineLevel="0" collapsed="false">
      <c r="D2409" s="60" t="s">
        <v>8338</v>
      </c>
      <c r="E2409" s="60" t="s">
        <v>8339</v>
      </c>
      <c r="F2409" s="62"/>
      <c r="G2409" s="57" t="s">
        <v>8263</v>
      </c>
      <c r="H2409" s="57" t="s">
        <v>3792</v>
      </c>
      <c r="I2409" s="39"/>
      <c r="J2409" s="57" t="s">
        <v>3792</v>
      </c>
      <c r="K2409" s="57" t="s">
        <v>3792</v>
      </c>
    </row>
    <row r="2410" customFormat="false" ht="55.95" hidden="false" customHeight="false" outlineLevel="0" collapsed="false">
      <c r="F2410" s="0" t="s">
        <v>5342</v>
      </c>
      <c r="G2410" s="57" t="s">
        <v>8340</v>
      </c>
      <c r="H2410" s="57" t="s">
        <v>8338</v>
      </c>
      <c r="I2410" s="34" t="s">
        <v>40</v>
      </c>
      <c r="J2410" s="57" t="s">
        <v>8341</v>
      </c>
      <c r="K2410" s="57" t="s">
        <v>6221</v>
      </c>
    </row>
    <row r="2411" customFormat="false" ht="66.85" hidden="false" customHeight="false" outlineLevel="0" collapsed="false">
      <c r="D2411" s="60" t="s">
        <v>8342</v>
      </c>
      <c r="E2411" s="60" t="s">
        <v>8343</v>
      </c>
      <c r="F2411" s="62"/>
      <c r="G2411" s="57" t="s">
        <v>8344</v>
      </c>
      <c r="H2411" s="57" t="s">
        <v>3792</v>
      </c>
      <c r="I2411" s="34"/>
      <c r="J2411" s="57" t="s">
        <v>3792</v>
      </c>
      <c r="K2411" s="57" t="s">
        <v>3792</v>
      </c>
    </row>
    <row r="2412" customFormat="false" ht="55.95" hidden="false" customHeight="false" outlineLevel="0" collapsed="false">
      <c r="F2412" s="0" t="s">
        <v>5334</v>
      </c>
      <c r="G2412" s="57" t="s">
        <v>8345</v>
      </c>
      <c r="H2412" s="57" t="s">
        <v>8342</v>
      </c>
      <c r="I2412" s="39" t="s">
        <v>67</v>
      </c>
      <c r="J2412" s="57" t="s">
        <v>8346</v>
      </c>
      <c r="K2412" s="57" t="s">
        <v>6228</v>
      </c>
    </row>
    <row r="2413" customFormat="false" ht="45.05" hidden="false" customHeight="false" outlineLevel="0" collapsed="false">
      <c r="D2413" s="60" t="s">
        <v>8347</v>
      </c>
      <c r="E2413" s="60" t="s">
        <v>8348</v>
      </c>
      <c r="F2413" s="62"/>
      <c r="G2413" s="57" t="s">
        <v>8349</v>
      </c>
      <c r="H2413" s="57" t="s">
        <v>3792</v>
      </c>
      <c r="I2413" s="39"/>
      <c r="J2413" s="57" t="s">
        <v>3792</v>
      </c>
      <c r="K2413" s="57" t="s">
        <v>3792</v>
      </c>
    </row>
    <row r="2414" customFormat="false" ht="45.05" hidden="false" customHeight="false" outlineLevel="0" collapsed="false">
      <c r="F2414" s="0" t="s">
        <v>5342</v>
      </c>
      <c r="G2414" s="57" t="s">
        <v>8350</v>
      </c>
      <c r="H2414" s="57" t="s">
        <v>8347</v>
      </c>
      <c r="I2414" s="37" t="s">
        <v>50</v>
      </c>
      <c r="J2414" s="57" t="s">
        <v>8351</v>
      </c>
      <c r="K2414" s="57" t="s">
        <v>6236</v>
      </c>
    </row>
    <row r="2415" customFormat="false" ht="55.95" hidden="false" customHeight="false" outlineLevel="0" collapsed="false">
      <c r="C2415" s="70" t="s">
        <v>8352</v>
      </c>
      <c r="D2415" s="66" t="s">
        <v>8353</v>
      </c>
      <c r="E2415" s="66" t="s">
        <v>8354</v>
      </c>
      <c r="F2415" s="65"/>
      <c r="G2415" s="57" t="s">
        <v>8355</v>
      </c>
      <c r="H2415" s="57" t="s">
        <v>3792</v>
      </c>
      <c r="I2415" s="37"/>
      <c r="J2415" s="57" t="s">
        <v>3792</v>
      </c>
      <c r="K2415" s="57" t="s">
        <v>3792</v>
      </c>
    </row>
    <row r="2416" customFormat="false" ht="66.85" hidden="false" customHeight="false" outlineLevel="0" collapsed="false">
      <c r="F2416" s="0" t="s">
        <v>5334</v>
      </c>
      <c r="G2416" s="57" t="s">
        <v>8356</v>
      </c>
      <c r="H2416" s="57" t="s">
        <v>8353</v>
      </c>
      <c r="I2416" s="37" t="s">
        <v>50</v>
      </c>
      <c r="J2416" s="57" t="s">
        <v>8357</v>
      </c>
      <c r="K2416" s="57" t="s">
        <v>6243</v>
      </c>
    </row>
    <row r="2417" customFormat="false" ht="45.05" hidden="false" customHeight="false" outlineLevel="0" collapsed="false">
      <c r="D2417" s="60" t="s">
        <v>8358</v>
      </c>
      <c r="E2417" s="60" t="s">
        <v>8359</v>
      </c>
      <c r="F2417" s="62"/>
      <c r="G2417" s="57" t="s">
        <v>8360</v>
      </c>
      <c r="H2417" s="57" t="s">
        <v>3792</v>
      </c>
      <c r="I2417" s="37"/>
      <c r="J2417" s="57" t="s">
        <v>3792</v>
      </c>
      <c r="K2417" s="57" t="s">
        <v>3792</v>
      </c>
    </row>
    <row r="2418" customFormat="false" ht="55.95" hidden="false" customHeight="false" outlineLevel="0" collapsed="false">
      <c r="F2418" s="0" t="s">
        <v>5334</v>
      </c>
      <c r="G2418" s="57" t="s">
        <v>8361</v>
      </c>
      <c r="H2418" s="57" t="s">
        <v>8358</v>
      </c>
      <c r="I2418" s="39" t="s">
        <v>67</v>
      </c>
      <c r="J2418" s="57" t="s">
        <v>8362</v>
      </c>
      <c r="K2418" s="57" t="s">
        <v>6250</v>
      </c>
    </row>
    <row r="2419" customFormat="false" ht="45.05" hidden="false" customHeight="false" outlineLevel="0" collapsed="false">
      <c r="D2419" s="60" t="s">
        <v>8363</v>
      </c>
      <c r="E2419" s="60" t="s">
        <v>8364</v>
      </c>
      <c r="F2419" s="62"/>
      <c r="G2419" s="57" t="s">
        <v>8365</v>
      </c>
      <c r="H2419" s="57" t="s">
        <v>3792</v>
      </c>
      <c r="I2419" s="39"/>
      <c r="J2419" s="57" t="s">
        <v>3792</v>
      </c>
      <c r="K2419" s="57" t="s">
        <v>3792</v>
      </c>
    </row>
    <row r="2420" customFormat="false" ht="55.95" hidden="false" customHeight="false" outlineLevel="0" collapsed="false">
      <c r="F2420" s="0" t="s">
        <v>5342</v>
      </c>
      <c r="G2420" s="57" t="s">
        <v>8366</v>
      </c>
      <c r="H2420" s="57" t="s">
        <v>8363</v>
      </c>
      <c r="I2420" s="34" t="s">
        <v>40</v>
      </c>
      <c r="J2420" s="57" t="s">
        <v>8367</v>
      </c>
      <c r="K2420" s="57" t="s">
        <v>6257</v>
      </c>
    </row>
    <row r="2421" customFormat="false" ht="34.2" hidden="false" customHeight="false" outlineLevel="0" collapsed="false">
      <c r="D2421" s="60" t="s">
        <v>8368</v>
      </c>
      <c r="E2421" s="60" t="s">
        <v>8369</v>
      </c>
      <c r="F2421" s="62"/>
      <c r="G2421" s="57" t="s">
        <v>8370</v>
      </c>
      <c r="H2421" s="57" t="s">
        <v>3792</v>
      </c>
      <c r="I2421" s="34"/>
      <c r="J2421" s="57" t="s">
        <v>3792</v>
      </c>
      <c r="K2421" s="57" t="s">
        <v>3792</v>
      </c>
    </row>
    <row r="2422" customFormat="false" ht="66.85" hidden="false" customHeight="false" outlineLevel="0" collapsed="false">
      <c r="F2422" s="0" t="s">
        <v>5334</v>
      </c>
      <c r="G2422" s="57" t="s">
        <v>8371</v>
      </c>
      <c r="H2422" s="57" t="s">
        <v>8368</v>
      </c>
      <c r="I2422" s="39" t="s">
        <v>67</v>
      </c>
      <c r="J2422" s="57" t="s">
        <v>8372</v>
      </c>
      <c r="K2422" s="57" t="s">
        <v>6264</v>
      </c>
    </row>
    <row r="2423" customFormat="false" ht="55.95" hidden="false" customHeight="false" outlineLevel="0" collapsed="false">
      <c r="D2423" s="60" t="s">
        <v>8373</v>
      </c>
      <c r="E2423" s="60" t="s">
        <v>8374</v>
      </c>
      <c r="F2423" s="62"/>
      <c r="G2423" s="57" t="s">
        <v>8375</v>
      </c>
      <c r="H2423" s="57" t="s">
        <v>3792</v>
      </c>
      <c r="I2423" s="39"/>
      <c r="J2423" s="57" t="s">
        <v>3792</v>
      </c>
      <c r="K2423" s="57" t="s">
        <v>3792</v>
      </c>
    </row>
    <row r="2424" customFormat="false" ht="55.95" hidden="false" customHeight="false" outlineLevel="0" collapsed="false">
      <c r="F2424" s="0" t="s">
        <v>5334</v>
      </c>
      <c r="G2424" s="57" t="s">
        <v>8376</v>
      </c>
      <c r="H2424" s="57" t="s">
        <v>8373</v>
      </c>
      <c r="I2424" s="37" t="s">
        <v>50</v>
      </c>
      <c r="J2424" s="57" t="s">
        <v>8377</v>
      </c>
      <c r="K2424" s="57" t="s">
        <v>6272</v>
      </c>
    </row>
    <row r="2425" customFormat="false" ht="34.2" hidden="false" customHeight="false" outlineLevel="0" collapsed="false">
      <c r="C2425" s="70" t="s">
        <v>8378</v>
      </c>
      <c r="D2425" s="66" t="s">
        <v>8379</v>
      </c>
      <c r="E2425" s="66" t="s">
        <v>8380</v>
      </c>
      <c r="F2425" s="65"/>
      <c r="G2425" s="57" t="s">
        <v>8381</v>
      </c>
      <c r="H2425" s="57" t="s">
        <v>3792</v>
      </c>
      <c r="I2425" s="37"/>
      <c r="J2425" s="57" t="s">
        <v>3792</v>
      </c>
      <c r="K2425" s="57" t="s">
        <v>3792</v>
      </c>
    </row>
    <row r="2426" customFormat="false" ht="55.95" hidden="false" customHeight="false" outlineLevel="0" collapsed="false">
      <c r="F2426" s="0" t="s">
        <v>5342</v>
      </c>
      <c r="G2426" s="57" t="s">
        <v>8382</v>
      </c>
      <c r="H2426" s="57" t="s">
        <v>8379</v>
      </c>
      <c r="I2426" s="37" t="s">
        <v>50</v>
      </c>
      <c r="J2426" s="57" t="s">
        <v>8383</v>
      </c>
      <c r="K2426" s="57" t="s">
        <v>6279</v>
      </c>
    </row>
    <row r="2427" customFormat="false" ht="34.2" hidden="false" customHeight="false" outlineLevel="0" collapsed="false">
      <c r="D2427" s="60" t="s">
        <v>8384</v>
      </c>
      <c r="E2427" s="60" t="s">
        <v>8385</v>
      </c>
      <c r="F2427" s="62"/>
      <c r="G2427" s="57" t="s">
        <v>8386</v>
      </c>
      <c r="H2427" s="57" t="s">
        <v>3792</v>
      </c>
      <c r="I2427" s="37"/>
      <c r="J2427" s="57" t="s">
        <v>3792</v>
      </c>
      <c r="K2427" s="57" t="s">
        <v>3792</v>
      </c>
    </row>
    <row r="2428" customFormat="false" ht="55.95" hidden="false" customHeight="false" outlineLevel="0" collapsed="false">
      <c r="F2428" s="0" t="s">
        <v>5334</v>
      </c>
      <c r="G2428" s="57" t="s">
        <v>8387</v>
      </c>
      <c r="H2428" s="57" t="s">
        <v>8384</v>
      </c>
      <c r="I2428" s="39" t="s">
        <v>67</v>
      </c>
      <c r="J2428" s="57" t="s">
        <v>8388</v>
      </c>
      <c r="K2428" s="57" t="s">
        <v>6286</v>
      </c>
    </row>
    <row r="2429" customFormat="false" ht="45.05" hidden="false" customHeight="false" outlineLevel="0" collapsed="false">
      <c r="D2429" s="60" t="s">
        <v>8389</v>
      </c>
      <c r="E2429" s="60" t="s">
        <v>8390</v>
      </c>
      <c r="F2429" s="62"/>
      <c r="G2429" s="57" t="s">
        <v>8391</v>
      </c>
      <c r="H2429" s="57" t="s">
        <v>3792</v>
      </c>
      <c r="I2429" s="39"/>
      <c r="J2429" s="57" t="s">
        <v>3792</v>
      </c>
      <c r="K2429" s="57" t="s">
        <v>3792</v>
      </c>
    </row>
    <row r="2430" customFormat="false" ht="55.95" hidden="false" customHeight="false" outlineLevel="0" collapsed="false">
      <c r="F2430" s="0" t="s">
        <v>5342</v>
      </c>
      <c r="G2430" s="57" t="s">
        <v>8392</v>
      </c>
      <c r="H2430" s="57" t="s">
        <v>8389</v>
      </c>
      <c r="I2430" s="34" t="s">
        <v>40</v>
      </c>
      <c r="J2430" s="57" t="s">
        <v>8393</v>
      </c>
      <c r="K2430" s="57" t="s">
        <v>6293</v>
      </c>
    </row>
    <row r="2431" customFormat="false" ht="55.95" hidden="false" customHeight="false" outlineLevel="0" collapsed="false">
      <c r="D2431" s="60" t="s">
        <v>8394</v>
      </c>
      <c r="E2431" s="60" t="s">
        <v>8395</v>
      </c>
      <c r="F2431" s="62"/>
      <c r="G2431" s="57" t="s">
        <v>8396</v>
      </c>
      <c r="H2431" s="57" t="s">
        <v>3792</v>
      </c>
      <c r="I2431" s="34"/>
      <c r="J2431" s="57" t="s">
        <v>3792</v>
      </c>
      <c r="K2431" s="57" t="s">
        <v>3792</v>
      </c>
    </row>
    <row r="2432" customFormat="false" ht="55.95" hidden="false" customHeight="false" outlineLevel="0" collapsed="false">
      <c r="F2432" s="0" t="s">
        <v>5342</v>
      </c>
      <c r="G2432" s="57" t="s">
        <v>8397</v>
      </c>
      <c r="H2432" s="57" t="s">
        <v>8394</v>
      </c>
      <c r="I2432" s="39" t="s">
        <v>67</v>
      </c>
      <c r="J2432" s="57" t="s">
        <v>8398</v>
      </c>
      <c r="K2432" s="57" t="s">
        <v>6300</v>
      </c>
    </row>
    <row r="2433" customFormat="false" ht="55.95" hidden="false" customHeight="false" outlineLevel="0" collapsed="false">
      <c r="D2433" s="60" t="s">
        <v>8399</v>
      </c>
      <c r="E2433" s="60" t="s">
        <v>8400</v>
      </c>
      <c r="F2433" s="62"/>
      <c r="G2433" s="57" t="s">
        <v>8401</v>
      </c>
      <c r="H2433" s="57" t="s">
        <v>3792</v>
      </c>
      <c r="I2433" s="39"/>
      <c r="J2433" s="57" t="s">
        <v>3792</v>
      </c>
      <c r="K2433" s="57" t="s">
        <v>3792</v>
      </c>
    </row>
    <row r="2434" customFormat="false" ht="55.95" hidden="false" customHeight="false" outlineLevel="0" collapsed="false">
      <c r="F2434" s="0" t="s">
        <v>5334</v>
      </c>
      <c r="G2434" s="57" t="s">
        <v>8402</v>
      </c>
      <c r="H2434" s="57" t="s">
        <v>8399</v>
      </c>
      <c r="I2434" s="37" t="s">
        <v>50</v>
      </c>
      <c r="J2434" s="57" t="s">
        <v>8403</v>
      </c>
      <c r="K2434" s="57" t="s">
        <v>6308</v>
      </c>
    </row>
    <row r="2435" customFormat="false" ht="55.95" hidden="false" customHeight="false" outlineLevel="0" collapsed="false">
      <c r="C2435" s="70" t="s">
        <v>8404</v>
      </c>
      <c r="D2435" s="66" t="s">
        <v>8405</v>
      </c>
      <c r="E2435" s="66" t="s">
        <v>8406</v>
      </c>
      <c r="F2435" s="65"/>
      <c r="G2435" s="57" t="s">
        <v>8407</v>
      </c>
      <c r="H2435" s="57" t="s">
        <v>3792</v>
      </c>
      <c r="I2435" s="37"/>
      <c r="J2435" s="57" t="s">
        <v>3792</v>
      </c>
      <c r="K2435" s="57" t="s">
        <v>3792</v>
      </c>
    </row>
    <row r="2436" customFormat="false" ht="55.95" hidden="false" customHeight="false" outlineLevel="0" collapsed="false">
      <c r="F2436" s="0" t="s">
        <v>5334</v>
      </c>
      <c r="G2436" s="57" t="s">
        <v>8408</v>
      </c>
      <c r="H2436" s="57" t="s">
        <v>8405</v>
      </c>
      <c r="I2436" s="37" t="s">
        <v>50</v>
      </c>
      <c r="J2436" s="57" t="s">
        <v>8409</v>
      </c>
      <c r="K2436" s="57" t="s">
        <v>6315</v>
      </c>
    </row>
    <row r="2437" customFormat="false" ht="55.95" hidden="false" customHeight="false" outlineLevel="0" collapsed="false">
      <c r="D2437" s="60" t="s">
        <v>8410</v>
      </c>
      <c r="E2437" s="60" t="s">
        <v>8411</v>
      </c>
      <c r="F2437" s="62"/>
      <c r="G2437" s="57" t="s">
        <v>8412</v>
      </c>
      <c r="H2437" s="57" t="s">
        <v>3792</v>
      </c>
      <c r="I2437" s="37"/>
      <c r="J2437" s="57" t="s">
        <v>3792</v>
      </c>
      <c r="K2437" s="57" t="s">
        <v>3792</v>
      </c>
    </row>
    <row r="2438" customFormat="false" ht="45.05" hidden="false" customHeight="false" outlineLevel="0" collapsed="false">
      <c r="F2438" s="0" t="s">
        <v>5342</v>
      </c>
      <c r="G2438" s="57" t="s">
        <v>8413</v>
      </c>
      <c r="H2438" s="57" t="s">
        <v>8410</v>
      </c>
      <c r="I2438" s="39" t="s">
        <v>67</v>
      </c>
      <c r="J2438" s="57" t="s">
        <v>8414</v>
      </c>
      <c r="K2438" s="57" t="s">
        <v>6322</v>
      </c>
    </row>
    <row r="2439" customFormat="false" ht="34.2" hidden="false" customHeight="false" outlineLevel="0" collapsed="false">
      <c r="D2439" s="60" t="s">
        <v>8415</v>
      </c>
      <c r="E2439" s="60" t="s">
        <v>8416</v>
      </c>
      <c r="F2439" s="62"/>
      <c r="G2439" s="57" t="s">
        <v>8417</v>
      </c>
      <c r="H2439" s="57" t="s">
        <v>3792</v>
      </c>
      <c r="I2439" s="39"/>
      <c r="J2439" s="57" t="s">
        <v>3792</v>
      </c>
      <c r="K2439" s="57" t="s">
        <v>3792</v>
      </c>
    </row>
    <row r="2440" customFormat="false" ht="55.95" hidden="false" customHeight="false" outlineLevel="0" collapsed="false">
      <c r="F2440" s="0" t="s">
        <v>5334</v>
      </c>
      <c r="G2440" s="57" t="s">
        <v>8418</v>
      </c>
      <c r="H2440" s="57" t="s">
        <v>8415</v>
      </c>
      <c r="I2440" s="34" t="s">
        <v>40</v>
      </c>
      <c r="J2440" s="57" t="s">
        <v>8419</v>
      </c>
      <c r="K2440" s="57" t="s">
        <v>6329</v>
      </c>
    </row>
    <row r="2441" customFormat="false" ht="45.05" hidden="false" customHeight="false" outlineLevel="0" collapsed="false">
      <c r="D2441" s="60" t="s">
        <v>8420</v>
      </c>
      <c r="E2441" s="60" t="s">
        <v>8421</v>
      </c>
      <c r="F2441" s="62"/>
      <c r="G2441" s="57" t="s">
        <v>8422</v>
      </c>
      <c r="H2441" s="57" t="s">
        <v>3792</v>
      </c>
      <c r="I2441" s="34"/>
      <c r="J2441" s="57" t="s">
        <v>3792</v>
      </c>
      <c r="K2441" s="57" t="s">
        <v>3792</v>
      </c>
    </row>
    <row r="2442" customFormat="false" ht="55.95" hidden="false" customHeight="false" outlineLevel="0" collapsed="false">
      <c r="F2442" s="0" t="s">
        <v>5334</v>
      </c>
      <c r="G2442" s="57" t="s">
        <v>8423</v>
      </c>
      <c r="H2442" s="57" t="s">
        <v>8420</v>
      </c>
      <c r="I2442" s="39" t="s">
        <v>67</v>
      </c>
      <c r="J2442" s="57" t="s">
        <v>8424</v>
      </c>
      <c r="K2442" s="57" t="s">
        <v>6336</v>
      </c>
    </row>
    <row r="2443" customFormat="false" ht="66.85" hidden="false" customHeight="false" outlineLevel="0" collapsed="false">
      <c r="D2443" s="60" t="s">
        <v>8425</v>
      </c>
      <c r="E2443" s="60" t="s">
        <v>8426</v>
      </c>
      <c r="F2443" s="62"/>
      <c r="G2443" s="57" t="s">
        <v>8427</v>
      </c>
      <c r="H2443" s="57" t="s">
        <v>3792</v>
      </c>
      <c r="I2443" s="39"/>
      <c r="J2443" s="57" t="s">
        <v>3792</v>
      </c>
      <c r="K2443" s="57" t="s">
        <v>3792</v>
      </c>
    </row>
    <row r="2444" customFormat="false" ht="55.95" hidden="false" customHeight="false" outlineLevel="0" collapsed="false">
      <c r="F2444" s="0" t="s">
        <v>5334</v>
      </c>
      <c r="G2444" s="57" t="s">
        <v>8428</v>
      </c>
      <c r="H2444" s="57" t="s">
        <v>8425</v>
      </c>
      <c r="I2444" s="37" t="s">
        <v>50</v>
      </c>
      <c r="J2444" s="57" t="s">
        <v>8429</v>
      </c>
      <c r="K2444" s="57" t="s">
        <v>6345</v>
      </c>
    </row>
    <row r="2445" customFormat="false" ht="55.95" hidden="false" customHeight="false" outlineLevel="0" collapsed="false">
      <c r="C2445" s="70" t="s">
        <v>8430</v>
      </c>
      <c r="D2445" s="66" t="s">
        <v>8431</v>
      </c>
      <c r="E2445" s="66" t="s">
        <v>8432</v>
      </c>
      <c r="F2445" s="65"/>
      <c r="G2445" s="57" t="s">
        <v>8433</v>
      </c>
      <c r="H2445" s="57" t="s">
        <v>3792</v>
      </c>
      <c r="I2445" s="37"/>
      <c r="J2445" s="57" t="s">
        <v>3792</v>
      </c>
      <c r="K2445" s="57" t="s">
        <v>3792</v>
      </c>
    </row>
    <row r="2446" customFormat="false" ht="55.95" hidden="false" customHeight="false" outlineLevel="0" collapsed="false">
      <c r="F2446" s="0" t="s">
        <v>5342</v>
      </c>
      <c r="G2446" s="57" t="s">
        <v>8434</v>
      </c>
      <c r="H2446" s="57" t="s">
        <v>8431</v>
      </c>
      <c r="I2446" s="37" t="s">
        <v>50</v>
      </c>
      <c r="J2446" s="57" t="s">
        <v>8435</v>
      </c>
      <c r="K2446" s="57" t="s">
        <v>6352</v>
      </c>
    </row>
    <row r="2447" customFormat="false" ht="45.05" hidden="false" customHeight="false" outlineLevel="0" collapsed="false">
      <c r="D2447" s="60" t="s">
        <v>8436</v>
      </c>
      <c r="E2447" s="60" t="s">
        <v>8437</v>
      </c>
      <c r="F2447" s="62"/>
      <c r="G2447" s="57" t="s">
        <v>8438</v>
      </c>
      <c r="H2447" s="57" t="s">
        <v>3792</v>
      </c>
      <c r="I2447" s="37"/>
      <c r="J2447" s="57" t="s">
        <v>3792</v>
      </c>
      <c r="K2447" s="57" t="s">
        <v>3792</v>
      </c>
    </row>
    <row r="2448" customFormat="false" ht="66.85" hidden="false" customHeight="false" outlineLevel="0" collapsed="false">
      <c r="F2448" s="0" t="s">
        <v>5334</v>
      </c>
      <c r="G2448" s="57" t="s">
        <v>8439</v>
      </c>
      <c r="H2448" s="57" t="s">
        <v>8436</v>
      </c>
      <c r="I2448" s="39" t="s">
        <v>67</v>
      </c>
      <c r="J2448" s="57" t="s">
        <v>8440</v>
      </c>
      <c r="K2448" s="57" t="s">
        <v>6359</v>
      </c>
    </row>
    <row r="2449" customFormat="false" ht="45.05" hidden="false" customHeight="false" outlineLevel="0" collapsed="false">
      <c r="D2449" s="60" t="s">
        <v>8441</v>
      </c>
      <c r="E2449" s="60" t="s">
        <v>8442</v>
      </c>
      <c r="F2449" s="62"/>
      <c r="G2449" s="57" t="s">
        <v>8443</v>
      </c>
      <c r="H2449" s="57" t="s">
        <v>3792</v>
      </c>
      <c r="I2449" s="39"/>
      <c r="J2449" s="57" t="s">
        <v>3792</v>
      </c>
      <c r="K2449" s="57" t="s">
        <v>3792</v>
      </c>
    </row>
    <row r="2450" customFormat="false" ht="55.95" hidden="false" customHeight="false" outlineLevel="0" collapsed="false">
      <c r="F2450" s="0" t="s">
        <v>5334</v>
      </c>
      <c r="G2450" s="57" t="s">
        <v>8444</v>
      </c>
      <c r="H2450" s="57" t="s">
        <v>8441</v>
      </c>
      <c r="I2450" s="34" t="s">
        <v>40</v>
      </c>
      <c r="J2450" s="57" t="s">
        <v>8445</v>
      </c>
      <c r="K2450" s="57" t="s">
        <v>6366</v>
      </c>
    </row>
    <row r="2451" customFormat="false" ht="45.05" hidden="false" customHeight="false" outlineLevel="0" collapsed="false">
      <c r="D2451" s="60" t="s">
        <v>8446</v>
      </c>
      <c r="E2451" s="60" t="s">
        <v>8447</v>
      </c>
      <c r="F2451" s="62"/>
      <c r="G2451" s="57" t="s">
        <v>8448</v>
      </c>
      <c r="H2451" s="57" t="s">
        <v>3792</v>
      </c>
      <c r="I2451" s="34"/>
      <c r="J2451" s="57" t="s">
        <v>3792</v>
      </c>
      <c r="K2451" s="57" t="s">
        <v>3792</v>
      </c>
    </row>
    <row r="2452" customFormat="false" ht="55.95" hidden="false" customHeight="false" outlineLevel="0" collapsed="false">
      <c r="F2452" s="0" t="s">
        <v>5342</v>
      </c>
      <c r="G2452" s="57" t="s">
        <v>8449</v>
      </c>
      <c r="H2452" s="57" t="s">
        <v>8446</v>
      </c>
      <c r="I2452" s="39" t="s">
        <v>67</v>
      </c>
      <c r="J2452" s="57" t="s">
        <v>8450</v>
      </c>
      <c r="K2452" s="57" t="s">
        <v>6373</v>
      </c>
    </row>
    <row r="2453" customFormat="false" ht="45.05" hidden="false" customHeight="false" outlineLevel="0" collapsed="false">
      <c r="D2453" s="60" t="s">
        <v>8451</v>
      </c>
      <c r="E2453" s="60" t="s">
        <v>8452</v>
      </c>
      <c r="F2453" s="62"/>
      <c r="G2453" s="57" t="s">
        <v>8453</v>
      </c>
      <c r="H2453" s="57" t="s">
        <v>3792</v>
      </c>
      <c r="I2453" s="39"/>
      <c r="J2453" s="57" t="s">
        <v>3792</v>
      </c>
      <c r="K2453" s="57" t="s">
        <v>3792</v>
      </c>
    </row>
    <row r="2454" customFormat="false" ht="55.95" hidden="false" customHeight="false" outlineLevel="0" collapsed="false">
      <c r="F2454" s="0" t="s">
        <v>5342</v>
      </c>
      <c r="G2454" s="57" t="s">
        <v>8454</v>
      </c>
      <c r="H2454" s="57" t="s">
        <v>8451</v>
      </c>
      <c r="I2454" s="37" t="s">
        <v>50</v>
      </c>
      <c r="J2454" s="57" t="s">
        <v>8455</v>
      </c>
      <c r="K2454" s="57" t="s">
        <v>6381</v>
      </c>
    </row>
    <row r="2455" customFormat="false" ht="34.2" hidden="false" customHeight="false" outlineLevel="0" collapsed="false">
      <c r="C2455" s="70" t="s">
        <v>8456</v>
      </c>
      <c r="D2455" s="66" t="s">
        <v>8457</v>
      </c>
      <c r="E2455" s="66" t="s">
        <v>8458</v>
      </c>
      <c r="F2455" s="65"/>
      <c r="G2455" s="57" t="s">
        <v>8459</v>
      </c>
      <c r="H2455" s="57" t="s">
        <v>3792</v>
      </c>
      <c r="I2455" s="37"/>
      <c r="J2455" s="57" t="s">
        <v>3792</v>
      </c>
      <c r="K2455" s="57" t="s">
        <v>3792</v>
      </c>
    </row>
    <row r="2456" customFormat="false" ht="55.95" hidden="false" customHeight="false" outlineLevel="0" collapsed="false">
      <c r="F2456" s="0" t="s">
        <v>5334</v>
      </c>
      <c r="G2456" s="57" t="s">
        <v>8460</v>
      </c>
      <c r="H2456" s="57" t="s">
        <v>8457</v>
      </c>
      <c r="I2456" s="37" t="s">
        <v>50</v>
      </c>
      <c r="J2456" s="57" t="s">
        <v>8461</v>
      </c>
      <c r="K2456" s="57" t="s">
        <v>6388</v>
      </c>
    </row>
    <row r="2457" customFormat="false" ht="34.2" hidden="false" customHeight="false" outlineLevel="0" collapsed="false">
      <c r="D2457" s="60" t="s">
        <v>8462</v>
      </c>
      <c r="E2457" s="60" t="s">
        <v>8463</v>
      </c>
      <c r="F2457" s="62"/>
      <c r="G2457" s="57" t="s">
        <v>8464</v>
      </c>
      <c r="H2457" s="57" t="s">
        <v>3792</v>
      </c>
      <c r="I2457" s="37"/>
      <c r="J2457" s="57" t="s">
        <v>3792</v>
      </c>
      <c r="K2457" s="57" t="s">
        <v>3792</v>
      </c>
    </row>
    <row r="2458" customFormat="false" ht="55.95" hidden="false" customHeight="false" outlineLevel="0" collapsed="false">
      <c r="F2458" s="0" t="s">
        <v>5334</v>
      </c>
      <c r="G2458" s="57" t="s">
        <v>8465</v>
      </c>
      <c r="H2458" s="57" t="s">
        <v>8462</v>
      </c>
      <c r="I2458" s="39" t="s">
        <v>67</v>
      </c>
      <c r="J2458" s="57" t="s">
        <v>8466</v>
      </c>
      <c r="K2458" s="57" t="s">
        <v>6395</v>
      </c>
    </row>
    <row r="2459" customFormat="false" ht="55.95" hidden="false" customHeight="false" outlineLevel="0" collapsed="false">
      <c r="D2459" s="60" t="s">
        <v>8467</v>
      </c>
      <c r="E2459" s="60" t="s">
        <v>8468</v>
      </c>
      <c r="F2459" s="62"/>
      <c r="G2459" s="57" t="s">
        <v>8469</v>
      </c>
      <c r="H2459" s="57" t="s">
        <v>3792</v>
      </c>
      <c r="I2459" s="39"/>
      <c r="J2459" s="57" t="s">
        <v>3792</v>
      </c>
      <c r="K2459" s="57" t="s">
        <v>3792</v>
      </c>
    </row>
    <row r="2460" customFormat="false" ht="55.95" hidden="false" customHeight="false" outlineLevel="0" collapsed="false">
      <c r="F2460" s="0" t="s">
        <v>5342</v>
      </c>
      <c r="G2460" s="57" t="s">
        <v>8470</v>
      </c>
      <c r="H2460" s="57" t="s">
        <v>8467</v>
      </c>
      <c r="I2460" s="34" t="s">
        <v>40</v>
      </c>
      <c r="J2460" s="57" t="s">
        <v>8471</v>
      </c>
      <c r="K2460" s="57" t="s">
        <v>6402</v>
      </c>
    </row>
    <row r="2461" customFormat="false" ht="45.05" hidden="false" customHeight="false" outlineLevel="0" collapsed="false">
      <c r="D2461" s="60" t="s">
        <v>8472</v>
      </c>
      <c r="E2461" s="60" t="s">
        <v>8473</v>
      </c>
      <c r="F2461" s="62"/>
      <c r="G2461" s="57" t="s">
        <v>8474</v>
      </c>
      <c r="H2461" s="57" t="s">
        <v>3792</v>
      </c>
      <c r="I2461" s="34"/>
      <c r="J2461" s="57" t="s">
        <v>3792</v>
      </c>
      <c r="K2461" s="57" t="s">
        <v>3792</v>
      </c>
    </row>
    <row r="2462" customFormat="false" ht="66.85" hidden="false" customHeight="false" outlineLevel="0" collapsed="false">
      <c r="F2462" s="0" t="s">
        <v>5342</v>
      </c>
      <c r="G2462" s="57" t="s">
        <v>8475</v>
      </c>
      <c r="H2462" s="57" t="s">
        <v>8472</v>
      </c>
      <c r="I2462" s="39" t="s">
        <v>67</v>
      </c>
      <c r="J2462" s="57" t="s">
        <v>8476</v>
      </c>
      <c r="K2462" s="57" t="s">
        <v>6409</v>
      </c>
    </row>
    <row r="2463" customFormat="false" ht="45.05" hidden="false" customHeight="false" outlineLevel="0" collapsed="false">
      <c r="D2463" s="60" t="s">
        <v>8477</v>
      </c>
      <c r="E2463" s="60" t="s">
        <v>8478</v>
      </c>
      <c r="F2463" s="62"/>
      <c r="G2463" s="57" t="s">
        <v>8479</v>
      </c>
      <c r="H2463" s="57" t="s">
        <v>3792</v>
      </c>
      <c r="I2463" s="39"/>
      <c r="J2463" s="57" t="s">
        <v>3792</v>
      </c>
      <c r="K2463" s="57" t="s">
        <v>3792</v>
      </c>
    </row>
    <row r="2464" customFormat="false" ht="55.95" hidden="false" customHeight="false" outlineLevel="0" collapsed="false">
      <c r="F2464" s="0" t="s">
        <v>5342</v>
      </c>
      <c r="G2464" s="57" t="s">
        <v>8480</v>
      </c>
      <c r="H2464" s="57" t="s">
        <v>8477</v>
      </c>
      <c r="I2464" s="37" t="s">
        <v>50</v>
      </c>
      <c r="J2464" s="57" t="s">
        <v>8481</v>
      </c>
      <c r="K2464" s="57" t="s">
        <v>6415</v>
      </c>
    </row>
    <row r="2465" customFormat="false" ht="55.95" hidden="false" customHeight="false" outlineLevel="0" collapsed="false">
      <c r="C2465" s="64" t="s">
        <v>8482</v>
      </c>
      <c r="D2465" s="66" t="s">
        <v>8483</v>
      </c>
      <c r="E2465" s="66" t="s">
        <v>8484</v>
      </c>
      <c r="F2465" s="69"/>
      <c r="G2465" s="57" t="s">
        <v>8485</v>
      </c>
      <c r="I2465" s="37"/>
      <c r="K2465" s="57" t="s">
        <v>3792</v>
      </c>
    </row>
    <row r="2466" customFormat="false" ht="55.95" hidden="false" customHeight="false" outlineLevel="0" collapsed="false">
      <c r="F2466" s="0" t="s">
        <v>5334</v>
      </c>
      <c r="G2466" s="57" t="s">
        <v>8486</v>
      </c>
      <c r="H2466" s="57" t="s">
        <v>8483</v>
      </c>
      <c r="I2466" s="37" t="s">
        <v>50</v>
      </c>
      <c r="J2466" s="57" t="s">
        <v>8487</v>
      </c>
      <c r="K2466" s="57" t="s">
        <v>6421</v>
      </c>
    </row>
    <row r="2467" customFormat="false" ht="45.05" hidden="false" customHeight="false" outlineLevel="0" collapsed="false">
      <c r="D2467" s="60" t="s">
        <v>8488</v>
      </c>
      <c r="E2467" s="60" t="s">
        <v>8489</v>
      </c>
      <c r="F2467" s="62"/>
      <c r="G2467" s="57" t="s">
        <v>8490</v>
      </c>
      <c r="H2467" s="57" t="s">
        <v>3792</v>
      </c>
      <c r="I2467" s="37"/>
      <c r="J2467" s="57" t="s">
        <v>3792</v>
      </c>
      <c r="K2467" s="57" t="s">
        <v>3792</v>
      </c>
    </row>
    <row r="2468" customFormat="false" ht="55.95" hidden="false" customHeight="false" outlineLevel="0" collapsed="false">
      <c r="F2468" s="0" t="s">
        <v>5342</v>
      </c>
      <c r="G2468" s="57" t="s">
        <v>8491</v>
      </c>
      <c r="H2468" s="57" t="s">
        <v>8488</v>
      </c>
      <c r="I2468" s="39" t="s">
        <v>67</v>
      </c>
      <c r="J2468" s="57" t="s">
        <v>8492</v>
      </c>
      <c r="K2468" s="57" t="s">
        <v>6428</v>
      </c>
    </row>
    <row r="2469" customFormat="false" ht="34.2" hidden="false" customHeight="false" outlineLevel="0" collapsed="false">
      <c r="D2469" s="60" t="s">
        <v>8493</v>
      </c>
      <c r="E2469" s="60" t="s">
        <v>8494</v>
      </c>
      <c r="F2469" s="62"/>
      <c r="G2469" s="57" t="s">
        <v>8495</v>
      </c>
      <c r="H2469" s="57" t="s">
        <v>3792</v>
      </c>
      <c r="I2469" s="39"/>
      <c r="J2469" s="57" t="s">
        <v>3792</v>
      </c>
      <c r="K2469" s="57" t="s">
        <v>3792</v>
      </c>
    </row>
    <row r="2470" customFormat="false" ht="45.05" hidden="false" customHeight="false" outlineLevel="0" collapsed="false">
      <c r="F2470" s="0" t="s">
        <v>5334</v>
      </c>
      <c r="G2470" s="57" t="s">
        <v>8496</v>
      </c>
      <c r="H2470" s="57" t="s">
        <v>8493</v>
      </c>
      <c r="I2470" s="34" t="s">
        <v>40</v>
      </c>
      <c r="J2470" s="57" t="s">
        <v>8497</v>
      </c>
      <c r="K2470" s="57" t="s">
        <v>6435</v>
      </c>
    </row>
    <row r="2471" customFormat="false" ht="34.2" hidden="false" customHeight="false" outlineLevel="0" collapsed="false">
      <c r="D2471" s="60" t="s">
        <v>8498</v>
      </c>
      <c r="E2471" s="60" t="s">
        <v>8499</v>
      </c>
      <c r="F2471" s="62"/>
      <c r="G2471" s="57" t="s">
        <v>8500</v>
      </c>
      <c r="H2471" s="57" t="s">
        <v>3792</v>
      </c>
      <c r="I2471" s="34"/>
      <c r="J2471" s="57" t="s">
        <v>3792</v>
      </c>
      <c r="K2471" s="57" t="s">
        <v>3792</v>
      </c>
    </row>
    <row r="2472" customFormat="false" ht="55.95" hidden="false" customHeight="false" outlineLevel="0" collapsed="false">
      <c r="F2472" s="0" t="s">
        <v>5342</v>
      </c>
      <c r="G2472" s="57" t="s">
        <v>8501</v>
      </c>
      <c r="H2472" s="57" t="s">
        <v>8498</v>
      </c>
      <c r="I2472" s="39" t="s">
        <v>67</v>
      </c>
      <c r="J2472" s="57" t="s">
        <v>8502</v>
      </c>
      <c r="K2472" s="57" t="s">
        <v>6442</v>
      </c>
    </row>
    <row r="2473" customFormat="false" ht="45.05" hidden="false" customHeight="false" outlineLevel="0" collapsed="false">
      <c r="D2473" s="60" t="s">
        <v>8503</v>
      </c>
      <c r="E2473" s="60" t="s">
        <v>8504</v>
      </c>
      <c r="F2473" s="62"/>
      <c r="G2473" s="57" t="s">
        <v>8505</v>
      </c>
      <c r="H2473" s="57" t="s">
        <v>3792</v>
      </c>
      <c r="I2473" s="39"/>
      <c r="J2473" s="57" t="s">
        <v>3792</v>
      </c>
      <c r="K2473" s="57" t="s">
        <v>3792</v>
      </c>
    </row>
    <row r="2474" customFormat="false" ht="55.95" hidden="false" customHeight="false" outlineLevel="0" collapsed="false">
      <c r="F2474" s="0" t="s">
        <v>5334</v>
      </c>
      <c r="G2474" s="57" t="s">
        <v>8506</v>
      </c>
      <c r="H2474" s="57" t="s">
        <v>8503</v>
      </c>
      <c r="I2474" s="37" t="s">
        <v>50</v>
      </c>
      <c r="J2474" s="57" t="s">
        <v>8507</v>
      </c>
      <c r="K2474" s="57" t="s">
        <v>6449</v>
      </c>
    </row>
    <row r="2475" customFormat="false" ht="45.05" hidden="false" customHeight="false" outlineLevel="0" collapsed="false">
      <c r="B2475" s="67" t="s">
        <v>8508</v>
      </c>
      <c r="C2475" s="71" t="s">
        <v>8509</v>
      </c>
      <c r="D2475" s="68" t="s">
        <v>8510</v>
      </c>
      <c r="E2475" s="68" t="s">
        <v>8511</v>
      </c>
      <c r="F2475" s="65"/>
      <c r="G2475" s="57" t="s">
        <v>8512</v>
      </c>
      <c r="H2475" s="57" t="s">
        <v>3792</v>
      </c>
      <c r="I2475" s="37"/>
      <c r="J2475" s="57" t="s">
        <v>3792</v>
      </c>
      <c r="K2475" s="57" t="s">
        <v>3792</v>
      </c>
    </row>
    <row r="2476" customFormat="false" ht="34.2" hidden="false" customHeight="false" outlineLevel="0" collapsed="false">
      <c r="F2476" s="0" t="s">
        <v>5342</v>
      </c>
      <c r="G2476" s="57" t="s">
        <v>8513</v>
      </c>
      <c r="H2476" s="57" t="s">
        <v>8510</v>
      </c>
      <c r="I2476" s="37" t="s">
        <v>50</v>
      </c>
      <c r="J2476" s="57" t="s">
        <v>8514</v>
      </c>
      <c r="K2476" s="57" t="s">
        <v>6456</v>
      </c>
    </row>
    <row r="2477" customFormat="false" ht="45.05" hidden="false" customHeight="false" outlineLevel="0" collapsed="false">
      <c r="D2477" s="60" t="s">
        <v>8515</v>
      </c>
      <c r="E2477" s="60" t="s">
        <v>8516</v>
      </c>
      <c r="F2477" s="62"/>
      <c r="G2477" s="57" t="s">
        <v>8517</v>
      </c>
      <c r="H2477" s="57" t="s">
        <v>3792</v>
      </c>
      <c r="I2477" s="37"/>
      <c r="J2477" s="57" t="s">
        <v>3792</v>
      </c>
      <c r="K2477" s="57" t="s">
        <v>3792</v>
      </c>
    </row>
    <row r="2478" customFormat="false" ht="55.95" hidden="false" customHeight="false" outlineLevel="0" collapsed="false">
      <c r="F2478" s="0" t="s">
        <v>5334</v>
      </c>
      <c r="G2478" s="57" t="s">
        <v>8518</v>
      </c>
      <c r="H2478" s="57" t="s">
        <v>8515</v>
      </c>
      <c r="I2478" s="39" t="s">
        <v>67</v>
      </c>
      <c r="J2478" s="57" t="s">
        <v>8519</v>
      </c>
      <c r="K2478" s="57" t="s">
        <v>6463</v>
      </c>
    </row>
    <row r="2479" customFormat="false" ht="45.05" hidden="false" customHeight="false" outlineLevel="0" collapsed="false">
      <c r="D2479" s="60" t="s">
        <v>8520</v>
      </c>
      <c r="E2479" s="60" t="s">
        <v>8521</v>
      </c>
      <c r="F2479" s="62"/>
      <c r="G2479" s="57" t="s">
        <v>8522</v>
      </c>
      <c r="H2479" s="57" t="s">
        <v>3792</v>
      </c>
      <c r="I2479" s="39"/>
      <c r="J2479" s="57" t="s">
        <v>3792</v>
      </c>
      <c r="K2479" s="57" t="s">
        <v>3792</v>
      </c>
    </row>
    <row r="2480" customFormat="false" ht="34.2" hidden="false" customHeight="false" outlineLevel="0" collapsed="false">
      <c r="F2480" s="0" t="s">
        <v>5342</v>
      </c>
      <c r="G2480" s="57" t="s">
        <v>8523</v>
      </c>
      <c r="H2480" s="57" t="s">
        <v>8520</v>
      </c>
      <c r="I2480" s="34" t="s">
        <v>40</v>
      </c>
      <c r="J2480" s="57" t="s">
        <v>8524</v>
      </c>
      <c r="K2480" s="57" t="s">
        <v>6470</v>
      </c>
    </row>
    <row r="2481" customFormat="false" ht="45.05" hidden="false" customHeight="false" outlineLevel="0" collapsed="false">
      <c r="D2481" s="60" t="s">
        <v>8525</v>
      </c>
      <c r="E2481" s="60" t="s">
        <v>8526</v>
      </c>
      <c r="F2481" s="62"/>
      <c r="G2481" s="57" t="s">
        <v>8527</v>
      </c>
      <c r="H2481" s="57" t="s">
        <v>3792</v>
      </c>
      <c r="I2481" s="34"/>
      <c r="J2481" s="57" t="s">
        <v>3792</v>
      </c>
      <c r="K2481" s="57" t="s">
        <v>3792</v>
      </c>
    </row>
    <row r="2482" customFormat="false" ht="55.95" hidden="false" customHeight="false" outlineLevel="0" collapsed="false">
      <c r="F2482" s="0" t="s">
        <v>5342</v>
      </c>
      <c r="G2482" s="57" t="s">
        <v>8528</v>
      </c>
      <c r="H2482" s="57" t="s">
        <v>8525</v>
      </c>
      <c r="I2482" s="37" t="s">
        <v>50</v>
      </c>
      <c r="J2482" s="57" t="s">
        <v>8529</v>
      </c>
      <c r="K2482" s="57" t="s">
        <v>6477</v>
      </c>
    </row>
    <row r="2483" customFormat="false" ht="45.05" hidden="false" customHeight="false" outlineLevel="0" collapsed="false">
      <c r="D2483" s="60" t="s">
        <v>8530</v>
      </c>
      <c r="E2483" s="60" t="s">
        <v>8531</v>
      </c>
      <c r="F2483" s="62"/>
      <c r="G2483" s="57" t="s">
        <v>8532</v>
      </c>
      <c r="H2483" s="57" t="s">
        <v>3792</v>
      </c>
      <c r="I2483" s="37"/>
      <c r="J2483" s="57" t="s">
        <v>3792</v>
      </c>
      <c r="K2483" s="57" t="s">
        <v>3792</v>
      </c>
    </row>
    <row r="2484" customFormat="false" ht="55.95" hidden="false" customHeight="false" outlineLevel="0" collapsed="false">
      <c r="F2484" s="0" t="s">
        <v>5334</v>
      </c>
      <c r="G2484" s="57" t="s">
        <v>8533</v>
      </c>
      <c r="H2484" s="57" t="s">
        <v>8530</v>
      </c>
      <c r="I2484" s="34" t="s">
        <v>40</v>
      </c>
      <c r="J2484" s="57" t="s">
        <v>8534</v>
      </c>
      <c r="K2484" s="57" t="s">
        <v>6485</v>
      </c>
    </row>
    <row r="2485" customFormat="false" ht="45.05" hidden="false" customHeight="false" outlineLevel="0" collapsed="false">
      <c r="C2485" s="70" t="s">
        <v>8535</v>
      </c>
      <c r="D2485" s="66" t="s">
        <v>8536</v>
      </c>
      <c r="E2485" s="66" t="s">
        <v>8537</v>
      </c>
      <c r="F2485" s="65"/>
      <c r="G2485" s="57" t="s">
        <v>8538</v>
      </c>
      <c r="H2485" s="57" t="s">
        <v>3792</v>
      </c>
      <c r="I2485" s="34"/>
      <c r="J2485" s="57" t="s">
        <v>3792</v>
      </c>
      <c r="K2485" s="57" t="s">
        <v>3792</v>
      </c>
    </row>
    <row r="2486" customFormat="false" ht="34.2" hidden="false" customHeight="false" outlineLevel="0" collapsed="false">
      <c r="F2486" s="0" t="s">
        <v>5342</v>
      </c>
      <c r="G2486" s="57" t="s">
        <v>8539</v>
      </c>
      <c r="H2486" s="57" t="s">
        <v>8536</v>
      </c>
      <c r="I2486" s="39" t="s">
        <v>67</v>
      </c>
      <c r="J2486" s="57" t="s">
        <v>8540</v>
      </c>
      <c r="K2486" s="57" t="s">
        <v>6492</v>
      </c>
    </row>
    <row r="2487" customFormat="false" ht="34.2" hidden="false" customHeight="false" outlineLevel="0" collapsed="false">
      <c r="D2487" s="60" t="s">
        <v>8541</v>
      </c>
      <c r="E2487" s="60" t="s">
        <v>8542</v>
      </c>
      <c r="F2487" s="62"/>
      <c r="G2487" s="57" t="s">
        <v>8543</v>
      </c>
      <c r="H2487" s="57" t="s">
        <v>3792</v>
      </c>
      <c r="I2487" s="39"/>
      <c r="J2487" s="57" t="s">
        <v>3792</v>
      </c>
      <c r="K2487" s="57" t="s">
        <v>3792</v>
      </c>
    </row>
    <row r="2488" customFormat="false" ht="45.05" hidden="false" customHeight="false" outlineLevel="0" collapsed="false">
      <c r="F2488" s="0" t="s">
        <v>5334</v>
      </c>
      <c r="G2488" s="57" t="s">
        <v>8544</v>
      </c>
      <c r="H2488" s="57" t="s">
        <v>8541</v>
      </c>
      <c r="I2488" s="37" t="s">
        <v>50</v>
      </c>
      <c r="J2488" s="57" t="s">
        <v>8545</v>
      </c>
      <c r="K2488" s="57" t="s">
        <v>6499</v>
      </c>
    </row>
    <row r="2489" customFormat="false" ht="34.2" hidden="false" customHeight="false" outlineLevel="0" collapsed="false">
      <c r="D2489" s="60" t="s">
        <v>8546</v>
      </c>
      <c r="E2489" s="60" t="s">
        <v>8547</v>
      </c>
      <c r="F2489" s="62"/>
      <c r="G2489" s="57" t="s">
        <v>8548</v>
      </c>
      <c r="H2489" s="57" t="s">
        <v>3792</v>
      </c>
      <c r="I2489" s="37"/>
      <c r="J2489" s="57" t="s">
        <v>3792</v>
      </c>
      <c r="K2489" s="57" t="s">
        <v>3792</v>
      </c>
    </row>
    <row r="2490" customFormat="false" ht="45.05" hidden="false" customHeight="false" outlineLevel="0" collapsed="false">
      <c r="F2490" s="0" t="s">
        <v>5342</v>
      </c>
      <c r="G2490" s="57" t="s">
        <v>8549</v>
      </c>
      <c r="H2490" s="57" t="s">
        <v>8546</v>
      </c>
      <c r="I2490" s="37" t="s">
        <v>50</v>
      </c>
      <c r="J2490" s="57" t="s">
        <v>8550</v>
      </c>
      <c r="K2490" s="57" t="s">
        <v>6506</v>
      </c>
    </row>
    <row r="2491" customFormat="false" ht="55.95" hidden="false" customHeight="false" outlineLevel="0" collapsed="false">
      <c r="D2491" s="60" t="s">
        <v>8551</v>
      </c>
      <c r="E2491" s="60" t="s">
        <v>8552</v>
      </c>
      <c r="F2491" s="62"/>
      <c r="G2491" s="57" t="s">
        <v>8553</v>
      </c>
      <c r="H2491" s="57" t="s">
        <v>3792</v>
      </c>
      <c r="I2491" s="37"/>
      <c r="J2491" s="57" t="s">
        <v>3792</v>
      </c>
      <c r="K2491" s="57" t="s">
        <v>3792</v>
      </c>
    </row>
    <row r="2492" customFormat="false" ht="55.95" hidden="false" customHeight="false" outlineLevel="0" collapsed="false">
      <c r="F2492" s="0" t="s">
        <v>5342</v>
      </c>
      <c r="G2492" s="57" t="s">
        <v>8554</v>
      </c>
      <c r="H2492" s="57" t="s">
        <v>8551</v>
      </c>
      <c r="I2492" s="39" t="s">
        <v>67</v>
      </c>
      <c r="J2492" s="57" t="s">
        <v>8555</v>
      </c>
      <c r="K2492" s="57" t="s">
        <v>6513</v>
      </c>
    </row>
    <row r="2493" customFormat="false" ht="34.2" hidden="false" customHeight="false" outlineLevel="0" collapsed="false">
      <c r="D2493" s="60" t="s">
        <v>8556</v>
      </c>
      <c r="E2493" s="60" t="s">
        <v>8557</v>
      </c>
      <c r="F2493" s="62"/>
      <c r="G2493" s="57" t="s">
        <v>8539</v>
      </c>
      <c r="H2493" s="57" t="s">
        <v>3792</v>
      </c>
      <c r="I2493" s="39"/>
      <c r="J2493" s="57" t="s">
        <v>3792</v>
      </c>
      <c r="K2493" s="57" t="s">
        <v>3792</v>
      </c>
    </row>
    <row r="2494" customFormat="false" ht="34.2" hidden="false" customHeight="false" outlineLevel="0" collapsed="false">
      <c r="F2494" s="0" t="s">
        <v>5334</v>
      </c>
      <c r="G2494" s="57" t="s">
        <v>8558</v>
      </c>
      <c r="H2494" s="57" t="s">
        <v>8556</v>
      </c>
      <c r="I2494" s="34" t="s">
        <v>40</v>
      </c>
      <c r="J2494" s="57" t="s">
        <v>8559</v>
      </c>
      <c r="K2494" s="57" t="s">
        <v>6521</v>
      </c>
    </row>
    <row r="2495" customFormat="false" ht="45.05" hidden="false" customHeight="false" outlineLevel="0" collapsed="false">
      <c r="C2495" s="70" t="s">
        <v>8560</v>
      </c>
      <c r="D2495" s="66" t="s">
        <v>8561</v>
      </c>
      <c r="E2495" s="66" t="s">
        <v>8562</v>
      </c>
      <c r="F2495" s="65"/>
      <c r="G2495" s="57" t="s">
        <v>8563</v>
      </c>
      <c r="H2495" s="57" t="s">
        <v>3792</v>
      </c>
      <c r="I2495" s="34"/>
      <c r="J2495" s="57" t="s">
        <v>3792</v>
      </c>
      <c r="K2495" s="57" t="s">
        <v>3792</v>
      </c>
    </row>
    <row r="2496" customFormat="false" ht="21.75" hidden="false" customHeight="false" outlineLevel="0" collapsed="false">
      <c r="F2496" s="0" t="s">
        <v>5334</v>
      </c>
      <c r="G2496" s="57" t="s">
        <v>8564</v>
      </c>
      <c r="H2496" s="57" t="s">
        <v>8561</v>
      </c>
      <c r="I2496" s="39" t="s">
        <v>67</v>
      </c>
      <c r="J2496" s="57" t="s">
        <v>8565</v>
      </c>
      <c r="K2496" s="57" t="s">
        <v>6528</v>
      </c>
    </row>
    <row r="2497" customFormat="false" ht="34.2" hidden="false" customHeight="false" outlineLevel="0" collapsed="false">
      <c r="D2497" s="60" t="s">
        <v>8566</v>
      </c>
      <c r="E2497" s="60" t="s">
        <v>8567</v>
      </c>
      <c r="F2497" s="62"/>
      <c r="G2497" s="57" t="s">
        <v>3802</v>
      </c>
      <c r="H2497" s="57" t="s">
        <v>3792</v>
      </c>
      <c r="I2497" s="39"/>
      <c r="J2497" s="57" t="s">
        <v>3792</v>
      </c>
      <c r="K2497" s="57" t="s">
        <v>3792</v>
      </c>
    </row>
    <row r="2498" customFormat="false" ht="34.2" hidden="false" customHeight="false" outlineLevel="0" collapsed="false">
      <c r="F2498" s="0" t="s">
        <v>5342</v>
      </c>
      <c r="G2498" s="57" t="s">
        <v>8568</v>
      </c>
      <c r="H2498" s="57" t="s">
        <v>8566</v>
      </c>
      <c r="I2498" s="37" t="s">
        <v>50</v>
      </c>
      <c r="J2498" s="57" t="s">
        <v>8569</v>
      </c>
      <c r="K2498" s="57" t="s">
        <v>6533</v>
      </c>
    </row>
    <row r="2499" customFormat="false" ht="66.85" hidden="false" customHeight="false" outlineLevel="0" collapsed="false">
      <c r="D2499" s="60" t="s">
        <v>8570</v>
      </c>
      <c r="E2499" s="60" t="s">
        <v>8571</v>
      </c>
      <c r="F2499" s="62"/>
      <c r="G2499" s="57" t="s">
        <v>8572</v>
      </c>
      <c r="H2499" s="57" t="s">
        <v>3792</v>
      </c>
      <c r="I2499" s="37"/>
      <c r="J2499" s="57" t="s">
        <v>3792</v>
      </c>
      <c r="K2499" s="57" t="s">
        <v>3792</v>
      </c>
    </row>
    <row r="2500" customFormat="false" ht="34.2" hidden="false" customHeight="false" outlineLevel="0" collapsed="false">
      <c r="F2500" s="0" t="s">
        <v>5334</v>
      </c>
      <c r="G2500" s="57" t="s">
        <v>8573</v>
      </c>
      <c r="H2500" s="57" t="s">
        <v>8570</v>
      </c>
      <c r="I2500" s="37" t="s">
        <v>50</v>
      </c>
      <c r="J2500" s="57" t="s">
        <v>8574</v>
      </c>
      <c r="K2500" s="57" t="s">
        <v>6540</v>
      </c>
    </row>
    <row r="2501" customFormat="false" ht="66.85" hidden="false" customHeight="false" outlineLevel="0" collapsed="false">
      <c r="D2501" s="60" t="s">
        <v>8575</v>
      </c>
      <c r="E2501" s="60" t="s">
        <v>8576</v>
      </c>
      <c r="F2501" s="62"/>
      <c r="G2501" s="57" t="s">
        <v>8577</v>
      </c>
      <c r="H2501" s="57" t="s">
        <v>3792</v>
      </c>
      <c r="I2501" s="37"/>
      <c r="J2501" s="57" t="s">
        <v>3792</v>
      </c>
      <c r="K2501" s="57" t="s">
        <v>3792</v>
      </c>
    </row>
    <row r="2502" customFormat="false" ht="55.95" hidden="false" customHeight="false" outlineLevel="0" collapsed="false">
      <c r="F2502" s="0" t="s">
        <v>5342</v>
      </c>
      <c r="G2502" s="57" t="s">
        <v>8578</v>
      </c>
      <c r="H2502" s="57" t="s">
        <v>8575</v>
      </c>
      <c r="I2502" s="39" t="s">
        <v>67</v>
      </c>
      <c r="J2502" s="57" t="s">
        <v>8579</v>
      </c>
      <c r="K2502" s="57" t="s">
        <v>6547</v>
      </c>
    </row>
    <row r="2503" customFormat="false" ht="55.95" hidden="false" customHeight="false" outlineLevel="0" collapsed="false">
      <c r="D2503" s="60" t="s">
        <v>8580</v>
      </c>
      <c r="E2503" s="60" t="s">
        <v>8581</v>
      </c>
      <c r="F2503" s="62"/>
      <c r="G2503" s="57" t="s">
        <v>8582</v>
      </c>
      <c r="H2503" s="57" t="s">
        <v>3792</v>
      </c>
      <c r="I2503" s="39"/>
      <c r="J2503" s="57" t="s">
        <v>3792</v>
      </c>
      <c r="K2503" s="57" t="s">
        <v>3792</v>
      </c>
    </row>
    <row r="2504" customFormat="false" ht="34.2" hidden="false" customHeight="false" outlineLevel="0" collapsed="false">
      <c r="F2504" s="0" t="s">
        <v>5342</v>
      </c>
      <c r="G2504" s="57" t="s">
        <v>8583</v>
      </c>
      <c r="H2504" s="57" t="s">
        <v>8580</v>
      </c>
      <c r="I2504" s="34" t="s">
        <v>40</v>
      </c>
      <c r="J2504" s="57" t="s">
        <v>8584</v>
      </c>
      <c r="K2504" s="57" t="s">
        <v>6555</v>
      </c>
    </row>
    <row r="2505" customFormat="false" ht="45.05" hidden="false" customHeight="false" outlineLevel="0" collapsed="false">
      <c r="C2505" s="70" t="s">
        <v>8560</v>
      </c>
      <c r="D2505" s="66" t="s">
        <v>8457</v>
      </c>
      <c r="E2505" s="66" t="s">
        <v>8585</v>
      </c>
      <c r="F2505" s="65"/>
      <c r="G2505" s="57" t="s">
        <v>8586</v>
      </c>
      <c r="H2505" s="57" t="s">
        <v>3792</v>
      </c>
      <c r="I2505" s="34"/>
      <c r="J2505" s="57" t="s">
        <v>3792</v>
      </c>
      <c r="K2505" s="57" t="s">
        <v>3792</v>
      </c>
    </row>
    <row r="2506" customFormat="false" ht="55.95" hidden="false" customHeight="false" outlineLevel="0" collapsed="false">
      <c r="F2506" s="0" t="s">
        <v>5334</v>
      </c>
      <c r="G2506" s="57" t="s">
        <v>8460</v>
      </c>
      <c r="H2506" s="57" t="s">
        <v>8457</v>
      </c>
      <c r="I2506" s="39" t="s">
        <v>67</v>
      </c>
      <c r="J2506" s="57" t="s">
        <v>8587</v>
      </c>
      <c r="K2506" s="57" t="s">
        <v>6562</v>
      </c>
    </row>
    <row r="2507" customFormat="false" ht="34.2" hidden="false" customHeight="false" outlineLevel="0" collapsed="false">
      <c r="D2507" s="60" t="s">
        <v>8462</v>
      </c>
      <c r="E2507" s="60" t="s">
        <v>8588</v>
      </c>
      <c r="F2507" s="62"/>
      <c r="G2507" s="57" t="s">
        <v>8464</v>
      </c>
      <c r="H2507" s="57" t="s">
        <v>3792</v>
      </c>
      <c r="I2507" s="39"/>
      <c r="J2507" s="57" t="s">
        <v>3792</v>
      </c>
      <c r="K2507" s="57" t="s">
        <v>3792</v>
      </c>
    </row>
    <row r="2508" customFormat="false" ht="34.2" hidden="false" customHeight="false" outlineLevel="0" collapsed="false">
      <c r="F2508" s="0" t="s">
        <v>5342</v>
      </c>
      <c r="G2508" s="57" t="s">
        <v>8589</v>
      </c>
      <c r="H2508" s="57" t="s">
        <v>8462</v>
      </c>
      <c r="I2508" s="37" t="s">
        <v>50</v>
      </c>
      <c r="J2508" s="57" t="s">
        <v>8466</v>
      </c>
      <c r="K2508" s="57" t="s">
        <v>6569</v>
      </c>
    </row>
    <row r="2509" customFormat="false" ht="55.95" hidden="false" customHeight="false" outlineLevel="0" collapsed="false">
      <c r="D2509" s="60" t="s">
        <v>8467</v>
      </c>
      <c r="E2509" s="60" t="s">
        <v>8590</v>
      </c>
      <c r="F2509" s="62"/>
      <c r="G2509" s="57" t="s">
        <v>8469</v>
      </c>
      <c r="H2509" s="57" t="s">
        <v>3792</v>
      </c>
      <c r="I2509" s="37"/>
      <c r="J2509" s="57" t="s">
        <v>3792</v>
      </c>
      <c r="K2509" s="57" t="s">
        <v>3792</v>
      </c>
    </row>
    <row r="2510" customFormat="false" ht="55.95" hidden="false" customHeight="false" outlineLevel="0" collapsed="false">
      <c r="F2510" s="0" t="s">
        <v>5342</v>
      </c>
      <c r="G2510" s="57" t="s">
        <v>8470</v>
      </c>
      <c r="H2510" s="57" t="s">
        <v>8467</v>
      </c>
      <c r="I2510" s="37" t="s">
        <v>50</v>
      </c>
      <c r="J2510" s="57" t="s">
        <v>8471</v>
      </c>
      <c r="K2510" s="57" t="s">
        <v>6576</v>
      </c>
    </row>
    <row r="2511" customFormat="false" ht="45.05" hidden="false" customHeight="false" outlineLevel="0" collapsed="false">
      <c r="D2511" s="60" t="s">
        <v>8472</v>
      </c>
      <c r="E2511" s="60" t="s">
        <v>8591</v>
      </c>
      <c r="F2511" s="62"/>
      <c r="G2511" s="57" t="s">
        <v>8592</v>
      </c>
      <c r="H2511" s="57" t="s">
        <v>3792</v>
      </c>
      <c r="I2511" s="37"/>
      <c r="J2511" s="57" t="s">
        <v>3792</v>
      </c>
      <c r="K2511" s="57" t="s">
        <v>3792</v>
      </c>
    </row>
    <row r="2512" customFormat="false" ht="66.85" hidden="false" customHeight="false" outlineLevel="0" collapsed="false">
      <c r="F2512" s="0" t="s">
        <v>5334</v>
      </c>
      <c r="G2512" s="57" t="s">
        <v>8475</v>
      </c>
      <c r="H2512" s="57" t="s">
        <v>8472</v>
      </c>
      <c r="I2512" s="39" t="s">
        <v>67</v>
      </c>
      <c r="J2512" s="57" t="s">
        <v>8593</v>
      </c>
      <c r="K2512" s="57" t="s">
        <v>6583</v>
      </c>
    </row>
    <row r="2513" customFormat="false" ht="45.05" hidden="false" customHeight="false" outlineLevel="0" collapsed="false">
      <c r="D2513" s="60" t="s">
        <v>8477</v>
      </c>
      <c r="E2513" s="60" t="s">
        <v>8594</v>
      </c>
      <c r="F2513" s="62"/>
      <c r="G2513" s="57" t="s">
        <v>8479</v>
      </c>
      <c r="H2513" s="57" t="s">
        <v>3792</v>
      </c>
      <c r="I2513" s="39"/>
      <c r="J2513" s="57" t="s">
        <v>3792</v>
      </c>
      <c r="K2513" s="57" t="s">
        <v>3792</v>
      </c>
    </row>
    <row r="2514" customFormat="false" ht="55.95" hidden="false" customHeight="false" outlineLevel="0" collapsed="false">
      <c r="F2514" s="0" t="s">
        <v>5334</v>
      </c>
      <c r="G2514" s="57" t="s">
        <v>8480</v>
      </c>
      <c r="H2514" s="57" t="s">
        <v>8477</v>
      </c>
      <c r="I2514" s="34" t="s">
        <v>40</v>
      </c>
      <c r="J2514" s="57" t="s">
        <v>8481</v>
      </c>
      <c r="K2514" s="57" t="s">
        <v>6591</v>
      </c>
    </row>
    <row r="2515" customFormat="false" ht="55.95" hidden="false" customHeight="false" outlineLevel="0" collapsed="false">
      <c r="C2515" s="70" t="s">
        <v>8595</v>
      </c>
      <c r="D2515" s="66" t="s">
        <v>8596</v>
      </c>
      <c r="E2515" s="66" t="s">
        <v>8597</v>
      </c>
      <c r="F2515" s="65"/>
      <c r="G2515" s="57" t="s">
        <v>8485</v>
      </c>
      <c r="H2515" s="57" t="s">
        <v>3792</v>
      </c>
      <c r="I2515" s="34"/>
      <c r="J2515" s="57" t="s">
        <v>3792</v>
      </c>
      <c r="K2515" s="57" t="s">
        <v>3792</v>
      </c>
    </row>
    <row r="2516" customFormat="false" ht="34.2" hidden="false" customHeight="false" outlineLevel="0" collapsed="false">
      <c r="F2516" s="0" t="s">
        <v>5334</v>
      </c>
      <c r="G2516" s="57" t="s">
        <v>8548</v>
      </c>
      <c r="H2516" s="57" t="s">
        <v>8596</v>
      </c>
      <c r="I2516" s="39" t="s">
        <v>67</v>
      </c>
      <c r="J2516" s="57" t="s">
        <v>8598</v>
      </c>
      <c r="K2516" s="57" t="s">
        <v>6598</v>
      </c>
    </row>
    <row r="2517" customFormat="false" ht="45.05" hidden="false" customHeight="false" outlineLevel="0" collapsed="false">
      <c r="D2517" s="60" t="s">
        <v>8599</v>
      </c>
      <c r="E2517" s="60" t="s">
        <v>8600</v>
      </c>
      <c r="F2517" s="62"/>
      <c r="G2517" s="57" t="s">
        <v>7149</v>
      </c>
      <c r="H2517" s="57" t="s">
        <v>3792</v>
      </c>
      <c r="I2517" s="39"/>
      <c r="J2517" s="57" t="s">
        <v>3792</v>
      </c>
      <c r="K2517" s="57" t="s">
        <v>3792</v>
      </c>
    </row>
    <row r="2518" customFormat="false" ht="66.85" hidden="false" customHeight="false" outlineLevel="0" collapsed="false">
      <c r="F2518" s="0" t="s">
        <v>5342</v>
      </c>
      <c r="G2518" s="57" t="s">
        <v>8601</v>
      </c>
      <c r="H2518" s="57" t="s">
        <v>8599</v>
      </c>
      <c r="I2518" s="37" t="s">
        <v>50</v>
      </c>
      <c r="J2518" s="57" t="s">
        <v>8602</v>
      </c>
      <c r="K2518" s="57" t="s">
        <v>6605</v>
      </c>
    </row>
    <row r="2519" customFormat="false" ht="55.95" hidden="false" customHeight="false" outlineLevel="0" collapsed="false">
      <c r="D2519" s="60" t="s">
        <v>8603</v>
      </c>
      <c r="E2519" s="60" t="s">
        <v>8604</v>
      </c>
      <c r="F2519" s="62"/>
      <c r="G2519" s="57" t="s">
        <v>8605</v>
      </c>
      <c r="H2519" s="57" t="s">
        <v>3792</v>
      </c>
      <c r="I2519" s="37"/>
      <c r="J2519" s="57" t="s">
        <v>3792</v>
      </c>
      <c r="K2519" s="57" t="s">
        <v>3792</v>
      </c>
    </row>
    <row r="2520" customFormat="false" ht="45.05" hidden="false" customHeight="false" outlineLevel="0" collapsed="false">
      <c r="F2520" s="0" t="s">
        <v>5342</v>
      </c>
      <c r="G2520" s="57" t="s">
        <v>8606</v>
      </c>
      <c r="H2520" s="57" t="s">
        <v>8603</v>
      </c>
      <c r="I2520" s="37" t="s">
        <v>50</v>
      </c>
      <c r="J2520" s="57" t="s">
        <v>8607</v>
      </c>
      <c r="K2520" s="57" t="s">
        <v>6612</v>
      </c>
    </row>
    <row r="2521" customFormat="false" ht="55.95" hidden="false" customHeight="false" outlineLevel="0" collapsed="false">
      <c r="D2521" s="60" t="s">
        <v>8608</v>
      </c>
      <c r="E2521" s="60" t="s">
        <v>8609</v>
      </c>
      <c r="F2521" s="62"/>
      <c r="G2521" s="57" t="s">
        <v>8610</v>
      </c>
      <c r="H2521" s="57" t="s">
        <v>3792</v>
      </c>
      <c r="I2521" s="37"/>
      <c r="J2521" s="57" t="s">
        <v>3792</v>
      </c>
      <c r="K2521" s="57" t="s">
        <v>3792</v>
      </c>
    </row>
    <row r="2522" customFormat="false" ht="34.2" hidden="false" customHeight="false" outlineLevel="0" collapsed="false">
      <c r="F2522" s="0" t="s">
        <v>5334</v>
      </c>
      <c r="G2522" s="57" t="s">
        <v>8611</v>
      </c>
      <c r="H2522" s="57" t="s">
        <v>8608</v>
      </c>
      <c r="I2522" s="39" t="s">
        <v>67</v>
      </c>
      <c r="J2522" s="57" t="s">
        <v>8612</v>
      </c>
      <c r="K2522" s="57" t="s">
        <v>6619</v>
      </c>
    </row>
    <row r="2523" customFormat="false" ht="66.85" hidden="false" customHeight="false" outlineLevel="0" collapsed="false">
      <c r="D2523" s="60" t="s">
        <v>8613</v>
      </c>
      <c r="E2523" s="60" t="s">
        <v>8614</v>
      </c>
      <c r="F2523" s="62"/>
      <c r="G2523" s="57" t="s">
        <v>8615</v>
      </c>
      <c r="H2523" s="57" t="s">
        <v>3792</v>
      </c>
      <c r="I2523" s="39"/>
      <c r="J2523" s="57" t="s">
        <v>3792</v>
      </c>
      <c r="K2523" s="57" t="s">
        <v>3792</v>
      </c>
    </row>
    <row r="2524" customFormat="false" ht="66.85" hidden="false" customHeight="false" outlineLevel="0" collapsed="false">
      <c r="F2524" s="0" t="s">
        <v>5342</v>
      </c>
      <c r="G2524" s="57" t="s">
        <v>8616</v>
      </c>
      <c r="H2524" s="57" t="s">
        <v>8613</v>
      </c>
      <c r="I2524" s="34" t="s">
        <v>40</v>
      </c>
      <c r="J2524" s="57" t="s">
        <v>8617</v>
      </c>
      <c r="K2524" s="57" t="s">
        <v>6627</v>
      </c>
    </row>
    <row r="2525" customFormat="false" ht="45.05" hidden="false" customHeight="false" outlineLevel="0" collapsed="false">
      <c r="C2525" s="70" t="s">
        <v>8618</v>
      </c>
      <c r="D2525" s="66" t="s">
        <v>8619</v>
      </c>
      <c r="E2525" s="66" t="s">
        <v>8620</v>
      </c>
      <c r="F2525" s="65"/>
      <c r="G2525" s="57" t="s">
        <v>8621</v>
      </c>
      <c r="H2525" s="57" t="s">
        <v>3792</v>
      </c>
      <c r="I2525" s="34"/>
      <c r="J2525" s="57" t="s">
        <v>3792</v>
      </c>
      <c r="K2525" s="57" t="s">
        <v>3792</v>
      </c>
    </row>
    <row r="2526" customFormat="false" ht="34.2" hidden="false" customHeight="false" outlineLevel="0" collapsed="false">
      <c r="F2526" s="0" t="s">
        <v>5342</v>
      </c>
      <c r="G2526" s="57" t="s">
        <v>8622</v>
      </c>
      <c r="H2526" s="57" t="s">
        <v>8619</v>
      </c>
      <c r="I2526" s="39" t="s">
        <v>67</v>
      </c>
      <c r="J2526" s="57" t="s">
        <v>8623</v>
      </c>
      <c r="K2526" s="57" t="s">
        <v>6633</v>
      </c>
    </row>
    <row r="2527" customFormat="false" ht="34.2" hidden="false" customHeight="false" outlineLevel="0" collapsed="false">
      <c r="D2527" s="60" t="s">
        <v>8624</v>
      </c>
      <c r="E2527" s="60" t="s">
        <v>8625</v>
      </c>
      <c r="F2527" s="62"/>
      <c r="G2527" s="57" t="s">
        <v>8626</v>
      </c>
      <c r="H2527" s="57" t="s">
        <v>3792</v>
      </c>
      <c r="I2527" s="39"/>
      <c r="J2527" s="57" t="s">
        <v>3792</v>
      </c>
      <c r="K2527" s="57" t="s">
        <v>3792</v>
      </c>
    </row>
    <row r="2528" customFormat="false" ht="34.2" hidden="false" customHeight="false" outlineLevel="0" collapsed="false">
      <c r="F2528" s="0" t="s">
        <v>5334</v>
      </c>
      <c r="G2528" s="57" t="s">
        <v>8627</v>
      </c>
      <c r="H2528" s="57" t="s">
        <v>8624</v>
      </c>
      <c r="I2528" s="37" t="s">
        <v>50</v>
      </c>
      <c r="J2528" s="57" t="s">
        <v>8628</v>
      </c>
      <c r="K2528" s="57" t="s">
        <v>6639</v>
      </c>
    </row>
    <row r="2529" customFormat="false" ht="34.2" hidden="false" customHeight="false" outlineLevel="0" collapsed="false">
      <c r="D2529" s="60" t="s">
        <v>8629</v>
      </c>
      <c r="E2529" s="60" t="s">
        <v>8630</v>
      </c>
      <c r="F2529" s="62"/>
      <c r="G2529" s="57" t="s">
        <v>8631</v>
      </c>
      <c r="H2529" s="57" t="s">
        <v>3792</v>
      </c>
      <c r="I2529" s="37"/>
      <c r="J2529" s="57" t="s">
        <v>3792</v>
      </c>
      <c r="K2529" s="57" t="s">
        <v>3792</v>
      </c>
    </row>
    <row r="2530" customFormat="false" ht="45.05" hidden="false" customHeight="false" outlineLevel="0" collapsed="false">
      <c r="F2530" s="0" t="s">
        <v>5334</v>
      </c>
      <c r="G2530" s="57" t="s">
        <v>8632</v>
      </c>
      <c r="H2530" s="57" t="s">
        <v>8629</v>
      </c>
      <c r="I2530" s="37" t="s">
        <v>50</v>
      </c>
      <c r="J2530" s="57" t="s">
        <v>8633</v>
      </c>
      <c r="K2530" s="57" t="s">
        <v>6646</v>
      </c>
    </row>
    <row r="2531" customFormat="false" ht="34.2" hidden="false" customHeight="false" outlineLevel="0" collapsed="false">
      <c r="D2531" s="60" t="s">
        <v>8634</v>
      </c>
      <c r="E2531" s="60" t="s">
        <v>8635</v>
      </c>
      <c r="F2531" s="62"/>
      <c r="G2531" s="57" t="s">
        <v>8636</v>
      </c>
      <c r="H2531" s="57" t="s">
        <v>3792</v>
      </c>
      <c r="I2531" s="37"/>
      <c r="J2531" s="57" t="s">
        <v>3792</v>
      </c>
      <c r="K2531" s="57" t="s">
        <v>3792</v>
      </c>
    </row>
    <row r="2532" customFormat="false" ht="55.95" hidden="false" customHeight="false" outlineLevel="0" collapsed="false">
      <c r="F2532" s="0" t="s">
        <v>5342</v>
      </c>
      <c r="G2532" s="57" t="s">
        <v>8637</v>
      </c>
      <c r="H2532" s="57" t="s">
        <v>8634</v>
      </c>
      <c r="I2532" s="39" t="s">
        <v>67</v>
      </c>
      <c r="J2532" s="57" t="s">
        <v>8638</v>
      </c>
      <c r="K2532" s="57" t="s">
        <v>6653</v>
      </c>
    </row>
    <row r="2533" customFormat="false" ht="34.2" hidden="false" customHeight="false" outlineLevel="0" collapsed="false">
      <c r="D2533" s="60" t="s">
        <v>8639</v>
      </c>
      <c r="E2533" s="60" t="s">
        <v>8640</v>
      </c>
      <c r="F2533" s="62"/>
      <c r="G2533" s="57" t="s">
        <v>8641</v>
      </c>
      <c r="H2533" s="57" t="s">
        <v>3792</v>
      </c>
      <c r="I2533" s="39"/>
      <c r="J2533" s="57" t="s">
        <v>3792</v>
      </c>
      <c r="K2533" s="57" t="s">
        <v>3792</v>
      </c>
    </row>
    <row r="2534" customFormat="false" ht="66.85" hidden="false" customHeight="false" outlineLevel="0" collapsed="false">
      <c r="F2534" s="0" t="s">
        <v>5334</v>
      </c>
      <c r="G2534" s="57" t="s">
        <v>8642</v>
      </c>
      <c r="H2534" s="57" t="s">
        <v>8639</v>
      </c>
      <c r="I2534" s="34" t="s">
        <v>40</v>
      </c>
      <c r="J2534" s="57" t="s">
        <v>8643</v>
      </c>
      <c r="K2534" s="57" t="s">
        <v>6662</v>
      </c>
    </row>
    <row r="2535" customFormat="false" ht="45.05" hidden="false" customHeight="false" outlineLevel="0" collapsed="false">
      <c r="C2535" s="70" t="s">
        <v>8644</v>
      </c>
      <c r="D2535" s="66" t="s">
        <v>8645</v>
      </c>
      <c r="E2535" s="66" t="s">
        <v>8646</v>
      </c>
      <c r="F2535" s="65"/>
      <c r="G2535" s="57" t="s">
        <v>8647</v>
      </c>
      <c r="H2535" s="57" t="s">
        <v>3792</v>
      </c>
      <c r="I2535" s="34"/>
      <c r="J2535" s="57" t="s">
        <v>3792</v>
      </c>
      <c r="K2535" s="57" t="s">
        <v>3792</v>
      </c>
    </row>
    <row r="2536" customFormat="false" ht="34.2" hidden="false" customHeight="false" outlineLevel="0" collapsed="false">
      <c r="F2536" s="0" t="s">
        <v>5342</v>
      </c>
      <c r="G2536" s="57" t="s">
        <v>8648</v>
      </c>
      <c r="H2536" s="57" t="s">
        <v>8645</v>
      </c>
      <c r="I2536" s="39" t="s">
        <v>67</v>
      </c>
      <c r="J2536" s="57" t="s">
        <v>8649</v>
      </c>
      <c r="K2536" s="57" t="s">
        <v>6669</v>
      </c>
    </row>
    <row r="2537" customFormat="false" ht="34.2" hidden="false" customHeight="false" outlineLevel="0" collapsed="false">
      <c r="D2537" s="60" t="s">
        <v>8650</v>
      </c>
      <c r="E2537" s="60" t="s">
        <v>8651</v>
      </c>
      <c r="F2537" s="62"/>
      <c r="G2537" s="57" t="s">
        <v>8652</v>
      </c>
      <c r="H2537" s="57" t="s">
        <v>3792</v>
      </c>
      <c r="I2537" s="39"/>
      <c r="J2537" s="57" t="s">
        <v>3792</v>
      </c>
      <c r="K2537" s="57" t="s">
        <v>3792</v>
      </c>
    </row>
    <row r="2538" customFormat="false" ht="45.05" hidden="false" customHeight="false" outlineLevel="0" collapsed="false">
      <c r="F2538" s="0" t="s">
        <v>5342</v>
      </c>
      <c r="G2538" s="57" t="s">
        <v>8653</v>
      </c>
      <c r="H2538" s="57" t="s">
        <v>8650</v>
      </c>
      <c r="I2538" s="37" t="s">
        <v>50</v>
      </c>
      <c r="J2538" s="57" t="s">
        <v>8654</v>
      </c>
      <c r="K2538" s="57" t="s">
        <v>6676</v>
      </c>
    </row>
    <row r="2539" customFormat="false" ht="45.05" hidden="false" customHeight="false" outlineLevel="0" collapsed="false">
      <c r="D2539" s="60" t="s">
        <v>8655</v>
      </c>
      <c r="E2539" s="60" t="s">
        <v>8656</v>
      </c>
      <c r="F2539" s="62"/>
      <c r="G2539" s="57" t="s">
        <v>8657</v>
      </c>
      <c r="H2539" s="57" t="s">
        <v>3792</v>
      </c>
      <c r="I2539" s="37"/>
      <c r="J2539" s="57" t="s">
        <v>3792</v>
      </c>
      <c r="K2539" s="57" t="s">
        <v>3792</v>
      </c>
    </row>
    <row r="2540" customFormat="false" ht="45.05" hidden="false" customHeight="false" outlineLevel="0" collapsed="false">
      <c r="F2540" s="0" t="s">
        <v>5334</v>
      </c>
      <c r="G2540" s="57" t="s">
        <v>8658</v>
      </c>
      <c r="H2540" s="57" t="s">
        <v>8655</v>
      </c>
      <c r="I2540" s="37" t="s">
        <v>50</v>
      </c>
      <c r="J2540" s="57" t="s">
        <v>8659</v>
      </c>
      <c r="K2540" s="57" t="s">
        <v>6683</v>
      </c>
    </row>
    <row r="2541" customFormat="false" ht="55.95" hidden="false" customHeight="false" outlineLevel="0" collapsed="false">
      <c r="D2541" s="60" t="s">
        <v>8660</v>
      </c>
      <c r="E2541" s="60" t="s">
        <v>8661</v>
      </c>
      <c r="F2541" s="62"/>
      <c r="G2541" s="57" t="s">
        <v>8662</v>
      </c>
      <c r="H2541" s="57" t="s">
        <v>3792</v>
      </c>
      <c r="I2541" s="37"/>
      <c r="J2541" s="57" t="s">
        <v>3792</v>
      </c>
      <c r="K2541" s="57" t="s">
        <v>3792</v>
      </c>
    </row>
    <row r="2542" customFormat="false" ht="45.05" hidden="false" customHeight="false" outlineLevel="0" collapsed="false">
      <c r="F2542" s="0" t="s">
        <v>5334</v>
      </c>
      <c r="G2542" s="57" t="s">
        <v>8663</v>
      </c>
      <c r="H2542" s="57" t="s">
        <v>8660</v>
      </c>
      <c r="I2542" s="39" t="s">
        <v>67</v>
      </c>
      <c r="J2542" s="57" t="s">
        <v>8664</v>
      </c>
      <c r="K2542" s="57" t="s">
        <v>6689</v>
      </c>
    </row>
    <row r="2543" customFormat="false" ht="55.95" hidden="false" customHeight="false" outlineLevel="0" collapsed="false">
      <c r="D2543" s="60" t="s">
        <v>8665</v>
      </c>
      <c r="E2543" s="60" t="s">
        <v>8666</v>
      </c>
      <c r="F2543" s="62"/>
      <c r="G2543" s="57" t="s">
        <v>8667</v>
      </c>
      <c r="H2543" s="57" t="s">
        <v>3792</v>
      </c>
      <c r="I2543" s="39"/>
      <c r="J2543" s="57" t="s">
        <v>3792</v>
      </c>
      <c r="K2543" s="57" t="s">
        <v>3792</v>
      </c>
    </row>
    <row r="2544" customFormat="false" ht="45.05" hidden="false" customHeight="false" outlineLevel="0" collapsed="false">
      <c r="F2544" s="0" t="s">
        <v>5342</v>
      </c>
      <c r="G2544" s="57" t="s">
        <v>8668</v>
      </c>
      <c r="H2544" s="57" t="s">
        <v>8665</v>
      </c>
      <c r="I2544" s="34" t="s">
        <v>40</v>
      </c>
      <c r="J2544" s="57" t="s">
        <v>8669</v>
      </c>
      <c r="K2544" s="57" t="s">
        <v>6697</v>
      </c>
    </row>
    <row r="2545" customFormat="false" ht="45.05" hidden="false" customHeight="false" outlineLevel="0" collapsed="false">
      <c r="C2545" s="70" t="s">
        <v>8670</v>
      </c>
      <c r="D2545" s="66" t="s">
        <v>8671</v>
      </c>
      <c r="E2545" s="66" t="s">
        <v>8672</v>
      </c>
      <c r="F2545" s="65"/>
      <c r="G2545" s="57" t="s">
        <v>8673</v>
      </c>
      <c r="H2545" s="57" t="s">
        <v>3792</v>
      </c>
      <c r="I2545" s="34"/>
      <c r="J2545" s="57" t="s">
        <v>3792</v>
      </c>
      <c r="K2545" s="60"/>
    </row>
    <row r="2546" customFormat="false" ht="45.05" hidden="false" customHeight="false" outlineLevel="0" collapsed="false">
      <c r="F2546" s="0" t="s">
        <v>5342</v>
      </c>
      <c r="G2546" s="57" t="s">
        <v>8129</v>
      </c>
      <c r="H2546" s="57" t="s">
        <v>8671</v>
      </c>
      <c r="I2546" s="39" t="s">
        <v>67</v>
      </c>
      <c r="J2546" s="57" t="s">
        <v>8674</v>
      </c>
      <c r="K2546" s="57" t="s">
        <v>6704</v>
      </c>
    </row>
    <row r="2547" customFormat="false" ht="45.05" hidden="false" customHeight="false" outlineLevel="0" collapsed="false">
      <c r="D2547" s="60" t="s">
        <v>8675</v>
      </c>
      <c r="E2547" s="60" t="s">
        <v>8676</v>
      </c>
      <c r="F2547" s="62"/>
      <c r="G2547" s="57" t="s">
        <v>8677</v>
      </c>
      <c r="H2547" s="57" t="s">
        <v>3792</v>
      </c>
      <c r="I2547" s="39"/>
      <c r="J2547" s="57" t="s">
        <v>3792</v>
      </c>
      <c r="K2547" s="57" t="s">
        <v>3792</v>
      </c>
    </row>
    <row r="2548" customFormat="false" ht="66.85" hidden="false" customHeight="false" outlineLevel="0" collapsed="false">
      <c r="F2548" s="0" t="s">
        <v>5334</v>
      </c>
      <c r="G2548" s="57" t="s">
        <v>8678</v>
      </c>
      <c r="H2548" s="57" t="s">
        <v>8675</v>
      </c>
      <c r="I2548" s="37" t="s">
        <v>50</v>
      </c>
      <c r="J2548" s="57" t="s">
        <v>8140</v>
      </c>
      <c r="K2548" s="57" t="s">
        <v>6711</v>
      </c>
    </row>
    <row r="2549" customFormat="false" ht="45.05" hidden="false" customHeight="false" outlineLevel="0" collapsed="false">
      <c r="D2549" s="60" t="s">
        <v>8679</v>
      </c>
      <c r="E2549" s="60" t="s">
        <v>8680</v>
      </c>
      <c r="F2549" s="62"/>
      <c r="G2549" s="57" t="s">
        <v>8681</v>
      </c>
      <c r="H2549" s="57" t="s">
        <v>3792</v>
      </c>
      <c r="I2549" s="37"/>
      <c r="J2549" s="57" t="s">
        <v>3792</v>
      </c>
      <c r="K2549" s="57" t="s">
        <v>3792</v>
      </c>
    </row>
    <row r="2550" customFormat="false" ht="55.95" hidden="false" customHeight="false" outlineLevel="0" collapsed="false">
      <c r="F2550" s="0" t="s">
        <v>5334</v>
      </c>
      <c r="G2550" s="57" t="s">
        <v>8682</v>
      </c>
      <c r="H2550" s="57" t="s">
        <v>8679</v>
      </c>
      <c r="I2550" s="37" t="s">
        <v>50</v>
      </c>
      <c r="J2550" s="57" t="s">
        <v>8683</v>
      </c>
      <c r="K2550" s="57" t="s">
        <v>6718</v>
      </c>
    </row>
    <row r="2551" customFormat="false" ht="45.05" hidden="false" customHeight="false" outlineLevel="0" collapsed="false">
      <c r="D2551" s="60" t="s">
        <v>8684</v>
      </c>
      <c r="E2551" s="60" t="s">
        <v>8685</v>
      </c>
      <c r="F2551" s="62"/>
      <c r="G2551" s="57" t="s">
        <v>8686</v>
      </c>
      <c r="H2551" s="57" t="s">
        <v>3792</v>
      </c>
      <c r="I2551" s="37"/>
      <c r="J2551" s="57" t="s">
        <v>3792</v>
      </c>
      <c r="K2551" s="57" t="s">
        <v>3792</v>
      </c>
    </row>
    <row r="2552" customFormat="false" ht="55.95" hidden="false" customHeight="false" outlineLevel="0" collapsed="false">
      <c r="F2552" s="0" t="s">
        <v>5342</v>
      </c>
      <c r="G2552" s="57" t="s">
        <v>8687</v>
      </c>
      <c r="H2552" s="57" t="s">
        <v>8684</v>
      </c>
      <c r="I2552" s="39" t="s">
        <v>67</v>
      </c>
      <c r="J2552" s="57" t="s">
        <v>8135</v>
      </c>
      <c r="K2552" s="57" t="s">
        <v>6725</v>
      </c>
    </row>
    <row r="2553" customFormat="false" ht="34.2" hidden="false" customHeight="false" outlineLevel="0" collapsed="false">
      <c r="D2553" s="60" t="s">
        <v>8688</v>
      </c>
      <c r="E2553" s="60" t="s">
        <v>8689</v>
      </c>
      <c r="F2553" s="62"/>
      <c r="G2553" s="57" t="s">
        <v>8690</v>
      </c>
      <c r="H2553" s="57" t="s">
        <v>3792</v>
      </c>
      <c r="I2553" s="39"/>
      <c r="J2553" s="57" t="s">
        <v>3792</v>
      </c>
      <c r="K2553" s="57" t="s">
        <v>3792</v>
      </c>
    </row>
    <row r="2554" customFormat="false" ht="34.2" hidden="false" customHeight="false" outlineLevel="0" collapsed="false">
      <c r="F2554" s="0" t="s">
        <v>5334</v>
      </c>
      <c r="G2554" s="57" t="s">
        <v>8691</v>
      </c>
      <c r="H2554" s="57" t="s">
        <v>8688</v>
      </c>
      <c r="I2554" s="34" t="s">
        <v>40</v>
      </c>
      <c r="J2554" s="57" t="s">
        <v>8692</v>
      </c>
      <c r="K2554" s="57" t="s">
        <v>6733</v>
      </c>
    </row>
    <row r="2555" customFormat="false" ht="55.95" hidden="false" customHeight="false" outlineLevel="0" collapsed="false">
      <c r="C2555" s="70" t="s">
        <v>8693</v>
      </c>
      <c r="D2555" s="66" t="s">
        <v>8694</v>
      </c>
      <c r="E2555" s="66" t="s">
        <v>8695</v>
      </c>
      <c r="F2555" s="65"/>
      <c r="G2555" s="57" t="s">
        <v>8696</v>
      </c>
      <c r="H2555" s="57" t="s">
        <v>3792</v>
      </c>
      <c r="I2555" s="34"/>
      <c r="J2555" s="57" t="s">
        <v>3792</v>
      </c>
      <c r="K2555" s="57" t="s">
        <v>3792</v>
      </c>
    </row>
    <row r="2556" customFormat="false" ht="45.05" hidden="false" customHeight="false" outlineLevel="0" collapsed="false">
      <c r="F2556" s="0" t="s">
        <v>5334</v>
      </c>
      <c r="G2556" s="57" t="s">
        <v>8697</v>
      </c>
      <c r="H2556" s="57" t="s">
        <v>8694</v>
      </c>
      <c r="I2556" s="39" t="s">
        <v>67</v>
      </c>
      <c r="J2556" s="57" t="s">
        <v>8698</v>
      </c>
      <c r="K2556" s="57" t="s">
        <v>6740</v>
      </c>
    </row>
    <row r="2557" customFormat="false" ht="45.05" hidden="false" customHeight="false" outlineLevel="0" collapsed="false">
      <c r="D2557" s="60" t="s">
        <v>8699</v>
      </c>
      <c r="E2557" s="60" t="s">
        <v>8700</v>
      </c>
      <c r="F2557" s="62"/>
      <c r="G2557" s="57" t="s">
        <v>8701</v>
      </c>
      <c r="H2557" s="57" t="s">
        <v>3792</v>
      </c>
      <c r="I2557" s="39"/>
      <c r="J2557" s="57" t="s">
        <v>3792</v>
      </c>
      <c r="K2557" s="57" t="s">
        <v>3792</v>
      </c>
    </row>
    <row r="2558" customFormat="false" ht="45.05" hidden="false" customHeight="false" outlineLevel="0" collapsed="false">
      <c r="F2558" s="0" t="s">
        <v>5342</v>
      </c>
      <c r="G2558" s="57" t="s">
        <v>8702</v>
      </c>
      <c r="H2558" s="57" t="s">
        <v>8699</v>
      </c>
      <c r="I2558" s="37" t="s">
        <v>50</v>
      </c>
      <c r="J2558" s="57" t="s">
        <v>8703</v>
      </c>
      <c r="K2558" s="57" t="s">
        <v>6747</v>
      </c>
    </row>
    <row r="2559" customFormat="false" ht="45.05" hidden="false" customHeight="false" outlineLevel="0" collapsed="false">
      <c r="D2559" s="60" t="s">
        <v>8704</v>
      </c>
      <c r="E2559" s="60" t="s">
        <v>8705</v>
      </c>
      <c r="F2559" s="62"/>
      <c r="G2559" s="57" t="s">
        <v>8706</v>
      </c>
      <c r="H2559" s="57" t="s">
        <v>3792</v>
      </c>
      <c r="I2559" s="37"/>
      <c r="J2559" s="57" t="s">
        <v>3792</v>
      </c>
      <c r="K2559" s="57" t="s">
        <v>3792</v>
      </c>
    </row>
    <row r="2560" customFormat="false" ht="55.95" hidden="false" customHeight="false" outlineLevel="0" collapsed="false">
      <c r="F2560" s="0" t="s">
        <v>5334</v>
      </c>
      <c r="G2560" s="57" t="s">
        <v>8707</v>
      </c>
      <c r="H2560" s="57" t="s">
        <v>8704</v>
      </c>
      <c r="I2560" s="37" t="s">
        <v>50</v>
      </c>
      <c r="J2560" s="57" t="s">
        <v>8708</v>
      </c>
      <c r="K2560" s="57" t="s">
        <v>6754</v>
      </c>
    </row>
    <row r="2561" customFormat="false" ht="45.05" hidden="false" customHeight="false" outlineLevel="0" collapsed="false">
      <c r="D2561" s="60" t="s">
        <v>8709</v>
      </c>
      <c r="E2561" s="60" t="s">
        <v>8710</v>
      </c>
      <c r="F2561" s="62"/>
      <c r="G2561" s="57" t="s">
        <v>8711</v>
      </c>
      <c r="H2561" s="57" t="s">
        <v>3792</v>
      </c>
      <c r="I2561" s="37"/>
      <c r="J2561" s="57" t="s">
        <v>3792</v>
      </c>
      <c r="K2561" s="57" t="s">
        <v>3792</v>
      </c>
    </row>
    <row r="2562" customFormat="false" ht="45.05" hidden="false" customHeight="false" outlineLevel="0" collapsed="false">
      <c r="F2562" s="0" t="s">
        <v>5342</v>
      </c>
      <c r="G2562" s="57" t="s">
        <v>8712</v>
      </c>
      <c r="H2562" s="57" t="s">
        <v>8709</v>
      </c>
      <c r="I2562" s="39" t="s">
        <v>67</v>
      </c>
      <c r="J2562" s="57" t="s">
        <v>8713</v>
      </c>
      <c r="K2562" s="57" t="s">
        <v>6761</v>
      </c>
    </row>
    <row r="2563" customFormat="false" ht="34.2" hidden="false" customHeight="false" outlineLevel="0" collapsed="false">
      <c r="D2563" s="60" t="s">
        <v>8714</v>
      </c>
      <c r="E2563" s="60" t="s">
        <v>8715</v>
      </c>
      <c r="F2563" s="62"/>
      <c r="G2563" s="57" t="s">
        <v>8716</v>
      </c>
      <c r="H2563" s="57" t="s">
        <v>3792</v>
      </c>
      <c r="I2563" s="39"/>
      <c r="J2563" s="57" t="s">
        <v>3792</v>
      </c>
      <c r="K2563" s="57" t="s">
        <v>3792</v>
      </c>
    </row>
    <row r="2564" customFormat="false" ht="55.95" hidden="false" customHeight="false" outlineLevel="0" collapsed="false">
      <c r="F2564" s="0" t="s">
        <v>5342</v>
      </c>
      <c r="G2564" s="57" t="s">
        <v>8717</v>
      </c>
      <c r="H2564" s="57" t="s">
        <v>8714</v>
      </c>
      <c r="I2564" s="34" t="s">
        <v>40</v>
      </c>
      <c r="J2564" s="57" t="s">
        <v>8718</v>
      </c>
      <c r="K2564" s="57" t="s">
        <v>6769</v>
      </c>
    </row>
    <row r="2565" customFormat="false" ht="55.95" hidden="false" customHeight="false" outlineLevel="0" collapsed="false">
      <c r="B2565" s="67" t="s">
        <v>8719</v>
      </c>
      <c r="C2565" s="71" t="s">
        <v>8720</v>
      </c>
      <c r="D2565" s="68" t="s">
        <v>8721</v>
      </c>
      <c r="E2565" s="68" t="s">
        <v>8722</v>
      </c>
      <c r="F2565" s="65"/>
      <c r="G2565" s="57" t="s">
        <v>8723</v>
      </c>
      <c r="H2565" s="57" t="s">
        <v>3792</v>
      </c>
      <c r="I2565" s="34"/>
      <c r="J2565" s="57" t="s">
        <v>3792</v>
      </c>
      <c r="K2565" s="57" t="s">
        <v>3792</v>
      </c>
    </row>
    <row r="2566" customFormat="false" ht="66.85" hidden="false" customHeight="false" outlineLevel="0" collapsed="false">
      <c r="F2566" s="0" t="s">
        <v>5334</v>
      </c>
      <c r="G2566" s="57" t="s">
        <v>8724</v>
      </c>
      <c r="H2566" s="57" t="s">
        <v>8721</v>
      </c>
      <c r="I2566" s="39" t="s">
        <v>67</v>
      </c>
      <c r="J2566" s="57" t="s">
        <v>8725</v>
      </c>
      <c r="K2566" s="57" t="s">
        <v>6775</v>
      </c>
    </row>
    <row r="2567" customFormat="false" ht="55.95" hidden="false" customHeight="false" outlineLevel="0" collapsed="false">
      <c r="D2567" s="60" t="s">
        <v>8726</v>
      </c>
      <c r="E2567" s="60" t="s">
        <v>8727</v>
      </c>
      <c r="F2567" s="62"/>
      <c r="G2567" s="57" t="s">
        <v>8728</v>
      </c>
      <c r="H2567" s="57" t="s">
        <v>3792</v>
      </c>
      <c r="I2567" s="39"/>
      <c r="J2567" s="57" t="s">
        <v>3792</v>
      </c>
      <c r="K2567" s="57" t="s">
        <v>3792</v>
      </c>
    </row>
    <row r="2568" customFormat="false" ht="66.85" hidden="false" customHeight="false" outlineLevel="0" collapsed="false">
      <c r="F2568" s="0" t="s">
        <v>5334</v>
      </c>
      <c r="G2568" s="57" t="s">
        <v>8729</v>
      </c>
      <c r="H2568" s="57" t="s">
        <v>8726</v>
      </c>
      <c r="I2568" s="37" t="s">
        <v>50</v>
      </c>
      <c r="J2568" s="57" t="s">
        <v>8730</v>
      </c>
      <c r="K2568" s="57" t="s">
        <v>6782</v>
      </c>
    </row>
    <row r="2569" customFormat="false" ht="55.95" hidden="false" customHeight="false" outlineLevel="0" collapsed="false">
      <c r="D2569" s="60" t="s">
        <v>8731</v>
      </c>
      <c r="E2569" s="60" t="s">
        <v>8732</v>
      </c>
      <c r="F2569" s="62"/>
      <c r="G2569" s="57" t="s">
        <v>8733</v>
      </c>
      <c r="H2569" s="57" t="s">
        <v>3792</v>
      </c>
      <c r="I2569" s="37"/>
      <c r="J2569" s="57" t="s">
        <v>3792</v>
      </c>
      <c r="K2569" s="57" t="s">
        <v>3792</v>
      </c>
    </row>
    <row r="2570" customFormat="false" ht="66.85" hidden="false" customHeight="false" outlineLevel="0" collapsed="false">
      <c r="F2570" s="0" t="s">
        <v>5342</v>
      </c>
      <c r="G2570" s="57" t="s">
        <v>8734</v>
      </c>
      <c r="H2570" s="57" t="s">
        <v>8731</v>
      </c>
      <c r="I2570" s="37" t="s">
        <v>50</v>
      </c>
      <c r="J2570" s="57" t="s">
        <v>8735</v>
      </c>
      <c r="K2570" s="57" t="s">
        <v>6789</v>
      </c>
    </row>
    <row r="2571" customFormat="false" ht="77.7" hidden="false" customHeight="false" outlineLevel="0" collapsed="false">
      <c r="D2571" s="60" t="s">
        <v>8736</v>
      </c>
      <c r="E2571" s="60" t="s">
        <v>8737</v>
      </c>
      <c r="F2571" s="62"/>
      <c r="G2571" s="57" t="s">
        <v>8738</v>
      </c>
      <c r="H2571" s="57" t="s">
        <v>3792</v>
      </c>
      <c r="I2571" s="37"/>
      <c r="J2571" s="57" t="s">
        <v>3792</v>
      </c>
      <c r="K2571" s="57" t="s">
        <v>3792</v>
      </c>
    </row>
    <row r="2572" customFormat="false" ht="55.95" hidden="false" customHeight="false" outlineLevel="0" collapsed="false">
      <c r="F2572" s="0" t="s">
        <v>5334</v>
      </c>
      <c r="G2572" s="57" t="s">
        <v>8739</v>
      </c>
      <c r="H2572" s="57" t="s">
        <v>8736</v>
      </c>
      <c r="I2572" s="39" t="s">
        <v>67</v>
      </c>
      <c r="J2572" s="57" t="s">
        <v>8740</v>
      </c>
      <c r="K2572" s="57" t="s">
        <v>6796</v>
      </c>
    </row>
    <row r="2573" customFormat="false" ht="66.85" hidden="false" customHeight="false" outlineLevel="0" collapsed="false">
      <c r="D2573" s="60" t="s">
        <v>8741</v>
      </c>
      <c r="E2573" s="60" t="s">
        <v>8742</v>
      </c>
      <c r="F2573" s="62"/>
      <c r="G2573" s="57" t="s">
        <v>8743</v>
      </c>
      <c r="H2573" s="57" t="s">
        <v>3792</v>
      </c>
      <c r="I2573" s="39"/>
      <c r="J2573" s="57" t="s">
        <v>3792</v>
      </c>
      <c r="K2573" s="57" t="s">
        <v>3792</v>
      </c>
    </row>
    <row r="2574" customFormat="false" ht="55.95" hidden="false" customHeight="false" outlineLevel="0" collapsed="false">
      <c r="F2574" s="0" t="s">
        <v>5334</v>
      </c>
      <c r="G2574" s="57" t="s">
        <v>8744</v>
      </c>
      <c r="H2574" s="57" t="s">
        <v>8741</v>
      </c>
      <c r="I2574" s="34" t="s">
        <v>40</v>
      </c>
      <c r="J2574" s="57" t="s">
        <v>8745</v>
      </c>
      <c r="K2574" s="57" t="s">
        <v>6804</v>
      </c>
    </row>
    <row r="2575" customFormat="false" ht="34.2" hidden="false" customHeight="false" outlineLevel="0" collapsed="false">
      <c r="C2575" s="64" t="s">
        <v>8746</v>
      </c>
      <c r="D2575" s="66" t="s">
        <v>8747</v>
      </c>
      <c r="E2575" s="66" t="s">
        <v>8748</v>
      </c>
      <c r="F2575" s="65"/>
      <c r="G2575" s="57" t="s">
        <v>8749</v>
      </c>
      <c r="H2575" s="57" t="s">
        <v>3792</v>
      </c>
      <c r="I2575" s="34"/>
      <c r="J2575" s="57" t="s">
        <v>3792</v>
      </c>
      <c r="K2575" s="57" t="s">
        <v>3792</v>
      </c>
    </row>
    <row r="2576" customFormat="false" ht="55.95" hidden="false" customHeight="false" outlineLevel="0" collapsed="false">
      <c r="F2576" s="0" t="s">
        <v>5334</v>
      </c>
      <c r="G2576" s="57" t="s">
        <v>8750</v>
      </c>
      <c r="H2576" s="57" t="s">
        <v>8747</v>
      </c>
      <c r="I2576" s="39" t="s">
        <v>67</v>
      </c>
      <c r="J2576" s="57" t="s">
        <v>8751</v>
      </c>
      <c r="K2576" s="57" t="s">
        <v>6811</v>
      </c>
    </row>
    <row r="2577" customFormat="false" ht="45.05" hidden="false" customHeight="false" outlineLevel="0" collapsed="false">
      <c r="D2577" s="60" t="s">
        <v>8752</v>
      </c>
      <c r="E2577" s="60" t="s">
        <v>8753</v>
      </c>
      <c r="F2577" s="62"/>
      <c r="G2577" s="57" t="s">
        <v>8754</v>
      </c>
      <c r="H2577" s="57" t="s">
        <v>3792</v>
      </c>
      <c r="I2577" s="39"/>
      <c r="J2577" s="57" t="s">
        <v>3792</v>
      </c>
      <c r="K2577" s="57" t="s">
        <v>3792</v>
      </c>
    </row>
    <row r="2578" customFormat="false" ht="66.85" hidden="false" customHeight="false" outlineLevel="0" collapsed="false">
      <c r="F2578" s="0" t="s">
        <v>5342</v>
      </c>
      <c r="G2578" s="57" t="s">
        <v>8755</v>
      </c>
      <c r="H2578" s="57" t="s">
        <v>8752</v>
      </c>
      <c r="I2578" s="37" t="s">
        <v>50</v>
      </c>
      <c r="J2578" s="57" t="s">
        <v>8756</v>
      </c>
      <c r="K2578" s="57" t="s">
        <v>6818</v>
      </c>
    </row>
    <row r="2579" customFormat="false" ht="55.95" hidden="false" customHeight="false" outlineLevel="0" collapsed="false">
      <c r="D2579" s="60" t="s">
        <v>8757</v>
      </c>
      <c r="E2579" s="60" t="s">
        <v>8758</v>
      </c>
      <c r="F2579" s="62"/>
      <c r="G2579" s="57" t="s">
        <v>8759</v>
      </c>
      <c r="H2579" s="57" t="s">
        <v>3792</v>
      </c>
      <c r="I2579" s="37"/>
      <c r="J2579" s="57" t="s">
        <v>3792</v>
      </c>
      <c r="K2579" s="57" t="s">
        <v>3792</v>
      </c>
    </row>
    <row r="2580" customFormat="false" ht="45.05" hidden="false" customHeight="false" outlineLevel="0" collapsed="false">
      <c r="F2580" s="0" t="s">
        <v>5342</v>
      </c>
      <c r="G2580" s="57" t="s">
        <v>8760</v>
      </c>
      <c r="H2580" s="57" t="s">
        <v>8757</v>
      </c>
      <c r="I2580" s="37" t="s">
        <v>50</v>
      </c>
      <c r="J2580" s="57" t="s">
        <v>8761</v>
      </c>
      <c r="K2580" s="57" t="s">
        <v>6825</v>
      </c>
    </row>
    <row r="2581" customFormat="false" ht="55.95" hidden="false" customHeight="false" outlineLevel="0" collapsed="false">
      <c r="D2581" s="60" t="s">
        <v>8762</v>
      </c>
      <c r="E2581" s="60" t="s">
        <v>8763</v>
      </c>
      <c r="F2581" s="62"/>
      <c r="G2581" s="57" t="s">
        <v>8764</v>
      </c>
      <c r="H2581" s="57" t="s">
        <v>3792</v>
      </c>
      <c r="I2581" s="37"/>
      <c r="J2581" s="57" t="s">
        <v>3792</v>
      </c>
      <c r="K2581" s="57" t="s">
        <v>3792</v>
      </c>
    </row>
    <row r="2582" customFormat="false" ht="55.95" hidden="false" customHeight="false" outlineLevel="0" collapsed="false">
      <c r="F2582" s="0" t="s">
        <v>5342</v>
      </c>
      <c r="G2582" s="57" t="s">
        <v>8765</v>
      </c>
      <c r="H2582" s="57" t="s">
        <v>8762</v>
      </c>
      <c r="I2582" s="39" t="s">
        <v>67</v>
      </c>
      <c r="J2582" s="57" t="s">
        <v>8766</v>
      </c>
      <c r="K2582" s="57" t="s">
        <v>6832</v>
      </c>
    </row>
    <row r="2583" customFormat="false" ht="45.05" hidden="false" customHeight="false" outlineLevel="0" collapsed="false">
      <c r="D2583" s="60" t="s">
        <v>8767</v>
      </c>
      <c r="E2583" s="60" t="s">
        <v>8768</v>
      </c>
      <c r="F2583" s="62"/>
      <c r="G2583" s="57" t="s">
        <v>8769</v>
      </c>
      <c r="H2583" s="57" t="s">
        <v>3792</v>
      </c>
      <c r="I2583" s="39"/>
      <c r="J2583" s="57" t="s">
        <v>3792</v>
      </c>
      <c r="K2583" s="57" t="s">
        <v>3792</v>
      </c>
    </row>
    <row r="2584" customFormat="false" ht="45.05" hidden="false" customHeight="false" outlineLevel="0" collapsed="false">
      <c r="F2584" s="0" t="s">
        <v>5342</v>
      </c>
      <c r="G2584" s="57" t="s">
        <v>8770</v>
      </c>
      <c r="H2584" s="57" t="s">
        <v>8767</v>
      </c>
      <c r="I2584" s="34" t="s">
        <v>40</v>
      </c>
      <c r="J2584" s="57" t="s">
        <v>8771</v>
      </c>
      <c r="K2584" s="57" t="s">
        <v>6840</v>
      </c>
    </row>
    <row r="2585" customFormat="false" ht="55.95" hidden="false" customHeight="false" outlineLevel="0" collapsed="false">
      <c r="C2585" s="70" t="s">
        <v>8772</v>
      </c>
      <c r="D2585" s="66" t="s">
        <v>8773</v>
      </c>
      <c r="E2585" s="66" t="s">
        <v>8774</v>
      </c>
      <c r="F2585" s="65"/>
      <c r="G2585" s="57" t="s">
        <v>8775</v>
      </c>
      <c r="H2585" s="57" t="s">
        <v>3792</v>
      </c>
      <c r="I2585" s="34"/>
      <c r="J2585" s="57" t="s">
        <v>3792</v>
      </c>
      <c r="K2585" s="57" t="s">
        <v>3792</v>
      </c>
    </row>
    <row r="2586" customFormat="false" ht="55.95" hidden="false" customHeight="false" outlineLevel="0" collapsed="false">
      <c r="F2586" s="0" t="s">
        <v>5334</v>
      </c>
      <c r="G2586" s="57" t="s">
        <v>8776</v>
      </c>
      <c r="H2586" s="57" t="s">
        <v>8773</v>
      </c>
      <c r="I2586" s="39" t="s">
        <v>67</v>
      </c>
      <c r="J2586" s="57" t="s">
        <v>8777</v>
      </c>
      <c r="K2586" s="57" t="s">
        <v>6847</v>
      </c>
    </row>
    <row r="2587" customFormat="false" ht="45.05" hidden="false" customHeight="false" outlineLevel="0" collapsed="false">
      <c r="D2587" s="60" t="s">
        <v>8778</v>
      </c>
      <c r="E2587" s="60" t="s">
        <v>8779</v>
      </c>
      <c r="F2587" s="62"/>
      <c r="G2587" s="57" t="s">
        <v>8780</v>
      </c>
      <c r="H2587" s="57" t="s">
        <v>3792</v>
      </c>
      <c r="I2587" s="39"/>
      <c r="J2587" s="57" t="s">
        <v>3792</v>
      </c>
      <c r="K2587" s="57" t="s">
        <v>3792</v>
      </c>
    </row>
    <row r="2588" customFormat="false" ht="55.95" hidden="false" customHeight="false" outlineLevel="0" collapsed="false">
      <c r="F2588" s="0" t="s">
        <v>5342</v>
      </c>
      <c r="G2588" s="57" t="s">
        <v>8781</v>
      </c>
      <c r="H2588" s="57" t="s">
        <v>8778</v>
      </c>
      <c r="I2588" s="37" t="s">
        <v>50</v>
      </c>
      <c r="J2588" s="57" t="s">
        <v>8782</v>
      </c>
      <c r="K2588" s="57" t="s">
        <v>6854</v>
      </c>
    </row>
    <row r="2589" customFormat="false" ht="45.05" hidden="false" customHeight="false" outlineLevel="0" collapsed="false">
      <c r="D2589" s="60" t="s">
        <v>8783</v>
      </c>
      <c r="E2589" s="60" t="s">
        <v>8784</v>
      </c>
      <c r="F2589" s="62"/>
      <c r="G2589" s="57" t="s">
        <v>8785</v>
      </c>
      <c r="H2589" s="57" t="s">
        <v>3792</v>
      </c>
      <c r="I2589" s="37"/>
      <c r="J2589" s="57" t="s">
        <v>3792</v>
      </c>
      <c r="K2589" s="57" t="s">
        <v>3792</v>
      </c>
    </row>
    <row r="2590" customFormat="false" ht="45.05" hidden="false" customHeight="false" outlineLevel="0" collapsed="false">
      <c r="F2590" s="0" t="s">
        <v>5342</v>
      </c>
      <c r="G2590" s="57" t="s">
        <v>8786</v>
      </c>
      <c r="H2590" s="57" t="s">
        <v>8783</v>
      </c>
      <c r="I2590" s="37" t="s">
        <v>50</v>
      </c>
      <c r="J2590" s="57" t="s">
        <v>8787</v>
      </c>
      <c r="K2590" s="57" t="s">
        <v>6861</v>
      </c>
    </row>
    <row r="2591" customFormat="false" ht="55.95" hidden="false" customHeight="false" outlineLevel="0" collapsed="false">
      <c r="D2591" s="60" t="s">
        <v>8788</v>
      </c>
      <c r="E2591" s="60" t="s">
        <v>8789</v>
      </c>
      <c r="F2591" s="62"/>
      <c r="G2591" s="57" t="s">
        <v>8790</v>
      </c>
      <c r="H2591" s="57" t="s">
        <v>3792</v>
      </c>
      <c r="I2591" s="37"/>
      <c r="J2591" s="57" t="s">
        <v>3792</v>
      </c>
      <c r="K2591" s="57" t="s">
        <v>3792</v>
      </c>
    </row>
    <row r="2592" customFormat="false" ht="66.85" hidden="false" customHeight="false" outlineLevel="0" collapsed="false">
      <c r="F2592" s="0" t="s">
        <v>5334</v>
      </c>
      <c r="G2592" s="57" t="s">
        <v>8791</v>
      </c>
      <c r="H2592" s="57" t="s">
        <v>8788</v>
      </c>
      <c r="I2592" s="39" t="s">
        <v>67</v>
      </c>
      <c r="J2592" s="57" t="s">
        <v>8792</v>
      </c>
      <c r="K2592" s="57" t="s">
        <v>5970</v>
      </c>
    </row>
    <row r="2593" customFormat="false" ht="55.95" hidden="false" customHeight="false" outlineLevel="0" collapsed="false">
      <c r="D2593" s="60" t="s">
        <v>8793</v>
      </c>
      <c r="E2593" s="60" t="s">
        <v>8794</v>
      </c>
      <c r="F2593" s="62"/>
      <c r="G2593" s="57" t="s">
        <v>8795</v>
      </c>
      <c r="H2593" s="57" t="s">
        <v>3792</v>
      </c>
      <c r="I2593" s="39"/>
      <c r="J2593" s="57" t="s">
        <v>3792</v>
      </c>
      <c r="K2593" s="57" t="s">
        <v>3792</v>
      </c>
    </row>
    <row r="2594" customFormat="false" ht="45.05" hidden="false" customHeight="false" outlineLevel="0" collapsed="false">
      <c r="F2594" s="0" t="s">
        <v>5334</v>
      </c>
      <c r="G2594" s="57" t="s">
        <v>8796</v>
      </c>
      <c r="H2594" s="57" t="s">
        <v>8793</v>
      </c>
      <c r="I2594" s="34" t="s">
        <v>40</v>
      </c>
      <c r="J2594" s="57" t="s">
        <v>8797</v>
      </c>
      <c r="K2594" s="57" t="s">
        <v>6875</v>
      </c>
    </row>
    <row r="2595" customFormat="false" ht="45.05" hidden="false" customHeight="false" outlineLevel="0" collapsed="false">
      <c r="C2595" s="64" t="s">
        <v>8798</v>
      </c>
      <c r="D2595" s="66" t="s">
        <v>8799</v>
      </c>
      <c r="E2595" s="66" t="s">
        <v>8800</v>
      </c>
      <c r="F2595" s="65"/>
      <c r="G2595" s="57" t="s">
        <v>8801</v>
      </c>
      <c r="H2595" s="57" t="s">
        <v>3792</v>
      </c>
      <c r="I2595" s="34"/>
      <c r="J2595" s="57" t="s">
        <v>3792</v>
      </c>
      <c r="K2595" s="57" t="s">
        <v>3792</v>
      </c>
    </row>
    <row r="2596" customFormat="false" ht="45.05" hidden="false" customHeight="false" outlineLevel="0" collapsed="false">
      <c r="F2596" s="0" t="s">
        <v>5342</v>
      </c>
      <c r="G2596" s="57" t="s">
        <v>8802</v>
      </c>
      <c r="H2596" s="57" t="s">
        <v>8799</v>
      </c>
      <c r="I2596" s="39" t="s">
        <v>67</v>
      </c>
      <c r="J2596" s="57" t="s">
        <v>8803</v>
      </c>
      <c r="K2596" s="57" t="s">
        <v>6882</v>
      </c>
    </row>
    <row r="2597" customFormat="false" ht="77.7" hidden="false" customHeight="false" outlineLevel="0" collapsed="false">
      <c r="D2597" s="60" t="s">
        <v>8804</v>
      </c>
      <c r="E2597" s="60" t="s">
        <v>8805</v>
      </c>
      <c r="F2597" s="62"/>
      <c r="G2597" s="57" t="s">
        <v>8806</v>
      </c>
      <c r="H2597" s="57" t="s">
        <v>3792</v>
      </c>
      <c r="I2597" s="39"/>
      <c r="J2597" s="57" t="s">
        <v>3792</v>
      </c>
      <c r="K2597" s="57" t="s">
        <v>3792</v>
      </c>
    </row>
    <row r="2598" customFormat="false" ht="55.95" hidden="false" customHeight="false" outlineLevel="0" collapsed="false">
      <c r="F2598" s="0" t="s">
        <v>5334</v>
      </c>
      <c r="G2598" s="57" t="s">
        <v>8807</v>
      </c>
      <c r="H2598" s="57" t="s">
        <v>8804</v>
      </c>
      <c r="I2598" s="37" t="s">
        <v>50</v>
      </c>
      <c r="J2598" s="57" t="s">
        <v>8808</v>
      </c>
      <c r="K2598" s="57" t="s">
        <v>6889</v>
      </c>
    </row>
    <row r="2599" customFormat="false" ht="66.85" hidden="false" customHeight="false" outlineLevel="0" collapsed="false">
      <c r="D2599" s="60" t="s">
        <v>8809</v>
      </c>
      <c r="E2599" s="60" t="s">
        <v>8810</v>
      </c>
      <c r="F2599" s="62"/>
      <c r="G2599" s="57" t="s">
        <v>8811</v>
      </c>
      <c r="H2599" s="57" t="s">
        <v>3792</v>
      </c>
      <c r="I2599" s="37"/>
      <c r="J2599" s="57" t="s">
        <v>3792</v>
      </c>
      <c r="K2599" s="57" t="s">
        <v>3792</v>
      </c>
    </row>
    <row r="2600" customFormat="false" ht="66.85" hidden="false" customHeight="false" outlineLevel="0" collapsed="false">
      <c r="F2600" s="0" t="s">
        <v>5334</v>
      </c>
      <c r="G2600" s="57" t="s">
        <v>8812</v>
      </c>
      <c r="H2600" s="57" t="s">
        <v>8809</v>
      </c>
      <c r="I2600" s="37" t="s">
        <v>50</v>
      </c>
      <c r="J2600" s="57" t="s">
        <v>8813</v>
      </c>
      <c r="K2600" s="57" t="s">
        <v>6896</v>
      </c>
    </row>
    <row r="2601" customFormat="false" ht="45.05" hidden="false" customHeight="false" outlineLevel="0" collapsed="false">
      <c r="D2601" s="60" t="s">
        <v>8814</v>
      </c>
      <c r="E2601" s="60" t="s">
        <v>8815</v>
      </c>
      <c r="F2601" s="62"/>
      <c r="G2601" s="57" t="s">
        <v>8816</v>
      </c>
      <c r="H2601" s="57" t="s">
        <v>3792</v>
      </c>
      <c r="I2601" s="37"/>
      <c r="J2601" s="57" t="s">
        <v>3792</v>
      </c>
      <c r="K2601" s="57" t="s">
        <v>3792</v>
      </c>
    </row>
    <row r="2602" customFormat="false" ht="66.85" hidden="false" customHeight="false" outlineLevel="0" collapsed="false">
      <c r="F2602" s="0" t="s">
        <v>5342</v>
      </c>
      <c r="G2602" s="57" t="s">
        <v>8817</v>
      </c>
      <c r="H2602" s="57" t="s">
        <v>8814</v>
      </c>
      <c r="I2602" s="39" t="s">
        <v>67</v>
      </c>
      <c r="J2602" s="57" t="s">
        <v>8818</v>
      </c>
      <c r="K2602" s="57" t="s">
        <v>6903</v>
      </c>
    </row>
    <row r="2603" customFormat="false" ht="66.85" hidden="false" customHeight="false" outlineLevel="0" collapsed="false">
      <c r="D2603" s="60" t="s">
        <v>8819</v>
      </c>
      <c r="E2603" s="60" t="s">
        <v>8820</v>
      </c>
      <c r="F2603" s="62"/>
      <c r="G2603" s="57" t="s">
        <v>8821</v>
      </c>
      <c r="H2603" s="57" t="s">
        <v>3792</v>
      </c>
      <c r="I2603" s="39"/>
      <c r="J2603" s="57" t="s">
        <v>3792</v>
      </c>
      <c r="K2603" s="57" t="s">
        <v>3792</v>
      </c>
    </row>
    <row r="2604" customFormat="false" ht="55.95" hidden="false" customHeight="false" outlineLevel="0" collapsed="false">
      <c r="F2604" s="0" t="s">
        <v>5334</v>
      </c>
      <c r="G2604" s="57" t="s">
        <v>8822</v>
      </c>
      <c r="H2604" s="57" t="s">
        <v>8819</v>
      </c>
      <c r="I2604" s="34" t="s">
        <v>40</v>
      </c>
      <c r="J2604" s="57" t="s">
        <v>8823</v>
      </c>
      <c r="K2604" s="57" t="s">
        <v>6911</v>
      </c>
    </row>
    <row r="2605" customFormat="false" ht="45.05" hidden="false" customHeight="false" outlineLevel="0" collapsed="false">
      <c r="C2605" s="64" t="s">
        <v>8824</v>
      </c>
      <c r="D2605" s="66" t="s">
        <v>8825</v>
      </c>
      <c r="E2605" s="66" t="s">
        <v>8826</v>
      </c>
      <c r="F2605" s="65"/>
      <c r="G2605" s="57" t="s">
        <v>8827</v>
      </c>
      <c r="H2605" s="57" t="s">
        <v>3792</v>
      </c>
      <c r="I2605" s="34"/>
      <c r="J2605" s="57" t="s">
        <v>3792</v>
      </c>
      <c r="K2605" s="57" t="s">
        <v>3792</v>
      </c>
    </row>
    <row r="2606" customFormat="false" ht="55.95" hidden="false" customHeight="false" outlineLevel="0" collapsed="false">
      <c r="F2606" s="0" t="s">
        <v>5342</v>
      </c>
      <c r="G2606" s="57" t="s">
        <v>8828</v>
      </c>
      <c r="H2606" s="57" t="s">
        <v>8825</v>
      </c>
      <c r="I2606" s="39" t="s">
        <v>67</v>
      </c>
      <c r="J2606" s="57" t="s">
        <v>8829</v>
      </c>
      <c r="K2606" s="57" t="s">
        <v>6918</v>
      </c>
    </row>
    <row r="2607" customFormat="false" ht="55.95" hidden="false" customHeight="false" outlineLevel="0" collapsed="false">
      <c r="D2607" s="60" t="s">
        <v>8830</v>
      </c>
      <c r="E2607" s="60" t="s">
        <v>8831</v>
      </c>
      <c r="F2607" s="62"/>
      <c r="G2607" s="57" t="s">
        <v>8832</v>
      </c>
      <c r="H2607" s="57" t="s">
        <v>3792</v>
      </c>
      <c r="I2607" s="39"/>
      <c r="J2607" s="57" t="s">
        <v>3792</v>
      </c>
      <c r="K2607" s="57" t="s">
        <v>3792</v>
      </c>
    </row>
    <row r="2608" customFormat="false" ht="66.85" hidden="false" customHeight="false" outlineLevel="0" collapsed="false">
      <c r="F2608" s="0" t="s">
        <v>5334</v>
      </c>
      <c r="G2608" s="57" t="s">
        <v>8833</v>
      </c>
      <c r="H2608" s="57" t="s">
        <v>8830</v>
      </c>
      <c r="I2608" s="37" t="s">
        <v>50</v>
      </c>
      <c r="J2608" s="57" t="s">
        <v>8834</v>
      </c>
      <c r="K2608" s="57" t="s">
        <v>6925</v>
      </c>
    </row>
    <row r="2609" customFormat="false" ht="45.05" hidden="false" customHeight="false" outlineLevel="0" collapsed="false">
      <c r="D2609" s="60" t="s">
        <v>8835</v>
      </c>
      <c r="E2609" s="60" t="s">
        <v>8836</v>
      </c>
      <c r="F2609" s="62"/>
      <c r="G2609" s="57" t="s">
        <v>8837</v>
      </c>
      <c r="H2609" s="57" t="s">
        <v>3792</v>
      </c>
      <c r="I2609" s="37"/>
      <c r="J2609" s="57" t="s">
        <v>3792</v>
      </c>
      <c r="K2609" s="57" t="s">
        <v>3792</v>
      </c>
    </row>
    <row r="2610" customFormat="false" ht="66.85" hidden="false" customHeight="false" outlineLevel="0" collapsed="false">
      <c r="F2610" s="0" t="s">
        <v>5342</v>
      </c>
      <c r="G2610" s="57" t="s">
        <v>8838</v>
      </c>
      <c r="H2610" s="57" t="s">
        <v>8835</v>
      </c>
      <c r="I2610" s="37" t="s">
        <v>50</v>
      </c>
      <c r="J2610" s="57" t="s">
        <v>8839</v>
      </c>
      <c r="K2610" s="57" t="s">
        <v>6932</v>
      </c>
    </row>
    <row r="2611" customFormat="false" ht="45.05" hidden="false" customHeight="false" outlineLevel="0" collapsed="false">
      <c r="D2611" s="60" t="s">
        <v>8840</v>
      </c>
      <c r="E2611" s="60" t="s">
        <v>8841</v>
      </c>
      <c r="F2611" s="62"/>
      <c r="G2611" s="57" t="s">
        <v>8842</v>
      </c>
      <c r="H2611" s="57" t="s">
        <v>3792</v>
      </c>
      <c r="I2611" s="37"/>
      <c r="J2611" s="57" t="s">
        <v>3792</v>
      </c>
      <c r="K2611" s="57" t="s">
        <v>3792</v>
      </c>
    </row>
    <row r="2612" customFormat="false" ht="21.75" hidden="false" customHeight="false" outlineLevel="0" collapsed="false">
      <c r="F2612" s="0" t="s">
        <v>5334</v>
      </c>
      <c r="G2612" s="57" t="s">
        <v>8843</v>
      </c>
      <c r="H2612" s="57" t="s">
        <v>8840</v>
      </c>
      <c r="I2612" s="39" t="s">
        <v>67</v>
      </c>
      <c r="J2612" s="57" t="s">
        <v>8844</v>
      </c>
      <c r="K2612" s="57" t="s">
        <v>6939</v>
      </c>
    </row>
    <row r="2613" customFormat="false" ht="45.05" hidden="false" customHeight="false" outlineLevel="0" collapsed="false">
      <c r="D2613" s="60" t="s">
        <v>8845</v>
      </c>
      <c r="E2613" s="60" t="s">
        <v>8846</v>
      </c>
      <c r="F2613" s="62"/>
      <c r="G2613" s="57" t="s">
        <v>8847</v>
      </c>
      <c r="H2613" s="57" t="s">
        <v>3792</v>
      </c>
      <c r="I2613" s="39"/>
      <c r="J2613" s="57" t="s">
        <v>3792</v>
      </c>
      <c r="K2613" s="57" t="s">
        <v>3792</v>
      </c>
    </row>
    <row r="2614" customFormat="false" ht="55.95" hidden="false" customHeight="false" outlineLevel="0" collapsed="false">
      <c r="F2614" s="0" t="s">
        <v>5342</v>
      </c>
      <c r="G2614" s="57" t="s">
        <v>8848</v>
      </c>
      <c r="H2614" s="57" t="s">
        <v>8845</v>
      </c>
      <c r="I2614" s="34" t="s">
        <v>40</v>
      </c>
      <c r="J2614" s="57" t="s">
        <v>8849</v>
      </c>
      <c r="K2614" s="57" t="s">
        <v>6947</v>
      </c>
    </row>
    <row r="2615" customFormat="false" ht="34.2" hidden="false" customHeight="false" outlineLevel="0" collapsed="false">
      <c r="C2615" s="70" t="s">
        <v>8850</v>
      </c>
      <c r="D2615" s="66" t="s">
        <v>8851</v>
      </c>
      <c r="E2615" s="66" t="s">
        <v>8852</v>
      </c>
      <c r="F2615" s="65"/>
      <c r="G2615" s="57" t="s">
        <v>8853</v>
      </c>
      <c r="H2615" s="57" t="s">
        <v>3792</v>
      </c>
      <c r="I2615" s="34"/>
      <c r="J2615" s="57" t="s">
        <v>3792</v>
      </c>
      <c r="K2615" s="57" t="s">
        <v>3792</v>
      </c>
    </row>
    <row r="2616" customFormat="false" ht="55.95" hidden="false" customHeight="false" outlineLevel="0" collapsed="false">
      <c r="F2616" s="0" t="s">
        <v>5334</v>
      </c>
      <c r="G2616" s="57" t="s">
        <v>8854</v>
      </c>
      <c r="H2616" s="57" t="s">
        <v>8851</v>
      </c>
      <c r="I2616" s="39" t="s">
        <v>67</v>
      </c>
      <c r="J2616" s="57" t="s">
        <v>8855</v>
      </c>
      <c r="K2616" s="57" t="s">
        <v>6954</v>
      </c>
    </row>
    <row r="2617" customFormat="false" ht="45.05" hidden="false" customHeight="false" outlineLevel="0" collapsed="false">
      <c r="D2617" s="60" t="s">
        <v>8856</v>
      </c>
      <c r="E2617" s="60" t="s">
        <v>8857</v>
      </c>
      <c r="F2617" s="62"/>
      <c r="G2617" s="57" t="s">
        <v>8858</v>
      </c>
      <c r="H2617" s="57" t="s">
        <v>3792</v>
      </c>
      <c r="I2617" s="39"/>
      <c r="J2617" s="57" t="s">
        <v>3792</v>
      </c>
      <c r="K2617" s="57" t="s">
        <v>3792</v>
      </c>
    </row>
    <row r="2618" customFormat="false" ht="55.95" hidden="false" customHeight="false" outlineLevel="0" collapsed="false">
      <c r="F2618" s="0" t="s">
        <v>5342</v>
      </c>
      <c r="G2618" s="57" t="s">
        <v>8859</v>
      </c>
      <c r="H2618" s="57" t="s">
        <v>8856</v>
      </c>
      <c r="I2618" s="37" t="s">
        <v>50</v>
      </c>
      <c r="J2618" s="57" t="s">
        <v>8860</v>
      </c>
      <c r="K2618" s="57" t="s">
        <v>6961</v>
      </c>
    </row>
    <row r="2619" customFormat="false" ht="55.95" hidden="false" customHeight="false" outlineLevel="0" collapsed="false">
      <c r="D2619" s="60" t="s">
        <v>8861</v>
      </c>
      <c r="E2619" s="60" t="s">
        <v>8862</v>
      </c>
      <c r="F2619" s="62"/>
      <c r="G2619" s="57" t="s">
        <v>8863</v>
      </c>
      <c r="H2619" s="57" t="s">
        <v>3792</v>
      </c>
      <c r="I2619" s="37"/>
      <c r="J2619" s="57" t="s">
        <v>3792</v>
      </c>
      <c r="K2619" s="57" t="s">
        <v>3792</v>
      </c>
    </row>
    <row r="2620" customFormat="false" ht="45.05" hidden="false" customHeight="false" outlineLevel="0" collapsed="false">
      <c r="F2620" s="0" t="s">
        <v>5342</v>
      </c>
      <c r="G2620" s="57" t="s">
        <v>8864</v>
      </c>
      <c r="H2620" s="57" t="s">
        <v>8861</v>
      </c>
      <c r="I2620" s="37" t="s">
        <v>50</v>
      </c>
      <c r="J2620" s="57" t="s">
        <v>8865</v>
      </c>
      <c r="K2620" s="57" t="s">
        <v>6968</v>
      </c>
    </row>
    <row r="2621" customFormat="false" ht="66.85" hidden="false" customHeight="false" outlineLevel="0" collapsed="false">
      <c r="D2621" s="60" t="s">
        <v>8866</v>
      </c>
      <c r="E2621" s="60" t="s">
        <v>8867</v>
      </c>
      <c r="F2621" s="62"/>
      <c r="G2621" s="57" t="s">
        <v>8868</v>
      </c>
      <c r="H2621" s="57" t="s">
        <v>3792</v>
      </c>
      <c r="I2621" s="37"/>
      <c r="J2621" s="57" t="s">
        <v>3792</v>
      </c>
      <c r="K2621" s="57" t="s">
        <v>3792</v>
      </c>
    </row>
    <row r="2622" customFormat="false" ht="21.75" hidden="false" customHeight="false" outlineLevel="0" collapsed="false">
      <c r="F2622" s="0" t="s">
        <v>5334</v>
      </c>
      <c r="G2622" s="57" t="s">
        <v>8869</v>
      </c>
      <c r="H2622" s="57" t="s">
        <v>8866</v>
      </c>
      <c r="I2622" s="39" t="s">
        <v>67</v>
      </c>
      <c r="J2622" s="57" t="s">
        <v>8870</v>
      </c>
      <c r="K2622" s="57" t="s">
        <v>6975</v>
      </c>
    </row>
    <row r="2623" customFormat="false" ht="66.85" hidden="false" customHeight="false" outlineLevel="0" collapsed="false">
      <c r="D2623" s="60" t="s">
        <v>8871</v>
      </c>
      <c r="E2623" s="60" t="s">
        <v>8872</v>
      </c>
      <c r="F2623" s="62"/>
      <c r="G2623" s="57" t="s">
        <v>8873</v>
      </c>
      <c r="H2623" s="57" t="s">
        <v>3792</v>
      </c>
      <c r="I2623" s="39"/>
      <c r="J2623" s="57" t="s">
        <v>3792</v>
      </c>
      <c r="K2623" s="57" t="s">
        <v>3792</v>
      </c>
    </row>
    <row r="2624" customFormat="false" ht="45.05" hidden="false" customHeight="false" outlineLevel="0" collapsed="false">
      <c r="F2624" s="0" t="s">
        <v>5334</v>
      </c>
      <c r="G2624" s="57" t="s">
        <v>8874</v>
      </c>
      <c r="H2624" s="57" t="s">
        <v>8871</v>
      </c>
      <c r="I2624" s="34" t="s">
        <v>40</v>
      </c>
      <c r="J2624" s="57" t="s">
        <v>8875</v>
      </c>
      <c r="K2624" s="57" t="s">
        <v>6984</v>
      </c>
    </row>
    <row r="2625" customFormat="false" ht="66.85" hidden="false" customHeight="false" outlineLevel="0" collapsed="false">
      <c r="C2625" s="70" t="s">
        <v>8876</v>
      </c>
      <c r="D2625" s="66" t="s">
        <v>8877</v>
      </c>
      <c r="E2625" s="66" t="s">
        <v>8878</v>
      </c>
      <c r="F2625" s="65"/>
      <c r="G2625" s="57" t="s">
        <v>8879</v>
      </c>
      <c r="H2625" s="57" t="s">
        <v>3792</v>
      </c>
      <c r="I2625" s="34"/>
      <c r="J2625" s="57" t="s">
        <v>3792</v>
      </c>
      <c r="K2625" s="57" t="s">
        <v>3792</v>
      </c>
    </row>
    <row r="2626" customFormat="false" ht="55.95" hidden="false" customHeight="false" outlineLevel="0" collapsed="false">
      <c r="F2626" s="0" t="s">
        <v>5342</v>
      </c>
      <c r="G2626" s="57" t="s">
        <v>8880</v>
      </c>
      <c r="H2626" s="57" t="s">
        <v>8877</v>
      </c>
      <c r="I2626" s="39" t="s">
        <v>67</v>
      </c>
      <c r="J2626" s="57" t="s">
        <v>8881</v>
      </c>
      <c r="K2626" s="57" t="s">
        <v>6989</v>
      </c>
    </row>
    <row r="2627" customFormat="false" ht="90.15" hidden="false" customHeight="false" outlineLevel="0" collapsed="false">
      <c r="D2627" s="60" t="s">
        <v>8882</v>
      </c>
      <c r="E2627" s="60" t="s">
        <v>8883</v>
      </c>
      <c r="F2627" s="62"/>
      <c r="G2627" s="57" t="s">
        <v>8884</v>
      </c>
      <c r="H2627" s="57" t="s">
        <v>3792</v>
      </c>
      <c r="I2627" s="39"/>
      <c r="J2627" s="57" t="s">
        <v>3792</v>
      </c>
      <c r="K2627" s="57" t="s">
        <v>3792</v>
      </c>
    </row>
    <row r="2628" customFormat="false" ht="66.85" hidden="false" customHeight="false" outlineLevel="0" collapsed="false">
      <c r="F2628" s="0" t="s">
        <v>5342</v>
      </c>
      <c r="G2628" s="57" t="s">
        <v>8885</v>
      </c>
      <c r="H2628" s="57" t="s">
        <v>8882</v>
      </c>
      <c r="I2628" s="37" t="s">
        <v>50</v>
      </c>
      <c r="J2628" s="57" t="s">
        <v>8886</v>
      </c>
      <c r="K2628" s="57" t="s">
        <v>6996</v>
      </c>
    </row>
    <row r="2629" customFormat="false" ht="77.7" hidden="false" customHeight="false" outlineLevel="0" collapsed="false">
      <c r="D2629" s="60" t="s">
        <v>8887</v>
      </c>
      <c r="E2629" s="60" t="s">
        <v>8888</v>
      </c>
      <c r="F2629" s="62"/>
      <c r="G2629" s="57" t="s">
        <v>8889</v>
      </c>
      <c r="H2629" s="57" t="s">
        <v>3792</v>
      </c>
      <c r="I2629" s="37"/>
      <c r="J2629" s="57" t="s">
        <v>3792</v>
      </c>
      <c r="K2629" s="57" t="s">
        <v>3792</v>
      </c>
    </row>
    <row r="2630" customFormat="false" ht="77.7" hidden="false" customHeight="false" outlineLevel="0" collapsed="false">
      <c r="F2630" s="0" t="s">
        <v>5334</v>
      </c>
      <c r="G2630" s="57" t="s">
        <v>8890</v>
      </c>
      <c r="H2630" s="57" t="s">
        <v>8887</v>
      </c>
      <c r="I2630" s="37" t="s">
        <v>50</v>
      </c>
      <c r="J2630" s="57" t="s">
        <v>8891</v>
      </c>
      <c r="K2630" s="57" t="s">
        <v>7002</v>
      </c>
    </row>
    <row r="2631" customFormat="false" ht="45.05" hidden="false" customHeight="false" outlineLevel="0" collapsed="false">
      <c r="D2631" s="60" t="s">
        <v>8892</v>
      </c>
      <c r="E2631" s="60" t="s">
        <v>8893</v>
      </c>
      <c r="F2631" s="62"/>
      <c r="G2631" s="57" t="s">
        <v>8894</v>
      </c>
      <c r="H2631" s="57" t="s">
        <v>3792</v>
      </c>
      <c r="I2631" s="37"/>
      <c r="J2631" s="57" t="s">
        <v>3792</v>
      </c>
      <c r="K2631" s="57" t="s">
        <v>3792</v>
      </c>
    </row>
    <row r="2632" customFormat="false" ht="45.05" hidden="false" customHeight="false" outlineLevel="0" collapsed="false">
      <c r="F2632" s="0" t="s">
        <v>5334</v>
      </c>
      <c r="G2632" s="57" t="s">
        <v>8895</v>
      </c>
      <c r="H2632" s="57" t="s">
        <v>8892</v>
      </c>
      <c r="I2632" s="39" t="s">
        <v>67</v>
      </c>
      <c r="J2632" s="57" t="s">
        <v>8896</v>
      </c>
      <c r="K2632" s="57" t="s">
        <v>7007</v>
      </c>
    </row>
    <row r="2633" customFormat="false" ht="77.7" hidden="false" customHeight="false" outlineLevel="0" collapsed="false">
      <c r="D2633" s="60" t="s">
        <v>8897</v>
      </c>
      <c r="E2633" s="60" t="s">
        <v>8898</v>
      </c>
      <c r="F2633" s="62"/>
      <c r="G2633" s="57" t="s">
        <v>8899</v>
      </c>
      <c r="H2633" s="57" t="s">
        <v>3792</v>
      </c>
      <c r="I2633" s="39"/>
      <c r="J2633" s="57" t="s">
        <v>3792</v>
      </c>
      <c r="K2633" s="57" t="s">
        <v>3792</v>
      </c>
    </row>
    <row r="2634" customFormat="false" ht="55.95" hidden="false" customHeight="false" outlineLevel="0" collapsed="false">
      <c r="F2634" s="0" t="s">
        <v>5334</v>
      </c>
      <c r="G2634" s="57" t="s">
        <v>8900</v>
      </c>
      <c r="H2634" s="57" t="s">
        <v>8897</v>
      </c>
      <c r="I2634" s="34" t="s">
        <v>40</v>
      </c>
      <c r="J2634" s="57" t="s">
        <v>8901</v>
      </c>
      <c r="K2634" s="57" t="s">
        <v>7012</v>
      </c>
    </row>
    <row r="2635" customFormat="false" ht="66.85" hidden="false" customHeight="false" outlineLevel="0" collapsed="false">
      <c r="C2635" s="70" t="s">
        <v>8902</v>
      </c>
      <c r="D2635" s="66" t="s">
        <v>8903</v>
      </c>
      <c r="E2635" s="66" t="s">
        <v>8904</v>
      </c>
      <c r="F2635" s="65"/>
      <c r="G2635" s="57" t="s">
        <v>8905</v>
      </c>
      <c r="H2635" s="57" t="s">
        <v>3792</v>
      </c>
      <c r="I2635" s="34"/>
      <c r="J2635" s="57" t="s">
        <v>3792</v>
      </c>
      <c r="K2635" s="57" t="s">
        <v>3792</v>
      </c>
    </row>
    <row r="2636" customFormat="false" ht="55.95" hidden="false" customHeight="false" outlineLevel="0" collapsed="false">
      <c r="F2636" s="0" t="s">
        <v>5342</v>
      </c>
      <c r="G2636" s="57" t="s">
        <v>8906</v>
      </c>
      <c r="H2636" s="57" t="s">
        <v>8903</v>
      </c>
      <c r="I2636" s="39" t="s">
        <v>67</v>
      </c>
      <c r="J2636" s="57" t="s">
        <v>8907</v>
      </c>
      <c r="K2636" s="57" t="s">
        <v>7017</v>
      </c>
    </row>
    <row r="2637" customFormat="false" ht="66.85" hidden="false" customHeight="false" outlineLevel="0" collapsed="false">
      <c r="D2637" s="60" t="s">
        <v>8908</v>
      </c>
      <c r="E2637" s="60" t="s">
        <v>8909</v>
      </c>
      <c r="F2637" s="62"/>
      <c r="G2637" s="57" t="s">
        <v>8910</v>
      </c>
      <c r="H2637" s="57" t="s">
        <v>3792</v>
      </c>
      <c r="I2637" s="39"/>
      <c r="J2637" s="57" t="s">
        <v>3792</v>
      </c>
      <c r="K2637" s="57" t="s">
        <v>3792</v>
      </c>
    </row>
    <row r="2638" customFormat="false" ht="45.05" hidden="false" customHeight="false" outlineLevel="0" collapsed="false">
      <c r="F2638" s="0" t="s">
        <v>5334</v>
      </c>
      <c r="G2638" s="57" t="s">
        <v>8842</v>
      </c>
      <c r="H2638" s="57" t="s">
        <v>8908</v>
      </c>
      <c r="I2638" s="37" t="s">
        <v>50</v>
      </c>
      <c r="J2638" s="57" t="s">
        <v>8466</v>
      </c>
      <c r="K2638" s="57" t="s">
        <v>7021</v>
      </c>
    </row>
    <row r="2639" customFormat="false" ht="66.85" hidden="false" customHeight="false" outlineLevel="0" collapsed="false">
      <c r="D2639" s="60" t="s">
        <v>8911</v>
      </c>
      <c r="E2639" s="60" t="s">
        <v>8912</v>
      </c>
      <c r="F2639" s="62"/>
      <c r="G2639" s="57" t="s">
        <v>8913</v>
      </c>
      <c r="H2639" s="57" t="s">
        <v>3792</v>
      </c>
      <c r="I2639" s="37"/>
      <c r="J2639" s="57" t="s">
        <v>3792</v>
      </c>
      <c r="K2639" s="57" t="s">
        <v>3792</v>
      </c>
    </row>
    <row r="2640" customFormat="false" ht="77.7" hidden="false" customHeight="false" outlineLevel="0" collapsed="false">
      <c r="F2640" s="0" t="s">
        <v>5342</v>
      </c>
      <c r="G2640" s="57" t="s">
        <v>8914</v>
      </c>
      <c r="H2640" s="57" t="s">
        <v>8911</v>
      </c>
      <c r="I2640" s="37" t="s">
        <v>50</v>
      </c>
      <c r="J2640" s="57" t="s">
        <v>8471</v>
      </c>
      <c r="K2640" s="57" t="s">
        <v>7026</v>
      </c>
    </row>
    <row r="2641" customFormat="false" ht="55.95" hidden="false" customHeight="false" outlineLevel="0" collapsed="false">
      <c r="D2641" s="60" t="s">
        <v>8915</v>
      </c>
      <c r="E2641" s="60" t="s">
        <v>8916</v>
      </c>
      <c r="F2641" s="62"/>
      <c r="G2641" s="57" t="s">
        <v>8917</v>
      </c>
      <c r="H2641" s="57" t="s">
        <v>3792</v>
      </c>
      <c r="I2641" s="37"/>
      <c r="J2641" s="57" t="s">
        <v>3792</v>
      </c>
      <c r="K2641" s="57" t="s">
        <v>3792</v>
      </c>
    </row>
    <row r="2642" customFormat="false" ht="55.95" hidden="false" customHeight="false" outlineLevel="0" collapsed="false">
      <c r="F2642" s="0" t="s">
        <v>5334</v>
      </c>
      <c r="G2642" s="57" t="s">
        <v>8918</v>
      </c>
      <c r="H2642" s="57" t="s">
        <v>8915</v>
      </c>
      <c r="I2642" s="39" t="s">
        <v>67</v>
      </c>
      <c r="J2642" s="57" t="s">
        <v>8919</v>
      </c>
      <c r="K2642" s="57" t="s">
        <v>7031</v>
      </c>
    </row>
    <row r="2643" customFormat="false" ht="55.95" hidden="false" customHeight="false" outlineLevel="0" collapsed="false">
      <c r="D2643" s="60" t="s">
        <v>8920</v>
      </c>
      <c r="E2643" s="60" t="s">
        <v>8921</v>
      </c>
      <c r="F2643" s="62"/>
      <c r="G2643" s="57" t="s">
        <v>8922</v>
      </c>
      <c r="H2643" s="57" t="s">
        <v>3792</v>
      </c>
      <c r="I2643" s="39"/>
      <c r="J2643" s="57" t="s">
        <v>3792</v>
      </c>
      <c r="K2643" s="57" t="s">
        <v>3792</v>
      </c>
    </row>
    <row r="2644" customFormat="false" ht="66.85" hidden="false" customHeight="false" outlineLevel="0" collapsed="false">
      <c r="F2644" s="0" t="s">
        <v>5342</v>
      </c>
      <c r="G2644" s="57" t="s">
        <v>8923</v>
      </c>
      <c r="H2644" s="57" t="s">
        <v>8920</v>
      </c>
      <c r="I2644" s="34" t="s">
        <v>40</v>
      </c>
      <c r="J2644" s="57" t="s">
        <v>8924</v>
      </c>
      <c r="K2644" s="57" t="s">
        <v>7036</v>
      </c>
    </row>
    <row r="2645" customFormat="false" ht="66.85" hidden="false" customHeight="false" outlineLevel="0" collapsed="false">
      <c r="C2645" s="70" t="s">
        <v>8925</v>
      </c>
      <c r="D2645" s="66" t="s">
        <v>8926</v>
      </c>
      <c r="E2645" s="66" t="s">
        <v>8927</v>
      </c>
      <c r="F2645" s="69"/>
      <c r="G2645" s="57" t="s">
        <v>8928</v>
      </c>
      <c r="H2645" s="57" t="s">
        <v>3792</v>
      </c>
      <c r="I2645" s="34"/>
      <c r="J2645" s="57" t="s">
        <v>3792</v>
      </c>
      <c r="K2645" s="57" t="s">
        <v>3792</v>
      </c>
    </row>
    <row r="2646" customFormat="false" ht="66.85" hidden="false" customHeight="false" outlineLevel="0" collapsed="false">
      <c r="F2646" s="0" t="s">
        <v>5334</v>
      </c>
      <c r="G2646" s="57" t="s">
        <v>8929</v>
      </c>
      <c r="H2646" s="57" t="s">
        <v>8926</v>
      </c>
      <c r="I2646" s="39" t="s">
        <v>67</v>
      </c>
      <c r="J2646" s="57" t="s">
        <v>8930</v>
      </c>
      <c r="K2646" s="57" t="s">
        <v>7043</v>
      </c>
    </row>
    <row r="2647" customFormat="false" ht="66.85" hidden="false" customHeight="false" outlineLevel="0" collapsed="false">
      <c r="D2647" s="60" t="s">
        <v>8931</v>
      </c>
      <c r="E2647" s="60" t="s">
        <v>8932</v>
      </c>
      <c r="F2647" s="62"/>
      <c r="G2647" s="57" t="s">
        <v>8933</v>
      </c>
      <c r="H2647" s="57" t="s">
        <v>3792</v>
      </c>
      <c r="I2647" s="39"/>
      <c r="J2647" s="57" t="s">
        <v>3792</v>
      </c>
      <c r="K2647" s="57" t="s">
        <v>3792</v>
      </c>
    </row>
    <row r="2648" customFormat="false" ht="77.7" hidden="false" customHeight="false" outlineLevel="0" collapsed="false">
      <c r="F2648" s="0" t="s">
        <v>5334</v>
      </c>
      <c r="G2648" s="57" t="s">
        <v>8934</v>
      </c>
      <c r="H2648" s="57" t="s">
        <v>8931</v>
      </c>
      <c r="I2648" s="37" t="s">
        <v>50</v>
      </c>
      <c r="J2648" s="57" t="s">
        <v>8935</v>
      </c>
      <c r="K2648" s="57" t="s">
        <v>7049</v>
      </c>
    </row>
    <row r="2649" customFormat="false" ht="77.7" hidden="false" customHeight="false" outlineLevel="0" collapsed="false">
      <c r="D2649" s="60" t="s">
        <v>8936</v>
      </c>
      <c r="E2649" s="60" t="s">
        <v>8937</v>
      </c>
      <c r="F2649" s="62"/>
      <c r="G2649" s="57" t="s">
        <v>8938</v>
      </c>
      <c r="H2649" s="57" t="s">
        <v>3792</v>
      </c>
      <c r="I2649" s="37"/>
      <c r="J2649" s="57" t="s">
        <v>3792</v>
      </c>
      <c r="K2649" s="57" t="s">
        <v>3792</v>
      </c>
    </row>
    <row r="2650" customFormat="false" ht="45.05" hidden="false" customHeight="false" outlineLevel="0" collapsed="false">
      <c r="F2650" s="0" t="s">
        <v>5334</v>
      </c>
      <c r="G2650" s="57" t="s">
        <v>8939</v>
      </c>
      <c r="H2650" s="57" t="s">
        <v>8936</v>
      </c>
      <c r="I2650" s="37" t="s">
        <v>50</v>
      </c>
      <c r="J2650" s="57" t="s">
        <v>8940</v>
      </c>
      <c r="K2650" s="57" t="s">
        <v>7055</v>
      </c>
    </row>
    <row r="2651" customFormat="false" ht="45.05" hidden="false" customHeight="false" outlineLevel="0" collapsed="false">
      <c r="D2651" s="60" t="s">
        <v>8941</v>
      </c>
      <c r="E2651" s="60" t="s">
        <v>8942</v>
      </c>
      <c r="F2651" s="62"/>
      <c r="G2651" s="57" t="s">
        <v>8943</v>
      </c>
      <c r="H2651" s="57" t="s">
        <v>3792</v>
      </c>
      <c r="I2651" s="37"/>
      <c r="J2651" s="57" t="s">
        <v>3792</v>
      </c>
      <c r="K2651" s="57" t="s">
        <v>3792</v>
      </c>
    </row>
    <row r="2652" customFormat="false" ht="66.85" hidden="false" customHeight="false" outlineLevel="0" collapsed="false">
      <c r="F2652" s="0" t="s">
        <v>5342</v>
      </c>
      <c r="G2652" s="57" t="s">
        <v>8944</v>
      </c>
      <c r="H2652" s="57" t="s">
        <v>8941</v>
      </c>
      <c r="I2652" s="39" t="s">
        <v>67</v>
      </c>
      <c r="J2652" s="57" t="s">
        <v>8945</v>
      </c>
      <c r="K2652" s="57" t="s">
        <v>7060</v>
      </c>
    </row>
    <row r="2653" customFormat="false" ht="55.95" hidden="false" customHeight="false" outlineLevel="0" collapsed="false">
      <c r="D2653" s="60" t="s">
        <v>8946</v>
      </c>
      <c r="E2653" s="60" t="s">
        <v>8947</v>
      </c>
      <c r="F2653" s="62"/>
      <c r="G2653" s="57" t="s">
        <v>8948</v>
      </c>
      <c r="H2653" s="57" t="s">
        <v>3792</v>
      </c>
      <c r="I2653" s="39"/>
      <c r="J2653" s="57" t="s">
        <v>3792</v>
      </c>
      <c r="K2653" s="57" t="s">
        <v>3792</v>
      </c>
    </row>
    <row r="2654" customFormat="false" ht="55.95" hidden="false" customHeight="false" outlineLevel="0" collapsed="false">
      <c r="F2654" s="0" t="s">
        <v>5342</v>
      </c>
      <c r="G2654" s="57" t="s">
        <v>8949</v>
      </c>
      <c r="H2654" s="57" t="s">
        <v>8946</v>
      </c>
      <c r="I2654" s="34" t="s">
        <v>40</v>
      </c>
      <c r="J2654" s="57" t="s">
        <v>8950</v>
      </c>
      <c r="K2654" s="57" t="s">
        <v>7066</v>
      </c>
    </row>
    <row r="2655" customFormat="false" ht="77.7" hidden="false" customHeight="false" outlineLevel="0" collapsed="false">
      <c r="B2655" s="67" t="s">
        <v>8951</v>
      </c>
      <c r="C2655" s="71" t="s">
        <v>8952</v>
      </c>
      <c r="D2655" s="68" t="s">
        <v>8953</v>
      </c>
      <c r="E2655" s="68" t="s">
        <v>8954</v>
      </c>
      <c r="F2655" s="65"/>
      <c r="G2655" s="57" t="s">
        <v>8955</v>
      </c>
      <c r="H2655" s="57" t="s">
        <v>3792</v>
      </c>
      <c r="I2655" s="34"/>
      <c r="J2655" s="57" t="s">
        <v>3792</v>
      </c>
      <c r="K2655" s="57" t="s">
        <v>3792</v>
      </c>
    </row>
    <row r="2656" customFormat="false" ht="66.85" hidden="false" customHeight="false" outlineLevel="0" collapsed="false">
      <c r="F2656" s="0" t="s">
        <v>5334</v>
      </c>
      <c r="G2656" s="57" t="s">
        <v>8956</v>
      </c>
      <c r="H2656" s="57" t="s">
        <v>8953</v>
      </c>
      <c r="I2656" s="39" t="s">
        <v>67</v>
      </c>
      <c r="J2656" s="57" t="s">
        <v>8957</v>
      </c>
      <c r="K2656" s="57" t="s">
        <v>7074</v>
      </c>
    </row>
    <row r="2657" customFormat="false" ht="66.85" hidden="false" customHeight="false" outlineLevel="0" collapsed="false">
      <c r="D2657" s="60" t="s">
        <v>8958</v>
      </c>
      <c r="E2657" s="60" t="s">
        <v>8959</v>
      </c>
      <c r="F2657" s="62"/>
      <c r="G2657" s="57" t="s">
        <v>8960</v>
      </c>
      <c r="H2657" s="57" t="s">
        <v>3792</v>
      </c>
      <c r="I2657" s="39"/>
      <c r="J2657" s="57" t="s">
        <v>3792</v>
      </c>
      <c r="K2657" s="57" t="s">
        <v>3792</v>
      </c>
    </row>
    <row r="2658" customFormat="false" ht="66.85" hidden="false" customHeight="false" outlineLevel="0" collapsed="false">
      <c r="F2658" s="0" t="s">
        <v>5342</v>
      </c>
      <c r="G2658" s="57" t="s">
        <v>8961</v>
      </c>
      <c r="H2658" s="57" t="s">
        <v>8958</v>
      </c>
      <c r="I2658" s="37" t="s">
        <v>50</v>
      </c>
      <c r="J2658" s="57" t="s">
        <v>8962</v>
      </c>
      <c r="K2658" s="57" t="s">
        <v>7081</v>
      </c>
    </row>
    <row r="2659" customFormat="false" ht="55.95" hidden="false" customHeight="false" outlineLevel="0" collapsed="false">
      <c r="D2659" s="60" t="s">
        <v>8963</v>
      </c>
      <c r="E2659" s="60" t="s">
        <v>8964</v>
      </c>
      <c r="F2659" s="62"/>
      <c r="G2659" s="57" t="s">
        <v>8965</v>
      </c>
      <c r="H2659" s="57" t="s">
        <v>3792</v>
      </c>
      <c r="I2659" s="37"/>
      <c r="J2659" s="57" t="s">
        <v>3792</v>
      </c>
      <c r="K2659" s="57" t="s">
        <v>3792</v>
      </c>
    </row>
    <row r="2660" customFormat="false" ht="66.85" hidden="false" customHeight="false" outlineLevel="0" collapsed="false">
      <c r="F2660" s="0" t="s">
        <v>5342</v>
      </c>
      <c r="G2660" s="57" t="s">
        <v>8966</v>
      </c>
      <c r="H2660" s="57" t="s">
        <v>8963</v>
      </c>
      <c r="I2660" s="37" t="s">
        <v>50</v>
      </c>
      <c r="J2660" s="57" t="s">
        <v>8967</v>
      </c>
      <c r="K2660" s="57" t="s">
        <v>7088</v>
      </c>
    </row>
    <row r="2661" customFormat="false" ht="55.95" hidden="false" customHeight="false" outlineLevel="0" collapsed="false">
      <c r="D2661" s="60" t="s">
        <v>8968</v>
      </c>
      <c r="E2661" s="60" t="s">
        <v>8969</v>
      </c>
      <c r="F2661" s="62"/>
      <c r="G2661" s="57" t="s">
        <v>8970</v>
      </c>
      <c r="H2661" s="57" t="s">
        <v>3792</v>
      </c>
      <c r="I2661" s="37"/>
      <c r="J2661" s="57" t="s">
        <v>3792</v>
      </c>
      <c r="K2661" s="57" t="s">
        <v>3792</v>
      </c>
    </row>
    <row r="2662" customFormat="false" ht="55.95" hidden="false" customHeight="false" outlineLevel="0" collapsed="false">
      <c r="F2662" s="0" t="s">
        <v>5334</v>
      </c>
      <c r="G2662" s="57" t="s">
        <v>8971</v>
      </c>
      <c r="H2662" s="57" t="s">
        <v>8968</v>
      </c>
      <c r="I2662" s="39" t="s">
        <v>67</v>
      </c>
      <c r="J2662" s="57" t="s">
        <v>8972</v>
      </c>
      <c r="K2662" s="57" t="s">
        <v>7095</v>
      </c>
    </row>
    <row r="2663" customFormat="false" ht="77.7" hidden="false" customHeight="false" outlineLevel="0" collapsed="false">
      <c r="D2663" s="60" t="s">
        <v>8973</v>
      </c>
      <c r="E2663" s="60" t="s">
        <v>8974</v>
      </c>
      <c r="F2663" s="62"/>
      <c r="G2663" s="57" t="s">
        <v>8975</v>
      </c>
      <c r="H2663" s="57" t="s">
        <v>3792</v>
      </c>
      <c r="I2663" s="39"/>
      <c r="J2663" s="57" t="s">
        <v>3792</v>
      </c>
      <c r="K2663" s="57" t="s">
        <v>3792</v>
      </c>
    </row>
    <row r="2664" customFormat="false" ht="77.7" hidden="false" customHeight="false" outlineLevel="0" collapsed="false">
      <c r="F2664" s="0" t="s">
        <v>5342</v>
      </c>
      <c r="G2664" s="57" t="s">
        <v>8976</v>
      </c>
      <c r="H2664" s="57" t="s">
        <v>8973</v>
      </c>
      <c r="I2664" s="34" t="s">
        <v>40</v>
      </c>
      <c r="J2664" s="57" t="s">
        <v>8977</v>
      </c>
      <c r="K2664" s="57" t="s">
        <v>7102</v>
      </c>
    </row>
    <row r="2665" customFormat="false" ht="77.7" hidden="false" customHeight="false" outlineLevel="0" collapsed="false">
      <c r="C2665" s="70" t="s">
        <v>8978</v>
      </c>
      <c r="D2665" s="66" t="s">
        <v>8979</v>
      </c>
      <c r="E2665" s="66" t="s">
        <v>8980</v>
      </c>
      <c r="F2665" s="65"/>
      <c r="G2665" s="57" t="s">
        <v>8981</v>
      </c>
      <c r="H2665" s="57" t="s">
        <v>3792</v>
      </c>
      <c r="I2665" s="34"/>
      <c r="J2665" s="57" t="s">
        <v>3792</v>
      </c>
      <c r="K2665" s="57" t="s">
        <v>3792</v>
      </c>
    </row>
    <row r="2666" customFormat="false" ht="55.95" hidden="false" customHeight="false" outlineLevel="0" collapsed="false">
      <c r="F2666" s="0" t="s">
        <v>5342</v>
      </c>
      <c r="G2666" s="57" t="s">
        <v>8982</v>
      </c>
      <c r="H2666" s="57" t="s">
        <v>8979</v>
      </c>
      <c r="I2666" s="39" t="s">
        <v>67</v>
      </c>
      <c r="J2666" s="57" t="s">
        <v>8983</v>
      </c>
      <c r="K2666" s="57" t="s">
        <v>7112</v>
      </c>
    </row>
    <row r="2667" customFormat="false" ht="66.85" hidden="false" customHeight="false" outlineLevel="0" collapsed="false">
      <c r="D2667" s="60" t="s">
        <v>8984</v>
      </c>
      <c r="E2667" s="60" t="s">
        <v>8985</v>
      </c>
      <c r="F2667" s="62"/>
      <c r="G2667" s="57" t="s">
        <v>8986</v>
      </c>
      <c r="H2667" s="57" t="s">
        <v>3792</v>
      </c>
      <c r="I2667" s="39"/>
      <c r="J2667" s="57" t="s">
        <v>3792</v>
      </c>
      <c r="K2667" s="57" t="s">
        <v>3792</v>
      </c>
    </row>
    <row r="2668" customFormat="false" ht="55.95" hidden="false" customHeight="false" outlineLevel="0" collapsed="false">
      <c r="F2668" s="0" t="s">
        <v>5334</v>
      </c>
      <c r="G2668" s="57" t="s">
        <v>8987</v>
      </c>
      <c r="H2668" s="57" t="s">
        <v>8984</v>
      </c>
      <c r="I2668" s="37" t="s">
        <v>50</v>
      </c>
      <c r="J2668" s="57" t="s">
        <v>8988</v>
      </c>
      <c r="K2668" s="57" t="s">
        <v>7118</v>
      </c>
    </row>
    <row r="2669" customFormat="false" ht="77.7" hidden="false" customHeight="false" outlineLevel="0" collapsed="false">
      <c r="D2669" s="60" t="s">
        <v>8989</v>
      </c>
      <c r="E2669" s="60" t="s">
        <v>8990</v>
      </c>
      <c r="F2669" s="62"/>
      <c r="G2669" s="57" t="s">
        <v>8991</v>
      </c>
      <c r="H2669" s="57" t="s">
        <v>3792</v>
      </c>
      <c r="I2669" s="37"/>
      <c r="J2669" s="57" t="s">
        <v>3792</v>
      </c>
      <c r="K2669" s="57" t="s">
        <v>3792</v>
      </c>
    </row>
    <row r="2670" customFormat="false" ht="55.95" hidden="false" customHeight="false" outlineLevel="0" collapsed="false">
      <c r="F2670" s="0" t="s">
        <v>5334</v>
      </c>
      <c r="G2670" s="57" t="s">
        <v>8992</v>
      </c>
      <c r="H2670" s="57" t="s">
        <v>8989</v>
      </c>
      <c r="I2670" s="37" t="s">
        <v>50</v>
      </c>
      <c r="J2670" s="57" t="s">
        <v>8993</v>
      </c>
      <c r="K2670" s="57" t="s">
        <v>7124</v>
      </c>
    </row>
    <row r="2671" customFormat="false" ht="66.85" hidden="false" customHeight="false" outlineLevel="0" collapsed="false">
      <c r="D2671" s="60" t="s">
        <v>8994</v>
      </c>
      <c r="E2671" s="60" t="s">
        <v>8995</v>
      </c>
      <c r="F2671" s="62"/>
      <c r="G2671" s="57" t="s">
        <v>8996</v>
      </c>
      <c r="H2671" s="57" t="s">
        <v>3792</v>
      </c>
      <c r="I2671" s="37"/>
      <c r="J2671" s="57" t="s">
        <v>3792</v>
      </c>
      <c r="K2671" s="57" t="s">
        <v>3792</v>
      </c>
    </row>
    <row r="2672" customFormat="false" ht="66.85" hidden="false" customHeight="false" outlineLevel="0" collapsed="false">
      <c r="F2672" s="0" t="s">
        <v>5334</v>
      </c>
      <c r="G2672" s="57" t="s">
        <v>8997</v>
      </c>
      <c r="H2672" s="57" t="s">
        <v>8994</v>
      </c>
      <c r="I2672" s="39" t="s">
        <v>67</v>
      </c>
      <c r="J2672" s="57" t="s">
        <v>8998</v>
      </c>
      <c r="K2672" s="57" t="s">
        <v>5970</v>
      </c>
    </row>
    <row r="2673" customFormat="false" ht="55.95" hidden="false" customHeight="false" outlineLevel="0" collapsed="false">
      <c r="D2673" s="60" t="s">
        <v>8999</v>
      </c>
      <c r="E2673" s="60" t="s">
        <v>9000</v>
      </c>
      <c r="F2673" s="62"/>
      <c r="G2673" s="57" t="s">
        <v>9001</v>
      </c>
      <c r="H2673" s="57" t="s">
        <v>3792</v>
      </c>
      <c r="I2673" s="39"/>
      <c r="J2673" s="57" t="s">
        <v>3792</v>
      </c>
      <c r="K2673" s="57" t="s">
        <v>3792</v>
      </c>
    </row>
    <row r="2674" customFormat="false" ht="66.85" hidden="false" customHeight="false" outlineLevel="0" collapsed="false">
      <c r="F2674" s="0" t="s">
        <v>5342</v>
      </c>
      <c r="G2674" s="57" t="s">
        <v>9002</v>
      </c>
      <c r="H2674" s="57" t="s">
        <v>8999</v>
      </c>
      <c r="I2674" s="34" t="s">
        <v>40</v>
      </c>
      <c r="J2674" s="57" t="s">
        <v>9003</v>
      </c>
      <c r="K2674" s="57" t="s">
        <v>7138</v>
      </c>
    </row>
    <row r="2675" customFormat="false" ht="55.95" hidden="false" customHeight="false" outlineLevel="0" collapsed="false">
      <c r="C2675" s="70" t="s">
        <v>9004</v>
      </c>
      <c r="D2675" s="66" t="s">
        <v>9005</v>
      </c>
      <c r="E2675" s="66" t="s">
        <v>9006</v>
      </c>
      <c r="F2675" s="65"/>
      <c r="G2675" s="57" t="s">
        <v>9007</v>
      </c>
      <c r="H2675" s="57" t="s">
        <v>3792</v>
      </c>
      <c r="I2675" s="34"/>
      <c r="J2675" s="57" t="s">
        <v>3792</v>
      </c>
      <c r="K2675" s="57" t="s">
        <v>3792</v>
      </c>
    </row>
    <row r="2676" customFormat="false" ht="77.7" hidden="false" customHeight="false" outlineLevel="0" collapsed="false">
      <c r="F2676" s="0" t="s">
        <v>5334</v>
      </c>
      <c r="G2676" s="57" t="s">
        <v>9008</v>
      </c>
      <c r="H2676" s="57" t="s">
        <v>9005</v>
      </c>
      <c r="I2676" s="39" t="s">
        <v>67</v>
      </c>
      <c r="J2676" s="57" t="s">
        <v>9009</v>
      </c>
      <c r="K2676" s="57" t="s">
        <v>7145</v>
      </c>
    </row>
    <row r="2677" customFormat="false" ht="45.05" hidden="false" customHeight="false" outlineLevel="0" collapsed="false">
      <c r="D2677" s="60" t="s">
        <v>9010</v>
      </c>
      <c r="E2677" s="60" t="s">
        <v>9011</v>
      </c>
      <c r="F2677" s="62"/>
      <c r="G2677" s="57" t="s">
        <v>9012</v>
      </c>
      <c r="H2677" s="57" t="s">
        <v>3792</v>
      </c>
      <c r="I2677" s="39"/>
      <c r="J2677" s="57" t="s">
        <v>3792</v>
      </c>
      <c r="K2677" s="57" t="s">
        <v>3792</v>
      </c>
    </row>
    <row r="2678" customFormat="false" ht="90.15" hidden="false" customHeight="false" outlineLevel="0" collapsed="false">
      <c r="F2678" s="0" t="s">
        <v>5342</v>
      </c>
      <c r="G2678" s="57" t="s">
        <v>9013</v>
      </c>
      <c r="H2678" s="57" t="s">
        <v>9010</v>
      </c>
      <c r="I2678" s="37" t="s">
        <v>50</v>
      </c>
      <c r="J2678" s="57" t="s">
        <v>9014</v>
      </c>
      <c r="K2678" s="57" t="s">
        <v>7152</v>
      </c>
    </row>
    <row r="2679" customFormat="false" ht="45.05" hidden="false" customHeight="false" outlineLevel="0" collapsed="false">
      <c r="D2679" s="60" t="s">
        <v>9015</v>
      </c>
      <c r="E2679" s="60" t="s">
        <v>9016</v>
      </c>
      <c r="F2679" s="62"/>
      <c r="G2679" s="57" t="s">
        <v>9017</v>
      </c>
      <c r="H2679" s="57" t="s">
        <v>3792</v>
      </c>
      <c r="I2679" s="37"/>
      <c r="J2679" s="57" t="s">
        <v>3792</v>
      </c>
      <c r="K2679" s="57" t="s">
        <v>3792</v>
      </c>
    </row>
    <row r="2680" customFormat="false" ht="55.95" hidden="false" customHeight="false" outlineLevel="0" collapsed="false">
      <c r="F2680" s="0" t="s">
        <v>5342</v>
      </c>
      <c r="G2680" s="57" t="s">
        <v>9018</v>
      </c>
      <c r="H2680" s="57" t="s">
        <v>9015</v>
      </c>
      <c r="I2680" s="37" t="s">
        <v>50</v>
      </c>
      <c r="J2680" s="57" t="s">
        <v>9019</v>
      </c>
      <c r="K2680" s="57" t="s">
        <v>7159</v>
      </c>
    </row>
    <row r="2681" customFormat="false" ht="55.95" hidden="false" customHeight="false" outlineLevel="0" collapsed="false">
      <c r="D2681" s="60" t="s">
        <v>9020</v>
      </c>
      <c r="E2681" s="60" t="s">
        <v>9021</v>
      </c>
      <c r="F2681" s="62"/>
      <c r="G2681" s="57" t="s">
        <v>9022</v>
      </c>
      <c r="H2681" s="57" t="s">
        <v>3792</v>
      </c>
      <c r="I2681" s="37"/>
      <c r="J2681" s="57" t="s">
        <v>3792</v>
      </c>
      <c r="K2681" s="57" t="s">
        <v>3792</v>
      </c>
    </row>
    <row r="2682" customFormat="false" ht="77.7" hidden="false" customHeight="false" outlineLevel="0" collapsed="false">
      <c r="F2682" s="0" t="s">
        <v>5334</v>
      </c>
      <c r="G2682" s="57" t="s">
        <v>9023</v>
      </c>
      <c r="H2682" s="57" t="s">
        <v>9020</v>
      </c>
      <c r="I2682" s="39" t="s">
        <v>67</v>
      </c>
      <c r="J2682" s="57" t="s">
        <v>9024</v>
      </c>
      <c r="K2682" s="57" t="s">
        <v>7166</v>
      </c>
    </row>
    <row r="2683" customFormat="false" ht="45.05" hidden="false" customHeight="false" outlineLevel="0" collapsed="false">
      <c r="D2683" s="60" t="s">
        <v>9025</v>
      </c>
      <c r="E2683" s="60" t="s">
        <v>9026</v>
      </c>
      <c r="F2683" s="62"/>
      <c r="G2683" s="57" t="s">
        <v>9027</v>
      </c>
      <c r="H2683" s="57" t="s">
        <v>3792</v>
      </c>
      <c r="I2683" s="39"/>
      <c r="J2683" s="57" t="s">
        <v>3792</v>
      </c>
      <c r="K2683" s="57" t="s">
        <v>3792</v>
      </c>
    </row>
    <row r="2684" customFormat="false" ht="34.2" hidden="false" customHeight="false" outlineLevel="0" collapsed="false">
      <c r="F2684" s="0" t="s">
        <v>5334</v>
      </c>
      <c r="G2684" s="57" t="s">
        <v>9028</v>
      </c>
      <c r="H2684" s="57" t="s">
        <v>9025</v>
      </c>
      <c r="I2684" s="34" t="s">
        <v>40</v>
      </c>
      <c r="J2684" s="57" t="s">
        <v>9029</v>
      </c>
      <c r="K2684" s="57" t="s">
        <v>7174</v>
      </c>
    </row>
    <row r="2685" customFormat="false" ht="66.85" hidden="false" customHeight="false" outlineLevel="0" collapsed="false">
      <c r="C2685" s="70" t="s">
        <v>9030</v>
      </c>
      <c r="D2685" s="66" t="s">
        <v>9031</v>
      </c>
      <c r="E2685" s="66" t="s">
        <v>9032</v>
      </c>
      <c r="F2685" s="65"/>
      <c r="G2685" s="57" t="s">
        <v>8944</v>
      </c>
      <c r="H2685" s="57" t="s">
        <v>3792</v>
      </c>
      <c r="I2685" s="34"/>
      <c r="J2685" s="57" t="s">
        <v>3792</v>
      </c>
      <c r="K2685" s="57" t="s">
        <v>3792</v>
      </c>
    </row>
    <row r="2686" customFormat="false" ht="45.05" hidden="false" customHeight="false" outlineLevel="0" collapsed="false">
      <c r="F2686" s="0" t="s">
        <v>5342</v>
      </c>
      <c r="G2686" s="57" t="s">
        <v>9033</v>
      </c>
      <c r="H2686" s="57" t="s">
        <v>9031</v>
      </c>
      <c r="I2686" s="39" t="s">
        <v>67</v>
      </c>
      <c r="J2686" s="57" t="s">
        <v>9034</v>
      </c>
      <c r="K2686" s="57" t="s">
        <v>7181</v>
      </c>
    </row>
    <row r="2687" customFormat="false" ht="55.95" hidden="false" customHeight="false" outlineLevel="0" collapsed="false">
      <c r="D2687" s="60" t="s">
        <v>9035</v>
      </c>
      <c r="E2687" s="60" t="s">
        <v>9036</v>
      </c>
      <c r="F2687" s="62"/>
      <c r="G2687" s="57" t="s">
        <v>9037</v>
      </c>
      <c r="H2687" s="57" t="s">
        <v>3792</v>
      </c>
      <c r="I2687" s="39"/>
      <c r="J2687" s="57" t="s">
        <v>3792</v>
      </c>
      <c r="K2687" s="57" t="s">
        <v>3792</v>
      </c>
    </row>
    <row r="2688" customFormat="false" ht="55.95" hidden="false" customHeight="false" outlineLevel="0" collapsed="false">
      <c r="F2688" s="0" t="s">
        <v>5342</v>
      </c>
      <c r="G2688" s="57" t="s">
        <v>9038</v>
      </c>
      <c r="H2688" s="57" t="s">
        <v>9035</v>
      </c>
      <c r="I2688" s="37" t="s">
        <v>50</v>
      </c>
      <c r="J2688" s="57" t="s">
        <v>9039</v>
      </c>
      <c r="K2688" s="57" t="s">
        <v>7188</v>
      </c>
    </row>
    <row r="2689" customFormat="false" ht="45.05" hidden="false" customHeight="false" outlineLevel="0" collapsed="false">
      <c r="D2689" s="60" t="s">
        <v>9040</v>
      </c>
      <c r="E2689" s="60" t="s">
        <v>9041</v>
      </c>
      <c r="F2689" s="62"/>
      <c r="G2689" s="57" t="s">
        <v>9042</v>
      </c>
      <c r="H2689" s="57" t="s">
        <v>3792</v>
      </c>
      <c r="I2689" s="37"/>
      <c r="J2689" s="57" t="s">
        <v>3792</v>
      </c>
      <c r="K2689" s="57" t="s">
        <v>3792</v>
      </c>
    </row>
    <row r="2690" customFormat="false" ht="45.05" hidden="false" customHeight="false" outlineLevel="0" collapsed="false">
      <c r="F2690" s="0" t="s">
        <v>5334</v>
      </c>
      <c r="G2690" s="57" t="s">
        <v>9043</v>
      </c>
      <c r="H2690" s="57" t="s">
        <v>9040</v>
      </c>
      <c r="I2690" s="37" t="s">
        <v>50</v>
      </c>
      <c r="J2690" s="57" t="s">
        <v>9044</v>
      </c>
      <c r="K2690" s="57" t="s">
        <v>7195</v>
      </c>
    </row>
    <row r="2691" customFormat="false" ht="55.95" hidden="false" customHeight="false" outlineLevel="0" collapsed="false">
      <c r="D2691" s="60" t="s">
        <v>9045</v>
      </c>
      <c r="E2691" s="60" t="s">
        <v>9046</v>
      </c>
      <c r="F2691" s="62"/>
      <c r="G2691" s="57" t="s">
        <v>9047</v>
      </c>
      <c r="H2691" s="57" t="s">
        <v>3792</v>
      </c>
      <c r="I2691" s="37"/>
      <c r="J2691" s="57" t="s">
        <v>3792</v>
      </c>
      <c r="K2691" s="57" t="s">
        <v>3792</v>
      </c>
    </row>
    <row r="2692" customFormat="false" ht="66.85" hidden="false" customHeight="false" outlineLevel="0" collapsed="false">
      <c r="F2692" s="0" t="s">
        <v>5334</v>
      </c>
      <c r="G2692" s="57" t="s">
        <v>9048</v>
      </c>
      <c r="H2692" s="57" t="s">
        <v>9045</v>
      </c>
      <c r="I2692" s="39" t="s">
        <v>67</v>
      </c>
      <c r="J2692" s="57" t="s">
        <v>9049</v>
      </c>
      <c r="K2692" s="57" t="s">
        <v>7202</v>
      </c>
    </row>
    <row r="2693" customFormat="false" ht="45.05" hidden="false" customHeight="false" outlineLevel="0" collapsed="false">
      <c r="D2693" s="60" t="s">
        <v>9050</v>
      </c>
      <c r="E2693" s="60" t="s">
        <v>9051</v>
      </c>
      <c r="F2693" s="62"/>
      <c r="G2693" s="57" t="s">
        <v>9052</v>
      </c>
      <c r="H2693" s="57" t="s">
        <v>3792</v>
      </c>
      <c r="I2693" s="39"/>
      <c r="J2693" s="57" t="s">
        <v>3792</v>
      </c>
      <c r="K2693" s="57" t="s">
        <v>3792</v>
      </c>
    </row>
    <row r="2694" customFormat="false" ht="55.95" hidden="false" customHeight="false" outlineLevel="0" collapsed="false">
      <c r="F2694" s="0" t="s">
        <v>5342</v>
      </c>
      <c r="G2694" s="57" t="s">
        <v>8970</v>
      </c>
      <c r="H2694" s="57" t="s">
        <v>9050</v>
      </c>
      <c r="I2694" s="34" t="s">
        <v>40</v>
      </c>
      <c r="J2694" s="57" t="s">
        <v>9053</v>
      </c>
      <c r="K2694" s="57" t="s">
        <v>7210</v>
      </c>
    </row>
    <row r="2695" customFormat="false" ht="66.85" hidden="false" customHeight="false" outlineLevel="0" collapsed="false">
      <c r="C2695" s="70" t="s">
        <v>9054</v>
      </c>
      <c r="D2695" s="66" t="s">
        <v>9055</v>
      </c>
      <c r="E2695" s="66" t="s">
        <v>9056</v>
      </c>
      <c r="F2695" s="65"/>
      <c r="G2695" s="57" t="s">
        <v>9057</v>
      </c>
      <c r="H2695" s="57" t="s">
        <v>3792</v>
      </c>
      <c r="I2695" s="34"/>
      <c r="J2695" s="57" t="s">
        <v>3792</v>
      </c>
      <c r="K2695" s="57" t="s">
        <v>3792</v>
      </c>
    </row>
    <row r="2696" customFormat="false" ht="55.95" hidden="false" customHeight="false" outlineLevel="0" collapsed="false">
      <c r="F2696" s="0" t="s">
        <v>5342</v>
      </c>
      <c r="G2696" s="57" t="s">
        <v>9058</v>
      </c>
      <c r="H2696" s="57" t="s">
        <v>9055</v>
      </c>
      <c r="I2696" s="39" t="s">
        <v>67</v>
      </c>
      <c r="J2696" s="57" t="s">
        <v>9059</v>
      </c>
      <c r="K2696" s="57" t="s">
        <v>7217</v>
      </c>
    </row>
    <row r="2697" customFormat="false" ht="45.05" hidden="false" customHeight="false" outlineLevel="0" collapsed="false">
      <c r="D2697" s="60" t="s">
        <v>9060</v>
      </c>
      <c r="E2697" s="60" t="s">
        <v>9061</v>
      </c>
      <c r="F2697" s="62"/>
      <c r="G2697" s="57" t="s">
        <v>9062</v>
      </c>
      <c r="H2697" s="57" t="s">
        <v>3792</v>
      </c>
      <c r="I2697" s="39"/>
      <c r="J2697" s="57" t="s">
        <v>3792</v>
      </c>
      <c r="K2697" s="57" t="s">
        <v>3792</v>
      </c>
    </row>
    <row r="2698" customFormat="false" ht="55.95" hidden="false" customHeight="false" outlineLevel="0" collapsed="false">
      <c r="F2698" s="0" t="s">
        <v>5334</v>
      </c>
      <c r="G2698" s="57" t="s">
        <v>9063</v>
      </c>
      <c r="H2698" s="57" t="s">
        <v>9060</v>
      </c>
      <c r="I2698" s="37" t="s">
        <v>50</v>
      </c>
      <c r="J2698" s="57" t="s">
        <v>9064</v>
      </c>
      <c r="K2698" s="57" t="s">
        <v>7224</v>
      </c>
    </row>
    <row r="2699" customFormat="false" ht="55.95" hidden="false" customHeight="false" outlineLevel="0" collapsed="false">
      <c r="D2699" s="60" t="s">
        <v>9065</v>
      </c>
      <c r="E2699" s="60" t="s">
        <v>9066</v>
      </c>
      <c r="F2699" s="62"/>
      <c r="G2699" s="57" t="s">
        <v>8982</v>
      </c>
      <c r="H2699" s="57" t="s">
        <v>3792</v>
      </c>
      <c r="I2699" s="37"/>
      <c r="J2699" s="57" t="s">
        <v>3792</v>
      </c>
      <c r="K2699" s="57" t="s">
        <v>3792</v>
      </c>
    </row>
    <row r="2700" customFormat="false" ht="66.85" hidden="false" customHeight="false" outlineLevel="0" collapsed="false">
      <c r="F2700" s="0" t="s">
        <v>5342</v>
      </c>
      <c r="G2700" s="57" t="s">
        <v>9067</v>
      </c>
      <c r="H2700" s="57" t="s">
        <v>9065</v>
      </c>
      <c r="I2700" s="37" t="s">
        <v>50</v>
      </c>
      <c r="J2700" s="57" t="s">
        <v>9068</v>
      </c>
      <c r="K2700" s="57" t="s">
        <v>7231</v>
      </c>
    </row>
    <row r="2701" customFormat="false" ht="45.05" hidden="false" customHeight="false" outlineLevel="0" collapsed="false">
      <c r="D2701" s="60" t="s">
        <v>9069</v>
      </c>
      <c r="E2701" s="60" t="s">
        <v>9070</v>
      </c>
      <c r="F2701" s="62"/>
      <c r="G2701" s="57" t="s">
        <v>9071</v>
      </c>
      <c r="H2701" s="57" t="s">
        <v>3792</v>
      </c>
      <c r="I2701" s="37"/>
      <c r="J2701" s="57" t="s">
        <v>3792</v>
      </c>
      <c r="K2701" s="57" t="s">
        <v>3792</v>
      </c>
    </row>
    <row r="2702" customFormat="false" ht="66.85" hidden="false" customHeight="false" outlineLevel="0" collapsed="false">
      <c r="F2702" s="0" t="s">
        <v>5334</v>
      </c>
      <c r="G2702" s="57" t="s">
        <v>9072</v>
      </c>
      <c r="H2702" s="57" t="s">
        <v>9069</v>
      </c>
      <c r="I2702" s="39" t="s">
        <v>67</v>
      </c>
      <c r="J2702" s="57" t="s">
        <v>9073</v>
      </c>
      <c r="K2702" s="57" t="s">
        <v>7238</v>
      </c>
    </row>
    <row r="2703" customFormat="false" ht="45.05" hidden="false" customHeight="false" outlineLevel="0" collapsed="false">
      <c r="B2703" s="67"/>
      <c r="C2703" s="68"/>
      <c r="D2703" s="68" t="s">
        <v>9074</v>
      </c>
      <c r="E2703" s="68" t="s">
        <v>9075</v>
      </c>
      <c r="F2703" s="62"/>
      <c r="G2703" s="57" t="s">
        <v>9076</v>
      </c>
      <c r="H2703" s="57" t="s">
        <v>3792</v>
      </c>
      <c r="I2703" s="39"/>
      <c r="J2703" s="57" t="s">
        <v>3792</v>
      </c>
      <c r="K2703" s="57" t="s">
        <v>3792</v>
      </c>
    </row>
    <row r="2705" customFormat="false" ht="15" hidden="false" customHeight="false" outlineLevel="0" collapsed="false">
      <c r="A2705" s="45" t="s">
        <v>5328</v>
      </c>
      <c r="B2705" s="45" t="s">
        <v>3775</v>
      </c>
      <c r="C2705" s="46" t="s">
        <v>3776</v>
      </c>
      <c r="D2705" s="46" t="s">
        <v>3777</v>
      </c>
      <c r="E2705" s="46" t="s">
        <v>3778</v>
      </c>
      <c r="F2705" s="46" t="s">
        <v>27</v>
      </c>
      <c r="G2705" s="46" t="s">
        <v>3779</v>
      </c>
      <c r="H2705" s="46" t="s">
        <v>28</v>
      </c>
      <c r="I2705" s="45" t="s">
        <v>29</v>
      </c>
      <c r="J2705" s="46" t="s">
        <v>3780</v>
      </c>
      <c r="K2705" s="58" t="s">
        <v>3781</v>
      </c>
    </row>
    <row r="2706" customFormat="false" ht="77.7" hidden="false" customHeight="false" outlineLevel="0" collapsed="false">
      <c r="A2706" s="0" t="s">
        <v>9077</v>
      </c>
      <c r="B2706" s="0" t="s">
        <v>9078</v>
      </c>
      <c r="C2706" s="57" t="s">
        <v>9079</v>
      </c>
      <c r="D2706" s="57" t="s">
        <v>9080</v>
      </c>
      <c r="E2706" s="57" t="s">
        <v>9081</v>
      </c>
      <c r="F2706" s="57" t="s">
        <v>5334</v>
      </c>
      <c r="G2706" s="57" t="s">
        <v>9082</v>
      </c>
      <c r="H2706" s="57" t="s">
        <v>9083</v>
      </c>
      <c r="I2706" s="34" t="s">
        <v>40</v>
      </c>
      <c r="J2706" s="57" t="s">
        <v>9084</v>
      </c>
      <c r="K2706" s="57" t="s">
        <v>9085</v>
      </c>
    </row>
    <row r="2707" customFormat="false" ht="90.15" hidden="false" customHeight="false" outlineLevel="0" collapsed="false">
      <c r="A2707" s="0"/>
      <c r="B2707" s="0"/>
      <c r="C2707" s="0"/>
      <c r="D2707" s="61"/>
      <c r="E2707" s="61"/>
      <c r="F2707" s="61"/>
      <c r="G2707" s="57" t="s">
        <v>9086</v>
      </c>
      <c r="H2707" s="57" t="s">
        <v>3792</v>
      </c>
      <c r="I2707" s="34"/>
      <c r="J2707" s="57" t="s">
        <v>3792</v>
      </c>
      <c r="K2707" s="57" t="s">
        <v>9087</v>
      </c>
    </row>
    <row r="2708" customFormat="false" ht="90.15" hidden="false" customHeight="false" outlineLevel="0" collapsed="false">
      <c r="A2708" s="0"/>
      <c r="B2708" s="0"/>
      <c r="C2708" s="0"/>
      <c r="D2708" s="57" t="s">
        <v>9088</v>
      </c>
      <c r="E2708" s="57" t="s">
        <v>9089</v>
      </c>
      <c r="F2708" s="57" t="s">
        <v>5342</v>
      </c>
      <c r="G2708" s="57" t="s">
        <v>9090</v>
      </c>
      <c r="H2708" s="57" t="s">
        <v>9091</v>
      </c>
      <c r="I2708" s="37" t="s">
        <v>50</v>
      </c>
      <c r="J2708" s="57" t="s">
        <v>9092</v>
      </c>
      <c r="K2708" s="57" t="s">
        <v>9093</v>
      </c>
    </row>
    <row r="2709" customFormat="false" ht="66.85" hidden="false" customHeight="false" outlineLevel="0" collapsed="false">
      <c r="A2709" s="0"/>
      <c r="B2709" s="0"/>
      <c r="C2709" s="0"/>
      <c r="D2709" s="61"/>
      <c r="E2709" s="61"/>
      <c r="F2709" s="61"/>
      <c r="G2709" s="57" t="s">
        <v>9094</v>
      </c>
      <c r="H2709" s="57" t="s">
        <v>3792</v>
      </c>
      <c r="I2709" s="37"/>
      <c r="J2709" s="57" t="s">
        <v>3792</v>
      </c>
      <c r="K2709" s="57" t="s">
        <v>9095</v>
      </c>
    </row>
    <row r="2710" customFormat="false" ht="55.95" hidden="false" customHeight="false" outlineLevel="0" collapsed="false">
      <c r="A2710" s="0"/>
      <c r="B2710" s="0"/>
      <c r="C2710" s="0"/>
      <c r="D2710" s="0" t="s">
        <v>9096</v>
      </c>
      <c r="E2710" s="0" t="s">
        <v>9097</v>
      </c>
      <c r="F2710" s="0" t="s">
        <v>5334</v>
      </c>
      <c r="G2710" s="57" t="s">
        <v>9098</v>
      </c>
      <c r="H2710" s="57" t="s">
        <v>9099</v>
      </c>
      <c r="I2710" s="34" t="s">
        <v>40</v>
      </c>
      <c r="J2710" s="57" t="s">
        <v>9100</v>
      </c>
      <c r="K2710" s="57" t="s">
        <v>9101</v>
      </c>
    </row>
    <row r="2711" customFormat="false" ht="66.85" hidden="false" customHeight="false" outlineLevel="0" collapsed="false">
      <c r="A2711" s="0"/>
      <c r="B2711" s="0"/>
      <c r="C2711" s="0"/>
      <c r="D2711" s="62"/>
      <c r="E2711" s="62"/>
      <c r="F2711" s="62"/>
      <c r="G2711" s="57" t="s">
        <v>9102</v>
      </c>
      <c r="H2711" s="57" t="s">
        <v>3792</v>
      </c>
      <c r="I2711" s="34"/>
      <c r="J2711" s="57" t="s">
        <v>3792</v>
      </c>
      <c r="K2711" s="57" t="s">
        <v>9103</v>
      </c>
    </row>
    <row r="2712" customFormat="false" ht="55.95" hidden="false" customHeight="false" outlineLevel="0" collapsed="false">
      <c r="A2712" s="0"/>
      <c r="B2712" s="0"/>
      <c r="C2712" s="0"/>
      <c r="D2712" s="0" t="s">
        <v>9104</v>
      </c>
      <c r="E2712" s="0" t="s">
        <v>9105</v>
      </c>
      <c r="F2712" s="0" t="s">
        <v>5334</v>
      </c>
      <c r="G2712" s="57" t="s">
        <v>9106</v>
      </c>
      <c r="H2712" s="57" t="s">
        <v>9107</v>
      </c>
      <c r="I2712" s="39" t="s">
        <v>67</v>
      </c>
      <c r="J2712" s="57" t="s">
        <v>9108</v>
      </c>
      <c r="K2712" s="57" t="s">
        <v>9109</v>
      </c>
    </row>
    <row r="2713" customFormat="false" ht="66.85" hidden="false" customHeight="false" outlineLevel="0" collapsed="false">
      <c r="A2713" s="0"/>
      <c r="B2713" s="0"/>
      <c r="C2713" s="0"/>
      <c r="D2713" s="62"/>
      <c r="E2713" s="62"/>
      <c r="F2713" s="62"/>
      <c r="G2713" s="57" t="s">
        <v>9110</v>
      </c>
      <c r="H2713" s="57" t="s">
        <v>3792</v>
      </c>
      <c r="I2713" s="39"/>
      <c r="J2713" s="57" t="s">
        <v>3792</v>
      </c>
      <c r="K2713" s="57" t="s">
        <v>9111</v>
      </c>
    </row>
    <row r="2714" customFormat="false" ht="66.85" hidden="false" customHeight="false" outlineLevel="0" collapsed="false">
      <c r="A2714" s="0"/>
      <c r="B2714" s="0"/>
      <c r="C2714" s="0"/>
      <c r="D2714" s="0" t="s">
        <v>9112</v>
      </c>
      <c r="E2714" s="0" t="s">
        <v>9113</v>
      </c>
      <c r="F2714" s="0" t="s">
        <v>5342</v>
      </c>
      <c r="G2714" s="57" t="s">
        <v>9114</v>
      </c>
      <c r="H2714" s="57" t="s">
        <v>9115</v>
      </c>
      <c r="I2714" s="34" t="s">
        <v>40</v>
      </c>
      <c r="J2714" s="57" t="s">
        <v>9116</v>
      </c>
      <c r="K2714" s="57" t="s">
        <v>9117</v>
      </c>
    </row>
    <row r="2715" customFormat="false" ht="133.7" hidden="false" customHeight="false" outlineLevel="0" collapsed="false">
      <c r="A2715" s="0"/>
      <c r="B2715" s="0"/>
      <c r="C2715" s="65"/>
      <c r="D2715" s="65"/>
      <c r="E2715" s="65"/>
      <c r="F2715" s="65"/>
      <c r="G2715" s="57" t="s">
        <v>9118</v>
      </c>
      <c r="H2715" s="57" t="s">
        <v>3792</v>
      </c>
      <c r="I2715" s="34"/>
      <c r="J2715" s="57" t="s">
        <v>3792</v>
      </c>
      <c r="K2715" s="57" t="s">
        <v>9119</v>
      </c>
    </row>
    <row r="2716" customFormat="false" ht="111.9" hidden="false" customHeight="false" outlineLevel="0" collapsed="false">
      <c r="A2716" s="0"/>
      <c r="B2716" s="0"/>
      <c r="C2716" s="57" t="s">
        <v>9120</v>
      </c>
      <c r="D2716" s="0" t="s">
        <v>9121</v>
      </c>
      <c r="E2716" s="0" t="s">
        <v>9122</v>
      </c>
      <c r="F2716" s="0" t="s">
        <v>5334</v>
      </c>
      <c r="G2716" s="57" t="s">
        <v>9123</v>
      </c>
      <c r="H2716" s="57" t="s">
        <v>9124</v>
      </c>
      <c r="I2716" s="37" t="s">
        <v>50</v>
      </c>
      <c r="J2716" s="57" t="s">
        <v>9125</v>
      </c>
      <c r="K2716" s="57" t="s">
        <v>9126</v>
      </c>
    </row>
    <row r="2717" customFormat="false" ht="90.15" hidden="false" customHeight="false" outlineLevel="0" collapsed="false">
      <c r="A2717" s="0"/>
      <c r="B2717" s="0"/>
      <c r="C2717" s="0"/>
      <c r="D2717" s="62"/>
      <c r="E2717" s="62"/>
      <c r="F2717" s="62"/>
      <c r="G2717" s="57" t="s">
        <v>9127</v>
      </c>
      <c r="H2717" s="57" t="s">
        <v>3792</v>
      </c>
      <c r="I2717" s="37"/>
      <c r="J2717" s="57" t="s">
        <v>3792</v>
      </c>
      <c r="K2717" s="57" t="s">
        <v>9128</v>
      </c>
    </row>
    <row r="2718" customFormat="false" ht="101.05" hidden="false" customHeight="false" outlineLevel="0" collapsed="false">
      <c r="A2718" s="0"/>
      <c r="B2718" s="0"/>
      <c r="C2718" s="0"/>
      <c r="D2718" s="0" t="s">
        <v>9129</v>
      </c>
      <c r="E2718" s="0" t="s">
        <v>9130</v>
      </c>
      <c r="F2718" s="0" t="s">
        <v>5342</v>
      </c>
      <c r="G2718" s="57" t="s">
        <v>9131</v>
      </c>
      <c r="H2718" s="57" t="s">
        <v>9132</v>
      </c>
      <c r="I2718" s="34" t="s">
        <v>40</v>
      </c>
      <c r="J2718" s="57" t="s">
        <v>9133</v>
      </c>
      <c r="K2718" s="57" t="s">
        <v>9134</v>
      </c>
    </row>
    <row r="2719" customFormat="false" ht="77.7" hidden="false" customHeight="false" outlineLevel="0" collapsed="false">
      <c r="A2719" s="0"/>
      <c r="B2719" s="0"/>
      <c r="C2719" s="0"/>
      <c r="D2719" s="62"/>
      <c r="E2719" s="62"/>
      <c r="F2719" s="62"/>
      <c r="G2719" s="57" t="s">
        <v>9135</v>
      </c>
      <c r="H2719" s="57" t="s">
        <v>3792</v>
      </c>
      <c r="I2719" s="34"/>
      <c r="J2719" s="57" t="s">
        <v>3792</v>
      </c>
      <c r="K2719" s="57" t="s">
        <v>9136</v>
      </c>
    </row>
    <row r="2720" customFormat="false" ht="146.1" hidden="false" customHeight="false" outlineLevel="0" collapsed="false">
      <c r="A2720" s="0"/>
      <c r="B2720" s="0"/>
      <c r="C2720" s="0"/>
      <c r="D2720" s="0" t="s">
        <v>9137</v>
      </c>
      <c r="E2720" s="0" t="s">
        <v>9138</v>
      </c>
      <c r="F2720" s="0" t="s">
        <v>5342</v>
      </c>
      <c r="G2720" s="57" t="s">
        <v>9139</v>
      </c>
      <c r="H2720" s="57" t="s">
        <v>9140</v>
      </c>
      <c r="I2720" s="39" t="s">
        <v>67</v>
      </c>
      <c r="J2720" s="57" t="s">
        <v>9141</v>
      </c>
      <c r="K2720" s="57" t="s">
        <v>9142</v>
      </c>
    </row>
    <row r="2721" customFormat="false" ht="55.95" hidden="false" customHeight="false" outlineLevel="0" collapsed="false">
      <c r="A2721" s="0"/>
      <c r="B2721" s="0"/>
      <c r="C2721" s="0"/>
      <c r="D2721" s="62"/>
      <c r="E2721" s="62"/>
      <c r="F2721" s="62"/>
      <c r="G2721" s="57" t="s">
        <v>9143</v>
      </c>
      <c r="H2721" s="57" t="s">
        <v>3792</v>
      </c>
      <c r="I2721" s="39"/>
      <c r="J2721" s="57" t="s">
        <v>3792</v>
      </c>
      <c r="K2721" s="57" t="s">
        <v>9144</v>
      </c>
    </row>
    <row r="2722" customFormat="false" ht="77.7" hidden="false" customHeight="false" outlineLevel="0" collapsed="false">
      <c r="A2722" s="0"/>
      <c r="B2722" s="0"/>
      <c r="C2722" s="0"/>
      <c r="D2722" s="0" t="s">
        <v>9145</v>
      </c>
      <c r="E2722" s="0" t="s">
        <v>9146</v>
      </c>
      <c r="F2722" s="0" t="s">
        <v>5334</v>
      </c>
      <c r="G2722" s="57" t="s">
        <v>9147</v>
      </c>
      <c r="H2722" s="57" t="s">
        <v>9148</v>
      </c>
      <c r="I2722" s="34" t="s">
        <v>40</v>
      </c>
      <c r="J2722" s="57" t="s">
        <v>9149</v>
      </c>
      <c r="K2722" s="57" t="s">
        <v>9150</v>
      </c>
    </row>
    <row r="2723" customFormat="false" ht="55.95" hidden="false" customHeight="false" outlineLevel="0" collapsed="false">
      <c r="A2723" s="0"/>
      <c r="B2723" s="0"/>
      <c r="C2723" s="0"/>
      <c r="D2723" s="62"/>
      <c r="E2723" s="62"/>
      <c r="F2723" s="62"/>
      <c r="G2723" s="57" t="s">
        <v>9151</v>
      </c>
      <c r="H2723" s="57" t="s">
        <v>3792</v>
      </c>
      <c r="I2723" s="34"/>
      <c r="J2723" s="57" t="s">
        <v>3792</v>
      </c>
      <c r="K2723" s="57" t="s">
        <v>9152</v>
      </c>
    </row>
    <row r="2724" customFormat="false" ht="45.05" hidden="false" customHeight="false" outlineLevel="0" collapsed="false">
      <c r="A2724" s="0"/>
      <c r="B2724" s="0"/>
      <c r="C2724" s="0"/>
      <c r="D2724" s="0" t="s">
        <v>9153</v>
      </c>
      <c r="E2724" s="0" t="s">
        <v>9154</v>
      </c>
      <c r="F2724" s="0" t="s">
        <v>5342</v>
      </c>
      <c r="G2724" s="57" t="s">
        <v>9155</v>
      </c>
      <c r="H2724" s="57" t="s">
        <v>9156</v>
      </c>
      <c r="I2724" s="37" t="s">
        <v>50</v>
      </c>
      <c r="J2724" s="57" t="s">
        <v>9157</v>
      </c>
      <c r="K2724" s="57" t="s">
        <v>9158</v>
      </c>
    </row>
    <row r="2725" customFormat="false" ht="66.85" hidden="false" customHeight="false" outlineLevel="0" collapsed="false">
      <c r="A2725" s="0"/>
      <c r="B2725" s="0"/>
      <c r="C2725" s="65"/>
      <c r="D2725" s="65"/>
      <c r="E2725" s="65"/>
      <c r="F2725" s="65"/>
      <c r="G2725" s="57" t="s">
        <v>9159</v>
      </c>
      <c r="H2725" s="57" t="s">
        <v>3792</v>
      </c>
      <c r="I2725" s="37"/>
      <c r="J2725" s="57" t="s">
        <v>3792</v>
      </c>
      <c r="K2725" s="57" t="s">
        <v>9160</v>
      </c>
    </row>
    <row r="2726" customFormat="false" ht="55.95" hidden="false" customHeight="false" outlineLevel="0" collapsed="false">
      <c r="A2726" s="0"/>
      <c r="B2726" s="0"/>
      <c r="C2726" s="0" t="s">
        <v>9161</v>
      </c>
      <c r="D2726" s="0" t="s">
        <v>9162</v>
      </c>
      <c r="E2726" s="0" t="s">
        <v>9163</v>
      </c>
      <c r="F2726" s="0" t="s">
        <v>5334</v>
      </c>
      <c r="G2726" s="57" t="s">
        <v>9164</v>
      </c>
      <c r="H2726" s="57" t="s">
        <v>9165</v>
      </c>
      <c r="I2726" s="34" t="s">
        <v>40</v>
      </c>
      <c r="J2726" s="57" t="s">
        <v>9166</v>
      </c>
      <c r="K2726" s="57" t="s">
        <v>9167</v>
      </c>
    </row>
    <row r="2727" customFormat="false" ht="55.95" hidden="false" customHeight="false" outlineLevel="0" collapsed="false">
      <c r="A2727" s="0"/>
      <c r="B2727" s="0"/>
      <c r="C2727" s="0"/>
      <c r="D2727" s="62"/>
      <c r="E2727" s="62"/>
      <c r="F2727" s="62"/>
      <c r="G2727" s="57" t="s">
        <v>9168</v>
      </c>
      <c r="H2727" s="57" t="s">
        <v>3792</v>
      </c>
      <c r="I2727" s="34"/>
      <c r="J2727" s="57" t="s">
        <v>3792</v>
      </c>
      <c r="K2727" s="57" t="s">
        <v>9169</v>
      </c>
    </row>
    <row r="2728" customFormat="false" ht="66.85" hidden="false" customHeight="false" outlineLevel="0" collapsed="false">
      <c r="A2728" s="0"/>
      <c r="B2728" s="0"/>
      <c r="C2728" s="0"/>
      <c r="D2728" s="0" t="s">
        <v>9170</v>
      </c>
      <c r="E2728" s="0" t="s">
        <v>9171</v>
      </c>
      <c r="F2728" s="0" t="s">
        <v>5342</v>
      </c>
      <c r="G2728" s="57" t="s">
        <v>9172</v>
      </c>
      <c r="H2728" s="57" t="s">
        <v>9173</v>
      </c>
      <c r="I2728" s="39" t="s">
        <v>67</v>
      </c>
      <c r="J2728" s="57" t="s">
        <v>9174</v>
      </c>
      <c r="K2728" s="57" t="s">
        <v>9175</v>
      </c>
    </row>
    <row r="2729" customFormat="false" ht="77.7" hidden="false" customHeight="false" outlineLevel="0" collapsed="false">
      <c r="A2729" s="0"/>
      <c r="B2729" s="0"/>
      <c r="C2729" s="0"/>
      <c r="D2729" s="62"/>
      <c r="E2729" s="62"/>
      <c r="F2729" s="62"/>
      <c r="G2729" s="57" t="s">
        <v>9176</v>
      </c>
      <c r="H2729" s="57" t="s">
        <v>3792</v>
      </c>
      <c r="I2729" s="39"/>
      <c r="J2729" s="57" t="s">
        <v>3792</v>
      </c>
      <c r="K2729" s="57" t="s">
        <v>9177</v>
      </c>
    </row>
    <row r="2730" customFormat="false" ht="66.85" hidden="false" customHeight="false" outlineLevel="0" collapsed="false">
      <c r="A2730" s="0"/>
      <c r="B2730" s="0"/>
      <c r="C2730" s="0"/>
      <c r="D2730" s="0" t="s">
        <v>9178</v>
      </c>
      <c r="E2730" s="0" t="s">
        <v>9179</v>
      </c>
      <c r="F2730" s="0" t="s">
        <v>5334</v>
      </c>
      <c r="G2730" s="57" t="s">
        <v>9180</v>
      </c>
      <c r="H2730" s="57" t="s">
        <v>9181</v>
      </c>
      <c r="I2730" s="34" t="s">
        <v>40</v>
      </c>
      <c r="J2730" s="57" t="s">
        <v>9182</v>
      </c>
      <c r="K2730" s="57" t="s">
        <v>9183</v>
      </c>
    </row>
    <row r="2731" customFormat="false" ht="55.95" hidden="false" customHeight="false" outlineLevel="0" collapsed="false">
      <c r="A2731" s="0"/>
      <c r="B2731" s="0"/>
      <c r="C2731" s="0"/>
      <c r="D2731" s="62"/>
      <c r="E2731" s="62"/>
      <c r="F2731" s="62"/>
      <c r="G2731" s="57" t="s">
        <v>9184</v>
      </c>
      <c r="H2731" s="57" t="s">
        <v>3792</v>
      </c>
      <c r="I2731" s="34"/>
      <c r="J2731" s="57" t="s">
        <v>3792</v>
      </c>
      <c r="K2731" s="57" t="s">
        <v>9185</v>
      </c>
    </row>
    <row r="2732" customFormat="false" ht="55.95" hidden="false" customHeight="false" outlineLevel="0" collapsed="false">
      <c r="A2732" s="0"/>
      <c r="B2732" s="0"/>
      <c r="C2732" s="0"/>
      <c r="D2732" s="0" t="s">
        <v>9186</v>
      </c>
      <c r="E2732" s="0" t="s">
        <v>9187</v>
      </c>
      <c r="F2732" s="0" t="s">
        <v>5334</v>
      </c>
      <c r="G2732" s="57" t="s">
        <v>9188</v>
      </c>
      <c r="H2732" s="57" t="s">
        <v>9189</v>
      </c>
      <c r="I2732" s="37" t="s">
        <v>50</v>
      </c>
      <c r="J2732" s="57" t="s">
        <v>9190</v>
      </c>
      <c r="K2732" s="57" t="s">
        <v>9191</v>
      </c>
    </row>
    <row r="2733" customFormat="false" ht="66.85" hidden="false" customHeight="false" outlineLevel="0" collapsed="false">
      <c r="A2733" s="0"/>
      <c r="B2733" s="0"/>
      <c r="C2733" s="0"/>
      <c r="D2733" s="62"/>
      <c r="E2733" s="62"/>
      <c r="F2733" s="62"/>
      <c r="G2733" s="57" t="s">
        <v>9192</v>
      </c>
      <c r="H2733" s="57" t="s">
        <v>3792</v>
      </c>
      <c r="I2733" s="37"/>
      <c r="J2733" s="57" t="s">
        <v>3792</v>
      </c>
      <c r="K2733" s="57" t="s">
        <v>9193</v>
      </c>
    </row>
    <row r="2734" customFormat="false" ht="77.7" hidden="false" customHeight="false" outlineLevel="0" collapsed="false">
      <c r="A2734" s="0"/>
      <c r="B2734" s="0"/>
      <c r="C2734" s="0"/>
      <c r="D2734" s="0" t="s">
        <v>9194</v>
      </c>
      <c r="E2734" s="0" t="s">
        <v>9195</v>
      </c>
      <c r="F2734" s="0" t="s">
        <v>5342</v>
      </c>
      <c r="G2734" s="57" t="s">
        <v>9196</v>
      </c>
      <c r="H2734" s="57" t="s">
        <v>9197</v>
      </c>
      <c r="I2734" s="34" t="s">
        <v>40</v>
      </c>
      <c r="J2734" s="57" t="s">
        <v>9198</v>
      </c>
      <c r="K2734" s="57" t="s">
        <v>9199</v>
      </c>
    </row>
    <row r="2735" customFormat="false" ht="66.85" hidden="false" customHeight="false" outlineLevel="0" collapsed="false">
      <c r="A2735" s="0"/>
      <c r="B2735" s="0"/>
      <c r="C2735" s="65"/>
      <c r="D2735" s="65"/>
      <c r="E2735" s="65"/>
      <c r="F2735" s="65"/>
      <c r="G2735" s="57" t="s">
        <v>9200</v>
      </c>
      <c r="H2735" s="57" t="s">
        <v>3792</v>
      </c>
      <c r="I2735" s="34"/>
      <c r="J2735" s="57" t="s">
        <v>3792</v>
      </c>
      <c r="K2735" s="57" t="s">
        <v>9201</v>
      </c>
    </row>
    <row r="2736" customFormat="false" ht="55.95" hidden="false" customHeight="false" outlineLevel="0" collapsed="false">
      <c r="A2736" s="0"/>
      <c r="B2736" s="0"/>
      <c r="C2736" s="0" t="s">
        <v>9202</v>
      </c>
      <c r="D2736" s="0" t="s">
        <v>9203</v>
      </c>
      <c r="E2736" s="0" t="s">
        <v>9204</v>
      </c>
      <c r="F2736" s="0" t="s">
        <v>5342</v>
      </c>
      <c r="G2736" s="57" t="s">
        <v>9205</v>
      </c>
      <c r="H2736" s="57" t="s">
        <v>9206</v>
      </c>
      <c r="I2736" s="39" t="s">
        <v>67</v>
      </c>
      <c r="J2736" s="57" t="s">
        <v>9207</v>
      </c>
      <c r="K2736" s="57" t="s">
        <v>9208</v>
      </c>
    </row>
    <row r="2737" customFormat="false" ht="66.85" hidden="false" customHeight="false" outlineLevel="0" collapsed="false">
      <c r="A2737" s="0"/>
      <c r="B2737" s="0"/>
      <c r="C2737" s="0"/>
      <c r="D2737" s="62"/>
      <c r="E2737" s="62"/>
      <c r="F2737" s="62"/>
      <c r="G2737" s="57" t="s">
        <v>9209</v>
      </c>
      <c r="H2737" s="57" t="s">
        <v>3792</v>
      </c>
      <c r="I2737" s="39"/>
      <c r="J2737" s="57" t="s">
        <v>3792</v>
      </c>
      <c r="K2737" s="57" t="s">
        <v>9210</v>
      </c>
    </row>
    <row r="2738" customFormat="false" ht="66.85" hidden="false" customHeight="false" outlineLevel="0" collapsed="false">
      <c r="A2738" s="0"/>
      <c r="B2738" s="0"/>
      <c r="C2738" s="0"/>
      <c r="D2738" s="0" t="s">
        <v>9211</v>
      </c>
      <c r="E2738" s="0" t="s">
        <v>9212</v>
      </c>
      <c r="F2738" s="0" t="s">
        <v>5334</v>
      </c>
      <c r="G2738" s="57" t="s">
        <v>9213</v>
      </c>
      <c r="H2738" s="57" t="s">
        <v>9214</v>
      </c>
      <c r="I2738" s="34" t="s">
        <v>40</v>
      </c>
      <c r="J2738" s="57" t="s">
        <v>9215</v>
      </c>
      <c r="K2738" s="57" t="s">
        <v>9216</v>
      </c>
    </row>
    <row r="2739" customFormat="false" ht="66.85" hidden="false" customHeight="false" outlineLevel="0" collapsed="false">
      <c r="A2739" s="0"/>
      <c r="B2739" s="0"/>
      <c r="C2739" s="0"/>
      <c r="D2739" s="62"/>
      <c r="E2739" s="62"/>
      <c r="F2739" s="62"/>
      <c r="G2739" s="57" t="s">
        <v>9217</v>
      </c>
      <c r="H2739" s="57" t="s">
        <v>3792</v>
      </c>
      <c r="I2739" s="34"/>
      <c r="J2739" s="57" t="s">
        <v>3792</v>
      </c>
      <c r="K2739" s="57" t="s">
        <v>9218</v>
      </c>
    </row>
    <row r="2740" customFormat="false" ht="90.15" hidden="false" customHeight="false" outlineLevel="0" collapsed="false">
      <c r="A2740" s="0"/>
      <c r="B2740" s="0"/>
      <c r="C2740" s="0"/>
      <c r="D2740" s="0" t="s">
        <v>9219</v>
      </c>
      <c r="E2740" s="0" t="s">
        <v>9220</v>
      </c>
      <c r="F2740" s="0" t="s">
        <v>5334</v>
      </c>
      <c r="G2740" s="57" t="s">
        <v>9090</v>
      </c>
      <c r="H2740" s="57" t="s">
        <v>9221</v>
      </c>
      <c r="I2740" s="37" t="s">
        <v>50</v>
      </c>
      <c r="J2740" s="57" t="s">
        <v>9222</v>
      </c>
      <c r="K2740" s="57" t="s">
        <v>9223</v>
      </c>
    </row>
    <row r="2741" customFormat="false" ht="66.85" hidden="false" customHeight="false" outlineLevel="0" collapsed="false">
      <c r="A2741" s="0"/>
      <c r="B2741" s="0"/>
      <c r="C2741" s="0"/>
      <c r="D2741" s="62"/>
      <c r="E2741" s="62"/>
      <c r="F2741" s="62"/>
      <c r="G2741" s="57" t="s">
        <v>9094</v>
      </c>
      <c r="H2741" s="57" t="s">
        <v>3792</v>
      </c>
      <c r="I2741" s="37"/>
      <c r="J2741" s="57" t="s">
        <v>3792</v>
      </c>
      <c r="K2741" s="57" t="s">
        <v>9224</v>
      </c>
    </row>
    <row r="2742" customFormat="false" ht="55.95" hidden="false" customHeight="false" outlineLevel="0" collapsed="false">
      <c r="A2742" s="0"/>
      <c r="B2742" s="0"/>
      <c r="C2742" s="0"/>
      <c r="D2742" s="0" t="s">
        <v>9225</v>
      </c>
      <c r="E2742" s="0" t="s">
        <v>9226</v>
      </c>
      <c r="F2742" s="0" t="s">
        <v>5342</v>
      </c>
      <c r="G2742" s="57" t="s">
        <v>9098</v>
      </c>
      <c r="H2742" s="57" t="s">
        <v>9227</v>
      </c>
      <c r="I2742" s="34" t="s">
        <v>40</v>
      </c>
      <c r="J2742" s="57" t="s">
        <v>9228</v>
      </c>
      <c r="K2742" s="57" t="s">
        <v>9229</v>
      </c>
    </row>
    <row r="2743" customFormat="false" ht="66.85" hidden="false" customHeight="false" outlineLevel="0" collapsed="false">
      <c r="A2743" s="0"/>
      <c r="B2743" s="0"/>
      <c r="C2743" s="0"/>
      <c r="D2743" s="62"/>
      <c r="E2743" s="62"/>
      <c r="F2743" s="62"/>
      <c r="G2743" s="57" t="s">
        <v>9102</v>
      </c>
      <c r="H2743" s="57" t="s">
        <v>3792</v>
      </c>
      <c r="I2743" s="34"/>
      <c r="J2743" s="57" t="s">
        <v>3792</v>
      </c>
      <c r="K2743" s="57" t="s">
        <v>9230</v>
      </c>
    </row>
    <row r="2744" customFormat="false" ht="55.95" hidden="false" customHeight="false" outlineLevel="0" collapsed="false">
      <c r="A2744" s="0"/>
      <c r="B2744" s="0"/>
      <c r="C2744" s="0"/>
      <c r="D2744" s="0" t="s">
        <v>9231</v>
      </c>
      <c r="E2744" s="0" t="s">
        <v>9232</v>
      </c>
      <c r="F2744" s="0" t="s">
        <v>5342</v>
      </c>
      <c r="G2744" s="57" t="s">
        <v>9106</v>
      </c>
      <c r="H2744" s="57" t="s">
        <v>9233</v>
      </c>
      <c r="I2744" s="39" t="s">
        <v>67</v>
      </c>
      <c r="J2744" s="57" t="s">
        <v>9234</v>
      </c>
      <c r="K2744" s="57" t="s">
        <v>9235</v>
      </c>
    </row>
    <row r="2745" customFormat="false" ht="66.85" hidden="false" customHeight="false" outlineLevel="0" collapsed="false">
      <c r="A2745" s="0"/>
      <c r="B2745" s="0"/>
      <c r="C2745" s="65"/>
      <c r="D2745" s="65"/>
      <c r="E2745" s="65"/>
      <c r="F2745" s="65"/>
      <c r="G2745" s="57" t="s">
        <v>9110</v>
      </c>
      <c r="H2745" s="57" t="s">
        <v>3792</v>
      </c>
      <c r="I2745" s="39"/>
      <c r="J2745" s="57" t="s">
        <v>3792</v>
      </c>
      <c r="K2745" s="57" t="s">
        <v>9236</v>
      </c>
    </row>
    <row r="2746" customFormat="false" ht="66.85" hidden="false" customHeight="false" outlineLevel="0" collapsed="false">
      <c r="A2746" s="0"/>
      <c r="B2746" s="0"/>
      <c r="C2746" s="0" t="s">
        <v>9237</v>
      </c>
      <c r="D2746" s="0" t="s">
        <v>9238</v>
      </c>
      <c r="E2746" s="0" t="s">
        <v>9239</v>
      </c>
      <c r="F2746" s="0" t="s">
        <v>5334</v>
      </c>
      <c r="G2746" s="57" t="s">
        <v>9114</v>
      </c>
      <c r="H2746" s="57" t="s">
        <v>9240</v>
      </c>
      <c r="I2746" s="34" t="s">
        <v>40</v>
      </c>
      <c r="J2746" s="57" t="s">
        <v>9241</v>
      </c>
      <c r="K2746" s="57" t="s">
        <v>9242</v>
      </c>
    </row>
    <row r="2747" customFormat="false" ht="133.7" hidden="false" customHeight="false" outlineLevel="0" collapsed="false">
      <c r="A2747" s="0"/>
      <c r="B2747" s="0"/>
      <c r="C2747" s="0"/>
      <c r="D2747" s="62"/>
      <c r="E2747" s="62"/>
      <c r="F2747" s="62"/>
      <c r="G2747" s="57" t="s">
        <v>9118</v>
      </c>
      <c r="H2747" s="57" t="s">
        <v>3792</v>
      </c>
      <c r="I2747" s="34"/>
      <c r="J2747" s="57" t="s">
        <v>3792</v>
      </c>
      <c r="K2747" s="57" t="s">
        <v>9243</v>
      </c>
    </row>
    <row r="2748" customFormat="false" ht="111.9" hidden="false" customHeight="false" outlineLevel="0" collapsed="false">
      <c r="A2748" s="0"/>
      <c r="B2748" s="0"/>
      <c r="C2748" s="0"/>
      <c r="D2748" s="0" t="s">
        <v>9244</v>
      </c>
      <c r="E2748" s="0" t="s">
        <v>9245</v>
      </c>
      <c r="F2748" s="0" t="s">
        <v>5342</v>
      </c>
      <c r="G2748" s="57" t="s">
        <v>9123</v>
      </c>
      <c r="H2748" s="57" t="s">
        <v>9246</v>
      </c>
      <c r="I2748" s="37" t="s">
        <v>50</v>
      </c>
      <c r="J2748" s="57" t="s">
        <v>9247</v>
      </c>
      <c r="K2748" s="57" t="s">
        <v>9248</v>
      </c>
    </row>
    <row r="2749" customFormat="false" ht="90.15" hidden="false" customHeight="false" outlineLevel="0" collapsed="false">
      <c r="A2749" s="0"/>
      <c r="B2749" s="0"/>
      <c r="C2749" s="0"/>
      <c r="D2749" s="62"/>
      <c r="E2749" s="62"/>
      <c r="F2749" s="62"/>
      <c r="G2749" s="57" t="s">
        <v>9127</v>
      </c>
      <c r="H2749" s="57" t="s">
        <v>3792</v>
      </c>
      <c r="I2749" s="37"/>
      <c r="J2749" s="57" t="s">
        <v>3792</v>
      </c>
      <c r="K2749" s="57" t="s">
        <v>9249</v>
      </c>
    </row>
    <row r="2750" customFormat="false" ht="101.05" hidden="false" customHeight="false" outlineLevel="0" collapsed="false">
      <c r="A2750" s="0"/>
      <c r="B2750" s="0"/>
      <c r="C2750" s="0"/>
      <c r="D2750" s="0" t="s">
        <v>9250</v>
      </c>
      <c r="E2750" s="0" t="s">
        <v>9251</v>
      </c>
      <c r="F2750" s="0" t="s">
        <v>5342</v>
      </c>
      <c r="G2750" s="57" t="s">
        <v>9131</v>
      </c>
      <c r="H2750" s="57" t="s">
        <v>9252</v>
      </c>
      <c r="I2750" s="34" t="s">
        <v>40</v>
      </c>
      <c r="J2750" s="57" t="s">
        <v>9253</v>
      </c>
      <c r="K2750" s="57" t="s">
        <v>9254</v>
      </c>
    </row>
    <row r="2751" customFormat="false" ht="77.7" hidden="false" customHeight="false" outlineLevel="0" collapsed="false">
      <c r="A2751" s="0"/>
      <c r="B2751" s="0"/>
      <c r="C2751" s="0"/>
      <c r="D2751" s="62"/>
      <c r="E2751" s="62"/>
      <c r="F2751" s="62"/>
      <c r="G2751" s="57" t="s">
        <v>9135</v>
      </c>
      <c r="H2751" s="57" t="s">
        <v>3792</v>
      </c>
      <c r="I2751" s="34"/>
      <c r="J2751" s="57" t="s">
        <v>3792</v>
      </c>
      <c r="K2751" s="57" t="s">
        <v>9255</v>
      </c>
    </row>
    <row r="2752" customFormat="false" ht="146.1" hidden="false" customHeight="false" outlineLevel="0" collapsed="false">
      <c r="A2752" s="0"/>
      <c r="B2752" s="0"/>
      <c r="C2752" s="0"/>
      <c r="D2752" s="0" t="s">
        <v>9256</v>
      </c>
      <c r="E2752" s="0" t="s">
        <v>9257</v>
      </c>
      <c r="F2752" s="0" t="s">
        <v>5334</v>
      </c>
      <c r="G2752" s="57" t="s">
        <v>9139</v>
      </c>
      <c r="H2752" s="57" t="s">
        <v>9258</v>
      </c>
      <c r="I2752" s="39" t="s">
        <v>67</v>
      </c>
      <c r="J2752" s="57" t="s">
        <v>9259</v>
      </c>
      <c r="K2752" s="57" t="s">
        <v>9260</v>
      </c>
    </row>
    <row r="2753" customFormat="false" ht="111.9" hidden="false" customHeight="false" outlineLevel="0" collapsed="false">
      <c r="A2753" s="0"/>
      <c r="B2753" s="0"/>
      <c r="C2753" s="0"/>
      <c r="D2753" s="62"/>
      <c r="E2753" s="62"/>
      <c r="F2753" s="62"/>
      <c r="G2753" s="57" t="s">
        <v>9261</v>
      </c>
      <c r="H2753" s="57" t="s">
        <v>3792</v>
      </c>
      <c r="I2753" s="39"/>
      <c r="J2753" s="57" t="s">
        <v>3792</v>
      </c>
      <c r="K2753" s="57" t="s">
        <v>9262</v>
      </c>
    </row>
    <row r="2754" customFormat="false" ht="122.8" hidden="false" customHeight="false" outlineLevel="0" collapsed="false">
      <c r="A2754" s="0"/>
      <c r="B2754" s="0"/>
      <c r="C2754" s="0"/>
      <c r="D2754" s="0" t="s">
        <v>9263</v>
      </c>
      <c r="E2754" s="0" t="s">
        <v>9264</v>
      </c>
      <c r="F2754" s="0" t="s">
        <v>5342</v>
      </c>
      <c r="G2754" s="57" t="s">
        <v>9265</v>
      </c>
      <c r="H2754" s="57" t="s">
        <v>9266</v>
      </c>
      <c r="I2754" s="34" t="s">
        <v>40</v>
      </c>
      <c r="J2754" s="57" t="s">
        <v>9267</v>
      </c>
      <c r="K2754" s="57" t="s">
        <v>9268</v>
      </c>
    </row>
    <row r="2755" customFormat="false" ht="77.7" hidden="false" customHeight="false" outlineLevel="0" collapsed="false">
      <c r="A2755" s="0"/>
      <c r="B2755" s="0"/>
      <c r="C2755" s="65"/>
      <c r="D2755" s="65"/>
      <c r="E2755" s="65"/>
      <c r="F2755" s="65"/>
      <c r="G2755" s="57" t="s">
        <v>9269</v>
      </c>
      <c r="H2755" s="57" t="s">
        <v>3792</v>
      </c>
      <c r="I2755" s="34"/>
      <c r="J2755" s="57" t="s">
        <v>3792</v>
      </c>
      <c r="K2755" s="57" t="s">
        <v>9270</v>
      </c>
    </row>
    <row r="2756" customFormat="false" ht="77.7" hidden="false" customHeight="false" outlineLevel="0" collapsed="false">
      <c r="A2756" s="0"/>
      <c r="B2756" s="0"/>
      <c r="C2756" s="57" t="s">
        <v>9271</v>
      </c>
      <c r="D2756" s="0" t="s">
        <v>9272</v>
      </c>
      <c r="E2756" s="0" t="s">
        <v>9273</v>
      </c>
      <c r="F2756" s="0" t="s">
        <v>5334</v>
      </c>
      <c r="G2756" s="57" t="s">
        <v>9274</v>
      </c>
      <c r="H2756" s="57" t="s">
        <v>9275</v>
      </c>
      <c r="I2756" s="37" t="s">
        <v>50</v>
      </c>
      <c r="J2756" s="57" t="s">
        <v>9276</v>
      </c>
      <c r="K2756" s="57" t="s">
        <v>9277</v>
      </c>
    </row>
    <row r="2757" customFormat="false" ht="77.7" hidden="false" customHeight="false" outlineLevel="0" collapsed="false">
      <c r="A2757" s="0"/>
      <c r="B2757" s="0"/>
      <c r="C2757" s="0"/>
      <c r="D2757" s="62"/>
      <c r="E2757" s="62"/>
      <c r="F2757" s="62"/>
      <c r="G2757" s="57" t="s">
        <v>9278</v>
      </c>
      <c r="H2757" s="57" t="s">
        <v>3792</v>
      </c>
      <c r="I2757" s="37"/>
      <c r="J2757" s="57" t="s">
        <v>3792</v>
      </c>
      <c r="K2757" s="57" t="s">
        <v>9279</v>
      </c>
    </row>
    <row r="2758" customFormat="false" ht="90.15" hidden="false" customHeight="false" outlineLevel="0" collapsed="false">
      <c r="A2758" s="0"/>
      <c r="B2758" s="0"/>
      <c r="C2758" s="0"/>
      <c r="D2758" s="0" t="s">
        <v>9280</v>
      </c>
      <c r="E2758" s="0" t="s">
        <v>9281</v>
      </c>
      <c r="F2758" s="0" t="s">
        <v>5334</v>
      </c>
      <c r="G2758" s="57" t="s">
        <v>9282</v>
      </c>
      <c r="H2758" s="57" t="s">
        <v>9283</v>
      </c>
      <c r="I2758" s="34" t="s">
        <v>40</v>
      </c>
      <c r="J2758" s="57" t="s">
        <v>9284</v>
      </c>
      <c r="K2758" s="57" t="s">
        <v>9285</v>
      </c>
    </row>
    <row r="2759" customFormat="false" ht="90.15" hidden="false" customHeight="false" outlineLevel="0" collapsed="false">
      <c r="A2759" s="0"/>
      <c r="B2759" s="0"/>
      <c r="C2759" s="0"/>
      <c r="D2759" s="62"/>
      <c r="E2759" s="62"/>
      <c r="F2759" s="62"/>
      <c r="G2759" s="57" t="s">
        <v>9286</v>
      </c>
      <c r="H2759" s="57" t="s">
        <v>3792</v>
      </c>
      <c r="I2759" s="34"/>
      <c r="J2759" s="57" t="s">
        <v>3792</v>
      </c>
      <c r="K2759" s="57" t="s">
        <v>9287</v>
      </c>
    </row>
    <row r="2760" customFormat="false" ht="77.7" hidden="false" customHeight="false" outlineLevel="0" collapsed="false">
      <c r="A2760" s="0"/>
      <c r="B2760" s="0"/>
      <c r="C2760" s="0"/>
      <c r="D2760" s="0" t="s">
        <v>9288</v>
      </c>
      <c r="E2760" s="0" t="s">
        <v>9289</v>
      </c>
      <c r="F2760" s="0" t="s">
        <v>5342</v>
      </c>
      <c r="G2760" s="57" t="s">
        <v>9290</v>
      </c>
      <c r="H2760" s="57" t="s">
        <v>9291</v>
      </c>
      <c r="I2760" s="39" t="s">
        <v>67</v>
      </c>
      <c r="J2760" s="57" t="s">
        <v>9292</v>
      </c>
      <c r="K2760" s="57" t="s">
        <v>9293</v>
      </c>
    </row>
    <row r="2761" customFormat="false" ht="77.7" hidden="false" customHeight="false" outlineLevel="0" collapsed="false">
      <c r="A2761" s="0"/>
      <c r="B2761" s="0"/>
      <c r="C2761" s="0"/>
      <c r="D2761" s="62"/>
      <c r="E2761" s="62"/>
      <c r="F2761" s="62"/>
      <c r="G2761" s="57" t="s">
        <v>9294</v>
      </c>
      <c r="H2761" s="57" t="s">
        <v>3792</v>
      </c>
      <c r="I2761" s="39"/>
      <c r="J2761" s="57" t="s">
        <v>3792</v>
      </c>
      <c r="K2761" s="57" t="s">
        <v>9295</v>
      </c>
    </row>
    <row r="2762" customFormat="false" ht="101.05" hidden="false" customHeight="false" outlineLevel="0" collapsed="false">
      <c r="A2762" s="0"/>
      <c r="B2762" s="0"/>
      <c r="C2762" s="0"/>
      <c r="D2762" s="0" t="s">
        <v>9296</v>
      </c>
      <c r="E2762" s="0" t="s">
        <v>9297</v>
      </c>
      <c r="F2762" s="0" t="s">
        <v>5334</v>
      </c>
      <c r="G2762" s="57" t="s">
        <v>9298</v>
      </c>
      <c r="H2762" s="57" t="s">
        <v>9299</v>
      </c>
      <c r="I2762" s="34" t="s">
        <v>40</v>
      </c>
      <c r="J2762" s="57" t="s">
        <v>9300</v>
      </c>
      <c r="K2762" s="57" t="s">
        <v>9301</v>
      </c>
    </row>
    <row r="2763" customFormat="false" ht="101.05" hidden="false" customHeight="false" outlineLevel="0" collapsed="false">
      <c r="A2763" s="0"/>
      <c r="B2763" s="0"/>
      <c r="C2763" s="0"/>
      <c r="D2763" s="62"/>
      <c r="E2763" s="62"/>
      <c r="F2763" s="62"/>
      <c r="G2763" s="57" t="s">
        <v>9302</v>
      </c>
      <c r="H2763" s="57" t="s">
        <v>3792</v>
      </c>
      <c r="I2763" s="34"/>
      <c r="J2763" s="57" t="s">
        <v>3792</v>
      </c>
      <c r="K2763" s="57" t="s">
        <v>9303</v>
      </c>
    </row>
    <row r="2764" customFormat="false" ht="77.7" hidden="false" customHeight="false" outlineLevel="0" collapsed="false">
      <c r="A2764" s="0"/>
      <c r="B2764" s="0"/>
      <c r="C2764" s="0"/>
      <c r="D2764" s="0" t="s">
        <v>9304</v>
      </c>
      <c r="E2764" s="0" t="s">
        <v>9305</v>
      </c>
      <c r="F2764" s="0" t="s">
        <v>5334</v>
      </c>
      <c r="G2764" s="57" t="s">
        <v>9306</v>
      </c>
      <c r="H2764" s="57" t="s">
        <v>9307</v>
      </c>
      <c r="I2764" s="37" t="s">
        <v>50</v>
      </c>
      <c r="J2764" s="57" t="s">
        <v>9308</v>
      </c>
      <c r="K2764" s="57" t="s">
        <v>9309</v>
      </c>
    </row>
    <row r="2765" customFormat="false" ht="146.1" hidden="false" customHeight="false" outlineLevel="0" collapsed="false">
      <c r="A2765" s="0"/>
      <c r="B2765" s="0"/>
      <c r="C2765" s="65"/>
      <c r="D2765" s="65"/>
      <c r="E2765" s="65"/>
      <c r="F2765" s="65"/>
      <c r="G2765" s="57" t="s">
        <v>9310</v>
      </c>
      <c r="H2765" s="57" t="s">
        <v>3792</v>
      </c>
      <c r="I2765" s="37"/>
      <c r="J2765" s="57" t="s">
        <v>3792</v>
      </c>
      <c r="K2765" s="57" t="s">
        <v>9311</v>
      </c>
    </row>
    <row r="2766" customFormat="false" ht="101.05" hidden="false" customHeight="false" outlineLevel="0" collapsed="false">
      <c r="A2766" s="0"/>
      <c r="B2766" s="0"/>
      <c r="C2766" s="57" t="s">
        <v>9312</v>
      </c>
      <c r="D2766" s="0" t="s">
        <v>9313</v>
      </c>
      <c r="E2766" s="0" t="s">
        <v>9314</v>
      </c>
      <c r="F2766" s="0" t="s">
        <v>5342</v>
      </c>
      <c r="G2766" s="57" t="s">
        <v>9315</v>
      </c>
      <c r="H2766" s="57" t="s">
        <v>9316</v>
      </c>
      <c r="I2766" s="34" t="s">
        <v>40</v>
      </c>
      <c r="J2766" s="57" t="s">
        <v>9317</v>
      </c>
      <c r="K2766" s="57" t="s">
        <v>9318</v>
      </c>
    </row>
    <row r="2767" customFormat="false" ht="77.7" hidden="false" customHeight="false" outlineLevel="0" collapsed="false">
      <c r="A2767" s="0"/>
      <c r="B2767" s="0"/>
      <c r="C2767" s="0"/>
      <c r="D2767" s="62"/>
      <c r="E2767" s="62"/>
      <c r="F2767" s="62"/>
      <c r="G2767" s="57" t="s">
        <v>9319</v>
      </c>
      <c r="H2767" s="57" t="s">
        <v>3792</v>
      </c>
      <c r="I2767" s="34"/>
      <c r="J2767" s="57" t="s">
        <v>3792</v>
      </c>
      <c r="K2767" s="57" t="s">
        <v>9320</v>
      </c>
    </row>
    <row r="2768" customFormat="false" ht="111.9" hidden="false" customHeight="false" outlineLevel="0" collapsed="false">
      <c r="A2768" s="0"/>
      <c r="B2768" s="0"/>
      <c r="C2768" s="0"/>
      <c r="D2768" s="0" t="s">
        <v>9321</v>
      </c>
      <c r="E2768" s="0" t="s">
        <v>9322</v>
      </c>
      <c r="F2768" s="0" t="s">
        <v>5334</v>
      </c>
      <c r="G2768" s="57" t="s">
        <v>9323</v>
      </c>
      <c r="H2768" s="57" t="s">
        <v>9324</v>
      </c>
      <c r="I2768" s="39" t="s">
        <v>67</v>
      </c>
      <c r="J2768" s="57" t="s">
        <v>9325</v>
      </c>
      <c r="K2768" s="57" t="s">
        <v>9326</v>
      </c>
    </row>
    <row r="2769" customFormat="false" ht="90.15" hidden="false" customHeight="false" outlineLevel="0" collapsed="false">
      <c r="A2769" s="0"/>
      <c r="B2769" s="0"/>
      <c r="C2769" s="0"/>
      <c r="D2769" s="62"/>
      <c r="E2769" s="62"/>
      <c r="F2769" s="62"/>
      <c r="G2769" s="57" t="s">
        <v>9327</v>
      </c>
      <c r="H2769" s="57" t="s">
        <v>3792</v>
      </c>
      <c r="I2769" s="39"/>
      <c r="J2769" s="57" t="s">
        <v>3792</v>
      </c>
      <c r="K2769" s="57" t="s">
        <v>9328</v>
      </c>
    </row>
    <row r="2770" customFormat="false" ht="77.7" hidden="false" customHeight="false" outlineLevel="0" collapsed="false">
      <c r="A2770" s="0"/>
      <c r="B2770" s="0"/>
      <c r="C2770" s="0"/>
      <c r="D2770" s="0" t="s">
        <v>9329</v>
      </c>
      <c r="E2770" s="0" t="s">
        <v>9330</v>
      </c>
      <c r="F2770" s="0" t="s">
        <v>5342</v>
      </c>
      <c r="G2770" s="57" t="s">
        <v>9331</v>
      </c>
      <c r="H2770" s="57" t="s">
        <v>9332</v>
      </c>
      <c r="I2770" s="34" t="s">
        <v>40</v>
      </c>
      <c r="J2770" s="57" t="s">
        <v>9333</v>
      </c>
      <c r="K2770" s="57" t="s">
        <v>9334</v>
      </c>
    </row>
    <row r="2771" customFormat="false" ht="101.05" hidden="false" customHeight="false" outlineLevel="0" collapsed="false">
      <c r="A2771" s="0"/>
      <c r="B2771" s="0"/>
      <c r="C2771" s="0"/>
      <c r="D2771" s="62"/>
      <c r="E2771" s="62"/>
      <c r="F2771" s="62"/>
      <c r="G2771" s="57" t="s">
        <v>9335</v>
      </c>
      <c r="H2771" s="57" t="s">
        <v>3792</v>
      </c>
      <c r="I2771" s="34"/>
      <c r="J2771" s="57" t="s">
        <v>3792</v>
      </c>
      <c r="K2771" s="57" t="s">
        <v>9336</v>
      </c>
    </row>
    <row r="2772" customFormat="false" ht="111.9" hidden="false" customHeight="false" outlineLevel="0" collapsed="false">
      <c r="A2772" s="0"/>
      <c r="B2772" s="0"/>
      <c r="C2772" s="0"/>
      <c r="D2772" s="0" t="s">
        <v>9337</v>
      </c>
      <c r="E2772" s="0" t="s">
        <v>9338</v>
      </c>
      <c r="F2772" s="0" t="s">
        <v>5342</v>
      </c>
      <c r="G2772" s="57" t="s">
        <v>9339</v>
      </c>
      <c r="H2772" s="57" t="s">
        <v>9340</v>
      </c>
      <c r="I2772" s="37" t="s">
        <v>50</v>
      </c>
      <c r="J2772" s="57" t="s">
        <v>9341</v>
      </c>
      <c r="K2772" s="57" t="s">
        <v>9342</v>
      </c>
    </row>
    <row r="2773" customFormat="false" ht="122.8" hidden="false" customHeight="false" outlineLevel="0" collapsed="false">
      <c r="A2773" s="0"/>
      <c r="B2773" s="0"/>
      <c r="C2773" s="0"/>
      <c r="D2773" s="62"/>
      <c r="E2773" s="62"/>
      <c r="F2773" s="62"/>
      <c r="G2773" s="57" t="s">
        <v>9343</v>
      </c>
      <c r="H2773" s="57" t="s">
        <v>3792</v>
      </c>
      <c r="I2773" s="37"/>
      <c r="J2773" s="57" t="s">
        <v>3792</v>
      </c>
      <c r="K2773" s="57" t="s">
        <v>9344</v>
      </c>
    </row>
    <row r="2774" customFormat="false" ht="101.05" hidden="false" customHeight="false" outlineLevel="0" collapsed="false">
      <c r="A2774" s="0"/>
      <c r="B2774" s="0"/>
      <c r="C2774" s="0"/>
      <c r="D2774" s="0" t="s">
        <v>9345</v>
      </c>
      <c r="E2774" s="0" t="s">
        <v>9346</v>
      </c>
      <c r="F2774" s="0" t="s">
        <v>5334</v>
      </c>
      <c r="G2774" s="57" t="s">
        <v>9347</v>
      </c>
      <c r="H2774" s="57" t="s">
        <v>9348</v>
      </c>
      <c r="I2774" s="34" t="s">
        <v>40</v>
      </c>
      <c r="J2774" s="57" t="s">
        <v>9349</v>
      </c>
      <c r="K2774" s="57" t="s">
        <v>9350</v>
      </c>
    </row>
    <row r="2775" customFormat="false" ht="90.15" hidden="false" customHeight="false" outlineLevel="0" collapsed="false">
      <c r="A2775" s="0"/>
      <c r="B2775" s="0"/>
      <c r="C2775" s="65"/>
      <c r="D2775" s="65"/>
      <c r="E2775" s="65"/>
      <c r="F2775" s="65"/>
      <c r="G2775" s="57" t="s">
        <v>9351</v>
      </c>
      <c r="H2775" s="57" t="s">
        <v>3792</v>
      </c>
      <c r="I2775" s="34"/>
      <c r="J2775" s="57" t="s">
        <v>3792</v>
      </c>
      <c r="K2775" s="57" t="s">
        <v>9352</v>
      </c>
    </row>
    <row r="2776" customFormat="false" ht="55.95" hidden="false" customHeight="false" outlineLevel="0" collapsed="false">
      <c r="A2776" s="0"/>
      <c r="B2776" s="0"/>
      <c r="C2776" s="57" t="s">
        <v>9353</v>
      </c>
      <c r="D2776" s="0" t="s">
        <v>9354</v>
      </c>
      <c r="E2776" s="0" t="s">
        <v>9355</v>
      </c>
      <c r="F2776" s="0" t="s">
        <v>5334</v>
      </c>
      <c r="G2776" s="57" t="s">
        <v>9356</v>
      </c>
      <c r="H2776" s="57" t="s">
        <v>9357</v>
      </c>
      <c r="I2776" s="39" t="s">
        <v>67</v>
      </c>
      <c r="J2776" s="57" t="s">
        <v>9358</v>
      </c>
      <c r="K2776" s="57" t="s">
        <v>9359</v>
      </c>
    </row>
    <row r="2777" customFormat="false" ht="77.7" hidden="false" customHeight="false" outlineLevel="0" collapsed="false">
      <c r="A2777" s="0"/>
      <c r="B2777" s="0"/>
      <c r="C2777" s="0"/>
      <c r="D2777" s="62"/>
      <c r="E2777" s="62"/>
      <c r="F2777" s="62"/>
      <c r="G2777" s="57" t="s">
        <v>9360</v>
      </c>
      <c r="H2777" s="57" t="s">
        <v>3792</v>
      </c>
      <c r="I2777" s="39"/>
      <c r="J2777" s="57" t="s">
        <v>3792</v>
      </c>
      <c r="K2777" s="57" t="s">
        <v>9361</v>
      </c>
    </row>
    <row r="2778" customFormat="false" ht="101.05" hidden="false" customHeight="false" outlineLevel="0" collapsed="false">
      <c r="A2778" s="0"/>
      <c r="B2778" s="0"/>
      <c r="C2778" s="0"/>
      <c r="D2778" s="0" t="s">
        <v>9362</v>
      </c>
      <c r="E2778" s="0" t="s">
        <v>9363</v>
      </c>
      <c r="F2778" s="0" t="s">
        <v>5342</v>
      </c>
      <c r="G2778" s="57" t="s">
        <v>9364</v>
      </c>
      <c r="H2778" s="57" t="s">
        <v>9365</v>
      </c>
      <c r="I2778" s="34" t="s">
        <v>40</v>
      </c>
      <c r="J2778" s="57" t="s">
        <v>9366</v>
      </c>
      <c r="K2778" s="57" t="s">
        <v>9367</v>
      </c>
    </row>
    <row r="2779" customFormat="false" ht="90.15" hidden="false" customHeight="false" outlineLevel="0" collapsed="false">
      <c r="A2779" s="0"/>
      <c r="B2779" s="0"/>
      <c r="C2779" s="0"/>
      <c r="D2779" s="62"/>
      <c r="E2779" s="62"/>
      <c r="F2779" s="62"/>
      <c r="G2779" s="57" t="s">
        <v>9368</v>
      </c>
      <c r="H2779" s="57" t="s">
        <v>3792</v>
      </c>
      <c r="I2779" s="34"/>
      <c r="J2779" s="57" t="s">
        <v>3792</v>
      </c>
      <c r="K2779" s="57" t="s">
        <v>9369</v>
      </c>
    </row>
    <row r="2780" customFormat="false" ht="90.15" hidden="false" customHeight="false" outlineLevel="0" collapsed="false">
      <c r="A2780" s="0"/>
      <c r="B2780" s="0"/>
      <c r="C2780" s="0"/>
      <c r="D2780" s="0" t="s">
        <v>9370</v>
      </c>
      <c r="E2780" s="0" t="s">
        <v>9371</v>
      </c>
      <c r="F2780" s="0" t="s">
        <v>5334</v>
      </c>
      <c r="G2780" s="57" t="s">
        <v>9372</v>
      </c>
      <c r="H2780" s="57" t="s">
        <v>9373</v>
      </c>
      <c r="I2780" s="37" t="s">
        <v>50</v>
      </c>
      <c r="J2780" s="57" t="s">
        <v>9374</v>
      </c>
      <c r="K2780" s="57" t="s">
        <v>9375</v>
      </c>
    </row>
    <row r="2781" customFormat="false" ht="101.05" hidden="false" customHeight="false" outlineLevel="0" collapsed="false">
      <c r="A2781" s="0"/>
      <c r="B2781" s="0"/>
      <c r="C2781" s="0"/>
      <c r="D2781" s="62"/>
      <c r="E2781" s="62"/>
      <c r="F2781" s="62"/>
      <c r="G2781" s="57" t="s">
        <v>9376</v>
      </c>
      <c r="H2781" s="57" t="s">
        <v>3792</v>
      </c>
      <c r="I2781" s="37"/>
      <c r="J2781" s="57" t="s">
        <v>3792</v>
      </c>
      <c r="K2781" s="57" t="s">
        <v>9377</v>
      </c>
    </row>
    <row r="2782" customFormat="false" ht="77.7" hidden="false" customHeight="false" outlineLevel="0" collapsed="false">
      <c r="A2782" s="0"/>
      <c r="B2782" s="0"/>
      <c r="C2782" s="0"/>
      <c r="D2782" s="0" t="s">
        <v>9378</v>
      </c>
      <c r="E2782" s="0" t="s">
        <v>9379</v>
      </c>
      <c r="F2782" s="0" t="s">
        <v>5334</v>
      </c>
      <c r="G2782" s="57" t="s">
        <v>9380</v>
      </c>
      <c r="H2782" s="57" t="s">
        <v>9381</v>
      </c>
      <c r="I2782" s="34" t="s">
        <v>40</v>
      </c>
      <c r="J2782" s="57" t="s">
        <v>9382</v>
      </c>
      <c r="K2782" s="57" t="s">
        <v>9383</v>
      </c>
    </row>
    <row r="2783" customFormat="false" ht="101.05" hidden="false" customHeight="false" outlineLevel="0" collapsed="false">
      <c r="A2783" s="0"/>
      <c r="B2783" s="0"/>
      <c r="C2783" s="0"/>
      <c r="D2783" s="62"/>
      <c r="E2783" s="62"/>
      <c r="F2783" s="62"/>
      <c r="G2783" s="57" t="s">
        <v>9384</v>
      </c>
      <c r="H2783" s="57" t="s">
        <v>3792</v>
      </c>
      <c r="I2783" s="34"/>
      <c r="J2783" s="57" t="s">
        <v>3792</v>
      </c>
      <c r="K2783" s="57" t="s">
        <v>9385</v>
      </c>
    </row>
    <row r="2784" customFormat="false" ht="111.9" hidden="false" customHeight="false" outlineLevel="0" collapsed="false">
      <c r="A2784" s="0"/>
      <c r="B2784" s="0"/>
      <c r="C2784" s="0"/>
      <c r="D2784" s="0" t="s">
        <v>9386</v>
      </c>
      <c r="E2784" s="0" t="s">
        <v>9387</v>
      </c>
      <c r="F2784" s="0" t="s">
        <v>5334</v>
      </c>
      <c r="G2784" s="57" t="s">
        <v>9388</v>
      </c>
      <c r="H2784" s="57" t="s">
        <v>9389</v>
      </c>
      <c r="I2784" s="39" t="s">
        <v>67</v>
      </c>
      <c r="J2784" s="57" t="s">
        <v>9390</v>
      </c>
      <c r="K2784" s="57" t="s">
        <v>9391</v>
      </c>
    </row>
    <row r="2785" customFormat="false" ht="101.05" hidden="false" customHeight="false" outlineLevel="0" collapsed="false">
      <c r="A2785" s="0"/>
      <c r="B2785" s="0"/>
      <c r="C2785" s="65"/>
      <c r="D2785" s="65"/>
      <c r="E2785" s="65"/>
      <c r="F2785" s="65"/>
      <c r="G2785" s="57" t="s">
        <v>9392</v>
      </c>
      <c r="H2785" s="57" t="s">
        <v>3792</v>
      </c>
      <c r="I2785" s="39"/>
      <c r="J2785" s="57" t="s">
        <v>3792</v>
      </c>
      <c r="K2785" s="57" t="s">
        <v>9393</v>
      </c>
    </row>
    <row r="2786" customFormat="false" ht="34.2" hidden="false" customHeight="false" outlineLevel="0" collapsed="false">
      <c r="A2786" s="0"/>
      <c r="B2786" s="0"/>
      <c r="C2786" s="0" t="s">
        <v>9394</v>
      </c>
      <c r="D2786" s="0" t="s">
        <v>9395</v>
      </c>
      <c r="E2786" s="0" t="s">
        <v>9396</v>
      </c>
      <c r="F2786" s="0" t="s">
        <v>5342</v>
      </c>
      <c r="G2786" s="57" t="s">
        <v>9397</v>
      </c>
      <c r="H2786" s="57" t="s">
        <v>9398</v>
      </c>
      <c r="I2786" s="34" t="s">
        <v>40</v>
      </c>
      <c r="J2786" s="57" t="s">
        <v>9399</v>
      </c>
      <c r="K2786" s="57" t="s">
        <v>9400</v>
      </c>
    </row>
    <row r="2787" customFormat="false" ht="77.7" hidden="false" customHeight="false" outlineLevel="0" collapsed="false">
      <c r="A2787" s="0"/>
      <c r="B2787" s="0"/>
      <c r="C2787" s="0"/>
      <c r="D2787" s="62"/>
      <c r="E2787" s="62"/>
      <c r="F2787" s="62"/>
      <c r="G2787" s="57" t="s">
        <v>9401</v>
      </c>
      <c r="H2787" s="57" t="s">
        <v>3792</v>
      </c>
      <c r="I2787" s="34"/>
      <c r="J2787" s="57" t="s">
        <v>3792</v>
      </c>
      <c r="K2787" s="57" t="s">
        <v>9402</v>
      </c>
    </row>
    <row r="2788" customFormat="false" ht="111.9" hidden="false" customHeight="false" outlineLevel="0" collapsed="false">
      <c r="A2788" s="0"/>
      <c r="B2788" s="0"/>
      <c r="C2788" s="0"/>
      <c r="D2788" s="0" t="s">
        <v>9403</v>
      </c>
      <c r="E2788" s="0" t="s">
        <v>9404</v>
      </c>
      <c r="F2788" s="0" t="s">
        <v>5334</v>
      </c>
      <c r="G2788" s="57" t="s">
        <v>9405</v>
      </c>
      <c r="H2788" s="57" t="s">
        <v>9406</v>
      </c>
      <c r="I2788" s="37" t="s">
        <v>50</v>
      </c>
      <c r="J2788" s="57" t="s">
        <v>9407</v>
      </c>
      <c r="K2788" s="57" t="s">
        <v>9408</v>
      </c>
    </row>
    <row r="2789" customFormat="false" ht="101.05" hidden="false" customHeight="false" outlineLevel="0" collapsed="false">
      <c r="A2789" s="0"/>
      <c r="B2789" s="0"/>
      <c r="C2789" s="0"/>
      <c r="D2789" s="62"/>
      <c r="E2789" s="62"/>
      <c r="F2789" s="62"/>
      <c r="G2789" s="57" t="s">
        <v>9409</v>
      </c>
      <c r="H2789" s="57" t="s">
        <v>3792</v>
      </c>
      <c r="I2789" s="37"/>
      <c r="J2789" s="57" t="s">
        <v>3792</v>
      </c>
      <c r="K2789" s="57" t="s">
        <v>9410</v>
      </c>
    </row>
    <row r="2790" customFormat="false" ht="146.1" hidden="false" customHeight="false" outlineLevel="0" collapsed="false">
      <c r="A2790" s="0"/>
      <c r="B2790" s="0"/>
      <c r="C2790" s="0"/>
      <c r="D2790" s="0" t="s">
        <v>9411</v>
      </c>
      <c r="E2790" s="0" t="s">
        <v>9412</v>
      </c>
      <c r="F2790" s="0" t="s">
        <v>5334</v>
      </c>
      <c r="G2790" s="57" t="s">
        <v>9413</v>
      </c>
      <c r="H2790" s="57" t="s">
        <v>9414</v>
      </c>
      <c r="I2790" s="34" t="s">
        <v>40</v>
      </c>
      <c r="J2790" s="57" t="s">
        <v>9415</v>
      </c>
      <c r="K2790" s="57" t="s">
        <v>9416</v>
      </c>
    </row>
    <row r="2791" customFormat="false" ht="55.95" hidden="false" customHeight="false" outlineLevel="0" collapsed="false">
      <c r="A2791" s="0"/>
      <c r="B2791" s="0"/>
      <c r="C2791" s="0"/>
      <c r="D2791" s="62"/>
      <c r="E2791" s="62"/>
      <c r="F2791" s="62"/>
      <c r="G2791" s="57" t="s">
        <v>9417</v>
      </c>
      <c r="H2791" s="57" t="s">
        <v>3792</v>
      </c>
      <c r="I2791" s="34"/>
      <c r="J2791" s="57" t="s">
        <v>3792</v>
      </c>
      <c r="K2791" s="57" t="s">
        <v>9418</v>
      </c>
    </row>
    <row r="2792" customFormat="false" ht="101.05" hidden="false" customHeight="false" outlineLevel="0" collapsed="false">
      <c r="A2792" s="0"/>
      <c r="B2792" s="0"/>
      <c r="C2792" s="0"/>
      <c r="D2792" s="0" t="s">
        <v>9419</v>
      </c>
      <c r="E2792" s="0" t="s">
        <v>9420</v>
      </c>
      <c r="F2792" s="0" t="s">
        <v>5342</v>
      </c>
      <c r="G2792" s="57" t="s">
        <v>9421</v>
      </c>
      <c r="H2792" s="57" t="s">
        <v>9422</v>
      </c>
      <c r="I2792" s="39" t="s">
        <v>67</v>
      </c>
      <c r="J2792" s="57" t="s">
        <v>9423</v>
      </c>
      <c r="K2792" s="57" t="s">
        <v>9424</v>
      </c>
    </row>
    <row r="2793" customFormat="false" ht="77.7" hidden="false" customHeight="false" outlineLevel="0" collapsed="false">
      <c r="A2793" s="0"/>
      <c r="B2793" s="0"/>
      <c r="C2793" s="0"/>
      <c r="D2793" s="62"/>
      <c r="E2793" s="62"/>
      <c r="F2793" s="62"/>
      <c r="G2793" s="57" t="s">
        <v>9425</v>
      </c>
      <c r="H2793" s="57" t="s">
        <v>3792</v>
      </c>
      <c r="I2793" s="39"/>
      <c r="J2793" s="57" t="s">
        <v>3792</v>
      </c>
      <c r="K2793" s="57" t="s">
        <v>9426</v>
      </c>
    </row>
    <row r="2794" customFormat="false" ht="122.8" hidden="false" customHeight="false" outlineLevel="0" collapsed="false">
      <c r="A2794" s="0"/>
      <c r="B2794" s="0"/>
      <c r="C2794" s="0"/>
      <c r="D2794" s="0" t="s">
        <v>9427</v>
      </c>
      <c r="E2794" s="0" t="s">
        <v>9428</v>
      </c>
      <c r="F2794" s="0" t="s">
        <v>5342</v>
      </c>
      <c r="G2794" s="57" t="s">
        <v>9429</v>
      </c>
      <c r="H2794" s="57" t="s">
        <v>9430</v>
      </c>
      <c r="I2794" s="34" t="s">
        <v>40</v>
      </c>
      <c r="J2794" s="57" t="s">
        <v>9431</v>
      </c>
      <c r="K2794" s="57" t="s">
        <v>9432</v>
      </c>
    </row>
    <row r="2795" customFormat="false" ht="101.05" hidden="false" customHeight="false" outlineLevel="0" collapsed="false">
      <c r="A2795" s="0"/>
      <c r="B2795" s="0"/>
      <c r="C2795" s="65"/>
      <c r="D2795" s="65"/>
      <c r="E2795" s="65"/>
      <c r="F2795" s="65"/>
      <c r="G2795" s="57" t="s">
        <v>9433</v>
      </c>
      <c r="H2795" s="57" t="s">
        <v>3792</v>
      </c>
      <c r="I2795" s="34"/>
      <c r="J2795" s="57" t="s">
        <v>3792</v>
      </c>
      <c r="K2795" s="57" t="s">
        <v>9434</v>
      </c>
    </row>
    <row r="2796" customFormat="false" ht="90.15" hidden="false" customHeight="false" outlineLevel="0" collapsed="false">
      <c r="A2796" s="0"/>
      <c r="B2796" s="0"/>
      <c r="C2796" s="0" t="s">
        <v>9435</v>
      </c>
      <c r="D2796" s="0" t="s">
        <v>9436</v>
      </c>
      <c r="E2796" s="0" t="s">
        <v>9437</v>
      </c>
      <c r="F2796" s="0" t="s">
        <v>5334</v>
      </c>
      <c r="G2796" s="57" t="s">
        <v>9438</v>
      </c>
      <c r="H2796" s="57" t="s">
        <v>9439</v>
      </c>
      <c r="I2796" s="37" t="s">
        <v>50</v>
      </c>
      <c r="J2796" s="57" t="s">
        <v>9440</v>
      </c>
      <c r="K2796" s="57" t="s">
        <v>9441</v>
      </c>
    </row>
    <row r="2797" customFormat="false" ht="111.9" hidden="false" customHeight="false" outlineLevel="0" collapsed="false">
      <c r="A2797" s="0"/>
      <c r="B2797" s="0"/>
      <c r="C2797" s="0"/>
      <c r="D2797" s="62"/>
      <c r="E2797" s="62"/>
      <c r="F2797" s="62"/>
      <c r="G2797" s="57" t="s">
        <v>9442</v>
      </c>
      <c r="H2797" s="57" t="s">
        <v>3792</v>
      </c>
      <c r="I2797" s="37"/>
      <c r="J2797" s="57" t="s">
        <v>3792</v>
      </c>
      <c r="K2797" s="57" t="s">
        <v>9443</v>
      </c>
    </row>
    <row r="2798" customFormat="false" ht="122.8" hidden="false" customHeight="false" outlineLevel="0" collapsed="false">
      <c r="A2798" s="0"/>
      <c r="B2798" s="0"/>
      <c r="C2798" s="0"/>
      <c r="D2798" s="0" t="s">
        <v>9444</v>
      </c>
      <c r="E2798" s="0" t="s">
        <v>9445</v>
      </c>
      <c r="F2798" s="0" t="s">
        <v>5334</v>
      </c>
      <c r="G2798" s="57" t="s">
        <v>9446</v>
      </c>
      <c r="H2798" s="57" t="s">
        <v>9447</v>
      </c>
      <c r="I2798" s="34" t="s">
        <v>40</v>
      </c>
      <c r="J2798" s="57" t="s">
        <v>9448</v>
      </c>
      <c r="K2798" s="57" t="s">
        <v>9449</v>
      </c>
    </row>
    <row r="2799" customFormat="false" ht="45.05" hidden="false" customHeight="false" outlineLevel="0" collapsed="false">
      <c r="A2799" s="0"/>
      <c r="B2799" s="0"/>
      <c r="C2799" s="0"/>
      <c r="D2799" s="62"/>
      <c r="E2799" s="62"/>
      <c r="F2799" s="62"/>
      <c r="G2799" s="57" t="s">
        <v>9450</v>
      </c>
      <c r="H2799" s="57" t="s">
        <v>3792</v>
      </c>
      <c r="I2799" s="34"/>
      <c r="J2799" s="57" t="s">
        <v>3792</v>
      </c>
      <c r="K2799" s="57" t="s">
        <v>9451</v>
      </c>
    </row>
    <row r="2800" customFormat="false" ht="101.05" hidden="false" customHeight="false" outlineLevel="0" collapsed="false">
      <c r="A2800" s="0"/>
      <c r="B2800" s="0"/>
      <c r="C2800" s="0"/>
      <c r="D2800" s="0" t="s">
        <v>9452</v>
      </c>
      <c r="E2800" s="0" t="s">
        <v>9453</v>
      </c>
      <c r="F2800" s="0" t="s">
        <v>5342</v>
      </c>
      <c r="G2800" s="57" t="s">
        <v>9454</v>
      </c>
      <c r="H2800" s="57" t="s">
        <v>9455</v>
      </c>
      <c r="I2800" s="39" t="s">
        <v>67</v>
      </c>
      <c r="J2800" s="57" t="s">
        <v>9456</v>
      </c>
      <c r="K2800" s="57" t="s">
        <v>9457</v>
      </c>
    </row>
    <row r="2801" customFormat="false" ht="111.9" hidden="false" customHeight="false" outlineLevel="0" collapsed="false">
      <c r="A2801" s="0"/>
      <c r="B2801" s="0"/>
      <c r="C2801" s="0"/>
      <c r="D2801" s="62"/>
      <c r="E2801" s="62"/>
      <c r="F2801" s="62"/>
      <c r="G2801" s="57" t="s">
        <v>9458</v>
      </c>
      <c r="H2801" s="57" t="s">
        <v>3792</v>
      </c>
      <c r="I2801" s="39"/>
      <c r="J2801" s="57" t="s">
        <v>3792</v>
      </c>
      <c r="K2801" s="57" t="s">
        <v>9459</v>
      </c>
    </row>
    <row r="2802" customFormat="false" ht="66.85" hidden="false" customHeight="false" outlineLevel="0" collapsed="false">
      <c r="A2802" s="0"/>
      <c r="B2802" s="0"/>
      <c r="C2802" s="0"/>
      <c r="D2802" s="0" t="s">
        <v>9460</v>
      </c>
      <c r="E2802" s="0" t="s">
        <v>9461</v>
      </c>
      <c r="F2802" s="0" t="s">
        <v>5342</v>
      </c>
      <c r="G2802" s="57" t="s">
        <v>9462</v>
      </c>
      <c r="H2802" s="57" t="s">
        <v>9463</v>
      </c>
      <c r="I2802" s="34" t="s">
        <v>40</v>
      </c>
      <c r="J2802" s="57" t="s">
        <v>9464</v>
      </c>
      <c r="K2802" s="57" t="s">
        <v>9465</v>
      </c>
    </row>
    <row r="2803" customFormat="false" ht="122.8" hidden="false" customHeight="false" outlineLevel="0" collapsed="false">
      <c r="A2803" s="0"/>
      <c r="B2803" s="0"/>
      <c r="C2803" s="0"/>
      <c r="D2803" s="62"/>
      <c r="E2803" s="62"/>
      <c r="F2803" s="62"/>
      <c r="G2803" s="57" t="s">
        <v>9466</v>
      </c>
      <c r="H2803" s="57" t="s">
        <v>3792</v>
      </c>
      <c r="I2803" s="34"/>
      <c r="J2803" s="57" t="s">
        <v>3792</v>
      </c>
      <c r="K2803" s="57" t="s">
        <v>3792</v>
      </c>
    </row>
    <row r="2804" customFormat="false" ht="111.9" hidden="false" customHeight="false" outlineLevel="0" collapsed="false">
      <c r="A2804" s="0"/>
      <c r="B2804" s="0"/>
      <c r="C2804" s="0"/>
      <c r="D2804" s="0" t="s">
        <v>9467</v>
      </c>
      <c r="E2804" s="0" t="s">
        <v>9468</v>
      </c>
      <c r="F2804" s="0" t="s">
        <v>5342</v>
      </c>
      <c r="G2804" s="57" t="s">
        <v>9469</v>
      </c>
      <c r="H2804" s="57" t="s">
        <v>9470</v>
      </c>
      <c r="I2804" s="37" t="s">
        <v>50</v>
      </c>
      <c r="J2804" s="57" t="s">
        <v>9471</v>
      </c>
      <c r="K2804" s="57" t="s">
        <v>9472</v>
      </c>
    </row>
    <row r="2805" customFormat="false" ht="146.1" hidden="false" customHeight="false" outlineLevel="0" collapsed="false">
      <c r="A2805" s="0"/>
      <c r="B2805" s="69"/>
      <c r="C2805" s="69"/>
      <c r="D2805" s="69"/>
      <c r="E2805" s="69"/>
      <c r="F2805" s="69"/>
      <c r="G2805" s="57" t="s">
        <v>9473</v>
      </c>
      <c r="H2805" s="69"/>
      <c r="I2805" s="37"/>
      <c r="J2805" s="57" t="s">
        <v>3792</v>
      </c>
      <c r="K2805" s="57" t="s">
        <v>3792</v>
      </c>
    </row>
    <row r="2806" customFormat="false" ht="90.15" hidden="false" customHeight="false" outlineLevel="0" collapsed="false">
      <c r="A2806" s="0"/>
      <c r="B2806" s="0" t="s">
        <v>9474</v>
      </c>
      <c r="C2806" s="57" t="s">
        <v>9475</v>
      </c>
      <c r="D2806" s="0" t="s">
        <v>9476</v>
      </c>
      <c r="E2806" s="0" t="s">
        <v>9477</v>
      </c>
      <c r="F2806" s="0" t="s">
        <v>5334</v>
      </c>
      <c r="G2806" s="57" t="s">
        <v>9478</v>
      </c>
      <c r="H2806" s="57" t="s">
        <v>9479</v>
      </c>
      <c r="I2806" s="34" t="s">
        <v>40</v>
      </c>
      <c r="J2806" s="57" t="s">
        <v>9480</v>
      </c>
      <c r="K2806" s="57" t="s">
        <v>9481</v>
      </c>
    </row>
    <row r="2807" customFormat="false" ht="90.15" hidden="false" customHeight="false" outlineLevel="0" collapsed="false">
      <c r="A2807" s="0"/>
      <c r="B2807" s="0"/>
      <c r="C2807" s="0"/>
      <c r="D2807" s="62"/>
      <c r="E2807" s="62"/>
      <c r="F2807" s="62"/>
      <c r="G2807" s="57" t="s">
        <v>9482</v>
      </c>
      <c r="H2807" s="57" t="s">
        <v>3792</v>
      </c>
      <c r="I2807" s="34"/>
      <c r="J2807" s="57" t="s">
        <v>3792</v>
      </c>
      <c r="K2807" s="57" t="s">
        <v>3792</v>
      </c>
    </row>
    <row r="2808" customFormat="false" ht="90.15" hidden="false" customHeight="false" outlineLevel="0" collapsed="false">
      <c r="A2808" s="0"/>
      <c r="B2808" s="0"/>
      <c r="C2808" s="0"/>
      <c r="D2808" s="0" t="s">
        <v>9483</v>
      </c>
      <c r="E2808" s="0" t="s">
        <v>9484</v>
      </c>
      <c r="F2808" s="0" t="s">
        <v>5342</v>
      </c>
      <c r="G2808" s="57" t="s">
        <v>9485</v>
      </c>
      <c r="H2808" s="57" t="s">
        <v>9486</v>
      </c>
      <c r="I2808" s="39" t="s">
        <v>67</v>
      </c>
      <c r="J2808" s="57" t="s">
        <v>9487</v>
      </c>
      <c r="K2808" s="57" t="s">
        <v>9488</v>
      </c>
    </row>
    <row r="2809" customFormat="false" ht="146.1" hidden="false" customHeight="false" outlineLevel="0" collapsed="false">
      <c r="A2809" s="0"/>
      <c r="B2809" s="0"/>
      <c r="C2809" s="0"/>
      <c r="D2809" s="62"/>
      <c r="E2809" s="62"/>
      <c r="F2809" s="62"/>
      <c r="G2809" s="57" t="s">
        <v>9489</v>
      </c>
      <c r="H2809" s="57" t="s">
        <v>3792</v>
      </c>
      <c r="I2809" s="39"/>
      <c r="J2809" s="57" t="s">
        <v>3792</v>
      </c>
      <c r="K2809" s="57" t="s">
        <v>3792</v>
      </c>
    </row>
    <row r="2810" customFormat="false" ht="12.8" hidden="false" customHeight="false" outlineLevel="0" collapsed="false">
      <c r="A2810" s="0"/>
      <c r="B2810" s="0"/>
      <c r="C2810" s="0"/>
      <c r="D2810" s="0" t="s">
        <v>9490</v>
      </c>
      <c r="E2810" s="0" t="s">
        <v>9491</v>
      </c>
      <c r="F2810" s="0" t="s">
        <v>5334</v>
      </c>
      <c r="G2810" s="0"/>
      <c r="H2810" s="57" t="s">
        <v>9492</v>
      </c>
      <c r="I2810" s="34" t="s">
        <v>40</v>
      </c>
      <c r="J2810" s="57" t="s">
        <v>9493</v>
      </c>
      <c r="K2810" s="57" t="s">
        <v>9494</v>
      </c>
    </row>
    <row r="2811" customFormat="false" ht="12.8" hidden="false" customHeight="false" outlineLevel="0" collapsed="false">
      <c r="A2811" s="0"/>
      <c r="B2811" s="0"/>
      <c r="C2811" s="0"/>
      <c r="D2811" s="62"/>
      <c r="E2811" s="62"/>
      <c r="F2811" s="62"/>
      <c r="G2811" s="62"/>
      <c r="H2811" s="57" t="s">
        <v>3792</v>
      </c>
      <c r="I2811" s="34"/>
      <c r="J2811" s="57" t="s">
        <v>3792</v>
      </c>
      <c r="K2811" s="57" t="s">
        <v>3792</v>
      </c>
    </row>
    <row r="2812" customFormat="false" ht="21.75" hidden="false" customHeight="false" outlineLevel="0" collapsed="false">
      <c r="A2812" s="0"/>
      <c r="B2812" s="0"/>
      <c r="C2812" s="0"/>
      <c r="D2812" s="0" t="s">
        <v>9495</v>
      </c>
      <c r="E2812" s="0" t="s">
        <v>9496</v>
      </c>
      <c r="F2812" s="0" t="s">
        <v>5342</v>
      </c>
      <c r="G2812" s="0"/>
      <c r="H2812" s="57" t="s">
        <v>9497</v>
      </c>
      <c r="I2812" s="37" t="s">
        <v>50</v>
      </c>
      <c r="J2812" s="57" t="s">
        <v>9498</v>
      </c>
      <c r="K2812" s="57" t="s">
        <v>9499</v>
      </c>
    </row>
    <row r="2813" customFormat="false" ht="12.8" hidden="false" customHeight="false" outlineLevel="0" collapsed="false">
      <c r="A2813" s="0"/>
      <c r="B2813" s="0"/>
      <c r="C2813" s="0"/>
      <c r="D2813" s="62"/>
      <c r="E2813" s="62"/>
      <c r="F2813" s="62"/>
      <c r="G2813" s="62"/>
      <c r="H2813" s="57" t="s">
        <v>3792</v>
      </c>
      <c r="I2813" s="37"/>
      <c r="J2813" s="57" t="s">
        <v>3792</v>
      </c>
      <c r="K2813" s="57" t="s">
        <v>3792</v>
      </c>
    </row>
    <row r="2814" customFormat="false" ht="12.8" hidden="false" customHeight="false" outlineLevel="0" collapsed="false">
      <c r="A2814" s="0"/>
      <c r="B2814" s="0"/>
      <c r="C2814" s="72"/>
      <c r="D2814" s="0" t="s">
        <v>9500</v>
      </c>
      <c r="E2814" s="0" t="s">
        <v>9501</v>
      </c>
      <c r="F2814" s="0" t="s">
        <v>5334</v>
      </c>
      <c r="G2814" s="0"/>
      <c r="H2814" s="57" t="s">
        <v>9502</v>
      </c>
      <c r="I2814" s="34" t="s">
        <v>40</v>
      </c>
      <c r="J2814" s="57" t="s">
        <v>9503</v>
      </c>
      <c r="K2814" s="57" t="s">
        <v>9504</v>
      </c>
    </row>
    <row r="2815" customFormat="false" ht="12.8" hidden="false" customHeight="false" outlineLevel="0" collapsed="false">
      <c r="A2815" s="0"/>
      <c r="B2815" s="0"/>
      <c r="C2815" s="65"/>
      <c r="D2815" s="65"/>
      <c r="E2815" s="65"/>
      <c r="F2815" s="65"/>
      <c r="G2815" s="65"/>
      <c r="H2815" s="57" t="s">
        <v>3792</v>
      </c>
      <c r="I2815" s="34"/>
      <c r="J2815" s="57" t="s">
        <v>3792</v>
      </c>
      <c r="K2815" s="57" t="s">
        <v>3792</v>
      </c>
    </row>
    <row r="2816" customFormat="false" ht="111.9" hidden="false" customHeight="false" outlineLevel="0" collapsed="false">
      <c r="A2816" s="0"/>
      <c r="B2816" s="0"/>
      <c r="C2816" s="57" t="s">
        <v>9505</v>
      </c>
      <c r="D2816" s="0" t="s">
        <v>9506</v>
      </c>
      <c r="E2816" s="0" t="s">
        <v>9507</v>
      </c>
      <c r="F2816" s="0" t="s">
        <v>5342</v>
      </c>
      <c r="G2816" s="57" t="s">
        <v>9508</v>
      </c>
      <c r="H2816" s="57" t="s">
        <v>9509</v>
      </c>
      <c r="I2816" s="39" t="s">
        <v>67</v>
      </c>
      <c r="J2816" s="57" t="s">
        <v>9510</v>
      </c>
      <c r="K2816" s="57" t="s">
        <v>9511</v>
      </c>
    </row>
    <row r="2817" customFormat="false" ht="111.9" hidden="false" customHeight="false" outlineLevel="0" collapsed="false">
      <c r="A2817" s="0"/>
      <c r="B2817" s="0"/>
      <c r="C2817" s="0"/>
      <c r="D2817" s="62"/>
      <c r="E2817" s="62"/>
      <c r="F2817" s="62"/>
      <c r="G2817" s="57" t="s">
        <v>9512</v>
      </c>
      <c r="H2817" s="57" t="s">
        <v>3792</v>
      </c>
      <c r="I2817" s="39"/>
      <c r="J2817" s="57" t="s">
        <v>3792</v>
      </c>
      <c r="K2817" s="57" t="s">
        <v>3792</v>
      </c>
    </row>
    <row r="2818" customFormat="false" ht="133.7" hidden="false" customHeight="false" outlineLevel="0" collapsed="false">
      <c r="A2818" s="0"/>
      <c r="B2818" s="0"/>
      <c r="C2818" s="0"/>
      <c r="D2818" s="0" t="s">
        <v>9513</v>
      </c>
      <c r="E2818" s="0" t="s">
        <v>9514</v>
      </c>
      <c r="F2818" s="0" t="s">
        <v>5334</v>
      </c>
      <c r="G2818" s="57" t="s">
        <v>9515</v>
      </c>
      <c r="H2818" s="57" t="s">
        <v>9516</v>
      </c>
      <c r="I2818" s="34" t="s">
        <v>40</v>
      </c>
      <c r="J2818" s="57" t="s">
        <v>9517</v>
      </c>
      <c r="K2818" s="57" t="s">
        <v>9518</v>
      </c>
    </row>
    <row r="2819" customFormat="false" ht="90.15" hidden="false" customHeight="false" outlineLevel="0" collapsed="false">
      <c r="A2819" s="0"/>
      <c r="B2819" s="0"/>
      <c r="C2819" s="0"/>
      <c r="D2819" s="62"/>
      <c r="E2819" s="62"/>
      <c r="F2819" s="62"/>
      <c r="G2819" s="57" t="s">
        <v>9519</v>
      </c>
      <c r="H2819" s="57" t="s">
        <v>3792</v>
      </c>
      <c r="I2819" s="34"/>
      <c r="J2819" s="57" t="s">
        <v>3792</v>
      </c>
      <c r="K2819" s="57" t="s">
        <v>3792</v>
      </c>
    </row>
    <row r="2820" customFormat="false" ht="146.1" hidden="false" customHeight="false" outlineLevel="0" collapsed="false">
      <c r="A2820" s="0"/>
      <c r="B2820" s="0"/>
      <c r="C2820" s="0"/>
      <c r="D2820" s="0" t="s">
        <v>9520</v>
      </c>
      <c r="E2820" s="0" t="s">
        <v>9521</v>
      </c>
      <c r="F2820" s="0" t="s">
        <v>5342</v>
      </c>
      <c r="G2820" s="57" t="s">
        <v>9522</v>
      </c>
      <c r="H2820" s="57" t="s">
        <v>9523</v>
      </c>
      <c r="I2820" s="37" t="s">
        <v>50</v>
      </c>
      <c r="J2820" s="57" t="s">
        <v>9524</v>
      </c>
      <c r="K2820" s="57" t="s">
        <v>9525</v>
      </c>
    </row>
    <row r="2821" customFormat="false" ht="90.15" hidden="false" customHeight="false" outlineLevel="0" collapsed="false">
      <c r="A2821" s="0"/>
      <c r="B2821" s="0"/>
      <c r="C2821" s="0"/>
      <c r="D2821" s="62"/>
      <c r="E2821" s="62"/>
      <c r="F2821" s="62"/>
      <c r="G2821" s="57" t="s">
        <v>9526</v>
      </c>
      <c r="H2821" s="57" t="s">
        <v>3792</v>
      </c>
      <c r="I2821" s="37"/>
      <c r="J2821" s="57" t="s">
        <v>3792</v>
      </c>
      <c r="K2821" s="57" t="s">
        <v>3792</v>
      </c>
    </row>
    <row r="2822" customFormat="false" ht="111.9" hidden="false" customHeight="false" outlineLevel="0" collapsed="false">
      <c r="A2822" s="0"/>
      <c r="B2822" s="0"/>
      <c r="C2822" s="0"/>
      <c r="D2822" s="0" t="s">
        <v>9527</v>
      </c>
      <c r="E2822" s="0" t="s">
        <v>9528</v>
      </c>
      <c r="F2822" s="0" t="s">
        <v>5342</v>
      </c>
      <c r="G2822" s="57" t="s">
        <v>9529</v>
      </c>
      <c r="H2822" s="57" t="s">
        <v>9530</v>
      </c>
      <c r="I2822" s="34" t="s">
        <v>40</v>
      </c>
      <c r="J2822" s="57" t="s">
        <v>9531</v>
      </c>
      <c r="K2822" s="57" t="s">
        <v>9532</v>
      </c>
    </row>
    <row r="2823" customFormat="false" ht="111.9" hidden="false" customHeight="false" outlineLevel="0" collapsed="false">
      <c r="A2823" s="0"/>
      <c r="B2823" s="0"/>
      <c r="C2823" s="0"/>
      <c r="D2823" s="62"/>
      <c r="E2823" s="62"/>
      <c r="F2823" s="62"/>
      <c r="G2823" s="57" t="s">
        <v>9533</v>
      </c>
      <c r="H2823" s="57" t="s">
        <v>3792</v>
      </c>
      <c r="I2823" s="34"/>
      <c r="J2823" s="57" t="s">
        <v>3792</v>
      </c>
      <c r="K2823" s="57" t="s">
        <v>3792</v>
      </c>
    </row>
    <row r="2824" customFormat="false" ht="122.8" hidden="false" customHeight="false" outlineLevel="0" collapsed="false">
      <c r="A2824" s="0"/>
      <c r="B2824" s="0"/>
      <c r="C2824" s="0"/>
      <c r="D2824" s="0" t="s">
        <v>9534</v>
      </c>
      <c r="E2824" s="0" t="s">
        <v>9535</v>
      </c>
      <c r="F2824" s="0" t="s">
        <v>5334</v>
      </c>
      <c r="G2824" s="57" t="s">
        <v>9536</v>
      </c>
      <c r="H2824" s="57" t="s">
        <v>9537</v>
      </c>
      <c r="I2824" s="39" t="s">
        <v>67</v>
      </c>
      <c r="J2824" s="57" t="s">
        <v>9538</v>
      </c>
      <c r="K2824" s="57" t="s">
        <v>9539</v>
      </c>
    </row>
    <row r="2825" customFormat="false" ht="157" hidden="false" customHeight="false" outlineLevel="0" collapsed="false">
      <c r="A2825" s="0"/>
      <c r="B2825" s="0"/>
      <c r="C2825" s="65"/>
      <c r="D2825" s="65"/>
      <c r="E2825" s="65"/>
      <c r="F2825" s="65"/>
      <c r="G2825" s="57" t="s">
        <v>9540</v>
      </c>
      <c r="H2825" s="57" t="s">
        <v>3792</v>
      </c>
      <c r="I2825" s="39"/>
      <c r="J2825" s="57" t="s">
        <v>3792</v>
      </c>
      <c r="K2825" s="57" t="s">
        <v>3792</v>
      </c>
    </row>
    <row r="2826" customFormat="false" ht="90.15" hidden="false" customHeight="false" outlineLevel="0" collapsed="false">
      <c r="A2826" s="0"/>
      <c r="B2826" s="0"/>
      <c r="C2826" s="0" t="s">
        <v>9541</v>
      </c>
      <c r="D2826" s="0" t="s">
        <v>9542</v>
      </c>
      <c r="E2826" s="0" t="s">
        <v>9543</v>
      </c>
      <c r="F2826" s="0" t="s">
        <v>5342</v>
      </c>
      <c r="G2826" s="57" t="s">
        <v>9544</v>
      </c>
      <c r="H2826" s="57" t="s">
        <v>9545</v>
      </c>
      <c r="I2826" s="34" t="s">
        <v>40</v>
      </c>
      <c r="J2826" s="57" t="s">
        <v>9546</v>
      </c>
      <c r="K2826" s="57" t="s">
        <v>9547</v>
      </c>
    </row>
    <row r="2827" customFormat="false" ht="122.8" hidden="false" customHeight="false" outlineLevel="0" collapsed="false">
      <c r="A2827" s="0"/>
      <c r="B2827" s="0"/>
      <c r="C2827" s="0"/>
      <c r="D2827" s="62"/>
      <c r="E2827" s="62"/>
      <c r="F2827" s="62"/>
      <c r="G2827" s="57" t="s">
        <v>9548</v>
      </c>
      <c r="H2827" s="57" t="s">
        <v>3792</v>
      </c>
      <c r="I2827" s="34"/>
      <c r="J2827" s="57" t="s">
        <v>3792</v>
      </c>
      <c r="K2827" s="57" t="s">
        <v>3792</v>
      </c>
    </row>
    <row r="2828" customFormat="false" ht="157" hidden="false" customHeight="false" outlineLevel="0" collapsed="false">
      <c r="A2828" s="0"/>
      <c r="B2828" s="0"/>
      <c r="C2828" s="0"/>
      <c r="D2828" s="0" t="s">
        <v>9549</v>
      </c>
      <c r="E2828" s="0" t="s">
        <v>9550</v>
      </c>
      <c r="F2828" s="0" t="s">
        <v>5334</v>
      </c>
      <c r="G2828" s="57" t="s">
        <v>9551</v>
      </c>
      <c r="H2828" s="57" t="s">
        <v>9552</v>
      </c>
      <c r="I2828" s="37" t="s">
        <v>50</v>
      </c>
      <c r="J2828" s="57" t="s">
        <v>9553</v>
      </c>
      <c r="K2828" s="57" t="s">
        <v>9554</v>
      </c>
    </row>
    <row r="2829" customFormat="false" ht="146.1" hidden="false" customHeight="false" outlineLevel="0" collapsed="false">
      <c r="A2829" s="0"/>
      <c r="B2829" s="0"/>
      <c r="C2829" s="0"/>
      <c r="D2829" s="62"/>
      <c r="E2829" s="62"/>
      <c r="F2829" s="62"/>
      <c r="G2829" s="57" t="s">
        <v>9555</v>
      </c>
      <c r="H2829" s="57" t="s">
        <v>3792</v>
      </c>
      <c r="I2829" s="37"/>
      <c r="J2829" s="57" t="s">
        <v>3792</v>
      </c>
      <c r="K2829" s="57" t="s">
        <v>3792</v>
      </c>
    </row>
    <row r="2830" customFormat="false" ht="111.9" hidden="false" customHeight="false" outlineLevel="0" collapsed="false">
      <c r="A2830" s="0"/>
      <c r="B2830" s="0"/>
      <c r="C2830" s="0"/>
      <c r="D2830" s="0" t="s">
        <v>9556</v>
      </c>
      <c r="E2830" s="0" t="s">
        <v>9557</v>
      </c>
      <c r="F2830" s="0" t="s">
        <v>5342</v>
      </c>
      <c r="G2830" s="57" t="s">
        <v>9558</v>
      </c>
      <c r="H2830" s="57" t="s">
        <v>9559</v>
      </c>
      <c r="I2830" s="34" t="s">
        <v>40</v>
      </c>
      <c r="J2830" s="57" t="s">
        <v>9560</v>
      </c>
      <c r="K2830" s="57" t="s">
        <v>9561</v>
      </c>
    </row>
    <row r="2831" customFormat="false" ht="133.7" hidden="false" customHeight="false" outlineLevel="0" collapsed="false">
      <c r="A2831" s="0"/>
      <c r="B2831" s="0"/>
      <c r="C2831" s="0"/>
      <c r="D2831" s="62"/>
      <c r="E2831" s="62"/>
      <c r="F2831" s="62"/>
      <c r="G2831" s="57" t="s">
        <v>9562</v>
      </c>
      <c r="H2831" s="57" t="s">
        <v>3792</v>
      </c>
      <c r="I2831" s="34"/>
      <c r="J2831" s="57" t="s">
        <v>3792</v>
      </c>
      <c r="K2831" s="57" t="s">
        <v>3792</v>
      </c>
    </row>
    <row r="2832" customFormat="false" ht="101.05" hidden="false" customHeight="false" outlineLevel="0" collapsed="false">
      <c r="A2832" s="0"/>
      <c r="B2832" s="0"/>
      <c r="C2832" s="0"/>
      <c r="D2832" s="0" t="s">
        <v>9563</v>
      </c>
      <c r="E2832" s="0" t="s">
        <v>9564</v>
      </c>
      <c r="F2832" s="0" t="s">
        <v>5342</v>
      </c>
      <c r="G2832" s="57" t="s">
        <v>9565</v>
      </c>
      <c r="H2832" s="57" t="s">
        <v>9566</v>
      </c>
      <c r="I2832" s="39" t="s">
        <v>67</v>
      </c>
      <c r="J2832" s="57" t="s">
        <v>9567</v>
      </c>
      <c r="K2832" s="57" t="s">
        <v>9568</v>
      </c>
    </row>
    <row r="2833" customFormat="false" ht="122.8" hidden="false" customHeight="false" outlineLevel="0" collapsed="false">
      <c r="A2833" s="0"/>
      <c r="B2833" s="0"/>
      <c r="C2833" s="0"/>
      <c r="D2833" s="62"/>
      <c r="E2833" s="62"/>
      <c r="F2833" s="62"/>
      <c r="G2833" s="57" t="s">
        <v>9569</v>
      </c>
      <c r="H2833" s="57" t="s">
        <v>3792</v>
      </c>
      <c r="I2833" s="39"/>
      <c r="J2833" s="57" t="s">
        <v>3792</v>
      </c>
      <c r="K2833" s="57" t="s">
        <v>3792</v>
      </c>
    </row>
    <row r="2834" customFormat="false" ht="167.9" hidden="false" customHeight="false" outlineLevel="0" collapsed="false">
      <c r="A2834" s="0"/>
      <c r="B2834" s="0"/>
      <c r="C2834" s="0"/>
      <c r="D2834" s="0" t="s">
        <v>9570</v>
      </c>
      <c r="E2834" s="0" t="s">
        <v>9571</v>
      </c>
      <c r="F2834" s="0" t="s">
        <v>5334</v>
      </c>
      <c r="G2834" s="57" t="s">
        <v>9572</v>
      </c>
      <c r="H2834" s="57" t="s">
        <v>9573</v>
      </c>
      <c r="I2834" s="34" t="s">
        <v>40</v>
      </c>
      <c r="J2834" s="57" t="s">
        <v>9574</v>
      </c>
      <c r="K2834" s="57" t="s">
        <v>9575</v>
      </c>
    </row>
    <row r="2835" customFormat="false" ht="133.7" hidden="false" customHeight="false" outlineLevel="0" collapsed="false">
      <c r="A2835" s="0"/>
      <c r="B2835" s="0"/>
      <c r="C2835" s="65"/>
      <c r="D2835" s="65"/>
      <c r="E2835" s="65"/>
      <c r="F2835" s="65"/>
      <c r="G2835" s="57" t="s">
        <v>9576</v>
      </c>
      <c r="H2835" s="57" t="s">
        <v>3792</v>
      </c>
      <c r="I2835" s="34"/>
      <c r="J2835" s="57" t="s">
        <v>3792</v>
      </c>
      <c r="K2835" s="57" t="s">
        <v>3792</v>
      </c>
    </row>
    <row r="2836" customFormat="false" ht="157" hidden="false" customHeight="false" outlineLevel="0" collapsed="false">
      <c r="A2836" s="0"/>
      <c r="B2836" s="0"/>
      <c r="C2836" s="57" t="s">
        <v>9577</v>
      </c>
      <c r="D2836" s="0" t="s">
        <v>9578</v>
      </c>
      <c r="E2836" s="0" t="s">
        <v>9579</v>
      </c>
      <c r="F2836" s="0" t="s">
        <v>5334</v>
      </c>
      <c r="G2836" s="57" t="s">
        <v>9580</v>
      </c>
      <c r="H2836" s="57" t="s">
        <v>9581</v>
      </c>
      <c r="I2836" s="37" t="s">
        <v>50</v>
      </c>
      <c r="J2836" s="57" t="s">
        <v>9582</v>
      </c>
      <c r="K2836" s="57" t="s">
        <v>9583</v>
      </c>
    </row>
    <row r="2837" customFormat="false" ht="101.05" hidden="false" customHeight="false" outlineLevel="0" collapsed="false">
      <c r="A2837" s="0"/>
      <c r="B2837" s="0"/>
      <c r="C2837" s="0"/>
      <c r="D2837" s="62"/>
      <c r="E2837" s="62"/>
      <c r="F2837" s="62"/>
      <c r="G2837" s="57" t="s">
        <v>9584</v>
      </c>
      <c r="H2837" s="57" t="s">
        <v>3792</v>
      </c>
      <c r="I2837" s="37"/>
      <c r="J2837" s="57" t="s">
        <v>3792</v>
      </c>
      <c r="K2837" s="57" t="s">
        <v>3792</v>
      </c>
    </row>
    <row r="2838" customFormat="false" ht="111.9" hidden="false" customHeight="false" outlineLevel="0" collapsed="false">
      <c r="A2838" s="0"/>
      <c r="B2838" s="0"/>
      <c r="C2838" s="0"/>
      <c r="D2838" s="0" t="s">
        <v>9585</v>
      </c>
      <c r="E2838" s="0" t="s">
        <v>9586</v>
      </c>
      <c r="F2838" s="0" t="s">
        <v>5342</v>
      </c>
      <c r="G2838" s="57" t="s">
        <v>9587</v>
      </c>
      <c r="H2838" s="57" t="s">
        <v>9588</v>
      </c>
      <c r="I2838" s="34" t="s">
        <v>40</v>
      </c>
      <c r="J2838" s="57" t="s">
        <v>9589</v>
      </c>
      <c r="K2838" s="57" t="s">
        <v>9590</v>
      </c>
    </row>
    <row r="2839" customFormat="false" ht="189.65" hidden="false" customHeight="false" outlineLevel="0" collapsed="false">
      <c r="A2839" s="0"/>
      <c r="B2839" s="0"/>
      <c r="C2839" s="0"/>
      <c r="D2839" s="62"/>
      <c r="E2839" s="62"/>
      <c r="F2839" s="62"/>
      <c r="G2839" s="57" t="s">
        <v>9591</v>
      </c>
      <c r="H2839" s="57" t="s">
        <v>3792</v>
      </c>
      <c r="I2839" s="34"/>
      <c r="J2839" s="57" t="s">
        <v>3792</v>
      </c>
      <c r="K2839" s="57" t="s">
        <v>3792</v>
      </c>
    </row>
    <row r="2840" customFormat="false" ht="133.7" hidden="false" customHeight="false" outlineLevel="0" collapsed="false">
      <c r="A2840" s="0"/>
      <c r="B2840" s="0"/>
      <c r="C2840" s="0"/>
      <c r="D2840" s="0" t="s">
        <v>9592</v>
      </c>
      <c r="E2840" s="0" t="s">
        <v>9593</v>
      </c>
      <c r="F2840" s="0" t="s">
        <v>5334</v>
      </c>
      <c r="G2840" s="57" t="s">
        <v>9594</v>
      </c>
      <c r="H2840" s="57" t="s">
        <v>9595</v>
      </c>
      <c r="I2840" s="39" t="s">
        <v>67</v>
      </c>
      <c r="J2840" s="57" t="s">
        <v>9596</v>
      </c>
      <c r="K2840" s="57" t="s">
        <v>9597</v>
      </c>
    </row>
    <row r="2841" customFormat="false" ht="122.8" hidden="false" customHeight="false" outlineLevel="0" collapsed="false">
      <c r="A2841" s="0"/>
      <c r="B2841" s="0"/>
      <c r="C2841" s="0"/>
      <c r="D2841" s="62"/>
      <c r="E2841" s="62"/>
      <c r="F2841" s="62"/>
      <c r="G2841" s="57" t="s">
        <v>9598</v>
      </c>
      <c r="H2841" s="57" t="s">
        <v>3792</v>
      </c>
      <c r="I2841" s="39"/>
      <c r="J2841" s="57" t="s">
        <v>3792</v>
      </c>
      <c r="K2841" s="57" t="s">
        <v>3792</v>
      </c>
    </row>
    <row r="2842" customFormat="false" ht="111.9" hidden="false" customHeight="false" outlineLevel="0" collapsed="false">
      <c r="A2842" s="0"/>
      <c r="B2842" s="0"/>
      <c r="C2842" s="0"/>
      <c r="D2842" s="0" t="s">
        <v>9599</v>
      </c>
      <c r="E2842" s="0" t="s">
        <v>9600</v>
      </c>
      <c r="F2842" s="0" t="s">
        <v>5342</v>
      </c>
      <c r="G2842" s="57" t="s">
        <v>9601</v>
      </c>
      <c r="H2842" s="57" t="s">
        <v>9602</v>
      </c>
      <c r="I2842" s="34" t="s">
        <v>40</v>
      </c>
      <c r="J2842" s="57" t="s">
        <v>9603</v>
      </c>
      <c r="K2842" s="57" t="s">
        <v>9604</v>
      </c>
    </row>
    <row r="2843" customFormat="false" ht="122.8" hidden="false" customHeight="false" outlineLevel="0" collapsed="false">
      <c r="A2843" s="0"/>
      <c r="B2843" s="0"/>
      <c r="C2843" s="0"/>
      <c r="D2843" s="62"/>
      <c r="E2843" s="62"/>
      <c r="F2843" s="62"/>
      <c r="G2843" s="57" t="s">
        <v>9605</v>
      </c>
      <c r="H2843" s="57" t="s">
        <v>3792</v>
      </c>
      <c r="I2843" s="34"/>
      <c r="J2843" s="57" t="s">
        <v>3792</v>
      </c>
      <c r="K2843" s="57" t="s">
        <v>3792</v>
      </c>
    </row>
    <row r="2844" customFormat="false" ht="133.7" hidden="false" customHeight="false" outlineLevel="0" collapsed="false">
      <c r="A2844" s="0"/>
      <c r="B2844" s="0"/>
      <c r="C2844" s="0"/>
      <c r="D2844" s="0" t="s">
        <v>9606</v>
      </c>
      <c r="E2844" s="0" t="s">
        <v>9607</v>
      </c>
      <c r="F2844" s="0" t="s">
        <v>5342</v>
      </c>
      <c r="G2844" s="57" t="s">
        <v>9608</v>
      </c>
      <c r="H2844" s="57" t="s">
        <v>9609</v>
      </c>
      <c r="I2844" s="37" t="s">
        <v>50</v>
      </c>
      <c r="J2844" s="57" t="s">
        <v>9610</v>
      </c>
      <c r="K2844" s="57" t="s">
        <v>9611</v>
      </c>
    </row>
    <row r="2845" customFormat="false" ht="157" hidden="false" customHeight="false" outlineLevel="0" collapsed="false">
      <c r="A2845" s="0"/>
      <c r="B2845" s="0"/>
      <c r="C2845" s="65"/>
      <c r="D2845" s="65"/>
      <c r="E2845" s="65"/>
      <c r="F2845" s="65"/>
      <c r="G2845" s="57" t="s">
        <v>9612</v>
      </c>
      <c r="H2845" s="57" t="s">
        <v>3792</v>
      </c>
      <c r="I2845" s="37"/>
      <c r="J2845" s="57" t="s">
        <v>3792</v>
      </c>
      <c r="K2845" s="57" t="s">
        <v>3792</v>
      </c>
    </row>
    <row r="2846" customFormat="false" ht="101.05" hidden="false" customHeight="false" outlineLevel="0" collapsed="false">
      <c r="A2846" s="0"/>
      <c r="B2846" s="0"/>
      <c r="C2846" s="0" t="s">
        <v>9613</v>
      </c>
      <c r="D2846" s="0" t="s">
        <v>9614</v>
      </c>
      <c r="E2846" s="0" t="s">
        <v>9615</v>
      </c>
      <c r="F2846" s="0" t="s">
        <v>5334</v>
      </c>
      <c r="G2846" s="57" t="s">
        <v>9616</v>
      </c>
      <c r="H2846" s="57" t="s">
        <v>9617</v>
      </c>
      <c r="I2846" s="34" t="s">
        <v>40</v>
      </c>
      <c r="J2846" s="57" t="s">
        <v>9618</v>
      </c>
      <c r="K2846" s="57" t="s">
        <v>9619</v>
      </c>
    </row>
    <row r="2847" customFormat="false" ht="157" hidden="false" customHeight="false" outlineLevel="0" collapsed="false">
      <c r="A2847" s="0"/>
      <c r="B2847" s="0"/>
      <c r="C2847" s="0"/>
      <c r="D2847" s="62"/>
      <c r="E2847" s="62"/>
      <c r="F2847" s="62"/>
      <c r="G2847" s="57" t="s">
        <v>9620</v>
      </c>
      <c r="H2847" s="57" t="s">
        <v>3792</v>
      </c>
      <c r="I2847" s="34"/>
      <c r="J2847" s="57" t="s">
        <v>3792</v>
      </c>
      <c r="K2847" s="57" t="s">
        <v>3792</v>
      </c>
    </row>
    <row r="2848" customFormat="false" ht="167.9" hidden="false" customHeight="false" outlineLevel="0" collapsed="false">
      <c r="A2848" s="0"/>
      <c r="B2848" s="0"/>
      <c r="C2848" s="0"/>
      <c r="D2848" s="0" t="s">
        <v>9621</v>
      </c>
      <c r="E2848" s="0" t="s">
        <v>9622</v>
      </c>
      <c r="F2848" s="0" t="s">
        <v>5342</v>
      </c>
      <c r="G2848" s="57" t="s">
        <v>9623</v>
      </c>
      <c r="H2848" s="57" t="s">
        <v>9624</v>
      </c>
      <c r="I2848" s="39" t="s">
        <v>67</v>
      </c>
      <c r="J2848" s="57" t="s">
        <v>9625</v>
      </c>
      <c r="K2848" s="57" t="s">
        <v>9626</v>
      </c>
    </row>
    <row r="2849" customFormat="false" ht="178.75" hidden="false" customHeight="false" outlineLevel="0" collapsed="false">
      <c r="A2849" s="0"/>
      <c r="B2849" s="0"/>
      <c r="C2849" s="0"/>
      <c r="D2849" s="62"/>
      <c r="E2849" s="62"/>
      <c r="F2849" s="62"/>
      <c r="G2849" s="57" t="s">
        <v>9627</v>
      </c>
      <c r="H2849" s="57" t="s">
        <v>3792</v>
      </c>
      <c r="I2849" s="39"/>
      <c r="J2849" s="57" t="s">
        <v>3792</v>
      </c>
      <c r="K2849" s="57" t="s">
        <v>3792</v>
      </c>
    </row>
    <row r="2850" customFormat="false" ht="122.8" hidden="false" customHeight="false" outlineLevel="0" collapsed="false">
      <c r="A2850" s="0"/>
      <c r="B2850" s="0"/>
      <c r="C2850" s="0"/>
      <c r="D2850" s="0" t="s">
        <v>9628</v>
      </c>
      <c r="E2850" s="0" t="s">
        <v>9629</v>
      </c>
      <c r="F2850" s="0" t="s">
        <v>5342</v>
      </c>
      <c r="G2850" s="57" t="s">
        <v>9630</v>
      </c>
      <c r="H2850" s="57" t="s">
        <v>9631</v>
      </c>
      <c r="I2850" s="34" t="s">
        <v>40</v>
      </c>
      <c r="J2850" s="57" t="s">
        <v>9632</v>
      </c>
      <c r="K2850" s="57" t="s">
        <v>9633</v>
      </c>
    </row>
    <row r="2851" customFormat="false" ht="189.65" hidden="false" customHeight="false" outlineLevel="0" collapsed="false">
      <c r="A2851" s="0"/>
      <c r="B2851" s="0"/>
      <c r="C2851" s="0"/>
      <c r="D2851" s="62"/>
      <c r="E2851" s="62"/>
      <c r="F2851" s="62"/>
      <c r="G2851" s="57" t="s">
        <v>9634</v>
      </c>
      <c r="H2851" s="57" t="s">
        <v>3792</v>
      </c>
      <c r="I2851" s="34"/>
      <c r="J2851" s="57" t="s">
        <v>3792</v>
      </c>
      <c r="K2851" s="57" t="s">
        <v>3792</v>
      </c>
    </row>
    <row r="2852" customFormat="false" ht="122.8" hidden="false" customHeight="false" outlineLevel="0" collapsed="false">
      <c r="A2852" s="0"/>
      <c r="B2852" s="0"/>
      <c r="C2852" s="0"/>
      <c r="D2852" s="0" t="s">
        <v>9635</v>
      </c>
      <c r="E2852" s="0" t="s">
        <v>9636</v>
      </c>
      <c r="F2852" s="0" t="s">
        <v>5334</v>
      </c>
      <c r="G2852" s="57" t="s">
        <v>9637</v>
      </c>
      <c r="H2852" s="57" t="s">
        <v>9638</v>
      </c>
      <c r="I2852" s="37" t="s">
        <v>50</v>
      </c>
      <c r="J2852" s="57" t="s">
        <v>9639</v>
      </c>
      <c r="K2852" s="57" t="s">
        <v>9640</v>
      </c>
    </row>
    <row r="2853" customFormat="false" ht="122.8" hidden="false" customHeight="false" outlineLevel="0" collapsed="false">
      <c r="A2853" s="0"/>
      <c r="B2853" s="0"/>
      <c r="C2853" s="0"/>
      <c r="D2853" s="62"/>
      <c r="E2853" s="62"/>
      <c r="F2853" s="62"/>
      <c r="G2853" s="57" t="s">
        <v>9641</v>
      </c>
      <c r="H2853" s="57" t="s">
        <v>3792</v>
      </c>
      <c r="I2853" s="37"/>
      <c r="J2853" s="57" t="s">
        <v>3792</v>
      </c>
      <c r="K2853" s="57" t="s">
        <v>3792</v>
      </c>
    </row>
    <row r="2854" customFormat="false" ht="122.8" hidden="false" customHeight="false" outlineLevel="0" collapsed="false">
      <c r="A2854" s="0"/>
      <c r="B2854" s="0"/>
      <c r="C2854" s="0"/>
      <c r="D2854" s="0" t="s">
        <v>9642</v>
      </c>
      <c r="E2854" s="0" t="s">
        <v>9643</v>
      </c>
      <c r="F2854" s="0" t="s">
        <v>5334</v>
      </c>
      <c r="G2854" s="57" t="s">
        <v>9644</v>
      </c>
      <c r="H2854" s="57" t="s">
        <v>9645</v>
      </c>
      <c r="I2854" s="34" t="s">
        <v>40</v>
      </c>
      <c r="J2854" s="57" t="s">
        <v>9646</v>
      </c>
      <c r="K2854" s="57" t="s">
        <v>9647</v>
      </c>
    </row>
    <row r="2855" customFormat="false" ht="146.1" hidden="false" customHeight="false" outlineLevel="0" collapsed="false">
      <c r="A2855" s="0"/>
      <c r="B2855" s="0"/>
      <c r="C2855" s="65"/>
      <c r="D2855" s="65"/>
      <c r="E2855" s="65"/>
      <c r="F2855" s="65"/>
      <c r="G2855" s="57" t="s">
        <v>9648</v>
      </c>
      <c r="H2855" s="57" t="s">
        <v>3792</v>
      </c>
      <c r="I2855" s="34"/>
      <c r="J2855" s="57" t="s">
        <v>3792</v>
      </c>
      <c r="K2855" s="57" t="s">
        <v>3792</v>
      </c>
    </row>
    <row r="2856" customFormat="false" ht="157" hidden="false" customHeight="false" outlineLevel="0" collapsed="false">
      <c r="A2856" s="0"/>
      <c r="B2856" s="0"/>
      <c r="C2856" s="57" t="s">
        <v>9649</v>
      </c>
      <c r="D2856" s="0" t="s">
        <v>9650</v>
      </c>
      <c r="E2856" s="0" t="s">
        <v>9651</v>
      </c>
      <c r="F2856" s="0" t="s">
        <v>5334</v>
      </c>
      <c r="G2856" s="57" t="s">
        <v>9652</v>
      </c>
      <c r="H2856" s="57" t="s">
        <v>9653</v>
      </c>
      <c r="I2856" s="39" t="s">
        <v>67</v>
      </c>
      <c r="J2856" s="57" t="s">
        <v>9654</v>
      </c>
      <c r="K2856" s="57" t="s">
        <v>9655</v>
      </c>
    </row>
    <row r="2857" customFormat="false" ht="146.1" hidden="false" customHeight="false" outlineLevel="0" collapsed="false">
      <c r="A2857" s="0"/>
      <c r="B2857" s="0"/>
      <c r="C2857" s="0"/>
      <c r="D2857" s="62"/>
      <c r="E2857" s="62"/>
      <c r="F2857" s="62"/>
      <c r="G2857" s="57" t="s">
        <v>9656</v>
      </c>
      <c r="H2857" s="57" t="s">
        <v>3792</v>
      </c>
      <c r="I2857" s="39"/>
      <c r="J2857" s="57" t="s">
        <v>3792</v>
      </c>
      <c r="K2857" s="57" t="s">
        <v>3792</v>
      </c>
    </row>
    <row r="2858" customFormat="false" ht="157" hidden="false" customHeight="false" outlineLevel="0" collapsed="false">
      <c r="A2858" s="0"/>
      <c r="B2858" s="0"/>
      <c r="C2858" s="0"/>
      <c r="D2858" s="0" t="s">
        <v>9657</v>
      </c>
      <c r="E2858" s="0" t="s">
        <v>9658</v>
      </c>
      <c r="F2858" s="0" t="s">
        <v>5342</v>
      </c>
      <c r="G2858" s="57" t="s">
        <v>9652</v>
      </c>
      <c r="H2858" s="57" t="s">
        <v>9659</v>
      </c>
      <c r="I2858" s="34" t="s">
        <v>40</v>
      </c>
      <c r="J2858" s="57" t="s">
        <v>9660</v>
      </c>
      <c r="K2858" s="57" t="s">
        <v>9661</v>
      </c>
    </row>
    <row r="2859" customFormat="false" ht="146.1" hidden="false" customHeight="false" outlineLevel="0" collapsed="false">
      <c r="A2859" s="0"/>
      <c r="B2859" s="0"/>
      <c r="C2859" s="0"/>
      <c r="D2859" s="62"/>
      <c r="E2859" s="62"/>
      <c r="F2859" s="62"/>
      <c r="G2859" s="57" t="s">
        <v>9656</v>
      </c>
      <c r="H2859" s="57" t="s">
        <v>3792</v>
      </c>
      <c r="I2859" s="34"/>
      <c r="J2859" s="57" t="s">
        <v>3792</v>
      </c>
      <c r="K2859" s="57" t="s">
        <v>3792</v>
      </c>
    </row>
    <row r="2860" customFormat="false" ht="55.95" hidden="false" customHeight="false" outlineLevel="0" collapsed="false">
      <c r="A2860" s="0"/>
      <c r="B2860" s="0"/>
      <c r="C2860" s="0"/>
      <c r="D2860" s="0" t="s">
        <v>9662</v>
      </c>
      <c r="E2860" s="0" t="s">
        <v>9663</v>
      </c>
      <c r="F2860" s="0" t="s">
        <v>5342</v>
      </c>
      <c r="G2860" s="57" t="s">
        <v>9664</v>
      </c>
      <c r="H2860" s="57" t="s">
        <v>9665</v>
      </c>
      <c r="I2860" s="34" t="s">
        <v>40</v>
      </c>
      <c r="J2860" s="57" t="s">
        <v>9666</v>
      </c>
      <c r="K2860" s="57" t="s">
        <v>9667</v>
      </c>
    </row>
    <row r="2861" customFormat="false" ht="133.7" hidden="false" customHeight="false" outlineLevel="0" collapsed="false">
      <c r="A2861" s="0"/>
      <c r="B2861" s="0"/>
      <c r="C2861" s="0"/>
      <c r="D2861" s="62"/>
      <c r="E2861" s="62"/>
      <c r="F2861" s="62"/>
      <c r="G2861" s="57" t="s">
        <v>9668</v>
      </c>
      <c r="H2861" s="57" t="s">
        <v>3792</v>
      </c>
      <c r="I2861" s="34"/>
      <c r="J2861" s="57" t="s">
        <v>3792</v>
      </c>
      <c r="K2861" s="62"/>
    </row>
    <row r="2862" customFormat="false" ht="101.05" hidden="false" customHeight="false" outlineLevel="0" collapsed="false">
      <c r="A2862" s="0"/>
      <c r="B2862" s="0"/>
      <c r="C2862" s="0"/>
      <c r="D2862" s="0" t="s">
        <v>9669</v>
      </c>
      <c r="E2862" s="0" t="s">
        <v>9670</v>
      </c>
      <c r="F2862" s="0" t="s">
        <v>5334</v>
      </c>
      <c r="G2862" s="57" t="s">
        <v>9671</v>
      </c>
      <c r="H2862" s="57" t="s">
        <v>9672</v>
      </c>
      <c r="I2862" s="39" t="s">
        <v>67</v>
      </c>
      <c r="J2862" s="57" t="s">
        <v>9673</v>
      </c>
      <c r="K2862" s="57" t="s">
        <v>9085</v>
      </c>
    </row>
    <row r="2863" customFormat="false" ht="111.9" hidden="false" customHeight="false" outlineLevel="0" collapsed="false">
      <c r="A2863" s="0"/>
      <c r="B2863" s="0"/>
      <c r="C2863" s="0"/>
      <c r="D2863" s="62"/>
      <c r="E2863" s="62"/>
      <c r="F2863" s="62"/>
      <c r="G2863" s="57" t="s">
        <v>9674</v>
      </c>
      <c r="H2863" s="57" t="s">
        <v>3792</v>
      </c>
      <c r="I2863" s="39"/>
      <c r="J2863" s="57" t="s">
        <v>3792</v>
      </c>
      <c r="K2863" s="57" t="s">
        <v>9087</v>
      </c>
    </row>
    <row r="2864" customFormat="false" ht="77.7" hidden="false" customHeight="false" outlineLevel="0" collapsed="false">
      <c r="A2864" s="0"/>
      <c r="B2864" s="0"/>
      <c r="C2864" s="0"/>
      <c r="D2864" s="0" t="s">
        <v>9675</v>
      </c>
      <c r="E2864" s="0" t="s">
        <v>9676</v>
      </c>
      <c r="F2864" s="0" t="s">
        <v>5342</v>
      </c>
      <c r="G2864" s="57" t="s">
        <v>9677</v>
      </c>
      <c r="H2864" s="57" t="s">
        <v>9678</v>
      </c>
      <c r="I2864" s="37" t="s">
        <v>50</v>
      </c>
      <c r="J2864" s="57" t="s">
        <v>9679</v>
      </c>
      <c r="K2864" s="57" t="s">
        <v>9093</v>
      </c>
    </row>
    <row r="2865" customFormat="false" ht="133.7" hidden="false" customHeight="false" outlineLevel="0" collapsed="false">
      <c r="A2865" s="0"/>
      <c r="B2865" s="0"/>
      <c r="C2865" s="65"/>
      <c r="D2865" s="65"/>
      <c r="E2865" s="65"/>
      <c r="F2865" s="65"/>
      <c r="G2865" s="57" t="s">
        <v>9680</v>
      </c>
      <c r="H2865" s="57" t="s">
        <v>3792</v>
      </c>
      <c r="I2865" s="37"/>
      <c r="J2865" s="57" t="s">
        <v>3792</v>
      </c>
      <c r="K2865" s="57" t="s">
        <v>9095</v>
      </c>
    </row>
    <row r="2866" customFormat="false" ht="101.05" hidden="false" customHeight="false" outlineLevel="0" collapsed="false">
      <c r="A2866" s="0"/>
      <c r="B2866" s="0"/>
      <c r="C2866" s="57" t="s">
        <v>9681</v>
      </c>
      <c r="D2866" s="0" t="s">
        <v>9682</v>
      </c>
      <c r="E2866" s="0" t="s">
        <v>9683</v>
      </c>
      <c r="F2866" s="0" t="s">
        <v>5342</v>
      </c>
      <c r="G2866" s="57" t="s">
        <v>9684</v>
      </c>
      <c r="H2866" s="57" t="s">
        <v>9685</v>
      </c>
      <c r="I2866" s="37" t="s">
        <v>50</v>
      </c>
      <c r="J2866" s="57" t="s">
        <v>9686</v>
      </c>
      <c r="K2866" s="57" t="s">
        <v>9101</v>
      </c>
    </row>
    <row r="2867" customFormat="false" ht="101.05" hidden="false" customHeight="false" outlineLevel="0" collapsed="false">
      <c r="A2867" s="0"/>
      <c r="B2867" s="0"/>
      <c r="C2867" s="0"/>
      <c r="D2867" s="62"/>
      <c r="E2867" s="62"/>
      <c r="F2867" s="62"/>
      <c r="G2867" s="57" t="s">
        <v>9687</v>
      </c>
      <c r="H2867" s="57" t="s">
        <v>3792</v>
      </c>
      <c r="I2867" s="37"/>
      <c r="J2867" s="57" t="s">
        <v>3792</v>
      </c>
      <c r="K2867" s="57" t="s">
        <v>9103</v>
      </c>
    </row>
    <row r="2868" customFormat="false" ht="90.15" hidden="false" customHeight="false" outlineLevel="0" collapsed="false">
      <c r="A2868" s="0"/>
      <c r="B2868" s="0"/>
      <c r="C2868" s="0"/>
      <c r="D2868" s="0" t="s">
        <v>9688</v>
      </c>
      <c r="E2868" s="0" t="s">
        <v>9689</v>
      </c>
      <c r="F2868" s="0" t="s">
        <v>5334</v>
      </c>
      <c r="G2868" s="57" t="s">
        <v>9690</v>
      </c>
      <c r="H2868" s="57" t="s">
        <v>9691</v>
      </c>
      <c r="I2868" s="39" t="s">
        <v>67</v>
      </c>
      <c r="J2868" s="57" t="s">
        <v>9692</v>
      </c>
      <c r="K2868" s="57" t="s">
        <v>9109</v>
      </c>
    </row>
    <row r="2869" customFormat="false" ht="90.15" hidden="false" customHeight="false" outlineLevel="0" collapsed="false">
      <c r="A2869" s="0"/>
      <c r="B2869" s="0"/>
      <c r="C2869" s="0"/>
      <c r="D2869" s="62"/>
      <c r="E2869" s="62"/>
      <c r="F2869" s="62"/>
      <c r="G2869" s="57" t="s">
        <v>9693</v>
      </c>
      <c r="H2869" s="57" t="s">
        <v>3792</v>
      </c>
      <c r="I2869" s="39"/>
      <c r="J2869" s="57" t="s">
        <v>3792</v>
      </c>
      <c r="K2869" s="57" t="s">
        <v>9111</v>
      </c>
    </row>
    <row r="2870" customFormat="false" ht="55.95" hidden="false" customHeight="false" outlineLevel="0" collapsed="false">
      <c r="A2870" s="0"/>
      <c r="B2870" s="0"/>
      <c r="C2870" s="0"/>
      <c r="D2870" s="0" t="s">
        <v>9694</v>
      </c>
      <c r="E2870" s="0" t="s">
        <v>9695</v>
      </c>
      <c r="F2870" s="0" t="s">
        <v>5334</v>
      </c>
      <c r="G2870" s="57" t="s">
        <v>9696</v>
      </c>
      <c r="H2870" s="57" t="s">
        <v>9697</v>
      </c>
      <c r="I2870" s="34" t="s">
        <v>40</v>
      </c>
      <c r="J2870" s="57" t="s">
        <v>9698</v>
      </c>
      <c r="K2870" s="57" t="s">
        <v>9117</v>
      </c>
    </row>
    <row r="2871" customFormat="false" ht="122.8" hidden="false" customHeight="false" outlineLevel="0" collapsed="false">
      <c r="A2871" s="0"/>
      <c r="B2871" s="0"/>
      <c r="C2871" s="0"/>
      <c r="D2871" s="62"/>
      <c r="E2871" s="62"/>
      <c r="F2871" s="62"/>
      <c r="G2871" s="57" t="s">
        <v>9699</v>
      </c>
      <c r="H2871" s="57" t="s">
        <v>3792</v>
      </c>
      <c r="I2871" s="34"/>
      <c r="J2871" s="57" t="s">
        <v>3792</v>
      </c>
      <c r="K2871" s="57" t="s">
        <v>9119</v>
      </c>
    </row>
    <row r="2872" customFormat="false" ht="55.95" hidden="false" customHeight="false" outlineLevel="0" collapsed="false">
      <c r="A2872" s="0"/>
      <c r="B2872" s="0"/>
      <c r="C2872" s="0"/>
      <c r="D2872" s="0" t="s">
        <v>9700</v>
      </c>
      <c r="E2872" s="0" t="s">
        <v>9701</v>
      </c>
      <c r="F2872" s="0" t="s">
        <v>5342</v>
      </c>
      <c r="G2872" s="57" t="s">
        <v>9702</v>
      </c>
      <c r="H2872" s="57" t="s">
        <v>9703</v>
      </c>
      <c r="I2872" s="39" t="s">
        <v>67</v>
      </c>
      <c r="J2872" s="57" t="s">
        <v>9704</v>
      </c>
      <c r="K2872" s="57" t="s">
        <v>9126</v>
      </c>
    </row>
    <row r="2873" customFormat="false" ht="77.7" hidden="false" customHeight="false" outlineLevel="0" collapsed="false">
      <c r="A2873" s="0"/>
      <c r="B2873" s="0"/>
      <c r="C2873" s="0"/>
      <c r="D2873" s="62"/>
      <c r="E2873" s="62"/>
      <c r="F2873" s="62"/>
      <c r="G2873" s="57" t="s">
        <v>9705</v>
      </c>
      <c r="H2873" s="57" t="s">
        <v>3792</v>
      </c>
      <c r="I2873" s="39"/>
      <c r="J2873" s="57" t="s">
        <v>3792</v>
      </c>
      <c r="K2873" s="57" t="s">
        <v>9128</v>
      </c>
    </row>
    <row r="2874" customFormat="false" ht="90.15" hidden="false" customHeight="false" outlineLevel="0" collapsed="false">
      <c r="A2874" s="0"/>
      <c r="B2874" s="0"/>
      <c r="C2874" s="0"/>
      <c r="D2874" s="0" t="s">
        <v>9706</v>
      </c>
      <c r="E2874" s="0" t="s">
        <v>9707</v>
      </c>
      <c r="F2874" s="0" t="s">
        <v>5334</v>
      </c>
      <c r="G2874" s="57" t="s">
        <v>9708</v>
      </c>
      <c r="H2874" s="57" t="s">
        <v>9709</v>
      </c>
      <c r="I2874" s="37" t="s">
        <v>50</v>
      </c>
      <c r="J2874" s="57" t="s">
        <v>9710</v>
      </c>
      <c r="K2874" s="57" t="s">
        <v>9134</v>
      </c>
    </row>
    <row r="2875" customFormat="false" ht="77.7" hidden="false" customHeight="false" outlineLevel="0" collapsed="false">
      <c r="A2875" s="0"/>
      <c r="B2875" s="0"/>
      <c r="C2875" s="65"/>
      <c r="D2875" s="65"/>
      <c r="E2875" s="65"/>
      <c r="F2875" s="65"/>
      <c r="G2875" s="57" t="s">
        <v>9711</v>
      </c>
      <c r="H2875" s="57" t="s">
        <v>3792</v>
      </c>
      <c r="I2875" s="37"/>
      <c r="J2875" s="57" t="s">
        <v>3792</v>
      </c>
      <c r="K2875" s="57" t="s">
        <v>9136</v>
      </c>
    </row>
    <row r="2876" customFormat="false" ht="90.15" hidden="false" customHeight="false" outlineLevel="0" collapsed="false">
      <c r="A2876" s="0"/>
      <c r="B2876" s="0"/>
      <c r="C2876" s="57" t="s">
        <v>9712</v>
      </c>
      <c r="D2876" s="0" t="s">
        <v>9713</v>
      </c>
      <c r="E2876" s="0" t="s">
        <v>9714</v>
      </c>
      <c r="F2876" s="0" t="s">
        <v>5342</v>
      </c>
      <c r="G2876" s="57" t="s">
        <v>9715</v>
      </c>
      <c r="H2876" s="57" t="s">
        <v>9716</v>
      </c>
      <c r="I2876" s="37" t="s">
        <v>50</v>
      </c>
      <c r="J2876" s="57" t="s">
        <v>9717</v>
      </c>
      <c r="K2876" s="57" t="s">
        <v>9142</v>
      </c>
    </row>
    <row r="2877" customFormat="false" ht="101.05" hidden="false" customHeight="false" outlineLevel="0" collapsed="false">
      <c r="A2877" s="0"/>
      <c r="B2877" s="0"/>
      <c r="C2877" s="0"/>
      <c r="D2877" s="62"/>
      <c r="E2877" s="62"/>
      <c r="F2877" s="62"/>
      <c r="G2877" s="57" t="s">
        <v>9718</v>
      </c>
      <c r="H2877" s="57" t="s">
        <v>3792</v>
      </c>
      <c r="I2877" s="37"/>
      <c r="J2877" s="57" t="s">
        <v>3792</v>
      </c>
      <c r="K2877" s="57" t="s">
        <v>9144</v>
      </c>
    </row>
    <row r="2878" customFormat="false" ht="111.9" hidden="false" customHeight="false" outlineLevel="0" collapsed="false">
      <c r="A2878" s="0"/>
      <c r="B2878" s="0"/>
      <c r="C2878" s="0"/>
      <c r="D2878" s="0" t="s">
        <v>9719</v>
      </c>
      <c r="E2878" s="0" t="s">
        <v>9720</v>
      </c>
      <c r="F2878" s="0" t="s">
        <v>5342</v>
      </c>
      <c r="G2878" s="57" t="s">
        <v>9721</v>
      </c>
      <c r="H2878" s="57" t="s">
        <v>9722</v>
      </c>
      <c r="I2878" s="39" t="s">
        <v>67</v>
      </c>
      <c r="J2878" s="57" t="s">
        <v>9723</v>
      </c>
      <c r="K2878" s="57" t="s">
        <v>9150</v>
      </c>
    </row>
    <row r="2879" customFormat="false" ht="90.15" hidden="false" customHeight="false" outlineLevel="0" collapsed="false">
      <c r="A2879" s="0"/>
      <c r="B2879" s="0"/>
      <c r="C2879" s="0"/>
      <c r="D2879" s="62"/>
      <c r="E2879" s="62"/>
      <c r="F2879" s="62"/>
      <c r="G2879" s="57" t="s">
        <v>9724</v>
      </c>
      <c r="H2879" s="57" t="s">
        <v>3792</v>
      </c>
      <c r="I2879" s="39"/>
      <c r="J2879" s="57" t="s">
        <v>3792</v>
      </c>
      <c r="K2879" s="57" t="s">
        <v>9152</v>
      </c>
    </row>
    <row r="2880" customFormat="false" ht="90.15" hidden="false" customHeight="false" outlineLevel="0" collapsed="false">
      <c r="A2880" s="0"/>
      <c r="B2880" s="0"/>
      <c r="C2880" s="0"/>
      <c r="D2880" s="0" t="s">
        <v>9725</v>
      </c>
      <c r="E2880" s="0" t="s">
        <v>9726</v>
      </c>
      <c r="F2880" s="0" t="s">
        <v>5334</v>
      </c>
      <c r="G2880" s="57" t="s">
        <v>9727</v>
      </c>
      <c r="H2880" s="57" t="s">
        <v>9728</v>
      </c>
      <c r="I2880" s="34" t="s">
        <v>40</v>
      </c>
      <c r="J2880" s="57" t="s">
        <v>9729</v>
      </c>
      <c r="K2880" s="57" t="s">
        <v>9158</v>
      </c>
    </row>
    <row r="2881" customFormat="false" ht="55.95" hidden="false" customHeight="false" outlineLevel="0" collapsed="false">
      <c r="A2881" s="0"/>
      <c r="B2881" s="0"/>
      <c r="C2881" s="0"/>
      <c r="D2881" s="62"/>
      <c r="E2881" s="62"/>
      <c r="F2881" s="62"/>
      <c r="G2881" s="57" t="s">
        <v>9730</v>
      </c>
      <c r="H2881" s="57" t="s">
        <v>3792</v>
      </c>
      <c r="I2881" s="34"/>
      <c r="J2881" s="57" t="s">
        <v>3792</v>
      </c>
      <c r="K2881" s="57" t="s">
        <v>9160</v>
      </c>
    </row>
    <row r="2882" customFormat="false" ht="122.8" hidden="false" customHeight="false" outlineLevel="0" collapsed="false">
      <c r="A2882" s="0"/>
      <c r="B2882" s="0"/>
      <c r="C2882" s="0"/>
      <c r="D2882" s="0" t="s">
        <v>9731</v>
      </c>
      <c r="E2882" s="0" t="s">
        <v>9732</v>
      </c>
      <c r="F2882" s="0" t="s">
        <v>5334</v>
      </c>
      <c r="G2882" s="57" t="s">
        <v>9733</v>
      </c>
      <c r="H2882" s="57" t="s">
        <v>9734</v>
      </c>
      <c r="I2882" s="39" t="s">
        <v>67</v>
      </c>
      <c r="J2882" s="57" t="s">
        <v>9735</v>
      </c>
      <c r="K2882" s="57" t="s">
        <v>9167</v>
      </c>
    </row>
    <row r="2883" customFormat="false" ht="66.85" hidden="false" customHeight="false" outlineLevel="0" collapsed="false">
      <c r="A2883" s="0"/>
      <c r="B2883" s="0"/>
      <c r="C2883" s="0"/>
      <c r="D2883" s="62"/>
      <c r="E2883" s="62"/>
      <c r="F2883" s="62"/>
      <c r="G2883" s="57" t="s">
        <v>9736</v>
      </c>
      <c r="H2883" s="57" t="s">
        <v>3792</v>
      </c>
      <c r="I2883" s="39"/>
      <c r="J2883" s="57" t="s">
        <v>3792</v>
      </c>
      <c r="K2883" s="57" t="s">
        <v>9169</v>
      </c>
    </row>
    <row r="2884" customFormat="false" ht="77.7" hidden="false" customHeight="false" outlineLevel="0" collapsed="false">
      <c r="A2884" s="0"/>
      <c r="B2884" s="0"/>
      <c r="C2884" s="0"/>
      <c r="D2884" s="0" t="s">
        <v>9737</v>
      </c>
      <c r="E2884" s="0" t="s">
        <v>9738</v>
      </c>
      <c r="F2884" s="0" t="s">
        <v>5342</v>
      </c>
      <c r="G2884" s="57" t="s">
        <v>9739</v>
      </c>
      <c r="H2884" s="57" t="s">
        <v>9740</v>
      </c>
      <c r="I2884" s="37" t="s">
        <v>50</v>
      </c>
      <c r="J2884" s="57" t="s">
        <v>9741</v>
      </c>
      <c r="K2884" s="57" t="s">
        <v>9175</v>
      </c>
    </row>
    <row r="2885" customFormat="false" ht="90.15" hidden="false" customHeight="false" outlineLevel="0" collapsed="false">
      <c r="A2885" s="0"/>
      <c r="B2885" s="0"/>
      <c r="C2885" s="65"/>
      <c r="D2885" s="65"/>
      <c r="E2885" s="65"/>
      <c r="F2885" s="65"/>
      <c r="G2885" s="57" t="s">
        <v>9742</v>
      </c>
      <c r="H2885" s="57" t="s">
        <v>3792</v>
      </c>
      <c r="I2885" s="37"/>
      <c r="J2885" s="57" t="s">
        <v>3792</v>
      </c>
      <c r="K2885" s="57" t="s">
        <v>9177</v>
      </c>
    </row>
    <row r="2886" customFormat="false" ht="77.7" hidden="false" customHeight="false" outlineLevel="0" collapsed="false">
      <c r="A2886" s="0"/>
      <c r="B2886" s="0"/>
      <c r="C2886" s="57" t="s">
        <v>9743</v>
      </c>
      <c r="D2886" s="0" t="s">
        <v>9744</v>
      </c>
      <c r="E2886" s="0" t="s">
        <v>9745</v>
      </c>
      <c r="F2886" s="0" t="s">
        <v>5342</v>
      </c>
      <c r="G2886" s="57" t="s">
        <v>9739</v>
      </c>
      <c r="H2886" s="57" t="s">
        <v>9746</v>
      </c>
      <c r="I2886" s="37" t="s">
        <v>50</v>
      </c>
      <c r="J2886" s="57" t="s">
        <v>9747</v>
      </c>
      <c r="K2886" s="57" t="s">
        <v>9183</v>
      </c>
    </row>
    <row r="2887" customFormat="false" ht="90.15" hidden="false" customHeight="false" outlineLevel="0" collapsed="false">
      <c r="A2887" s="0"/>
      <c r="B2887" s="0"/>
      <c r="C2887" s="0"/>
      <c r="D2887" s="62"/>
      <c r="E2887" s="62"/>
      <c r="F2887" s="62"/>
      <c r="G2887" s="57" t="s">
        <v>9742</v>
      </c>
      <c r="H2887" s="57" t="s">
        <v>3792</v>
      </c>
      <c r="I2887" s="37"/>
      <c r="J2887" s="57" t="s">
        <v>3792</v>
      </c>
      <c r="K2887" s="57" t="s">
        <v>9185</v>
      </c>
    </row>
    <row r="2888" customFormat="false" ht="77.7" hidden="false" customHeight="false" outlineLevel="0" collapsed="false">
      <c r="A2888" s="0"/>
      <c r="B2888" s="0"/>
      <c r="C2888" s="0"/>
      <c r="D2888" s="0" t="s">
        <v>9748</v>
      </c>
      <c r="E2888" s="0" t="s">
        <v>9749</v>
      </c>
      <c r="F2888" s="0" t="s">
        <v>5334</v>
      </c>
      <c r="G2888" s="57" t="s">
        <v>9750</v>
      </c>
      <c r="H2888" s="57" t="s">
        <v>9751</v>
      </c>
      <c r="I2888" s="39" t="s">
        <v>67</v>
      </c>
      <c r="J2888" s="57" t="s">
        <v>9752</v>
      </c>
      <c r="K2888" s="57" t="s">
        <v>9191</v>
      </c>
    </row>
    <row r="2889" customFormat="false" ht="90.15" hidden="false" customHeight="false" outlineLevel="0" collapsed="false">
      <c r="A2889" s="0"/>
      <c r="B2889" s="0"/>
      <c r="C2889" s="0"/>
      <c r="D2889" s="62"/>
      <c r="E2889" s="62"/>
      <c r="F2889" s="62"/>
      <c r="G2889" s="57" t="s">
        <v>9753</v>
      </c>
      <c r="H2889" s="57" t="s">
        <v>3792</v>
      </c>
      <c r="I2889" s="39"/>
      <c r="J2889" s="57" t="s">
        <v>3792</v>
      </c>
      <c r="K2889" s="57" t="s">
        <v>9193</v>
      </c>
    </row>
    <row r="2890" customFormat="false" ht="55.95" hidden="false" customHeight="false" outlineLevel="0" collapsed="false">
      <c r="A2890" s="0"/>
      <c r="B2890" s="0"/>
      <c r="C2890" s="0"/>
      <c r="D2890" s="0" t="s">
        <v>9754</v>
      </c>
      <c r="E2890" s="0" t="s">
        <v>9755</v>
      </c>
      <c r="F2890" s="0" t="s">
        <v>5334</v>
      </c>
      <c r="G2890" s="57" t="s">
        <v>9756</v>
      </c>
      <c r="H2890" s="57" t="s">
        <v>9757</v>
      </c>
      <c r="I2890" s="34" t="s">
        <v>40</v>
      </c>
      <c r="J2890" s="57" t="s">
        <v>9758</v>
      </c>
      <c r="K2890" s="57" t="s">
        <v>9199</v>
      </c>
    </row>
    <row r="2891" customFormat="false" ht="77.7" hidden="false" customHeight="false" outlineLevel="0" collapsed="false">
      <c r="A2891" s="0"/>
      <c r="B2891" s="0"/>
      <c r="C2891" s="0"/>
      <c r="D2891" s="62"/>
      <c r="E2891" s="62"/>
      <c r="F2891" s="62"/>
      <c r="G2891" s="57" t="s">
        <v>9759</v>
      </c>
      <c r="H2891" s="57" t="s">
        <v>3792</v>
      </c>
      <c r="I2891" s="34"/>
      <c r="J2891" s="57" t="s">
        <v>3792</v>
      </c>
      <c r="K2891" s="57" t="s">
        <v>9201</v>
      </c>
    </row>
    <row r="2892" customFormat="false" ht="90.15" hidden="false" customHeight="false" outlineLevel="0" collapsed="false">
      <c r="A2892" s="0"/>
      <c r="B2892" s="0"/>
      <c r="C2892" s="0"/>
      <c r="D2892" s="0" t="s">
        <v>9760</v>
      </c>
      <c r="E2892" s="0" t="s">
        <v>9761</v>
      </c>
      <c r="F2892" s="0" t="s">
        <v>5342</v>
      </c>
      <c r="G2892" s="57" t="s">
        <v>9762</v>
      </c>
      <c r="H2892" s="57" t="s">
        <v>9763</v>
      </c>
      <c r="I2892" s="39" t="s">
        <v>67</v>
      </c>
      <c r="J2892" s="57" t="s">
        <v>9764</v>
      </c>
      <c r="K2892" s="57" t="s">
        <v>9208</v>
      </c>
    </row>
    <row r="2893" customFormat="false" ht="157" hidden="false" customHeight="false" outlineLevel="0" collapsed="false">
      <c r="A2893" s="0"/>
      <c r="B2893" s="0"/>
      <c r="C2893" s="0"/>
      <c r="D2893" s="62"/>
      <c r="E2893" s="62"/>
      <c r="F2893" s="62"/>
      <c r="G2893" s="57" t="s">
        <v>9765</v>
      </c>
      <c r="H2893" s="57" t="s">
        <v>3792</v>
      </c>
      <c r="I2893" s="39"/>
      <c r="J2893" s="57" t="s">
        <v>3792</v>
      </c>
      <c r="K2893" s="57" t="s">
        <v>9210</v>
      </c>
    </row>
    <row r="2894" customFormat="false" ht="90.15" hidden="false" customHeight="false" outlineLevel="0" collapsed="false">
      <c r="A2894" s="0"/>
      <c r="B2894" s="0"/>
      <c r="C2894" s="0"/>
      <c r="D2894" s="0" t="s">
        <v>9766</v>
      </c>
      <c r="E2894" s="0" t="s">
        <v>9767</v>
      </c>
      <c r="F2894" s="0" t="s">
        <v>5334</v>
      </c>
      <c r="G2894" s="57" t="s">
        <v>9768</v>
      </c>
      <c r="H2894" s="57" t="s">
        <v>9769</v>
      </c>
      <c r="I2894" s="37" t="s">
        <v>50</v>
      </c>
      <c r="J2894" s="57" t="s">
        <v>9770</v>
      </c>
      <c r="K2894" s="57" t="s">
        <v>9216</v>
      </c>
    </row>
    <row r="2895" customFormat="false" ht="133.7" hidden="false" customHeight="false" outlineLevel="0" collapsed="false">
      <c r="A2895" s="0"/>
      <c r="B2895" s="69"/>
      <c r="C2895" s="69"/>
      <c r="D2895" s="65"/>
      <c r="E2895" s="65"/>
      <c r="F2895" s="65"/>
      <c r="G2895" s="57" t="s">
        <v>9771</v>
      </c>
      <c r="H2895" s="57" t="s">
        <v>3792</v>
      </c>
      <c r="I2895" s="37"/>
      <c r="J2895" s="57" t="s">
        <v>3792</v>
      </c>
      <c r="K2895" s="57" t="s">
        <v>9218</v>
      </c>
    </row>
    <row r="2896" customFormat="false" ht="111.9" hidden="false" customHeight="false" outlineLevel="0" collapsed="false">
      <c r="A2896" s="0"/>
      <c r="B2896" s="0" t="s">
        <v>9474</v>
      </c>
      <c r="C2896" s="57" t="s">
        <v>9475</v>
      </c>
      <c r="D2896" s="0" t="s">
        <v>9476</v>
      </c>
      <c r="E2896" s="0" t="s">
        <v>9772</v>
      </c>
      <c r="F2896" s="0" t="s">
        <v>5334</v>
      </c>
      <c r="G2896" s="57" t="s">
        <v>9773</v>
      </c>
      <c r="H2896" s="57" t="s">
        <v>9479</v>
      </c>
      <c r="I2896" s="37" t="s">
        <v>50</v>
      </c>
      <c r="J2896" s="57" t="s">
        <v>9774</v>
      </c>
      <c r="K2896" s="57" t="s">
        <v>9223</v>
      </c>
    </row>
    <row r="2897" customFormat="false" ht="77.7" hidden="false" customHeight="false" outlineLevel="0" collapsed="false">
      <c r="A2897" s="0"/>
      <c r="B2897" s="0"/>
      <c r="C2897" s="0"/>
      <c r="D2897" s="62"/>
      <c r="E2897" s="62"/>
      <c r="F2897" s="62"/>
      <c r="G2897" s="57" t="s">
        <v>9775</v>
      </c>
      <c r="H2897" s="57" t="s">
        <v>3792</v>
      </c>
      <c r="I2897" s="37"/>
      <c r="J2897" s="57" t="s">
        <v>3792</v>
      </c>
      <c r="K2897" s="57" t="s">
        <v>9224</v>
      </c>
    </row>
    <row r="2898" customFormat="false" ht="157" hidden="false" customHeight="false" outlineLevel="0" collapsed="false">
      <c r="A2898" s="0"/>
      <c r="B2898" s="0"/>
      <c r="C2898" s="0"/>
      <c r="D2898" s="0" t="s">
        <v>9483</v>
      </c>
      <c r="E2898" s="0" t="s">
        <v>9776</v>
      </c>
      <c r="F2898" s="0" t="s">
        <v>5342</v>
      </c>
      <c r="G2898" s="57" t="s">
        <v>9777</v>
      </c>
      <c r="H2898" s="57" t="s">
        <v>9486</v>
      </c>
      <c r="I2898" s="39" t="s">
        <v>67</v>
      </c>
      <c r="J2898" s="57" t="s">
        <v>9778</v>
      </c>
      <c r="K2898" s="57" t="s">
        <v>9229</v>
      </c>
    </row>
    <row r="2899" customFormat="false" ht="66.85" hidden="false" customHeight="false" outlineLevel="0" collapsed="false">
      <c r="A2899" s="0"/>
      <c r="B2899" s="0"/>
      <c r="C2899" s="0"/>
      <c r="D2899" s="62"/>
      <c r="E2899" s="62"/>
      <c r="F2899" s="62"/>
      <c r="G2899" s="57" t="s">
        <v>9779</v>
      </c>
      <c r="H2899" s="57" t="s">
        <v>3792</v>
      </c>
      <c r="I2899" s="39"/>
      <c r="J2899" s="57" t="s">
        <v>3792</v>
      </c>
      <c r="K2899" s="57" t="s">
        <v>9230</v>
      </c>
    </row>
    <row r="2900" customFormat="false" ht="111.9" hidden="false" customHeight="false" outlineLevel="0" collapsed="false">
      <c r="A2900" s="0"/>
      <c r="B2900" s="0"/>
      <c r="C2900" s="0"/>
      <c r="D2900" s="0" t="s">
        <v>9490</v>
      </c>
      <c r="E2900" s="0" t="s">
        <v>9780</v>
      </c>
      <c r="F2900" s="0" t="s">
        <v>5334</v>
      </c>
      <c r="G2900" s="57" t="s">
        <v>9781</v>
      </c>
      <c r="H2900" s="57" t="s">
        <v>9492</v>
      </c>
      <c r="I2900" s="34" t="s">
        <v>40</v>
      </c>
      <c r="J2900" s="57" t="s">
        <v>9782</v>
      </c>
      <c r="K2900" s="57" t="s">
        <v>9235</v>
      </c>
    </row>
    <row r="2901" customFormat="false" ht="77.7" hidden="false" customHeight="false" outlineLevel="0" collapsed="false">
      <c r="A2901" s="0"/>
      <c r="B2901" s="0"/>
      <c r="C2901" s="0"/>
      <c r="D2901" s="62"/>
      <c r="E2901" s="62"/>
      <c r="F2901" s="62"/>
      <c r="G2901" s="57" t="s">
        <v>9783</v>
      </c>
      <c r="H2901" s="57" t="s">
        <v>3792</v>
      </c>
      <c r="I2901" s="34"/>
      <c r="J2901" s="57" t="s">
        <v>3792</v>
      </c>
      <c r="K2901" s="57" t="s">
        <v>9236</v>
      </c>
    </row>
    <row r="2902" customFormat="false" ht="101.05" hidden="false" customHeight="false" outlineLevel="0" collapsed="false">
      <c r="A2902" s="0"/>
      <c r="B2902" s="0"/>
      <c r="C2902" s="0"/>
      <c r="D2902" s="0" t="s">
        <v>9495</v>
      </c>
      <c r="E2902" s="0" t="s">
        <v>9784</v>
      </c>
      <c r="F2902" s="0" t="s">
        <v>5342</v>
      </c>
      <c r="G2902" s="73" t="s">
        <v>9785</v>
      </c>
      <c r="H2902" s="57" t="s">
        <v>9497</v>
      </c>
      <c r="I2902" s="39" t="s">
        <v>67</v>
      </c>
      <c r="J2902" s="57" t="s">
        <v>9786</v>
      </c>
      <c r="K2902" s="57" t="s">
        <v>9242</v>
      </c>
    </row>
    <row r="2903" customFormat="false" ht="66.85" hidden="false" customHeight="false" outlineLevel="0" collapsed="false">
      <c r="A2903" s="0"/>
      <c r="B2903" s="0"/>
      <c r="C2903" s="0"/>
      <c r="D2903" s="62"/>
      <c r="E2903" s="62"/>
      <c r="F2903" s="62"/>
      <c r="G2903" s="57" t="s">
        <v>9787</v>
      </c>
      <c r="H2903" s="57" t="s">
        <v>3792</v>
      </c>
      <c r="I2903" s="39"/>
      <c r="J2903" s="57" t="s">
        <v>3792</v>
      </c>
      <c r="K2903" s="57" t="s">
        <v>9243</v>
      </c>
    </row>
    <row r="2904" customFormat="false" ht="66.85" hidden="false" customHeight="false" outlineLevel="0" collapsed="false">
      <c r="A2904" s="0"/>
      <c r="B2904" s="0"/>
      <c r="C2904" s="72"/>
      <c r="D2904" s="0" t="s">
        <v>9500</v>
      </c>
      <c r="E2904" s="0" t="s">
        <v>9788</v>
      </c>
      <c r="F2904" s="0" t="s">
        <v>5342</v>
      </c>
      <c r="G2904" s="57" t="s">
        <v>9789</v>
      </c>
      <c r="H2904" s="57" t="s">
        <v>9502</v>
      </c>
      <c r="I2904" s="37" t="s">
        <v>50</v>
      </c>
      <c r="J2904" s="57" t="s">
        <v>9790</v>
      </c>
      <c r="K2904" s="57" t="s">
        <v>9248</v>
      </c>
    </row>
    <row r="2905" customFormat="false" ht="90.15" hidden="false" customHeight="false" outlineLevel="0" collapsed="false">
      <c r="A2905" s="0"/>
      <c r="B2905" s="0"/>
      <c r="C2905" s="65"/>
      <c r="D2905" s="65"/>
      <c r="E2905" s="65"/>
      <c r="F2905" s="65"/>
      <c r="G2905" s="57" t="s">
        <v>9791</v>
      </c>
      <c r="H2905" s="65"/>
      <c r="I2905" s="37"/>
      <c r="J2905" s="57" t="s">
        <v>3792</v>
      </c>
      <c r="K2905" s="57" t="s">
        <v>9249</v>
      </c>
    </row>
    <row r="2906" customFormat="false" ht="66.85" hidden="false" customHeight="false" outlineLevel="0" collapsed="false">
      <c r="A2906" s="0"/>
      <c r="B2906" s="0"/>
      <c r="C2906" s="57" t="s">
        <v>9505</v>
      </c>
      <c r="D2906" s="0" t="s">
        <v>9506</v>
      </c>
      <c r="E2906" s="0" t="s">
        <v>9792</v>
      </c>
      <c r="F2906" s="0" t="s">
        <v>5334</v>
      </c>
      <c r="G2906" s="57" t="s">
        <v>9789</v>
      </c>
      <c r="H2906" s="57" t="s">
        <v>9793</v>
      </c>
      <c r="I2906" s="34" t="s">
        <v>40</v>
      </c>
      <c r="J2906" s="57" t="s">
        <v>9794</v>
      </c>
      <c r="K2906" s="57" t="s">
        <v>9254</v>
      </c>
    </row>
    <row r="2907" customFormat="false" ht="90.15" hidden="false" customHeight="false" outlineLevel="0" collapsed="false">
      <c r="A2907" s="0"/>
      <c r="B2907" s="0"/>
      <c r="C2907" s="0"/>
      <c r="D2907" s="62"/>
      <c r="E2907" s="62"/>
      <c r="F2907" s="62"/>
      <c r="G2907" s="57" t="s">
        <v>9791</v>
      </c>
      <c r="H2907" s="57" t="s">
        <v>3792</v>
      </c>
      <c r="I2907" s="34"/>
      <c r="J2907" s="57" t="s">
        <v>3792</v>
      </c>
      <c r="K2907" s="57" t="s">
        <v>9255</v>
      </c>
    </row>
    <row r="2908" customFormat="false" ht="66.85" hidden="false" customHeight="false" outlineLevel="0" collapsed="false">
      <c r="A2908" s="0"/>
      <c r="B2908" s="0"/>
      <c r="C2908" s="0"/>
      <c r="D2908" s="0" t="s">
        <v>9513</v>
      </c>
      <c r="E2908" s="0" t="s">
        <v>9795</v>
      </c>
      <c r="F2908" s="0" t="s">
        <v>5334</v>
      </c>
      <c r="G2908" s="57" t="s">
        <v>9796</v>
      </c>
      <c r="H2908" s="57" t="s">
        <v>9797</v>
      </c>
      <c r="I2908" s="37" t="s">
        <v>50</v>
      </c>
      <c r="J2908" s="57" t="s">
        <v>9798</v>
      </c>
      <c r="K2908" s="57" t="s">
        <v>9260</v>
      </c>
    </row>
    <row r="2909" customFormat="false" ht="77.7" hidden="false" customHeight="false" outlineLevel="0" collapsed="false">
      <c r="A2909" s="0"/>
      <c r="B2909" s="0"/>
      <c r="C2909" s="0"/>
      <c r="D2909" s="62"/>
      <c r="E2909" s="62"/>
      <c r="F2909" s="62"/>
      <c r="G2909" s="57" t="s">
        <v>9799</v>
      </c>
      <c r="H2909" s="57" t="s">
        <v>3792</v>
      </c>
      <c r="I2909" s="37"/>
      <c r="J2909" s="57" t="s">
        <v>3792</v>
      </c>
      <c r="K2909" s="57" t="s">
        <v>9262</v>
      </c>
    </row>
    <row r="2910" customFormat="false" ht="111.9" hidden="false" customHeight="false" outlineLevel="0" collapsed="false">
      <c r="A2910" s="0"/>
      <c r="B2910" s="0"/>
      <c r="C2910" s="0"/>
      <c r="D2910" s="0" t="s">
        <v>9520</v>
      </c>
      <c r="E2910" s="0" t="s">
        <v>9800</v>
      </c>
      <c r="F2910" s="0" t="s">
        <v>5342</v>
      </c>
      <c r="G2910" s="57" t="s">
        <v>9801</v>
      </c>
      <c r="H2910" s="57" t="s">
        <v>9802</v>
      </c>
      <c r="I2910" s="34" t="s">
        <v>40</v>
      </c>
      <c r="J2910" s="57" t="s">
        <v>9803</v>
      </c>
      <c r="K2910" s="57" t="s">
        <v>9268</v>
      </c>
    </row>
    <row r="2911" customFormat="false" ht="55.95" hidden="false" customHeight="false" outlineLevel="0" collapsed="false">
      <c r="A2911" s="0"/>
      <c r="B2911" s="0"/>
      <c r="C2911" s="0"/>
      <c r="D2911" s="62"/>
      <c r="E2911" s="62"/>
      <c r="F2911" s="62"/>
      <c r="G2911" s="57" t="s">
        <v>9804</v>
      </c>
      <c r="H2911" s="57" t="s">
        <v>3792</v>
      </c>
      <c r="I2911" s="34"/>
      <c r="J2911" s="57" t="s">
        <v>3792</v>
      </c>
      <c r="K2911" s="57" t="s">
        <v>9270</v>
      </c>
    </row>
    <row r="2912" customFormat="false" ht="90.15" hidden="false" customHeight="false" outlineLevel="0" collapsed="false">
      <c r="A2912" s="0"/>
      <c r="B2912" s="0"/>
      <c r="C2912" s="0"/>
      <c r="D2912" s="0" t="s">
        <v>9527</v>
      </c>
      <c r="E2912" s="0" t="s">
        <v>9805</v>
      </c>
      <c r="F2912" s="0" t="s">
        <v>5334</v>
      </c>
      <c r="G2912" s="57" t="s">
        <v>9806</v>
      </c>
      <c r="H2912" s="57" t="s">
        <v>9807</v>
      </c>
      <c r="I2912" s="39" t="s">
        <v>67</v>
      </c>
      <c r="J2912" s="57" t="s">
        <v>9808</v>
      </c>
      <c r="K2912" s="57" t="s">
        <v>9277</v>
      </c>
    </row>
    <row r="2913" customFormat="false" ht="77.7" hidden="false" customHeight="false" outlineLevel="0" collapsed="false">
      <c r="A2913" s="0"/>
      <c r="B2913" s="0"/>
      <c r="C2913" s="0"/>
      <c r="D2913" s="62"/>
      <c r="E2913" s="62"/>
      <c r="F2913" s="62"/>
      <c r="G2913" s="57" t="s">
        <v>9809</v>
      </c>
      <c r="H2913" s="57" t="s">
        <v>3792</v>
      </c>
      <c r="I2913" s="39"/>
      <c r="J2913" s="57" t="s">
        <v>3792</v>
      </c>
      <c r="K2913" s="57" t="s">
        <v>9279</v>
      </c>
    </row>
    <row r="2914" customFormat="false" ht="77.7" hidden="false" customHeight="false" outlineLevel="0" collapsed="false">
      <c r="A2914" s="0"/>
      <c r="B2914" s="0"/>
      <c r="C2914" s="0"/>
      <c r="D2914" s="0" t="s">
        <v>9534</v>
      </c>
      <c r="E2914" s="0" t="s">
        <v>9810</v>
      </c>
      <c r="F2914" s="0" t="s">
        <v>5334</v>
      </c>
      <c r="G2914" s="57" t="s">
        <v>9811</v>
      </c>
      <c r="H2914" s="57" t="s">
        <v>9812</v>
      </c>
      <c r="I2914" s="34" t="s">
        <v>40</v>
      </c>
      <c r="J2914" s="57" t="s">
        <v>9813</v>
      </c>
      <c r="K2914" s="57" t="s">
        <v>9285</v>
      </c>
    </row>
    <row r="2915" customFormat="false" ht="101.05" hidden="false" customHeight="false" outlineLevel="0" collapsed="false">
      <c r="A2915" s="0"/>
      <c r="B2915" s="0"/>
      <c r="C2915" s="65"/>
      <c r="D2915" s="65"/>
      <c r="E2915" s="65"/>
      <c r="F2915" s="65"/>
      <c r="G2915" s="57" t="s">
        <v>9814</v>
      </c>
      <c r="H2915" s="57" t="s">
        <v>3792</v>
      </c>
      <c r="I2915" s="34"/>
      <c r="J2915" s="57" t="s">
        <v>3792</v>
      </c>
      <c r="K2915" s="57" t="s">
        <v>9287</v>
      </c>
    </row>
    <row r="2916" customFormat="false" ht="77.7" hidden="false" customHeight="false" outlineLevel="0" collapsed="false">
      <c r="A2916" s="0"/>
      <c r="B2916" s="0"/>
      <c r="C2916" s="0" t="s">
        <v>9541</v>
      </c>
      <c r="D2916" s="0" t="s">
        <v>9542</v>
      </c>
      <c r="E2916" s="0" t="s">
        <v>9815</v>
      </c>
      <c r="F2916" s="0" t="s">
        <v>5334</v>
      </c>
      <c r="G2916" s="57" t="s">
        <v>9816</v>
      </c>
      <c r="H2916" s="57" t="s">
        <v>9817</v>
      </c>
      <c r="I2916" s="37" t="s">
        <v>50</v>
      </c>
      <c r="J2916" s="57" t="s">
        <v>9818</v>
      </c>
      <c r="K2916" s="57" t="s">
        <v>9293</v>
      </c>
    </row>
    <row r="2917" customFormat="false" ht="90.15" hidden="false" customHeight="false" outlineLevel="0" collapsed="false">
      <c r="A2917" s="0"/>
      <c r="B2917" s="0"/>
      <c r="C2917" s="0"/>
      <c r="D2917" s="62"/>
      <c r="E2917" s="62"/>
      <c r="F2917" s="62"/>
      <c r="G2917" s="57" t="s">
        <v>9819</v>
      </c>
      <c r="H2917" s="57" t="s">
        <v>3792</v>
      </c>
      <c r="I2917" s="37"/>
      <c r="J2917" s="57" t="s">
        <v>3792</v>
      </c>
      <c r="K2917" s="57" t="s">
        <v>9295</v>
      </c>
    </row>
    <row r="2918" customFormat="false" ht="77.7" hidden="false" customHeight="false" outlineLevel="0" collapsed="false">
      <c r="A2918" s="0"/>
      <c r="B2918" s="0"/>
      <c r="C2918" s="0"/>
      <c r="D2918" s="0" t="s">
        <v>9549</v>
      </c>
      <c r="E2918" s="0" t="s">
        <v>9820</v>
      </c>
      <c r="F2918" s="0" t="s">
        <v>5342</v>
      </c>
      <c r="G2918" s="57" t="s">
        <v>9821</v>
      </c>
      <c r="H2918" s="57" t="s">
        <v>9822</v>
      </c>
      <c r="I2918" s="34" t="s">
        <v>40</v>
      </c>
      <c r="J2918" s="57" t="s">
        <v>9823</v>
      </c>
      <c r="K2918" s="57" t="s">
        <v>9301</v>
      </c>
    </row>
    <row r="2919" customFormat="false" ht="122.8" hidden="false" customHeight="false" outlineLevel="0" collapsed="false">
      <c r="A2919" s="0"/>
      <c r="B2919" s="0"/>
      <c r="C2919" s="0"/>
      <c r="D2919" s="62"/>
      <c r="E2919" s="62"/>
      <c r="F2919" s="62"/>
      <c r="G2919" s="57" t="s">
        <v>9824</v>
      </c>
      <c r="H2919" s="57" t="s">
        <v>3792</v>
      </c>
      <c r="I2919" s="34"/>
      <c r="J2919" s="57" t="s">
        <v>3792</v>
      </c>
      <c r="K2919" s="57" t="s">
        <v>9303</v>
      </c>
    </row>
    <row r="2920" customFormat="false" ht="77.7" hidden="false" customHeight="false" outlineLevel="0" collapsed="false">
      <c r="A2920" s="0"/>
      <c r="B2920" s="0"/>
      <c r="C2920" s="0"/>
      <c r="D2920" s="0" t="s">
        <v>9556</v>
      </c>
      <c r="E2920" s="0" t="s">
        <v>9825</v>
      </c>
      <c r="F2920" s="0" t="s">
        <v>5342</v>
      </c>
      <c r="G2920" s="57" t="s">
        <v>9826</v>
      </c>
      <c r="H2920" s="57" t="s">
        <v>9827</v>
      </c>
      <c r="I2920" s="39" t="s">
        <v>67</v>
      </c>
      <c r="J2920" s="57" t="s">
        <v>9828</v>
      </c>
      <c r="K2920" s="57" t="s">
        <v>9309</v>
      </c>
    </row>
    <row r="2921" customFormat="false" ht="90.15" hidden="false" customHeight="false" outlineLevel="0" collapsed="false">
      <c r="A2921" s="0"/>
      <c r="B2921" s="0"/>
      <c r="C2921" s="0"/>
      <c r="D2921" s="62"/>
      <c r="E2921" s="62"/>
      <c r="F2921" s="62"/>
      <c r="G2921" s="57" t="s">
        <v>9829</v>
      </c>
      <c r="H2921" s="57" t="s">
        <v>3792</v>
      </c>
      <c r="I2921" s="39"/>
      <c r="J2921" s="57" t="s">
        <v>3792</v>
      </c>
      <c r="K2921" s="57" t="s">
        <v>9311</v>
      </c>
    </row>
    <row r="2922" customFormat="false" ht="77.7" hidden="false" customHeight="false" outlineLevel="0" collapsed="false">
      <c r="A2922" s="0"/>
      <c r="B2922" s="0"/>
      <c r="C2922" s="0"/>
      <c r="D2922" s="0" t="s">
        <v>9563</v>
      </c>
      <c r="E2922" s="0" t="s">
        <v>9830</v>
      </c>
      <c r="F2922" s="0" t="s">
        <v>5342</v>
      </c>
      <c r="G2922" s="57" t="s">
        <v>9831</v>
      </c>
      <c r="H2922" s="57" t="s">
        <v>9832</v>
      </c>
      <c r="I2922" s="34" t="s">
        <v>40</v>
      </c>
      <c r="J2922" s="57" t="s">
        <v>9833</v>
      </c>
      <c r="K2922" s="57" t="s">
        <v>9318</v>
      </c>
    </row>
    <row r="2923" customFormat="false" ht="101.05" hidden="false" customHeight="false" outlineLevel="0" collapsed="false">
      <c r="A2923" s="0"/>
      <c r="B2923" s="0"/>
      <c r="C2923" s="0"/>
      <c r="D2923" s="62"/>
      <c r="E2923" s="62"/>
      <c r="F2923" s="62"/>
      <c r="G2923" s="57" t="s">
        <v>9834</v>
      </c>
      <c r="H2923" s="57" t="s">
        <v>3792</v>
      </c>
      <c r="I2923" s="34"/>
      <c r="J2923" s="57" t="s">
        <v>3792</v>
      </c>
      <c r="K2923" s="57" t="s">
        <v>9320</v>
      </c>
    </row>
    <row r="2924" customFormat="false" ht="90.15" hidden="false" customHeight="false" outlineLevel="0" collapsed="false">
      <c r="A2924" s="0"/>
      <c r="B2924" s="0"/>
      <c r="C2924" s="0"/>
      <c r="D2924" s="0" t="s">
        <v>9570</v>
      </c>
      <c r="E2924" s="0" t="s">
        <v>9835</v>
      </c>
      <c r="F2924" s="0" t="s">
        <v>5342</v>
      </c>
      <c r="G2924" s="57" t="s">
        <v>9836</v>
      </c>
      <c r="H2924" s="57" t="s">
        <v>9837</v>
      </c>
      <c r="I2924" s="37" t="s">
        <v>50</v>
      </c>
      <c r="J2924" s="57" t="s">
        <v>9838</v>
      </c>
      <c r="K2924" s="57" t="s">
        <v>9326</v>
      </c>
    </row>
    <row r="2925" customFormat="false" ht="66.85" hidden="false" customHeight="false" outlineLevel="0" collapsed="false">
      <c r="A2925" s="0"/>
      <c r="B2925" s="0"/>
      <c r="C2925" s="65"/>
      <c r="D2925" s="65"/>
      <c r="E2925" s="65"/>
      <c r="F2925" s="65"/>
      <c r="G2925" s="57" t="s">
        <v>9839</v>
      </c>
      <c r="H2925" s="57" t="s">
        <v>3792</v>
      </c>
      <c r="I2925" s="37"/>
      <c r="J2925" s="57" t="s">
        <v>3792</v>
      </c>
      <c r="K2925" s="57" t="s">
        <v>9328</v>
      </c>
    </row>
    <row r="2926" customFormat="false" ht="122.8" hidden="false" customHeight="false" outlineLevel="0" collapsed="false">
      <c r="A2926" s="0"/>
      <c r="B2926" s="0"/>
      <c r="C2926" s="57" t="s">
        <v>9577</v>
      </c>
      <c r="D2926" s="0" t="s">
        <v>9578</v>
      </c>
      <c r="E2926" s="0" t="s">
        <v>9840</v>
      </c>
      <c r="F2926" s="0" t="s">
        <v>5334</v>
      </c>
      <c r="G2926" s="57" t="s">
        <v>9841</v>
      </c>
      <c r="H2926" s="57" t="s">
        <v>9842</v>
      </c>
      <c r="I2926" s="34" t="s">
        <v>40</v>
      </c>
      <c r="J2926" s="57" t="s">
        <v>9843</v>
      </c>
      <c r="K2926" s="57" t="s">
        <v>9334</v>
      </c>
    </row>
    <row r="2927" customFormat="false" ht="77.7" hidden="false" customHeight="false" outlineLevel="0" collapsed="false">
      <c r="A2927" s="0"/>
      <c r="B2927" s="0"/>
      <c r="C2927" s="0"/>
      <c r="D2927" s="62"/>
      <c r="E2927" s="62"/>
      <c r="F2927" s="62"/>
      <c r="G2927" s="57" t="s">
        <v>9844</v>
      </c>
      <c r="H2927" s="57" t="s">
        <v>3792</v>
      </c>
      <c r="I2927" s="34"/>
      <c r="J2927" s="57" t="s">
        <v>3792</v>
      </c>
      <c r="K2927" s="57" t="s">
        <v>9336</v>
      </c>
    </row>
    <row r="2928" customFormat="false" ht="90.15" hidden="false" customHeight="false" outlineLevel="0" collapsed="false">
      <c r="A2928" s="0"/>
      <c r="B2928" s="0"/>
      <c r="C2928" s="0"/>
      <c r="D2928" s="0" t="s">
        <v>9585</v>
      </c>
      <c r="E2928" s="0" t="s">
        <v>9845</v>
      </c>
      <c r="F2928" s="0" t="s">
        <v>5342</v>
      </c>
      <c r="G2928" s="57" t="s">
        <v>9846</v>
      </c>
      <c r="H2928" s="57" t="s">
        <v>9847</v>
      </c>
      <c r="I2928" s="39" t="s">
        <v>67</v>
      </c>
      <c r="J2928" s="57" t="s">
        <v>9848</v>
      </c>
      <c r="K2928" s="57" t="s">
        <v>9342</v>
      </c>
    </row>
    <row r="2929" customFormat="false" ht="101.05" hidden="false" customHeight="false" outlineLevel="0" collapsed="false">
      <c r="A2929" s="0"/>
      <c r="B2929" s="0"/>
      <c r="C2929" s="0"/>
      <c r="D2929" s="62"/>
      <c r="E2929" s="62"/>
      <c r="F2929" s="62"/>
      <c r="G2929" s="57" t="s">
        <v>9849</v>
      </c>
      <c r="H2929" s="57" t="s">
        <v>3792</v>
      </c>
      <c r="I2929" s="39"/>
      <c r="J2929" s="57" t="s">
        <v>3792</v>
      </c>
      <c r="K2929" s="57" t="s">
        <v>9344</v>
      </c>
    </row>
    <row r="2930" customFormat="false" ht="77.7" hidden="false" customHeight="false" outlineLevel="0" collapsed="false">
      <c r="A2930" s="0"/>
      <c r="B2930" s="0"/>
      <c r="C2930" s="0"/>
      <c r="D2930" s="0" t="s">
        <v>9592</v>
      </c>
      <c r="E2930" s="0" t="s">
        <v>9850</v>
      </c>
      <c r="F2930" s="0" t="s">
        <v>5342</v>
      </c>
      <c r="G2930" s="57" t="s">
        <v>9851</v>
      </c>
      <c r="H2930" s="57" t="s">
        <v>9852</v>
      </c>
      <c r="I2930" s="34" t="s">
        <v>40</v>
      </c>
      <c r="J2930" s="57" t="s">
        <v>9853</v>
      </c>
      <c r="K2930" s="57" t="s">
        <v>9350</v>
      </c>
    </row>
    <row r="2931" customFormat="false" ht="77.7" hidden="false" customHeight="false" outlineLevel="0" collapsed="false">
      <c r="A2931" s="0"/>
      <c r="B2931" s="0"/>
      <c r="C2931" s="0"/>
      <c r="D2931" s="62"/>
      <c r="E2931" s="62"/>
      <c r="F2931" s="62"/>
      <c r="G2931" s="57" t="s">
        <v>9854</v>
      </c>
      <c r="H2931" s="57" t="s">
        <v>3792</v>
      </c>
      <c r="I2931" s="34"/>
      <c r="J2931" s="57" t="s">
        <v>3792</v>
      </c>
      <c r="K2931" s="57" t="s">
        <v>9352</v>
      </c>
    </row>
    <row r="2932" customFormat="false" ht="101.05" hidden="false" customHeight="false" outlineLevel="0" collapsed="false">
      <c r="A2932" s="0"/>
      <c r="B2932" s="0"/>
      <c r="C2932" s="0"/>
      <c r="D2932" s="0" t="s">
        <v>9599</v>
      </c>
      <c r="E2932" s="0" t="s">
        <v>9855</v>
      </c>
      <c r="F2932" s="0" t="s">
        <v>5334</v>
      </c>
      <c r="G2932" s="57" t="s">
        <v>9856</v>
      </c>
      <c r="H2932" s="57" t="s">
        <v>9857</v>
      </c>
      <c r="I2932" s="37" t="s">
        <v>50</v>
      </c>
      <c r="J2932" s="57" t="s">
        <v>9858</v>
      </c>
      <c r="K2932" s="57" t="s">
        <v>9359</v>
      </c>
    </row>
    <row r="2933" customFormat="false" ht="77.7" hidden="false" customHeight="false" outlineLevel="0" collapsed="false">
      <c r="A2933" s="0"/>
      <c r="B2933" s="0"/>
      <c r="C2933" s="0"/>
      <c r="D2933" s="62"/>
      <c r="E2933" s="62"/>
      <c r="F2933" s="62"/>
      <c r="G2933" s="57" t="s">
        <v>9859</v>
      </c>
      <c r="H2933" s="57" t="s">
        <v>3792</v>
      </c>
      <c r="I2933" s="37"/>
      <c r="J2933" s="57" t="s">
        <v>3792</v>
      </c>
      <c r="K2933" s="57" t="s">
        <v>9361</v>
      </c>
    </row>
    <row r="2934" customFormat="false" ht="133.7" hidden="false" customHeight="false" outlineLevel="0" collapsed="false">
      <c r="A2934" s="0"/>
      <c r="B2934" s="0"/>
      <c r="C2934" s="0"/>
      <c r="D2934" s="0" t="s">
        <v>9606</v>
      </c>
      <c r="E2934" s="0" t="s">
        <v>9860</v>
      </c>
      <c r="F2934" s="0" t="s">
        <v>5334</v>
      </c>
      <c r="G2934" s="57" t="s">
        <v>9608</v>
      </c>
      <c r="H2934" s="57" t="s">
        <v>9861</v>
      </c>
      <c r="I2934" s="34" t="s">
        <v>40</v>
      </c>
      <c r="J2934" s="57" t="s">
        <v>9862</v>
      </c>
      <c r="K2934" s="57" t="s">
        <v>9367</v>
      </c>
    </row>
    <row r="2935" customFormat="false" ht="157" hidden="false" customHeight="false" outlineLevel="0" collapsed="false">
      <c r="A2935" s="0"/>
      <c r="B2935" s="0"/>
      <c r="C2935" s="65"/>
      <c r="D2935" s="65"/>
      <c r="E2935" s="65"/>
      <c r="F2935" s="65"/>
      <c r="G2935" s="57" t="s">
        <v>9612</v>
      </c>
      <c r="H2935" s="57" t="s">
        <v>3792</v>
      </c>
      <c r="I2935" s="34"/>
      <c r="J2935" s="57" t="s">
        <v>3792</v>
      </c>
      <c r="K2935" s="57" t="s">
        <v>9369</v>
      </c>
    </row>
    <row r="2936" customFormat="false" ht="101.05" hidden="false" customHeight="false" outlineLevel="0" collapsed="false">
      <c r="A2936" s="0"/>
      <c r="B2936" s="0"/>
      <c r="C2936" s="0" t="s">
        <v>9613</v>
      </c>
      <c r="D2936" s="0" t="s">
        <v>9614</v>
      </c>
      <c r="E2936" s="0" t="s">
        <v>9863</v>
      </c>
      <c r="F2936" s="0" t="s">
        <v>5342</v>
      </c>
      <c r="G2936" s="57" t="s">
        <v>9616</v>
      </c>
      <c r="H2936" s="57" t="s">
        <v>9864</v>
      </c>
      <c r="I2936" s="39" t="s">
        <v>67</v>
      </c>
      <c r="J2936" s="57" t="s">
        <v>9865</v>
      </c>
      <c r="K2936" s="57" t="s">
        <v>9375</v>
      </c>
    </row>
    <row r="2937" customFormat="false" ht="157" hidden="false" customHeight="false" outlineLevel="0" collapsed="false">
      <c r="A2937" s="0"/>
      <c r="B2937" s="0"/>
      <c r="C2937" s="0"/>
      <c r="D2937" s="62"/>
      <c r="E2937" s="62"/>
      <c r="F2937" s="62"/>
      <c r="G2937" s="57" t="s">
        <v>9620</v>
      </c>
      <c r="H2937" s="57" t="s">
        <v>3792</v>
      </c>
      <c r="I2937" s="39"/>
      <c r="J2937" s="57" t="s">
        <v>3792</v>
      </c>
      <c r="K2937" s="57" t="s">
        <v>9377</v>
      </c>
    </row>
    <row r="2938" customFormat="false" ht="167.9" hidden="false" customHeight="false" outlineLevel="0" collapsed="false">
      <c r="A2938" s="0"/>
      <c r="B2938" s="0"/>
      <c r="C2938" s="0"/>
      <c r="D2938" s="0" t="s">
        <v>9621</v>
      </c>
      <c r="E2938" s="0" t="s">
        <v>9866</v>
      </c>
      <c r="F2938" s="0" t="s">
        <v>5334</v>
      </c>
      <c r="G2938" s="57" t="s">
        <v>9623</v>
      </c>
      <c r="H2938" s="57" t="s">
        <v>9867</v>
      </c>
      <c r="I2938" s="34" t="s">
        <v>40</v>
      </c>
      <c r="J2938" s="57" t="s">
        <v>9868</v>
      </c>
      <c r="K2938" s="57" t="s">
        <v>9383</v>
      </c>
    </row>
    <row r="2939" customFormat="false" ht="178.75" hidden="false" customHeight="false" outlineLevel="0" collapsed="false">
      <c r="A2939" s="0"/>
      <c r="B2939" s="0"/>
      <c r="C2939" s="0"/>
      <c r="D2939" s="62"/>
      <c r="E2939" s="62"/>
      <c r="F2939" s="62"/>
      <c r="G2939" s="57" t="s">
        <v>9627</v>
      </c>
      <c r="H2939" s="57" t="s">
        <v>3792</v>
      </c>
      <c r="I2939" s="34"/>
      <c r="J2939" s="57" t="s">
        <v>3792</v>
      </c>
      <c r="K2939" s="57" t="s">
        <v>9385</v>
      </c>
    </row>
    <row r="2940" customFormat="false" ht="122.8" hidden="false" customHeight="false" outlineLevel="0" collapsed="false">
      <c r="A2940" s="0"/>
      <c r="B2940" s="0"/>
      <c r="C2940" s="0"/>
      <c r="D2940" s="0" t="s">
        <v>9628</v>
      </c>
      <c r="E2940" s="0" t="s">
        <v>9869</v>
      </c>
      <c r="F2940" s="0" t="s">
        <v>5334</v>
      </c>
      <c r="G2940" s="57" t="s">
        <v>9630</v>
      </c>
      <c r="H2940" s="57" t="s">
        <v>9870</v>
      </c>
      <c r="I2940" s="37" t="s">
        <v>50</v>
      </c>
      <c r="J2940" s="57" t="s">
        <v>9871</v>
      </c>
      <c r="K2940" s="57" t="s">
        <v>9391</v>
      </c>
    </row>
    <row r="2941" customFormat="false" ht="189.65" hidden="false" customHeight="false" outlineLevel="0" collapsed="false">
      <c r="A2941" s="0"/>
      <c r="B2941" s="0"/>
      <c r="C2941" s="0"/>
      <c r="D2941" s="62"/>
      <c r="E2941" s="62"/>
      <c r="F2941" s="62"/>
      <c r="G2941" s="57" t="s">
        <v>9634</v>
      </c>
      <c r="H2941" s="57" t="s">
        <v>3792</v>
      </c>
      <c r="I2941" s="37"/>
      <c r="J2941" s="57" t="s">
        <v>3792</v>
      </c>
      <c r="K2941" s="57" t="s">
        <v>9393</v>
      </c>
    </row>
    <row r="2942" customFormat="false" ht="122.8" hidden="false" customHeight="false" outlineLevel="0" collapsed="false">
      <c r="A2942" s="0"/>
      <c r="B2942" s="0"/>
      <c r="C2942" s="0"/>
      <c r="D2942" s="0" t="s">
        <v>9635</v>
      </c>
      <c r="E2942" s="0" t="s">
        <v>9636</v>
      </c>
      <c r="F2942" s="0" t="s">
        <v>5342</v>
      </c>
      <c r="G2942" s="57" t="s">
        <v>9637</v>
      </c>
      <c r="H2942" s="57" t="s">
        <v>9872</v>
      </c>
      <c r="I2942" s="34" t="s">
        <v>40</v>
      </c>
      <c r="J2942" s="57" t="s">
        <v>9873</v>
      </c>
      <c r="K2942" s="57" t="s">
        <v>9400</v>
      </c>
    </row>
    <row r="2943" customFormat="false" ht="122.8" hidden="false" customHeight="false" outlineLevel="0" collapsed="false">
      <c r="A2943" s="0"/>
      <c r="B2943" s="0"/>
      <c r="C2943" s="0"/>
      <c r="D2943" s="62"/>
      <c r="E2943" s="62"/>
      <c r="F2943" s="62"/>
      <c r="G2943" s="57" t="s">
        <v>9641</v>
      </c>
      <c r="H2943" s="57" t="s">
        <v>3792</v>
      </c>
      <c r="I2943" s="34"/>
      <c r="J2943" s="57" t="s">
        <v>3792</v>
      </c>
      <c r="K2943" s="57" t="s">
        <v>9402</v>
      </c>
    </row>
    <row r="2944" customFormat="false" ht="122.8" hidden="false" customHeight="false" outlineLevel="0" collapsed="false">
      <c r="A2944" s="0"/>
      <c r="B2944" s="0"/>
      <c r="C2944" s="0"/>
      <c r="D2944" s="0" t="s">
        <v>9642</v>
      </c>
      <c r="E2944" s="0" t="s">
        <v>9874</v>
      </c>
      <c r="F2944" s="0" t="s">
        <v>5334</v>
      </c>
      <c r="G2944" s="57" t="s">
        <v>9644</v>
      </c>
      <c r="H2944" s="57" t="s">
        <v>9875</v>
      </c>
      <c r="I2944" s="39" t="s">
        <v>67</v>
      </c>
      <c r="J2944" s="57" t="s">
        <v>9876</v>
      </c>
      <c r="K2944" s="57" t="s">
        <v>9408</v>
      </c>
    </row>
    <row r="2945" customFormat="false" ht="146.1" hidden="false" customHeight="false" outlineLevel="0" collapsed="false">
      <c r="A2945" s="0"/>
      <c r="B2945" s="0"/>
      <c r="C2945" s="65"/>
      <c r="D2945" s="65"/>
      <c r="E2945" s="65"/>
      <c r="F2945" s="65"/>
      <c r="G2945" s="57" t="s">
        <v>9648</v>
      </c>
      <c r="H2945" s="57" t="s">
        <v>3792</v>
      </c>
      <c r="I2945" s="39"/>
      <c r="J2945" s="57" t="s">
        <v>3792</v>
      </c>
      <c r="K2945" s="57" t="s">
        <v>9410</v>
      </c>
    </row>
    <row r="2946" customFormat="false" ht="157" hidden="false" customHeight="false" outlineLevel="0" collapsed="false">
      <c r="A2946" s="0"/>
      <c r="B2946" s="0"/>
      <c r="C2946" s="57" t="s">
        <v>9649</v>
      </c>
      <c r="D2946" s="0" t="s">
        <v>9650</v>
      </c>
      <c r="E2946" s="0" t="s">
        <v>9877</v>
      </c>
      <c r="F2946" s="0" t="s">
        <v>5342</v>
      </c>
      <c r="G2946" s="57" t="s">
        <v>9652</v>
      </c>
      <c r="H2946" s="57" t="s">
        <v>9878</v>
      </c>
      <c r="I2946" s="34" t="s">
        <v>40</v>
      </c>
      <c r="J2946" s="57" t="s">
        <v>9879</v>
      </c>
      <c r="K2946" s="57" t="s">
        <v>9416</v>
      </c>
    </row>
    <row r="2947" customFormat="false" ht="146.1" hidden="false" customHeight="false" outlineLevel="0" collapsed="false">
      <c r="A2947" s="0"/>
      <c r="B2947" s="0"/>
      <c r="C2947" s="0"/>
      <c r="D2947" s="62"/>
      <c r="E2947" s="62"/>
      <c r="F2947" s="62"/>
      <c r="G2947" s="57" t="s">
        <v>9656</v>
      </c>
      <c r="H2947" s="57" t="s">
        <v>3792</v>
      </c>
      <c r="I2947" s="34"/>
      <c r="J2947" s="57" t="s">
        <v>3792</v>
      </c>
      <c r="K2947" s="57" t="s">
        <v>9418</v>
      </c>
    </row>
    <row r="2948" customFormat="false" ht="146.1" hidden="false" customHeight="false" outlineLevel="0" collapsed="false">
      <c r="A2948" s="0"/>
      <c r="B2948" s="0"/>
      <c r="C2948" s="0"/>
      <c r="D2948" s="0" t="s">
        <v>9657</v>
      </c>
      <c r="E2948" s="0" t="s">
        <v>9880</v>
      </c>
      <c r="F2948" s="0" t="s">
        <v>5334</v>
      </c>
      <c r="G2948" s="57" t="s">
        <v>9881</v>
      </c>
      <c r="H2948" s="57" t="s">
        <v>9882</v>
      </c>
      <c r="I2948" s="37" t="s">
        <v>50</v>
      </c>
      <c r="J2948" s="57" t="s">
        <v>9883</v>
      </c>
      <c r="K2948" s="57" t="s">
        <v>9424</v>
      </c>
    </row>
    <row r="2949" customFormat="false" ht="90.15" hidden="false" customHeight="false" outlineLevel="0" collapsed="false">
      <c r="A2949" s="0"/>
      <c r="B2949" s="0"/>
      <c r="C2949" s="0"/>
      <c r="D2949" s="62"/>
      <c r="E2949" s="62"/>
      <c r="F2949" s="62"/>
      <c r="G2949" s="57" t="s">
        <v>9884</v>
      </c>
      <c r="H2949" s="57" t="s">
        <v>3792</v>
      </c>
      <c r="I2949" s="37"/>
      <c r="J2949" s="57" t="s">
        <v>3792</v>
      </c>
      <c r="K2949" s="57" t="s">
        <v>9426</v>
      </c>
    </row>
    <row r="2950" customFormat="false" ht="55.95" hidden="false" customHeight="false" outlineLevel="0" collapsed="false">
      <c r="A2950" s="0"/>
      <c r="B2950" s="0"/>
      <c r="C2950" s="0"/>
      <c r="D2950" s="0" t="s">
        <v>9662</v>
      </c>
      <c r="E2950" s="0" t="s">
        <v>9885</v>
      </c>
      <c r="F2950" s="0" t="s">
        <v>5342</v>
      </c>
      <c r="G2950" s="57" t="s">
        <v>9664</v>
      </c>
      <c r="H2950" s="57" t="s">
        <v>9886</v>
      </c>
      <c r="I2950" s="34" t="s">
        <v>40</v>
      </c>
      <c r="J2950" s="57" t="s">
        <v>9887</v>
      </c>
      <c r="K2950" s="57" t="s">
        <v>9432</v>
      </c>
    </row>
    <row r="2951" customFormat="false" ht="133.7" hidden="false" customHeight="false" outlineLevel="0" collapsed="false">
      <c r="A2951" s="0"/>
      <c r="B2951" s="0"/>
      <c r="C2951" s="0"/>
      <c r="D2951" s="62"/>
      <c r="E2951" s="62"/>
      <c r="F2951" s="62"/>
      <c r="G2951" s="57" t="s">
        <v>9668</v>
      </c>
      <c r="H2951" s="57" t="s">
        <v>3792</v>
      </c>
      <c r="I2951" s="34"/>
      <c r="J2951" s="57" t="s">
        <v>3792</v>
      </c>
      <c r="K2951" s="57" t="s">
        <v>9434</v>
      </c>
    </row>
    <row r="2952" customFormat="false" ht="101.05" hidden="false" customHeight="false" outlineLevel="0" collapsed="false">
      <c r="A2952" s="0"/>
      <c r="B2952" s="0"/>
      <c r="C2952" s="0"/>
      <c r="D2952" s="0" t="s">
        <v>9669</v>
      </c>
      <c r="E2952" s="0" t="s">
        <v>9888</v>
      </c>
      <c r="F2952" s="0" t="s">
        <v>5334</v>
      </c>
      <c r="G2952" s="57" t="s">
        <v>9671</v>
      </c>
      <c r="H2952" s="57" t="s">
        <v>9889</v>
      </c>
      <c r="I2952" s="39" t="s">
        <v>67</v>
      </c>
      <c r="J2952" s="57" t="s">
        <v>9890</v>
      </c>
      <c r="K2952" s="57" t="s">
        <v>9441</v>
      </c>
    </row>
    <row r="2953" customFormat="false" ht="111.9" hidden="false" customHeight="false" outlineLevel="0" collapsed="false">
      <c r="A2953" s="0"/>
      <c r="B2953" s="0"/>
      <c r="C2953" s="0"/>
      <c r="D2953" s="62"/>
      <c r="E2953" s="62"/>
      <c r="F2953" s="62"/>
      <c r="G2953" s="57" t="s">
        <v>9674</v>
      </c>
      <c r="H2953" s="57" t="s">
        <v>3792</v>
      </c>
      <c r="I2953" s="39"/>
      <c r="J2953" s="57" t="s">
        <v>3792</v>
      </c>
      <c r="K2953" s="57" t="s">
        <v>9443</v>
      </c>
    </row>
    <row r="2954" customFormat="false" ht="77.7" hidden="false" customHeight="false" outlineLevel="0" collapsed="false">
      <c r="A2954" s="0"/>
      <c r="B2954" s="0"/>
      <c r="C2954" s="0"/>
      <c r="D2954" s="0" t="s">
        <v>9675</v>
      </c>
      <c r="E2954" s="0" t="s">
        <v>9891</v>
      </c>
      <c r="F2954" s="0" t="s">
        <v>5342</v>
      </c>
      <c r="G2954" s="57" t="s">
        <v>9677</v>
      </c>
      <c r="H2954" s="57" t="s">
        <v>9892</v>
      </c>
      <c r="I2954" s="34" t="s">
        <v>40</v>
      </c>
      <c r="J2954" s="57" t="s">
        <v>9893</v>
      </c>
      <c r="K2954" s="57" t="s">
        <v>9449</v>
      </c>
    </row>
    <row r="2955" customFormat="false" ht="133.7" hidden="false" customHeight="false" outlineLevel="0" collapsed="false">
      <c r="A2955" s="0"/>
      <c r="B2955" s="0"/>
      <c r="C2955" s="65"/>
      <c r="D2955" s="65"/>
      <c r="E2955" s="65"/>
      <c r="F2955" s="65"/>
      <c r="G2955" s="57" t="s">
        <v>9680</v>
      </c>
      <c r="H2955" s="57" t="s">
        <v>3792</v>
      </c>
      <c r="I2955" s="34"/>
      <c r="J2955" s="57" t="s">
        <v>3792</v>
      </c>
      <c r="K2955" s="57" t="s">
        <v>9451</v>
      </c>
    </row>
    <row r="2956" customFormat="false" ht="101.05" hidden="false" customHeight="false" outlineLevel="0" collapsed="false">
      <c r="A2956" s="0"/>
      <c r="B2956" s="0"/>
      <c r="C2956" s="57" t="s">
        <v>9681</v>
      </c>
      <c r="D2956" s="0" t="s">
        <v>9682</v>
      </c>
      <c r="E2956" s="0" t="s">
        <v>9894</v>
      </c>
      <c r="F2956" s="0" t="s">
        <v>5334</v>
      </c>
      <c r="G2956" s="57" t="s">
        <v>9684</v>
      </c>
      <c r="H2956" s="57" t="s">
        <v>9895</v>
      </c>
      <c r="I2956" s="37" t="s">
        <v>50</v>
      </c>
      <c r="J2956" s="57" t="s">
        <v>9896</v>
      </c>
      <c r="K2956" s="57" t="s">
        <v>9457</v>
      </c>
    </row>
    <row r="2957" customFormat="false" ht="101.05" hidden="false" customHeight="false" outlineLevel="0" collapsed="false">
      <c r="A2957" s="0"/>
      <c r="B2957" s="0"/>
      <c r="C2957" s="0"/>
      <c r="D2957" s="62"/>
      <c r="E2957" s="62"/>
      <c r="F2957" s="62"/>
      <c r="G2957" s="57" t="s">
        <v>9687</v>
      </c>
      <c r="H2957" s="57" t="s">
        <v>3792</v>
      </c>
      <c r="I2957" s="37"/>
      <c r="J2957" s="57" t="s">
        <v>3792</v>
      </c>
      <c r="K2957" s="57" t="s">
        <v>9459</v>
      </c>
    </row>
    <row r="2958" customFormat="false" ht="90.15" hidden="false" customHeight="false" outlineLevel="0" collapsed="false">
      <c r="A2958" s="0"/>
      <c r="B2958" s="0"/>
      <c r="C2958" s="0"/>
      <c r="D2958" s="0" t="s">
        <v>9688</v>
      </c>
      <c r="E2958" s="0" t="s">
        <v>9897</v>
      </c>
      <c r="F2958" s="0" t="s">
        <v>5342</v>
      </c>
      <c r="G2958" s="57" t="s">
        <v>9690</v>
      </c>
      <c r="H2958" s="57" t="s">
        <v>9898</v>
      </c>
      <c r="I2958" s="34" t="s">
        <v>40</v>
      </c>
      <c r="J2958" s="57" t="s">
        <v>9899</v>
      </c>
      <c r="K2958" s="57" t="s">
        <v>9465</v>
      </c>
    </row>
    <row r="2959" customFormat="false" ht="90.15" hidden="false" customHeight="false" outlineLevel="0" collapsed="false">
      <c r="A2959" s="0"/>
      <c r="B2959" s="0"/>
      <c r="C2959" s="0"/>
      <c r="D2959" s="62"/>
      <c r="E2959" s="62"/>
      <c r="F2959" s="62"/>
      <c r="G2959" s="57" t="s">
        <v>9693</v>
      </c>
      <c r="H2959" s="57" t="s">
        <v>3792</v>
      </c>
      <c r="I2959" s="34"/>
      <c r="J2959" s="57" t="s">
        <v>3792</v>
      </c>
      <c r="K2959" s="57" t="s">
        <v>3792</v>
      </c>
    </row>
    <row r="2960" customFormat="false" ht="55.95" hidden="false" customHeight="false" outlineLevel="0" collapsed="false">
      <c r="A2960" s="0"/>
      <c r="B2960" s="0"/>
      <c r="C2960" s="0"/>
      <c r="D2960" s="0" t="s">
        <v>9694</v>
      </c>
      <c r="E2960" s="0" t="s">
        <v>9900</v>
      </c>
      <c r="F2960" s="0" t="s">
        <v>5342</v>
      </c>
      <c r="G2960" s="57" t="s">
        <v>9696</v>
      </c>
      <c r="H2960" s="57" t="s">
        <v>9697</v>
      </c>
      <c r="I2960" s="39" t="s">
        <v>67</v>
      </c>
      <c r="J2960" s="57" t="s">
        <v>9901</v>
      </c>
      <c r="K2960" s="57" t="s">
        <v>9472</v>
      </c>
    </row>
    <row r="2961" customFormat="false" ht="122.8" hidden="false" customHeight="false" outlineLevel="0" collapsed="false">
      <c r="A2961" s="0"/>
      <c r="B2961" s="0"/>
      <c r="C2961" s="0"/>
      <c r="D2961" s="62"/>
      <c r="E2961" s="62"/>
      <c r="F2961" s="62"/>
      <c r="G2961" s="57" t="s">
        <v>9699</v>
      </c>
      <c r="H2961" s="57" t="s">
        <v>3792</v>
      </c>
      <c r="I2961" s="39"/>
      <c r="J2961" s="57" t="s">
        <v>3792</v>
      </c>
      <c r="K2961" s="57" t="s">
        <v>3792</v>
      </c>
    </row>
    <row r="2962" customFormat="false" ht="55.95" hidden="false" customHeight="false" outlineLevel="0" collapsed="false">
      <c r="A2962" s="0"/>
      <c r="B2962" s="0"/>
      <c r="C2962" s="0"/>
      <c r="D2962" s="0" t="s">
        <v>9700</v>
      </c>
      <c r="E2962" s="0" t="s">
        <v>9701</v>
      </c>
      <c r="F2962" s="0" t="s">
        <v>5334</v>
      </c>
      <c r="G2962" s="57" t="s">
        <v>9702</v>
      </c>
      <c r="H2962" s="57" t="s">
        <v>9902</v>
      </c>
      <c r="I2962" s="34" t="s">
        <v>40</v>
      </c>
      <c r="J2962" s="57" t="s">
        <v>9903</v>
      </c>
      <c r="K2962" s="57" t="s">
        <v>9481</v>
      </c>
    </row>
    <row r="2963" customFormat="false" ht="77.7" hidden="false" customHeight="false" outlineLevel="0" collapsed="false">
      <c r="A2963" s="0"/>
      <c r="B2963" s="0"/>
      <c r="C2963" s="0"/>
      <c r="D2963" s="62"/>
      <c r="E2963" s="62"/>
      <c r="F2963" s="62"/>
      <c r="G2963" s="57" t="s">
        <v>9705</v>
      </c>
      <c r="H2963" s="57" t="s">
        <v>3792</v>
      </c>
      <c r="I2963" s="34"/>
      <c r="J2963" s="57" t="s">
        <v>3792</v>
      </c>
      <c r="K2963" s="57" t="s">
        <v>3792</v>
      </c>
    </row>
    <row r="2964" customFormat="false" ht="90.15" hidden="false" customHeight="false" outlineLevel="0" collapsed="false">
      <c r="A2964" s="0"/>
      <c r="B2964" s="0"/>
      <c r="C2964" s="0"/>
      <c r="D2964" s="0" t="s">
        <v>9706</v>
      </c>
      <c r="E2964" s="0" t="s">
        <v>9707</v>
      </c>
      <c r="F2964" s="0" t="s">
        <v>5334</v>
      </c>
      <c r="G2964" s="57" t="s">
        <v>9708</v>
      </c>
      <c r="H2964" s="57" t="s">
        <v>9904</v>
      </c>
      <c r="I2964" s="37" t="s">
        <v>50</v>
      </c>
      <c r="J2964" s="57" t="s">
        <v>9905</v>
      </c>
      <c r="K2964" s="57" t="s">
        <v>9488</v>
      </c>
    </row>
    <row r="2965" customFormat="false" ht="77.7" hidden="false" customHeight="false" outlineLevel="0" collapsed="false">
      <c r="A2965" s="0"/>
      <c r="B2965" s="0"/>
      <c r="C2965" s="65"/>
      <c r="D2965" s="65"/>
      <c r="E2965" s="65"/>
      <c r="F2965" s="65"/>
      <c r="G2965" s="57" t="s">
        <v>9711</v>
      </c>
      <c r="H2965" s="57" t="s">
        <v>3792</v>
      </c>
      <c r="I2965" s="37"/>
      <c r="J2965" s="57" t="s">
        <v>3792</v>
      </c>
      <c r="K2965" s="57" t="s">
        <v>3792</v>
      </c>
    </row>
    <row r="2966" customFormat="false" ht="90.15" hidden="false" customHeight="false" outlineLevel="0" collapsed="false">
      <c r="A2966" s="0"/>
      <c r="B2966" s="0"/>
      <c r="C2966" s="57" t="s">
        <v>9712</v>
      </c>
      <c r="D2966" s="0" t="s">
        <v>9713</v>
      </c>
      <c r="E2966" s="0" t="s">
        <v>9906</v>
      </c>
      <c r="F2966" s="0" t="s">
        <v>5342</v>
      </c>
      <c r="G2966" s="57" t="s">
        <v>9715</v>
      </c>
      <c r="H2966" s="57" t="s">
        <v>9907</v>
      </c>
      <c r="I2966" s="34" t="s">
        <v>40</v>
      </c>
      <c r="J2966" s="57" t="s">
        <v>9908</v>
      </c>
      <c r="K2966" s="57" t="s">
        <v>9494</v>
      </c>
    </row>
    <row r="2967" customFormat="false" ht="101.05" hidden="false" customHeight="false" outlineLevel="0" collapsed="false">
      <c r="A2967" s="0"/>
      <c r="B2967" s="0"/>
      <c r="C2967" s="0"/>
      <c r="D2967" s="62"/>
      <c r="E2967" s="62"/>
      <c r="F2967" s="62"/>
      <c r="G2967" s="57" t="s">
        <v>9718</v>
      </c>
      <c r="H2967" s="57" t="s">
        <v>3792</v>
      </c>
      <c r="I2967" s="34"/>
      <c r="J2967" s="57" t="s">
        <v>3792</v>
      </c>
      <c r="K2967" s="57" t="s">
        <v>3792</v>
      </c>
    </row>
    <row r="2968" customFormat="false" ht="111.9" hidden="false" customHeight="false" outlineLevel="0" collapsed="false">
      <c r="A2968" s="0"/>
      <c r="B2968" s="0"/>
      <c r="C2968" s="0"/>
      <c r="D2968" s="0" t="s">
        <v>9719</v>
      </c>
      <c r="E2968" s="0" t="s">
        <v>9909</v>
      </c>
      <c r="F2968" s="0" t="s">
        <v>5342</v>
      </c>
      <c r="G2968" s="57" t="s">
        <v>9721</v>
      </c>
      <c r="H2968" s="57" t="s">
        <v>9910</v>
      </c>
      <c r="I2968" s="39" t="s">
        <v>67</v>
      </c>
      <c r="J2968" s="57" t="s">
        <v>9911</v>
      </c>
      <c r="K2968" s="57" t="s">
        <v>9499</v>
      </c>
    </row>
    <row r="2969" customFormat="false" ht="90.15" hidden="false" customHeight="false" outlineLevel="0" collapsed="false">
      <c r="A2969" s="0"/>
      <c r="B2969" s="0"/>
      <c r="C2969" s="0"/>
      <c r="D2969" s="62"/>
      <c r="E2969" s="62"/>
      <c r="F2969" s="62"/>
      <c r="G2969" s="57" t="s">
        <v>9724</v>
      </c>
      <c r="H2969" s="57" t="s">
        <v>3792</v>
      </c>
      <c r="I2969" s="39"/>
      <c r="J2969" s="57" t="s">
        <v>3792</v>
      </c>
      <c r="K2969" s="57" t="s">
        <v>3792</v>
      </c>
    </row>
    <row r="2970" customFormat="false" ht="90.15" hidden="false" customHeight="false" outlineLevel="0" collapsed="false">
      <c r="A2970" s="0"/>
      <c r="B2970" s="0"/>
      <c r="C2970" s="0"/>
      <c r="D2970" s="0" t="s">
        <v>9725</v>
      </c>
      <c r="E2970" s="0" t="s">
        <v>9912</v>
      </c>
      <c r="F2970" s="0" t="s">
        <v>5334</v>
      </c>
      <c r="G2970" s="57" t="s">
        <v>9727</v>
      </c>
      <c r="H2970" s="57" t="s">
        <v>9913</v>
      </c>
      <c r="I2970" s="34" t="s">
        <v>40</v>
      </c>
      <c r="J2970" s="57" t="s">
        <v>9914</v>
      </c>
      <c r="K2970" s="57" t="s">
        <v>9504</v>
      </c>
    </row>
    <row r="2971" customFormat="false" ht="55.95" hidden="false" customHeight="false" outlineLevel="0" collapsed="false">
      <c r="A2971" s="0"/>
      <c r="B2971" s="0"/>
      <c r="C2971" s="0"/>
      <c r="D2971" s="62"/>
      <c r="E2971" s="62"/>
      <c r="F2971" s="62"/>
      <c r="G2971" s="57" t="s">
        <v>9730</v>
      </c>
      <c r="H2971" s="57" t="s">
        <v>3792</v>
      </c>
      <c r="I2971" s="34"/>
      <c r="J2971" s="57" t="s">
        <v>3792</v>
      </c>
      <c r="K2971" s="57" t="s">
        <v>3792</v>
      </c>
    </row>
    <row r="2972" customFormat="false" ht="122.8" hidden="false" customHeight="false" outlineLevel="0" collapsed="false">
      <c r="A2972" s="0"/>
      <c r="B2972" s="0"/>
      <c r="C2972" s="0"/>
      <c r="D2972" s="0" t="s">
        <v>9731</v>
      </c>
      <c r="E2972" s="0" t="s">
        <v>9915</v>
      </c>
      <c r="F2972" s="0" t="s">
        <v>5334</v>
      </c>
      <c r="G2972" s="57" t="s">
        <v>9733</v>
      </c>
      <c r="H2972" s="57" t="s">
        <v>9916</v>
      </c>
      <c r="I2972" s="37" t="s">
        <v>50</v>
      </c>
      <c r="J2972" s="57" t="s">
        <v>9917</v>
      </c>
      <c r="K2972" s="57" t="s">
        <v>9511</v>
      </c>
    </row>
    <row r="2973" customFormat="false" ht="66.85" hidden="false" customHeight="false" outlineLevel="0" collapsed="false">
      <c r="A2973" s="0"/>
      <c r="B2973" s="0"/>
      <c r="C2973" s="0"/>
      <c r="D2973" s="62"/>
      <c r="E2973" s="62"/>
      <c r="F2973" s="62"/>
      <c r="G2973" s="57" t="s">
        <v>9736</v>
      </c>
      <c r="H2973" s="57" t="s">
        <v>3792</v>
      </c>
      <c r="I2973" s="37"/>
      <c r="J2973" s="57" t="s">
        <v>3792</v>
      </c>
      <c r="K2973" s="57" t="s">
        <v>3792</v>
      </c>
    </row>
    <row r="2974" customFormat="false" ht="77.7" hidden="false" customHeight="false" outlineLevel="0" collapsed="false">
      <c r="A2974" s="0"/>
      <c r="B2974" s="0"/>
      <c r="C2974" s="0"/>
      <c r="D2974" s="0" t="s">
        <v>9737</v>
      </c>
      <c r="E2974" s="0" t="s">
        <v>9738</v>
      </c>
      <c r="F2974" s="0" t="s">
        <v>5334</v>
      </c>
      <c r="G2974" s="57" t="s">
        <v>9739</v>
      </c>
      <c r="H2974" s="57" t="s">
        <v>9918</v>
      </c>
      <c r="I2974" s="34" t="s">
        <v>40</v>
      </c>
      <c r="J2974" s="57" t="s">
        <v>9919</v>
      </c>
      <c r="K2974" s="57" t="s">
        <v>9518</v>
      </c>
    </row>
    <row r="2975" customFormat="false" ht="90.15" hidden="false" customHeight="false" outlineLevel="0" collapsed="false">
      <c r="A2975" s="0"/>
      <c r="B2975" s="0"/>
      <c r="C2975" s="65"/>
      <c r="D2975" s="65"/>
      <c r="E2975" s="65"/>
      <c r="F2975" s="65"/>
      <c r="G2975" s="57" t="s">
        <v>9742</v>
      </c>
      <c r="H2975" s="57" t="s">
        <v>3792</v>
      </c>
      <c r="I2975" s="34"/>
      <c r="J2975" s="57" t="s">
        <v>3792</v>
      </c>
      <c r="K2975" s="57" t="s">
        <v>3792</v>
      </c>
    </row>
    <row r="2976" customFormat="false" ht="66.85" hidden="false" customHeight="false" outlineLevel="0" collapsed="false">
      <c r="A2976" s="0"/>
      <c r="B2976" s="0"/>
      <c r="C2976" s="57" t="s">
        <v>9743</v>
      </c>
      <c r="D2976" s="0" t="s">
        <v>9744</v>
      </c>
      <c r="E2976" s="0" t="s">
        <v>9745</v>
      </c>
      <c r="F2976" s="0" t="s">
        <v>5342</v>
      </c>
      <c r="G2976" s="57" t="s">
        <v>9920</v>
      </c>
      <c r="H2976" s="57" t="s">
        <v>9921</v>
      </c>
      <c r="I2976" s="39" t="s">
        <v>67</v>
      </c>
      <c r="J2976" s="57" t="s">
        <v>9922</v>
      </c>
      <c r="K2976" s="57" t="s">
        <v>9525</v>
      </c>
    </row>
    <row r="2977" customFormat="false" ht="55.95" hidden="false" customHeight="false" outlineLevel="0" collapsed="false">
      <c r="A2977" s="0"/>
      <c r="B2977" s="0"/>
      <c r="C2977" s="0"/>
      <c r="D2977" s="62"/>
      <c r="E2977" s="62"/>
      <c r="F2977" s="62"/>
      <c r="G2977" s="57" t="s">
        <v>9923</v>
      </c>
      <c r="H2977" s="57" t="s">
        <v>3792</v>
      </c>
      <c r="I2977" s="39"/>
      <c r="J2977" s="57" t="s">
        <v>3792</v>
      </c>
      <c r="K2977" s="57" t="s">
        <v>3792</v>
      </c>
    </row>
    <row r="2978" customFormat="false" ht="77.7" hidden="false" customHeight="false" outlineLevel="0" collapsed="false">
      <c r="A2978" s="0"/>
      <c r="B2978" s="0"/>
      <c r="C2978" s="0"/>
      <c r="D2978" s="0" t="s">
        <v>9748</v>
      </c>
      <c r="E2978" s="0" t="s">
        <v>9749</v>
      </c>
      <c r="F2978" s="0" t="s">
        <v>5334</v>
      </c>
      <c r="G2978" s="57" t="s">
        <v>9750</v>
      </c>
      <c r="H2978" s="57" t="s">
        <v>9924</v>
      </c>
      <c r="I2978" s="34" t="s">
        <v>40</v>
      </c>
      <c r="J2978" s="57" t="s">
        <v>9925</v>
      </c>
      <c r="K2978" s="57" t="s">
        <v>9532</v>
      </c>
    </row>
    <row r="2979" customFormat="false" ht="90.15" hidden="false" customHeight="false" outlineLevel="0" collapsed="false">
      <c r="A2979" s="0"/>
      <c r="B2979" s="0"/>
      <c r="C2979" s="0"/>
      <c r="D2979" s="62"/>
      <c r="E2979" s="62"/>
      <c r="F2979" s="62"/>
      <c r="G2979" s="57" t="s">
        <v>9753</v>
      </c>
      <c r="H2979" s="57" t="s">
        <v>3792</v>
      </c>
      <c r="I2979" s="34"/>
      <c r="J2979" s="57" t="s">
        <v>3792</v>
      </c>
      <c r="K2979" s="57" t="s">
        <v>3792</v>
      </c>
    </row>
    <row r="2980" customFormat="false" ht="55.95" hidden="false" customHeight="false" outlineLevel="0" collapsed="false">
      <c r="A2980" s="0"/>
      <c r="B2980" s="0"/>
      <c r="C2980" s="0"/>
      <c r="D2980" s="0" t="s">
        <v>9754</v>
      </c>
      <c r="E2980" s="0" t="s">
        <v>9926</v>
      </c>
      <c r="F2980" s="0" t="s">
        <v>5342</v>
      </c>
      <c r="G2980" s="57" t="s">
        <v>9756</v>
      </c>
      <c r="H2980" s="57" t="s">
        <v>9927</v>
      </c>
      <c r="I2980" s="37" t="s">
        <v>50</v>
      </c>
      <c r="J2980" s="57" t="s">
        <v>9928</v>
      </c>
      <c r="K2980" s="57" t="s">
        <v>9539</v>
      </c>
    </row>
    <row r="2981" customFormat="false" ht="77.7" hidden="false" customHeight="false" outlineLevel="0" collapsed="false">
      <c r="A2981" s="0"/>
      <c r="B2981" s="0"/>
      <c r="C2981" s="0"/>
      <c r="D2981" s="62"/>
      <c r="E2981" s="62"/>
      <c r="F2981" s="62"/>
      <c r="G2981" s="57" t="s">
        <v>9759</v>
      </c>
      <c r="H2981" s="57" t="s">
        <v>3792</v>
      </c>
      <c r="I2981" s="37"/>
      <c r="J2981" s="57" t="s">
        <v>3792</v>
      </c>
      <c r="K2981" s="57" t="s">
        <v>3792</v>
      </c>
    </row>
    <row r="2982" customFormat="false" ht="90.15" hidden="false" customHeight="false" outlineLevel="0" collapsed="false">
      <c r="A2982" s="0"/>
      <c r="B2982" s="0"/>
      <c r="C2982" s="0"/>
      <c r="D2982" s="0" t="s">
        <v>9760</v>
      </c>
      <c r="E2982" s="0" t="s">
        <v>9929</v>
      </c>
      <c r="F2982" s="0" t="s">
        <v>5334</v>
      </c>
      <c r="G2982" s="57" t="s">
        <v>9762</v>
      </c>
      <c r="H2982" s="57" t="s">
        <v>9930</v>
      </c>
      <c r="I2982" s="34" t="s">
        <v>40</v>
      </c>
      <c r="J2982" s="57" t="s">
        <v>9931</v>
      </c>
      <c r="K2982" s="57" t="s">
        <v>9547</v>
      </c>
    </row>
    <row r="2983" customFormat="false" ht="157" hidden="false" customHeight="false" outlineLevel="0" collapsed="false">
      <c r="A2983" s="0"/>
      <c r="B2983" s="0"/>
      <c r="C2983" s="0"/>
      <c r="D2983" s="62"/>
      <c r="E2983" s="62"/>
      <c r="F2983" s="62"/>
      <c r="G2983" s="57" t="s">
        <v>9765</v>
      </c>
      <c r="H2983" s="57" t="s">
        <v>3792</v>
      </c>
      <c r="I2983" s="34"/>
      <c r="J2983" s="57" t="s">
        <v>3792</v>
      </c>
      <c r="K2983" s="57" t="s">
        <v>3792</v>
      </c>
    </row>
    <row r="2984" customFormat="false" ht="90.15" hidden="false" customHeight="false" outlineLevel="0" collapsed="false">
      <c r="A2984" s="0"/>
      <c r="B2984" s="0"/>
      <c r="C2984" s="0"/>
      <c r="D2984" s="0" t="s">
        <v>9766</v>
      </c>
      <c r="E2984" s="0" t="s">
        <v>9932</v>
      </c>
      <c r="F2984" s="0" t="s">
        <v>5342</v>
      </c>
      <c r="G2984" s="57" t="s">
        <v>9768</v>
      </c>
      <c r="H2984" s="57" t="s">
        <v>9933</v>
      </c>
      <c r="I2984" s="39" t="s">
        <v>67</v>
      </c>
      <c r="J2984" s="57" t="s">
        <v>9934</v>
      </c>
      <c r="K2984" s="57" t="s">
        <v>9554</v>
      </c>
    </row>
    <row r="2985" customFormat="false" ht="133.7" hidden="false" customHeight="false" outlineLevel="0" collapsed="false">
      <c r="A2985" s="0"/>
      <c r="B2985" s="69"/>
      <c r="C2985" s="69"/>
      <c r="D2985" s="69"/>
      <c r="E2985" s="69"/>
      <c r="F2985" s="69"/>
      <c r="G2985" s="57" t="s">
        <v>9771</v>
      </c>
      <c r="H2985" s="57" t="s">
        <v>3792</v>
      </c>
      <c r="I2985" s="39"/>
      <c r="J2985" s="57" t="s">
        <v>3792</v>
      </c>
      <c r="K2985" s="57" t="s">
        <v>3792</v>
      </c>
    </row>
    <row r="2986" customFormat="false" ht="111.9" hidden="false" customHeight="false" outlineLevel="0" collapsed="false">
      <c r="A2986" s="0"/>
      <c r="B2986" s="0" t="s">
        <v>9935</v>
      </c>
      <c r="C2986" s="57" t="s">
        <v>9936</v>
      </c>
      <c r="D2986" s="0" t="s">
        <v>9937</v>
      </c>
      <c r="E2986" s="0" t="s">
        <v>9938</v>
      </c>
      <c r="F2986" s="0" t="s">
        <v>5334</v>
      </c>
      <c r="G2986" s="57" t="s">
        <v>9773</v>
      </c>
      <c r="H2986" s="57" t="s">
        <v>9939</v>
      </c>
      <c r="I2986" s="34" t="s">
        <v>40</v>
      </c>
      <c r="J2986" s="57" t="s">
        <v>9940</v>
      </c>
      <c r="K2986" s="57" t="s">
        <v>9561</v>
      </c>
    </row>
    <row r="2987" customFormat="false" ht="77.7" hidden="false" customHeight="false" outlineLevel="0" collapsed="false">
      <c r="A2987" s="0"/>
      <c r="B2987" s="0"/>
      <c r="C2987" s="0"/>
      <c r="D2987" s="62"/>
      <c r="E2987" s="62"/>
      <c r="F2987" s="62"/>
      <c r="G2987" s="57" t="s">
        <v>9775</v>
      </c>
      <c r="H2987" s="57" t="s">
        <v>3792</v>
      </c>
      <c r="I2987" s="34"/>
      <c r="J2987" s="57" t="s">
        <v>3792</v>
      </c>
      <c r="K2987" s="57" t="s">
        <v>3792</v>
      </c>
    </row>
    <row r="2988" customFormat="false" ht="157" hidden="false" customHeight="false" outlineLevel="0" collapsed="false">
      <c r="A2988" s="0"/>
      <c r="B2988" s="0"/>
      <c r="C2988" s="0"/>
      <c r="D2988" s="0" t="s">
        <v>9941</v>
      </c>
      <c r="E2988" s="0" t="s">
        <v>9942</v>
      </c>
      <c r="F2988" s="0" t="s">
        <v>5334</v>
      </c>
      <c r="G2988" s="57" t="s">
        <v>9777</v>
      </c>
      <c r="H2988" s="57" t="s">
        <v>9943</v>
      </c>
      <c r="I2988" s="37" t="s">
        <v>50</v>
      </c>
      <c r="J2988" s="57" t="s">
        <v>9944</v>
      </c>
      <c r="K2988" s="57" t="s">
        <v>9568</v>
      </c>
    </row>
    <row r="2989" customFormat="false" ht="66.85" hidden="false" customHeight="false" outlineLevel="0" collapsed="false">
      <c r="A2989" s="0"/>
      <c r="B2989" s="0"/>
      <c r="C2989" s="0"/>
      <c r="D2989" s="62"/>
      <c r="E2989" s="62"/>
      <c r="F2989" s="62"/>
      <c r="G2989" s="57" t="s">
        <v>9779</v>
      </c>
      <c r="H2989" s="57" t="s">
        <v>3792</v>
      </c>
      <c r="I2989" s="37"/>
      <c r="J2989" s="57" t="s">
        <v>3792</v>
      </c>
      <c r="K2989" s="57" t="s">
        <v>3792</v>
      </c>
    </row>
    <row r="2990" customFormat="false" ht="122.8" hidden="false" customHeight="false" outlineLevel="0" collapsed="false">
      <c r="A2990" s="0"/>
      <c r="B2990" s="0"/>
      <c r="C2990" s="0"/>
      <c r="D2990" s="0" t="s">
        <v>9945</v>
      </c>
      <c r="E2990" s="0" t="s">
        <v>9946</v>
      </c>
      <c r="F2990" s="0" t="s">
        <v>5334</v>
      </c>
      <c r="G2990" s="57" t="s">
        <v>9947</v>
      </c>
      <c r="H2990" s="57" t="s">
        <v>9948</v>
      </c>
      <c r="I2990" s="34" t="s">
        <v>40</v>
      </c>
      <c r="J2990" s="57" t="s">
        <v>9949</v>
      </c>
      <c r="K2990" s="57" t="s">
        <v>9575</v>
      </c>
    </row>
    <row r="2991" customFormat="false" ht="133.7" hidden="false" customHeight="false" outlineLevel="0" collapsed="false">
      <c r="A2991" s="0"/>
      <c r="B2991" s="0"/>
      <c r="C2991" s="0"/>
      <c r="D2991" s="62"/>
      <c r="E2991" s="62"/>
      <c r="F2991" s="62"/>
      <c r="G2991" s="57" t="s">
        <v>9950</v>
      </c>
      <c r="H2991" s="57" t="s">
        <v>3792</v>
      </c>
      <c r="I2991" s="34"/>
      <c r="J2991" s="57" t="s">
        <v>3792</v>
      </c>
      <c r="K2991" s="57" t="s">
        <v>3792</v>
      </c>
    </row>
    <row r="2992" customFormat="false" ht="122.8" hidden="false" customHeight="false" outlineLevel="0" collapsed="false">
      <c r="A2992" s="0"/>
      <c r="B2992" s="0"/>
      <c r="C2992" s="0"/>
      <c r="D2992" s="0" t="s">
        <v>9951</v>
      </c>
      <c r="E2992" s="0" t="s">
        <v>9952</v>
      </c>
      <c r="F2992" s="0" t="s">
        <v>5342</v>
      </c>
      <c r="G2992" s="57" t="s">
        <v>9947</v>
      </c>
      <c r="H2992" s="57" t="s">
        <v>9953</v>
      </c>
      <c r="I2992" s="39" t="s">
        <v>67</v>
      </c>
      <c r="J2992" s="57" t="s">
        <v>9954</v>
      </c>
      <c r="K2992" s="57" t="s">
        <v>9583</v>
      </c>
    </row>
    <row r="2993" customFormat="false" ht="133.7" hidden="false" customHeight="false" outlineLevel="0" collapsed="false">
      <c r="A2993" s="0"/>
      <c r="B2993" s="0"/>
      <c r="C2993" s="0"/>
      <c r="D2993" s="62"/>
      <c r="E2993" s="62"/>
      <c r="F2993" s="62"/>
      <c r="G2993" s="57" t="s">
        <v>9950</v>
      </c>
      <c r="H2993" s="57" t="s">
        <v>3792</v>
      </c>
      <c r="I2993" s="39"/>
      <c r="J2993" s="57" t="s">
        <v>3792</v>
      </c>
      <c r="K2993" s="57" t="s">
        <v>3792</v>
      </c>
    </row>
    <row r="2994" customFormat="false" ht="55.95" hidden="false" customHeight="false" outlineLevel="0" collapsed="false">
      <c r="A2994" s="0"/>
      <c r="B2994" s="0"/>
      <c r="C2994" s="72"/>
      <c r="D2994" s="0" t="s">
        <v>9955</v>
      </c>
      <c r="E2994" s="0" t="s">
        <v>9956</v>
      </c>
      <c r="F2994" s="0" t="s">
        <v>5342</v>
      </c>
      <c r="G2994" s="57" t="s">
        <v>9957</v>
      </c>
      <c r="H2994" s="57" t="s">
        <v>9958</v>
      </c>
      <c r="I2994" s="34" t="s">
        <v>40</v>
      </c>
      <c r="J2994" s="57" t="s">
        <v>9959</v>
      </c>
      <c r="K2994" s="57" t="s">
        <v>9590</v>
      </c>
    </row>
    <row r="2995" customFormat="false" ht="146.1" hidden="false" customHeight="false" outlineLevel="0" collapsed="false">
      <c r="A2995" s="0"/>
      <c r="B2995" s="0"/>
      <c r="C2995" s="65"/>
      <c r="D2995" s="65"/>
      <c r="E2995" s="65"/>
      <c r="F2995" s="65"/>
      <c r="G2995" s="57" t="s">
        <v>9960</v>
      </c>
      <c r="H2995" s="57" t="s">
        <v>3792</v>
      </c>
      <c r="I2995" s="34"/>
      <c r="J2995" s="57" t="s">
        <v>3792</v>
      </c>
      <c r="K2995" s="57" t="s">
        <v>3792</v>
      </c>
    </row>
    <row r="2996" customFormat="false" ht="122.8" hidden="false" customHeight="false" outlineLevel="0" collapsed="false">
      <c r="A2996" s="0"/>
      <c r="B2996" s="0"/>
      <c r="C2996" s="57" t="s">
        <v>9961</v>
      </c>
      <c r="D2996" s="0" t="s">
        <v>9962</v>
      </c>
      <c r="E2996" s="0" t="s">
        <v>9963</v>
      </c>
      <c r="F2996" s="0" t="s">
        <v>5334</v>
      </c>
      <c r="G2996" s="57" t="s">
        <v>9964</v>
      </c>
      <c r="H2996" s="57" t="s">
        <v>9965</v>
      </c>
      <c r="I2996" s="37" t="s">
        <v>50</v>
      </c>
      <c r="J2996" s="57" t="s">
        <v>9966</v>
      </c>
      <c r="K2996" s="57" t="s">
        <v>9597</v>
      </c>
    </row>
    <row r="2997" customFormat="false" ht="77.7" hidden="false" customHeight="false" outlineLevel="0" collapsed="false">
      <c r="A2997" s="0"/>
      <c r="B2997" s="0"/>
      <c r="C2997" s="0"/>
      <c r="D2997" s="62"/>
      <c r="E2997" s="62"/>
      <c r="F2997" s="62"/>
      <c r="G2997" s="57" t="s">
        <v>9967</v>
      </c>
      <c r="H2997" s="57" t="s">
        <v>3792</v>
      </c>
      <c r="I2997" s="37"/>
      <c r="J2997" s="57" t="s">
        <v>3792</v>
      </c>
      <c r="K2997" s="57" t="s">
        <v>3792</v>
      </c>
    </row>
    <row r="2998" customFormat="false" ht="133.7" hidden="false" customHeight="false" outlineLevel="0" collapsed="false">
      <c r="A2998" s="0"/>
      <c r="B2998" s="0"/>
      <c r="C2998" s="0"/>
      <c r="D2998" s="0" t="s">
        <v>9968</v>
      </c>
      <c r="E2998" s="0" t="s">
        <v>9969</v>
      </c>
      <c r="F2998" s="0" t="s">
        <v>5342</v>
      </c>
      <c r="G2998" s="57" t="s">
        <v>9970</v>
      </c>
      <c r="H2998" s="57" t="s">
        <v>9971</v>
      </c>
      <c r="I2998" s="34" t="s">
        <v>40</v>
      </c>
      <c r="J2998" s="57" t="s">
        <v>9972</v>
      </c>
      <c r="K2998" s="57" t="s">
        <v>9604</v>
      </c>
    </row>
    <row r="2999" customFormat="false" ht="77.7" hidden="false" customHeight="false" outlineLevel="0" collapsed="false">
      <c r="A2999" s="0"/>
      <c r="B2999" s="0"/>
      <c r="C2999" s="0"/>
      <c r="D2999" s="62"/>
      <c r="E2999" s="62"/>
      <c r="F2999" s="62"/>
      <c r="G2999" s="57" t="s">
        <v>9973</v>
      </c>
      <c r="H2999" s="57" t="s">
        <v>3792</v>
      </c>
      <c r="I2999" s="34"/>
      <c r="J2999" s="62"/>
      <c r="K2999" s="57" t="s">
        <v>3792</v>
      </c>
    </row>
    <row r="3000" customFormat="false" ht="122.8" hidden="false" customHeight="false" outlineLevel="0" collapsed="false">
      <c r="A3000" s="0"/>
      <c r="B3000" s="0"/>
      <c r="C3000" s="0"/>
      <c r="D3000" s="0" t="s">
        <v>9974</v>
      </c>
      <c r="E3000" s="0" t="s">
        <v>9975</v>
      </c>
      <c r="F3000" s="0" t="s">
        <v>5342</v>
      </c>
      <c r="G3000" s="57" t="s">
        <v>9976</v>
      </c>
      <c r="H3000" s="57" t="s">
        <v>9977</v>
      </c>
      <c r="I3000" s="39" t="s">
        <v>67</v>
      </c>
      <c r="J3000" s="57" t="s">
        <v>9978</v>
      </c>
      <c r="K3000" s="57" t="s">
        <v>9611</v>
      </c>
    </row>
    <row r="3001" customFormat="false" ht="111.9" hidden="false" customHeight="false" outlineLevel="0" collapsed="false">
      <c r="A3001" s="0"/>
      <c r="B3001" s="0"/>
      <c r="C3001" s="0"/>
      <c r="D3001" s="62"/>
      <c r="E3001" s="62"/>
      <c r="F3001" s="62"/>
      <c r="G3001" s="57" t="s">
        <v>9979</v>
      </c>
      <c r="H3001" s="57" t="s">
        <v>3792</v>
      </c>
      <c r="I3001" s="39"/>
      <c r="J3001" s="57" t="s">
        <v>3792</v>
      </c>
      <c r="K3001" s="57" t="s">
        <v>3792</v>
      </c>
    </row>
    <row r="3002" customFormat="false" ht="90.15" hidden="false" customHeight="false" outlineLevel="0" collapsed="false">
      <c r="A3002" s="0"/>
      <c r="B3002" s="0"/>
      <c r="C3002" s="0"/>
      <c r="D3002" s="0" t="s">
        <v>9980</v>
      </c>
      <c r="E3002" s="0" t="s">
        <v>9981</v>
      </c>
      <c r="F3002" s="0" t="s">
        <v>5334</v>
      </c>
      <c r="G3002" s="57" t="s">
        <v>9982</v>
      </c>
      <c r="H3002" s="57" t="s">
        <v>9983</v>
      </c>
      <c r="I3002" s="34" t="s">
        <v>40</v>
      </c>
      <c r="J3002" s="57" t="s">
        <v>9984</v>
      </c>
      <c r="K3002" s="57" t="s">
        <v>9619</v>
      </c>
    </row>
    <row r="3003" customFormat="false" ht="122.8" hidden="false" customHeight="false" outlineLevel="0" collapsed="false">
      <c r="A3003" s="0"/>
      <c r="B3003" s="0"/>
      <c r="C3003" s="0"/>
      <c r="D3003" s="62"/>
      <c r="E3003" s="62"/>
      <c r="F3003" s="62"/>
      <c r="G3003" s="57" t="s">
        <v>9985</v>
      </c>
      <c r="H3003" s="57" t="s">
        <v>3792</v>
      </c>
      <c r="I3003" s="34"/>
      <c r="J3003" s="57" t="s">
        <v>3792</v>
      </c>
      <c r="K3003" s="57" t="s">
        <v>3792</v>
      </c>
    </row>
    <row r="3004" customFormat="false" ht="111.9" hidden="false" customHeight="false" outlineLevel="0" collapsed="false">
      <c r="A3004" s="0"/>
      <c r="B3004" s="0"/>
      <c r="C3004" s="0"/>
      <c r="D3004" s="0" t="s">
        <v>9986</v>
      </c>
      <c r="E3004" s="0" t="s">
        <v>9987</v>
      </c>
      <c r="F3004" s="0" t="s">
        <v>5342</v>
      </c>
      <c r="G3004" s="57" t="s">
        <v>9988</v>
      </c>
      <c r="H3004" s="57" t="s">
        <v>9989</v>
      </c>
      <c r="I3004" s="37" t="s">
        <v>50</v>
      </c>
      <c r="J3004" s="57" t="s">
        <v>9990</v>
      </c>
      <c r="K3004" s="57" t="s">
        <v>9626</v>
      </c>
    </row>
    <row r="3005" customFormat="false" ht="90.15" hidden="false" customHeight="false" outlineLevel="0" collapsed="false">
      <c r="A3005" s="0"/>
      <c r="B3005" s="0"/>
      <c r="C3005" s="65"/>
      <c r="D3005" s="65"/>
      <c r="E3005" s="65"/>
      <c r="F3005" s="65"/>
      <c r="G3005" s="57" t="s">
        <v>9991</v>
      </c>
      <c r="H3005" s="57" t="s">
        <v>3792</v>
      </c>
      <c r="I3005" s="37"/>
      <c r="J3005" s="57" t="s">
        <v>3792</v>
      </c>
      <c r="K3005" s="57" t="s">
        <v>3792</v>
      </c>
    </row>
    <row r="3006" customFormat="false" ht="66.85" hidden="false" customHeight="false" outlineLevel="0" collapsed="false">
      <c r="A3006" s="0"/>
      <c r="B3006" s="0"/>
      <c r="C3006" s="57" t="s">
        <v>9992</v>
      </c>
      <c r="D3006" s="0" t="s">
        <v>9993</v>
      </c>
      <c r="E3006" s="0" t="s">
        <v>9994</v>
      </c>
      <c r="F3006" s="0" t="s">
        <v>5342</v>
      </c>
      <c r="G3006" s="57" t="s">
        <v>9995</v>
      </c>
      <c r="H3006" s="57" t="s">
        <v>9996</v>
      </c>
      <c r="I3006" s="34" t="s">
        <v>40</v>
      </c>
      <c r="J3006" s="57" t="s">
        <v>9997</v>
      </c>
      <c r="K3006" s="57" t="s">
        <v>9633</v>
      </c>
    </row>
    <row r="3007" customFormat="false" ht="122.8" hidden="false" customHeight="false" outlineLevel="0" collapsed="false">
      <c r="A3007" s="0"/>
      <c r="B3007" s="0"/>
      <c r="C3007" s="0"/>
      <c r="D3007" s="62"/>
      <c r="E3007" s="62"/>
      <c r="F3007" s="62"/>
      <c r="G3007" s="57" t="s">
        <v>9998</v>
      </c>
      <c r="H3007" s="57" t="s">
        <v>3792</v>
      </c>
      <c r="I3007" s="34"/>
      <c r="J3007" s="57" t="s">
        <v>3792</v>
      </c>
      <c r="K3007" s="57" t="s">
        <v>3792</v>
      </c>
    </row>
    <row r="3008" customFormat="false" ht="66.85" hidden="false" customHeight="false" outlineLevel="0" collapsed="false">
      <c r="A3008" s="0"/>
      <c r="B3008" s="0"/>
      <c r="C3008" s="0"/>
      <c r="D3008" s="0" t="s">
        <v>9999</v>
      </c>
      <c r="E3008" s="0" t="s">
        <v>10000</v>
      </c>
      <c r="F3008" s="0" t="s">
        <v>5334</v>
      </c>
      <c r="G3008" s="57" t="s">
        <v>10001</v>
      </c>
      <c r="H3008" s="57" t="s">
        <v>10002</v>
      </c>
      <c r="I3008" s="39" t="s">
        <v>67</v>
      </c>
      <c r="J3008" s="57" t="s">
        <v>10003</v>
      </c>
      <c r="K3008" s="57" t="s">
        <v>9640</v>
      </c>
    </row>
    <row r="3009" customFormat="false" ht="157" hidden="false" customHeight="false" outlineLevel="0" collapsed="false">
      <c r="A3009" s="0"/>
      <c r="B3009" s="0"/>
      <c r="C3009" s="0"/>
      <c r="D3009" s="62"/>
      <c r="E3009" s="62"/>
      <c r="F3009" s="62"/>
      <c r="G3009" s="57" t="s">
        <v>10004</v>
      </c>
      <c r="H3009" s="57" t="s">
        <v>3792</v>
      </c>
      <c r="I3009" s="39"/>
      <c r="J3009" s="57" t="s">
        <v>3792</v>
      </c>
      <c r="K3009" s="57" t="s">
        <v>3792</v>
      </c>
    </row>
    <row r="3010" customFormat="false" ht="122.8" hidden="false" customHeight="false" outlineLevel="0" collapsed="false">
      <c r="A3010" s="0"/>
      <c r="B3010" s="0"/>
      <c r="C3010" s="0"/>
      <c r="D3010" s="0" t="s">
        <v>10005</v>
      </c>
      <c r="E3010" s="0" t="s">
        <v>10006</v>
      </c>
      <c r="F3010" s="0" t="s">
        <v>5334</v>
      </c>
      <c r="G3010" s="57" t="s">
        <v>10007</v>
      </c>
      <c r="H3010" s="57" t="s">
        <v>10008</v>
      </c>
      <c r="I3010" s="34" t="s">
        <v>40</v>
      </c>
      <c r="J3010" s="57" t="s">
        <v>10009</v>
      </c>
      <c r="K3010" s="57" t="s">
        <v>9647</v>
      </c>
    </row>
    <row r="3011" customFormat="false" ht="66.85" hidden="false" customHeight="false" outlineLevel="0" collapsed="false">
      <c r="A3011" s="0"/>
      <c r="B3011" s="0"/>
      <c r="C3011" s="0"/>
      <c r="D3011" s="62"/>
      <c r="E3011" s="62"/>
      <c r="F3011" s="62"/>
      <c r="G3011" s="57" t="s">
        <v>10010</v>
      </c>
      <c r="H3011" s="57" t="s">
        <v>3792</v>
      </c>
      <c r="I3011" s="34"/>
      <c r="J3011" s="57" t="s">
        <v>3792</v>
      </c>
      <c r="K3011" s="57" t="s">
        <v>3792</v>
      </c>
    </row>
    <row r="3012" customFormat="false" ht="111.9" hidden="false" customHeight="false" outlineLevel="0" collapsed="false">
      <c r="A3012" s="0"/>
      <c r="B3012" s="0"/>
      <c r="C3012" s="0"/>
      <c r="D3012" s="0" t="s">
        <v>10011</v>
      </c>
      <c r="E3012" s="0" t="s">
        <v>10012</v>
      </c>
      <c r="F3012" s="0" t="s">
        <v>5334</v>
      </c>
      <c r="G3012" s="57" t="s">
        <v>10013</v>
      </c>
      <c r="H3012" s="57" t="s">
        <v>10014</v>
      </c>
      <c r="I3012" s="37" t="s">
        <v>50</v>
      </c>
      <c r="J3012" s="57" t="s">
        <v>10015</v>
      </c>
      <c r="K3012" s="57" t="s">
        <v>9655</v>
      </c>
    </row>
    <row r="3013" customFormat="false" ht="111.9" hidden="false" customHeight="false" outlineLevel="0" collapsed="false">
      <c r="A3013" s="0"/>
      <c r="B3013" s="0"/>
      <c r="C3013" s="0"/>
      <c r="D3013" s="62"/>
      <c r="E3013" s="62"/>
      <c r="F3013" s="62"/>
      <c r="G3013" s="57" t="s">
        <v>10016</v>
      </c>
      <c r="H3013" s="57" t="s">
        <v>3792</v>
      </c>
      <c r="I3013" s="37"/>
      <c r="J3013" s="57" t="s">
        <v>3792</v>
      </c>
      <c r="K3013" s="57" t="s">
        <v>3792</v>
      </c>
    </row>
    <row r="3014" customFormat="false" ht="122.8" hidden="false" customHeight="false" outlineLevel="0" collapsed="false">
      <c r="A3014" s="0"/>
      <c r="B3014" s="0"/>
      <c r="C3014" s="0"/>
      <c r="D3014" s="0" t="s">
        <v>10017</v>
      </c>
      <c r="E3014" s="0" t="s">
        <v>10018</v>
      </c>
      <c r="F3014" s="0" t="s">
        <v>5342</v>
      </c>
      <c r="G3014" s="57" t="s">
        <v>10019</v>
      </c>
      <c r="H3014" s="57" t="s">
        <v>10020</v>
      </c>
      <c r="I3014" s="34" t="s">
        <v>40</v>
      </c>
      <c r="J3014" s="57" t="s">
        <v>10021</v>
      </c>
      <c r="K3014" s="57" t="s">
        <v>9661</v>
      </c>
    </row>
    <row r="3015" customFormat="false" ht="122.8" hidden="false" customHeight="false" outlineLevel="0" collapsed="false">
      <c r="A3015" s="0"/>
      <c r="B3015" s="0"/>
      <c r="C3015" s="65"/>
      <c r="D3015" s="65"/>
      <c r="E3015" s="65"/>
      <c r="F3015" s="65"/>
      <c r="G3015" s="57" t="s">
        <v>10022</v>
      </c>
      <c r="H3015" s="57" t="s">
        <v>3792</v>
      </c>
      <c r="I3015" s="34"/>
      <c r="J3015" s="57" t="s">
        <v>3792</v>
      </c>
      <c r="K3015" s="57" t="s">
        <v>3792</v>
      </c>
    </row>
    <row r="3016" customFormat="false" ht="133.7" hidden="false" customHeight="false" outlineLevel="0" collapsed="false">
      <c r="A3016" s="0"/>
      <c r="B3016" s="0"/>
      <c r="C3016" s="57" t="s">
        <v>10023</v>
      </c>
      <c r="D3016" s="0" t="s">
        <v>10024</v>
      </c>
      <c r="E3016" s="0" t="s">
        <v>10025</v>
      </c>
      <c r="F3016" s="0" t="s">
        <v>5334</v>
      </c>
      <c r="G3016" s="57" t="s">
        <v>10026</v>
      </c>
      <c r="H3016" s="57" t="s">
        <v>10027</v>
      </c>
      <c r="I3016" s="39" t="s">
        <v>67</v>
      </c>
      <c r="J3016" s="57" t="s">
        <v>10028</v>
      </c>
      <c r="K3016" s="57" t="s">
        <v>9667</v>
      </c>
    </row>
    <row r="3017" customFormat="false" ht="77.7" hidden="false" customHeight="false" outlineLevel="0" collapsed="false">
      <c r="A3017" s="0"/>
      <c r="B3017" s="0"/>
      <c r="C3017" s="0"/>
      <c r="D3017" s="62"/>
      <c r="E3017" s="62"/>
      <c r="F3017" s="62"/>
      <c r="G3017" s="57" t="s">
        <v>10029</v>
      </c>
      <c r="H3017" s="57" t="s">
        <v>3792</v>
      </c>
      <c r="I3017" s="39"/>
      <c r="J3017" s="57" t="s">
        <v>3792</v>
      </c>
      <c r="K3017" s="62"/>
    </row>
    <row r="3018" customFormat="false" ht="111.9" hidden="false" customHeight="false" outlineLevel="0" collapsed="false">
      <c r="A3018" s="0"/>
      <c r="B3018" s="0"/>
      <c r="C3018" s="0"/>
      <c r="D3018" s="0" t="s">
        <v>10030</v>
      </c>
      <c r="E3018" s="0" t="s">
        <v>10031</v>
      </c>
      <c r="F3018" s="0" t="s">
        <v>5342</v>
      </c>
      <c r="G3018" s="57" t="s">
        <v>10032</v>
      </c>
      <c r="H3018" s="57" t="s">
        <v>10033</v>
      </c>
      <c r="I3018" s="34" t="s">
        <v>40</v>
      </c>
      <c r="J3018" s="57" t="s">
        <v>10034</v>
      </c>
      <c r="K3018" s="57" t="s">
        <v>9085</v>
      </c>
    </row>
    <row r="3019" customFormat="false" ht="55.95" hidden="false" customHeight="false" outlineLevel="0" collapsed="false">
      <c r="A3019" s="0"/>
      <c r="B3019" s="0"/>
      <c r="C3019" s="0"/>
      <c r="D3019" s="62"/>
      <c r="E3019" s="62"/>
      <c r="F3019" s="62"/>
      <c r="G3019" s="57" t="s">
        <v>10035</v>
      </c>
      <c r="H3019" s="57" t="s">
        <v>3792</v>
      </c>
      <c r="I3019" s="34"/>
      <c r="J3019" s="57" t="s">
        <v>3792</v>
      </c>
      <c r="K3019" s="57" t="s">
        <v>9087</v>
      </c>
    </row>
    <row r="3020" customFormat="false" ht="157" hidden="false" customHeight="false" outlineLevel="0" collapsed="false">
      <c r="A3020" s="0"/>
      <c r="B3020" s="0"/>
      <c r="C3020" s="0"/>
      <c r="D3020" s="0" t="s">
        <v>10036</v>
      </c>
      <c r="E3020" s="0" t="s">
        <v>10037</v>
      </c>
      <c r="F3020" s="0" t="s">
        <v>5342</v>
      </c>
      <c r="G3020" s="57" t="s">
        <v>10038</v>
      </c>
      <c r="H3020" s="57" t="s">
        <v>10039</v>
      </c>
      <c r="I3020" s="37" t="s">
        <v>50</v>
      </c>
      <c r="J3020" s="57" t="s">
        <v>10040</v>
      </c>
      <c r="K3020" s="57" t="s">
        <v>9093</v>
      </c>
    </row>
    <row r="3021" customFormat="false" ht="77.7" hidden="false" customHeight="false" outlineLevel="0" collapsed="false">
      <c r="A3021" s="0"/>
      <c r="B3021" s="0"/>
      <c r="C3021" s="0"/>
      <c r="D3021" s="62"/>
      <c r="E3021" s="62"/>
      <c r="F3021" s="62"/>
      <c r="G3021" s="57" t="s">
        <v>10041</v>
      </c>
      <c r="H3021" s="57" t="s">
        <v>3792</v>
      </c>
      <c r="I3021" s="37"/>
      <c r="J3021" s="57" t="s">
        <v>3792</v>
      </c>
      <c r="K3021" s="57" t="s">
        <v>9095</v>
      </c>
    </row>
    <row r="3022" customFormat="false" ht="133.7" hidden="false" customHeight="false" outlineLevel="0" collapsed="false">
      <c r="A3022" s="0"/>
      <c r="B3022" s="0"/>
      <c r="C3022" s="0"/>
      <c r="D3022" s="0" t="s">
        <v>10042</v>
      </c>
      <c r="E3022" s="0" t="s">
        <v>10043</v>
      </c>
      <c r="F3022" s="0" t="s">
        <v>5334</v>
      </c>
      <c r="G3022" s="57" t="s">
        <v>10044</v>
      </c>
      <c r="H3022" s="57" t="s">
        <v>10045</v>
      </c>
      <c r="I3022" s="34" t="s">
        <v>40</v>
      </c>
      <c r="J3022" s="57" t="s">
        <v>10046</v>
      </c>
      <c r="K3022" s="57" t="s">
        <v>9101</v>
      </c>
    </row>
    <row r="3023" customFormat="false" ht="122.8" hidden="false" customHeight="false" outlineLevel="0" collapsed="false">
      <c r="A3023" s="0"/>
      <c r="B3023" s="0"/>
      <c r="C3023" s="0"/>
      <c r="D3023" s="62"/>
      <c r="E3023" s="62"/>
      <c r="F3023" s="62"/>
      <c r="G3023" s="57" t="s">
        <v>10047</v>
      </c>
      <c r="H3023" s="57" t="s">
        <v>3792</v>
      </c>
      <c r="I3023" s="34"/>
      <c r="J3023" s="57" t="s">
        <v>3792</v>
      </c>
      <c r="K3023" s="57" t="s">
        <v>9103</v>
      </c>
    </row>
    <row r="3024" customFormat="false" ht="90.15" hidden="false" customHeight="false" outlineLevel="0" collapsed="false">
      <c r="A3024" s="0"/>
      <c r="B3024" s="0"/>
      <c r="C3024" s="0"/>
      <c r="D3024" s="0" t="s">
        <v>10048</v>
      </c>
      <c r="E3024" s="0" t="s">
        <v>10049</v>
      </c>
      <c r="F3024" s="0" t="s">
        <v>5334</v>
      </c>
      <c r="G3024" s="57" t="s">
        <v>10050</v>
      </c>
      <c r="H3024" s="57" t="s">
        <v>10051</v>
      </c>
      <c r="I3024" s="39" t="s">
        <v>67</v>
      </c>
      <c r="J3024" s="57" t="s">
        <v>10052</v>
      </c>
      <c r="K3024" s="57" t="s">
        <v>9109</v>
      </c>
    </row>
    <row r="3025" customFormat="false" ht="101.05" hidden="false" customHeight="false" outlineLevel="0" collapsed="false">
      <c r="A3025" s="0"/>
      <c r="B3025" s="0"/>
      <c r="C3025" s="65"/>
      <c r="D3025" s="65"/>
      <c r="E3025" s="65"/>
      <c r="F3025" s="65"/>
      <c r="G3025" s="57" t="s">
        <v>10053</v>
      </c>
      <c r="H3025" s="57" t="s">
        <v>3792</v>
      </c>
      <c r="I3025" s="39"/>
      <c r="J3025" s="57" t="s">
        <v>3792</v>
      </c>
      <c r="K3025" s="57" t="s">
        <v>9111</v>
      </c>
    </row>
    <row r="3026" customFormat="false" ht="157" hidden="false" customHeight="false" outlineLevel="0" collapsed="false">
      <c r="A3026" s="0"/>
      <c r="B3026" s="0"/>
      <c r="C3026" s="57" t="s">
        <v>10054</v>
      </c>
      <c r="D3026" s="0" t="s">
        <v>10055</v>
      </c>
      <c r="E3026" s="0" t="s">
        <v>10056</v>
      </c>
      <c r="F3026" s="0" t="s">
        <v>5342</v>
      </c>
      <c r="G3026" s="57" t="s">
        <v>10057</v>
      </c>
      <c r="H3026" s="57" t="s">
        <v>10058</v>
      </c>
      <c r="I3026" s="34" t="s">
        <v>40</v>
      </c>
      <c r="J3026" s="57" t="s">
        <v>10059</v>
      </c>
      <c r="K3026" s="57" t="s">
        <v>9117</v>
      </c>
    </row>
    <row r="3027" customFormat="false" ht="34.2" hidden="false" customHeight="false" outlineLevel="0" collapsed="false">
      <c r="A3027" s="0"/>
      <c r="B3027" s="0"/>
      <c r="C3027" s="0"/>
      <c r="D3027" s="62"/>
      <c r="E3027" s="62"/>
      <c r="F3027" s="62"/>
      <c r="G3027" s="57" t="s">
        <v>10060</v>
      </c>
      <c r="H3027" s="57" t="s">
        <v>3792</v>
      </c>
      <c r="I3027" s="34"/>
      <c r="J3027" s="57" t="s">
        <v>3792</v>
      </c>
      <c r="K3027" s="57" t="s">
        <v>9119</v>
      </c>
    </row>
    <row r="3028" customFormat="false" ht="66.85" hidden="false" customHeight="false" outlineLevel="0" collapsed="false">
      <c r="A3028" s="0"/>
      <c r="B3028" s="0"/>
      <c r="C3028" s="0"/>
      <c r="D3028" s="0" t="s">
        <v>10061</v>
      </c>
      <c r="E3028" s="0" t="s">
        <v>10062</v>
      </c>
      <c r="F3028" s="0" t="s">
        <v>5342</v>
      </c>
      <c r="G3028" s="57" t="s">
        <v>10063</v>
      </c>
      <c r="H3028" s="57" t="s">
        <v>10064</v>
      </c>
      <c r="I3028" s="37" t="s">
        <v>50</v>
      </c>
      <c r="J3028" s="57" t="s">
        <v>10065</v>
      </c>
      <c r="K3028" s="57" t="s">
        <v>9126</v>
      </c>
    </row>
    <row r="3029" customFormat="false" ht="55.95" hidden="false" customHeight="false" outlineLevel="0" collapsed="false">
      <c r="A3029" s="0"/>
      <c r="B3029" s="0"/>
      <c r="C3029" s="0"/>
      <c r="D3029" s="62"/>
      <c r="E3029" s="62"/>
      <c r="F3029" s="62"/>
      <c r="G3029" s="57" t="s">
        <v>10066</v>
      </c>
      <c r="H3029" s="57" t="s">
        <v>3792</v>
      </c>
      <c r="I3029" s="37"/>
      <c r="J3029" s="57" t="s">
        <v>3792</v>
      </c>
      <c r="K3029" s="57" t="s">
        <v>9128</v>
      </c>
    </row>
    <row r="3030" customFormat="false" ht="55.95" hidden="false" customHeight="false" outlineLevel="0" collapsed="false">
      <c r="A3030" s="0"/>
      <c r="B3030" s="0"/>
      <c r="C3030" s="0"/>
      <c r="D3030" s="0" t="s">
        <v>10067</v>
      </c>
      <c r="E3030" s="0" t="s">
        <v>10068</v>
      </c>
      <c r="F3030" s="0" t="s">
        <v>5334</v>
      </c>
      <c r="G3030" s="57" t="s">
        <v>10069</v>
      </c>
      <c r="H3030" s="57" t="s">
        <v>10070</v>
      </c>
      <c r="I3030" s="34" t="s">
        <v>40</v>
      </c>
      <c r="J3030" s="57" t="s">
        <v>10071</v>
      </c>
      <c r="K3030" s="57" t="s">
        <v>9134</v>
      </c>
    </row>
    <row r="3031" customFormat="false" ht="34.2" hidden="false" customHeight="false" outlineLevel="0" collapsed="false">
      <c r="A3031" s="0"/>
      <c r="B3031" s="0"/>
      <c r="C3031" s="0"/>
      <c r="D3031" s="62"/>
      <c r="E3031" s="62"/>
      <c r="F3031" s="62"/>
      <c r="G3031" s="57" t="s">
        <v>10072</v>
      </c>
      <c r="H3031" s="57" t="s">
        <v>3792</v>
      </c>
      <c r="I3031" s="34"/>
      <c r="J3031" s="57" t="s">
        <v>3792</v>
      </c>
      <c r="K3031" s="57" t="s">
        <v>9136</v>
      </c>
    </row>
    <row r="3032" customFormat="false" ht="55.95" hidden="false" customHeight="false" outlineLevel="0" collapsed="false">
      <c r="A3032" s="0"/>
      <c r="B3032" s="0"/>
      <c r="C3032" s="0"/>
      <c r="D3032" s="0" t="s">
        <v>10073</v>
      </c>
      <c r="E3032" s="0" t="s">
        <v>10074</v>
      </c>
      <c r="F3032" s="0" t="s">
        <v>5334</v>
      </c>
      <c r="G3032" s="57" t="s">
        <v>10075</v>
      </c>
      <c r="H3032" s="57" t="s">
        <v>10076</v>
      </c>
      <c r="I3032" s="39" t="s">
        <v>67</v>
      </c>
      <c r="J3032" s="57" t="s">
        <v>10077</v>
      </c>
      <c r="K3032" s="57" t="s">
        <v>9142</v>
      </c>
    </row>
    <row r="3033" customFormat="false" ht="66.85" hidden="false" customHeight="false" outlineLevel="0" collapsed="false">
      <c r="A3033" s="0"/>
      <c r="B3033" s="0"/>
      <c r="C3033" s="0"/>
      <c r="D3033" s="62"/>
      <c r="E3033" s="62"/>
      <c r="F3033" s="62"/>
      <c r="G3033" s="57" t="s">
        <v>10078</v>
      </c>
      <c r="H3033" s="57" t="s">
        <v>3792</v>
      </c>
      <c r="I3033" s="39"/>
      <c r="J3033" s="57" t="s">
        <v>3792</v>
      </c>
      <c r="K3033" s="57" t="s">
        <v>9144</v>
      </c>
    </row>
    <row r="3034" customFormat="false" ht="45.05" hidden="false" customHeight="false" outlineLevel="0" collapsed="false">
      <c r="A3034" s="0"/>
      <c r="B3034" s="0"/>
      <c r="C3034" s="0"/>
      <c r="D3034" s="0" t="s">
        <v>10079</v>
      </c>
      <c r="E3034" s="0" t="s">
        <v>10080</v>
      </c>
      <c r="F3034" s="0" t="s">
        <v>5342</v>
      </c>
      <c r="G3034" s="73" t="s">
        <v>10081</v>
      </c>
      <c r="H3034" s="57" t="s">
        <v>10082</v>
      </c>
      <c r="I3034" s="34" t="s">
        <v>40</v>
      </c>
      <c r="J3034" s="57" t="s">
        <v>10083</v>
      </c>
      <c r="K3034" s="57" t="s">
        <v>9150</v>
      </c>
    </row>
    <row r="3035" customFormat="false" ht="34.2" hidden="false" customHeight="false" outlineLevel="0" collapsed="false">
      <c r="A3035" s="0"/>
      <c r="B3035" s="0"/>
      <c r="C3035" s="65"/>
      <c r="D3035" s="65"/>
      <c r="E3035" s="65"/>
      <c r="F3035" s="65"/>
      <c r="G3035" s="57" t="s">
        <v>10084</v>
      </c>
      <c r="H3035" s="57" t="s">
        <v>3792</v>
      </c>
      <c r="I3035" s="34"/>
      <c r="J3035" s="57" t="s">
        <v>3792</v>
      </c>
      <c r="K3035" s="57" t="s">
        <v>9152</v>
      </c>
    </row>
    <row r="3036" customFormat="false" ht="77.7" hidden="false" customHeight="false" outlineLevel="0" collapsed="false">
      <c r="A3036" s="0"/>
      <c r="B3036" s="0"/>
      <c r="C3036" s="57" t="s">
        <v>10085</v>
      </c>
      <c r="D3036" s="0" t="s">
        <v>10086</v>
      </c>
      <c r="E3036" s="0" t="s">
        <v>10087</v>
      </c>
      <c r="F3036" s="0" t="s">
        <v>5342</v>
      </c>
      <c r="G3036" s="57" t="s">
        <v>10088</v>
      </c>
      <c r="H3036" s="57" t="s">
        <v>10089</v>
      </c>
      <c r="I3036" s="37" t="s">
        <v>50</v>
      </c>
      <c r="J3036" s="57" t="s">
        <v>10090</v>
      </c>
      <c r="K3036" s="57" t="s">
        <v>9158</v>
      </c>
    </row>
    <row r="3037" customFormat="false" ht="45.05" hidden="false" customHeight="false" outlineLevel="0" collapsed="false">
      <c r="A3037" s="0"/>
      <c r="B3037" s="0"/>
      <c r="C3037" s="0"/>
      <c r="D3037" s="62"/>
      <c r="E3037" s="62"/>
      <c r="F3037" s="62"/>
      <c r="G3037" s="57" t="s">
        <v>10091</v>
      </c>
      <c r="H3037" s="57" t="s">
        <v>3792</v>
      </c>
      <c r="I3037" s="37"/>
      <c r="J3037" s="57" t="s">
        <v>3792</v>
      </c>
      <c r="K3037" s="57" t="s">
        <v>9160</v>
      </c>
    </row>
    <row r="3038" customFormat="false" ht="66.85" hidden="false" customHeight="false" outlineLevel="0" collapsed="false">
      <c r="A3038" s="0"/>
      <c r="B3038" s="0"/>
      <c r="C3038" s="0"/>
      <c r="D3038" s="0" t="s">
        <v>10092</v>
      </c>
      <c r="E3038" s="0" t="s">
        <v>10093</v>
      </c>
      <c r="F3038" s="0" t="s">
        <v>5334</v>
      </c>
      <c r="G3038" s="57" t="s">
        <v>10094</v>
      </c>
      <c r="H3038" s="57" t="s">
        <v>10095</v>
      </c>
      <c r="I3038" s="34" t="s">
        <v>40</v>
      </c>
      <c r="J3038" s="57" t="s">
        <v>10096</v>
      </c>
      <c r="K3038" s="57" t="s">
        <v>9167</v>
      </c>
    </row>
    <row r="3039" customFormat="false" ht="55.95" hidden="false" customHeight="false" outlineLevel="0" collapsed="false">
      <c r="A3039" s="0"/>
      <c r="B3039" s="0"/>
      <c r="C3039" s="0"/>
      <c r="D3039" s="62"/>
      <c r="E3039" s="62"/>
      <c r="F3039" s="62"/>
      <c r="G3039" s="57" t="s">
        <v>10097</v>
      </c>
      <c r="H3039" s="57" t="s">
        <v>3792</v>
      </c>
      <c r="I3039" s="34"/>
      <c r="J3039" s="57" t="s">
        <v>3792</v>
      </c>
      <c r="K3039" s="57" t="s">
        <v>9169</v>
      </c>
    </row>
    <row r="3040" customFormat="false" ht="66.85" hidden="false" customHeight="false" outlineLevel="0" collapsed="false">
      <c r="A3040" s="0"/>
      <c r="B3040" s="0"/>
      <c r="C3040" s="0"/>
      <c r="D3040" s="0" t="s">
        <v>10098</v>
      </c>
      <c r="E3040" s="0" t="s">
        <v>10099</v>
      </c>
      <c r="F3040" s="0" t="s">
        <v>5342</v>
      </c>
      <c r="G3040" s="57" t="s">
        <v>10100</v>
      </c>
      <c r="H3040" s="57" t="s">
        <v>10101</v>
      </c>
      <c r="I3040" s="39" t="s">
        <v>67</v>
      </c>
      <c r="J3040" s="57" t="s">
        <v>10102</v>
      </c>
      <c r="K3040" s="57" t="s">
        <v>9175</v>
      </c>
    </row>
    <row r="3041" customFormat="false" ht="55.95" hidden="false" customHeight="false" outlineLevel="0" collapsed="false">
      <c r="A3041" s="0"/>
      <c r="B3041" s="0"/>
      <c r="C3041" s="0"/>
      <c r="D3041" s="62"/>
      <c r="E3041" s="62"/>
      <c r="F3041" s="62"/>
      <c r="G3041" s="57" t="s">
        <v>10103</v>
      </c>
      <c r="H3041" s="57" t="s">
        <v>3792</v>
      </c>
      <c r="I3041" s="39"/>
      <c r="J3041" s="57" t="s">
        <v>3792</v>
      </c>
      <c r="K3041" s="57" t="s">
        <v>9177</v>
      </c>
    </row>
    <row r="3042" customFormat="false" ht="66.85" hidden="false" customHeight="false" outlineLevel="0" collapsed="false">
      <c r="A3042" s="0"/>
      <c r="B3042" s="0"/>
      <c r="C3042" s="0"/>
      <c r="D3042" s="0" t="s">
        <v>10104</v>
      </c>
      <c r="E3042" s="0" t="s">
        <v>10105</v>
      </c>
      <c r="F3042" s="0" t="s">
        <v>5334</v>
      </c>
      <c r="G3042" s="57" t="s">
        <v>10106</v>
      </c>
      <c r="H3042" s="57" t="s">
        <v>10107</v>
      </c>
      <c r="I3042" s="34" t="s">
        <v>40</v>
      </c>
      <c r="J3042" s="57" t="s">
        <v>10108</v>
      </c>
      <c r="K3042" s="57" t="s">
        <v>9183</v>
      </c>
    </row>
    <row r="3043" customFormat="false" ht="55.95" hidden="false" customHeight="false" outlineLevel="0" collapsed="false">
      <c r="A3043" s="0"/>
      <c r="B3043" s="0"/>
      <c r="C3043" s="0"/>
      <c r="D3043" s="62"/>
      <c r="E3043" s="62"/>
      <c r="F3043" s="62"/>
      <c r="G3043" s="57" t="s">
        <v>10109</v>
      </c>
      <c r="H3043" s="57" t="s">
        <v>3792</v>
      </c>
      <c r="I3043" s="34"/>
      <c r="J3043" s="57" t="s">
        <v>3792</v>
      </c>
      <c r="K3043" s="57" t="s">
        <v>9185</v>
      </c>
    </row>
    <row r="3044" customFormat="false" ht="45.05" hidden="false" customHeight="false" outlineLevel="0" collapsed="false">
      <c r="A3044" s="0"/>
      <c r="B3044" s="0"/>
      <c r="C3044" s="0"/>
      <c r="D3044" s="0" t="s">
        <v>10110</v>
      </c>
      <c r="E3044" s="0" t="s">
        <v>10111</v>
      </c>
      <c r="F3044" s="0" t="s">
        <v>5342</v>
      </c>
      <c r="G3044" s="57" t="s">
        <v>10112</v>
      </c>
      <c r="H3044" s="57" t="s">
        <v>10113</v>
      </c>
      <c r="I3044" s="37" t="s">
        <v>50</v>
      </c>
      <c r="J3044" s="57" t="s">
        <v>10114</v>
      </c>
      <c r="K3044" s="57" t="s">
        <v>9191</v>
      </c>
    </row>
    <row r="3045" customFormat="false" ht="45.05" hidden="false" customHeight="false" outlineLevel="0" collapsed="false">
      <c r="A3045" s="0"/>
      <c r="B3045" s="0"/>
      <c r="C3045" s="65"/>
      <c r="D3045" s="65"/>
      <c r="E3045" s="65"/>
      <c r="F3045" s="65"/>
      <c r="G3045" s="57" t="s">
        <v>10115</v>
      </c>
      <c r="H3045" s="57" t="s">
        <v>3792</v>
      </c>
      <c r="I3045" s="37"/>
      <c r="J3045" s="57" t="s">
        <v>3792</v>
      </c>
      <c r="K3045" s="57" t="s">
        <v>9193</v>
      </c>
    </row>
    <row r="3046" customFormat="false" ht="66.85" hidden="false" customHeight="false" outlineLevel="0" collapsed="false">
      <c r="A3046" s="0"/>
      <c r="B3046" s="0"/>
      <c r="C3046" s="57" t="s">
        <v>10116</v>
      </c>
      <c r="D3046" s="0" t="s">
        <v>10117</v>
      </c>
      <c r="E3046" s="0" t="s">
        <v>10118</v>
      </c>
      <c r="F3046" s="0" t="s">
        <v>5334</v>
      </c>
      <c r="G3046" s="57" t="s">
        <v>10119</v>
      </c>
      <c r="H3046" s="57" t="s">
        <v>10120</v>
      </c>
      <c r="I3046" s="34" t="s">
        <v>40</v>
      </c>
      <c r="J3046" s="57" t="s">
        <v>10121</v>
      </c>
      <c r="K3046" s="57" t="s">
        <v>9199</v>
      </c>
    </row>
    <row r="3047" customFormat="false" ht="45.05" hidden="false" customHeight="false" outlineLevel="0" collapsed="false">
      <c r="A3047" s="0"/>
      <c r="B3047" s="0"/>
      <c r="C3047" s="0"/>
      <c r="D3047" s="62"/>
      <c r="E3047" s="62"/>
      <c r="F3047" s="62"/>
      <c r="G3047" s="57" t="s">
        <v>10122</v>
      </c>
      <c r="H3047" s="57" t="s">
        <v>3792</v>
      </c>
      <c r="I3047" s="34"/>
      <c r="J3047" s="57" t="s">
        <v>3792</v>
      </c>
      <c r="K3047" s="57" t="s">
        <v>9201</v>
      </c>
    </row>
    <row r="3048" customFormat="false" ht="55.95" hidden="false" customHeight="false" outlineLevel="0" collapsed="false">
      <c r="A3048" s="0"/>
      <c r="B3048" s="0"/>
      <c r="C3048" s="0"/>
      <c r="D3048" s="0" t="s">
        <v>10123</v>
      </c>
      <c r="E3048" s="0" t="s">
        <v>10124</v>
      </c>
      <c r="F3048" s="0" t="s">
        <v>5334</v>
      </c>
      <c r="G3048" s="57" t="s">
        <v>10125</v>
      </c>
      <c r="H3048" s="57" t="s">
        <v>10126</v>
      </c>
      <c r="I3048" s="39" t="s">
        <v>67</v>
      </c>
      <c r="J3048" s="57" t="s">
        <v>10127</v>
      </c>
      <c r="K3048" s="57" t="s">
        <v>9208</v>
      </c>
    </row>
    <row r="3049" customFormat="false" ht="45.05" hidden="false" customHeight="false" outlineLevel="0" collapsed="false">
      <c r="A3049" s="0"/>
      <c r="B3049" s="0"/>
      <c r="C3049" s="0"/>
      <c r="D3049" s="62"/>
      <c r="E3049" s="62"/>
      <c r="F3049" s="62"/>
      <c r="G3049" s="57" t="s">
        <v>10128</v>
      </c>
      <c r="H3049" s="57" t="s">
        <v>3792</v>
      </c>
      <c r="I3049" s="39"/>
      <c r="J3049" s="57" t="s">
        <v>3792</v>
      </c>
      <c r="K3049" s="57" t="s">
        <v>9210</v>
      </c>
    </row>
    <row r="3050" customFormat="false" ht="55.95" hidden="false" customHeight="false" outlineLevel="0" collapsed="false">
      <c r="A3050" s="0"/>
      <c r="B3050" s="0"/>
      <c r="C3050" s="0"/>
      <c r="D3050" s="0" t="s">
        <v>10129</v>
      </c>
      <c r="E3050" s="0" t="s">
        <v>10130</v>
      </c>
      <c r="F3050" s="0" t="s">
        <v>5342</v>
      </c>
      <c r="G3050" s="57" t="s">
        <v>10131</v>
      </c>
      <c r="H3050" s="57" t="s">
        <v>10132</v>
      </c>
      <c r="I3050" s="34" t="s">
        <v>40</v>
      </c>
      <c r="J3050" s="57" t="s">
        <v>10133</v>
      </c>
      <c r="K3050" s="57" t="s">
        <v>9216</v>
      </c>
    </row>
    <row r="3051" customFormat="false" ht="55.95" hidden="false" customHeight="false" outlineLevel="0" collapsed="false">
      <c r="A3051" s="0"/>
      <c r="B3051" s="0"/>
      <c r="C3051" s="0"/>
      <c r="D3051" s="62"/>
      <c r="E3051" s="62"/>
      <c r="F3051" s="62"/>
      <c r="G3051" s="57" t="s">
        <v>10134</v>
      </c>
      <c r="H3051" s="57" t="s">
        <v>3792</v>
      </c>
      <c r="I3051" s="34"/>
      <c r="J3051" s="57" t="s">
        <v>3792</v>
      </c>
      <c r="K3051" s="57" t="s">
        <v>9218</v>
      </c>
    </row>
    <row r="3052" customFormat="false" ht="45.05" hidden="false" customHeight="false" outlineLevel="0" collapsed="false">
      <c r="A3052" s="0"/>
      <c r="B3052" s="0"/>
      <c r="C3052" s="0"/>
      <c r="D3052" s="0" t="s">
        <v>10135</v>
      </c>
      <c r="E3052" s="0" t="s">
        <v>10136</v>
      </c>
      <c r="F3052" s="0" t="s">
        <v>5334</v>
      </c>
      <c r="G3052" s="57" t="s">
        <v>10137</v>
      </c>
      <c r="H3052" s="57" t="s">
        <v>10138</v>
      </c>
      <c r="I3052" s="37" t="s">
        <v>50</v>
      </c>
      <c r="J3052" s="57" t="s">
        <v>10139</v>
      </c>
      <c r="K3052" s="57" t="s">
        <v>9223</v>
      </c>
    </row>
    <row r="3053" customFormat="false" ht="55.95" hidden="false" customHeight="false" outlineLevel="0" collapsed="false">
      <c r="A3053" s="0"/>
      <c r="B3053" s="0"/>
      <c r="C3053" s="0"/>
      <c r="D3053" s="62"/>
      <c r="E3053" s="62"/>
      <c r="F3053" s="62"/>
      <c r="G3053" s="57" t="s">
        <v>10140</v>
      </c>
      <c r="H3053" s="57" t="s">
        <v>3792</v>
      </c>
      <c r="I3053" s="37"/>
      <c r="J3053" s="57" t="s">
        <v>3792</v>
      </c>
      <c r="K3053" s="57" t="s">
        <v>9224</v>
      </c>
    </row>
    <row r="3054" customFormat="false" ht="45.05" hidden="false" customHeight="false" outlineLevel="0" collapsed="false">
      <c r="A3054" s="0"/>
      <c r="B3054" s="0"/>
      <c r="C3054" s="0"/>
      <c r="D3054" s="0" t="s">
        <v>10141</v>
      </c>
      <c r="E3054" s="0" t="s">
        <v>10142</v>
      </c>
      <c r="F3054" s="0" t="s">
        <v>5334</v>
      </c>
      <c r="G3054" s="73" t="s">
        <v>10143</v>
      </c>
      <c r="H3054" s="57" t="s">
        <v>10144</v>
      </c>
      <c r="I3054" s="34" t="s">
        <v>40</v>
      </c>
      <c r="J3054" s="57" t="s">
        <v>10145</v>
      </c>
      <c r="K3054" s="57" t="s">
        <v>9229</v>
      </c>
    </row>
    <row r="3055" customFormat="false" ht="55.95" hidden="false" customHeight="false" outlineLevel="0" collapsed="false">
      <c r="A3055" s="0"/>
      <c r="B3055" s="0"/>
      <c r="C3055" s="65"/>
      <c r="D3055" s="65"/>
      <c r="E3055" s="65"/>
      <c r="F3055" s="65"/>
      <c r="G3055" s="57" t="s">
        <v>10146</v>
      </c>
      <c r="H3055" s="57" t="s">
        <v>3792</v>
      </c>
      <c r="I3055" s="34"/>
      <c r="J3055" s="57" t="s">
        <v>3792</v>
      </c>
      <c r="K3055" s="57" t="s">
        <v>9230</v>
      </c>
    </row>
    <row r="3056" customFormat="false" ht="45.05" hidden="false" customHeight="false" outlineLevel="0" collapsed="false">
      <c r="A3056" s="0"/>
      <c r="B3056" s="0"/>
      <c r="C3056" s="57" t="s">
        <v>10147</v>
      </c>
      <c r="D3056" s="0" t="s">
        <v>10148</v>
      </c>
      <c r="E3056" s="0" t="s">
        <v>10149</v>
      </c>
      <c r="F3056" s="0" t="s">
        <v>5342</v>
      </c>
      <c r="G3056" s="57" t="s">
        <v>10150</v>
      </c>
      <c r="H3056" s="57" t="s">
        <v>10151</v>
      </c>
      <c r="I3056" s="39" t="s">
        <v>67</v>
      </c>
      <c r="J3056" s="57" t="s">
        <v>10152</v>
      </c>
      <c r="K3056" s="57" t="s">
        <v>9235</v>
      </c>
    </row>
    <row r="3057" customFormat="false" ht="34.2" hidden="false" customHeight="false" outlineLevel="0" collapsed="false">
      <c r="A3057" s="0"/>
      <c r="B3057" s="0"/>
      <c r="C3057" s="0"/>
      <c r="D3057" s="62"/>
      <c r="E3057" s="62"/>
      <c r="F3057" s="62"/>
      <c r="G3057" s="57" t="s">
        <v>10153</v>
      </c>
      <c r="H3057" s="57" t="s">
        <v>3792</v>
      </c>
      <c r="I3057" s="39"/>
      <c r="J3057" s="57" t="s">
        <v>3792</v>
      </c>
      <c r="K3057" s="57" t="s">
        <v>9236</v>
      </c>
    </row>
    <row r="3058" customFormat="false" ht="45.05" hidden="false" customHeight="false" outlineLevel="0" collapsed="false">
      <c r="A3058" s="0"/>
      <c r="B3058" s="0"/>
      <c r="C3058" s="0"/>
      <c r="D3058" s="0" t="s">
        <v>10154</v>
      </c>
      <c r="E3058" s="0" t="s">
        <v>10155</v>
      </c>
      <c r="F3058" s="0" t="s">
        <v>5342</v>
      </c>
      <c r="G3058" s="57" t="s">
        <v>10156</v>
      </c>
      <c r="H3058" s="57" t="s">
        <v>10157</v>
      </c>
      <c r="I3058" s="34" t="s">
        <v>40</v>
      </c>
      <c r="J3058" s="57" t="s">
        <v>10158</v>
      </c>
      <c r="K3058" s="57" t="s">
        <v>9242</v>
      </c>
    </row>
    <row r="3059" customFormat="false" ht="55.95" hidden="false" customHeight="false" outlineLevel="0" collapsed="false">
      <c r="A3059" s="0"/>
      <c r="B3059" s="0"/>
      <c r="C3059" s="0"/>
      <c r="D3059" s="62"/>
      <c r="E3059" s="62"/>
      <c r="F3059" s="62"/>
      <c r="G3059" s="57" t="s">
        <v>10159</v>
      </c>
      <c r="H3059" s="57" t="s">
        <v>3792</v>
      </c>
      <c r="I3059" s="34"/>
      <c r="J3059" s="57" t="s">
        <v>3792</v>
      </c>
      <c r="K3059" s="57" t="s">
        <v>9243</v>
      </c>
    </row>
    <row r="3060" customFormat="false" ht="55.95" hidden="false" customHeight="false" outlineLevel="0" collapsed="false">
      <c r="A3060" s="0"/>
      <c r="B3060" s="0"/>
      <c r="C3060" s="0"/>
      <c r="D3060" s="0" t="s">
        <v>10160</v>
      </c>
      <c r="E3060" s="0" t="s">
        <v>10161</v>
      </c>
      <c r="F3060" s="0" t="s">
        <v>5342</v>
      </c>
      <c r="G3060" s="57" t="s">
        <v>10162</v>
      </c>
      <c r="H3060" s="57" t="s">
        <v>10163</v>
      </c>
      <c r="I3060" s="34" t="s">
        <v>40</v>
      </c>
      <c r="J3060" s="57" t="s">
        <v>10164</v>
      </c>
      <c r="K3060" s="57" t="s">
        <v>9248</v>
      </c>
    </row>
    <row r="3061" customFormat="false" ht="45.05" hidden="false" customHeight="false" outlineLevel="0" collapsed="false">
      <c r="A3061" s="0"/>
      <c r="B3061" s="0"/>
      <c r="C3061" s="0"/>
      <c r="D3061" s="62"/>
      <c r="E3061" s="62"/>
      <c r="F3061" s="62"/>
      <c r="G3061" s="57" t="s">
        <v>10165</v>
      </c>
      <c r="H3061" s="57" t="s">
        <v>3792</v>
      </c>
      <c r="I3061" s="34"/>
      <c r="J3061" s="57" t="s">
        <v>3792</v>
      </c>
      <c r="K3061" s="57" t="s">
        <v>9249</v>
      </c>
    </row>
    <row r="3062" customFormat="false" ht="55.95" hidden="false" customHeight="false" outlineLevel="0" collapsed="false">
      <c r="A3062" s="0"/>
      <c r="B3062" s="0"/>
      <c r="C3062" s="0"/>
      <c r="D3062" s="0" t="s">
        <v>10166</v>
      </c>
      <c r="E3062" s="0" t="s">
        <v>10167</v>
      </c>
      <c r="F3062" s="0" t="s">
        <v>5334</v>
      </c>
      <c r="G3062" s="57" t="s">
        <v>10162</v>
      </c>
      <c r="H3062" s="57" t="s">
        <v>10168</v>
      </c>
      <c r="I3062" s="39" t="s">
        <v>67</v>
      </c>
      <c r="J3062" s="57" t="s">
        <v>10169</v>
      </c>
      <c r="K3062" s="57" t="s">
        <v>9254</v>
      </c>
    </row>
    <row r="3063" customFormat="false" ht="45.05" hidden="false" customHeight="false" outlineLevel="0" collapsed="false">
      <c r="A3063" s="0"/>
      <c r="B3063" s="0"/>
      <c r="C3063" s="0"/>
      <c r="D3063" s="62"/>
      <c r="E3063" s="62"/>
      <c r="F3063" s="62"/>
      <c r="G3063" s="57" t="s">
        <v>10165</v>
      </c>
      <c r="H3063" s="57" t="s">
        <v>3792</v>
      </c>
      <c r="I3063" s="39"/>
      <c r="J3063" s="57" t="s">
        <v>3792</v>
      </c>
      <c r="K3063" s="57" t="s">
        <v>9255</v>
      </c>
    </row>
    <row r="3064" customFormat="false" ht="34.2" hidden="false" customHeight="false" outlineLevel="0" collapsed="false">
      <c r="A3064" s="0"/>
      <c r="B3064" s="0"/>
      <c r="C3064" s="0"/>
      <c r="D3064" s="0" t="s">
        <v>10170</v>
      </c>
      <c r="E3064" s="0" t="s">
        <v>10171</v>
      </c>
      <c r="F3064" s="0" t="s">
        <v>5342</v>
      </c>
      <c r="G3064" s="57" t="s">
        <v>10172</v>
      </c>
      <c r="H3064" s="57" t="s">
        <v>10173</v>
      </c>
      <c r="I3064" s="37" t="s">
        <v>50</v>
      </c>
      <c r="J3064" s="57" t="s">
        <v>10174</v>
      </c>
      <c r="K3064" s="57" t="s">
        <v>9260</v>
      </c>
    </row>
    <row r="3065" customFormat="false" ht="45.05" hidden="false" customHeight="false" outlineLevel="0" collapsed="false">
      <c r="A3065" s="0"/>
      <c r="B3065" s="0"/>
      <c r="C3065" s="65"/>
      <c r="D3065" s="65"/>
      <c r="E3065" s="65"/>
      <c r="F3065" s="65"/>
      <c r="G3065" s="57" t="s">
        <v>10175</v>
      </c>
      <c r="H3065" s="57" t="s">
        <v>3792</v>
      </c>
      <c r="I3065" s="37"/>
      <c r="J3065" s="57" t="s">
        <v>3792</v>
      </c>
      <c r="K3065" s="57" t="s">
        <v>9262</v>
      </c>
    </row>
    <row r="3066" customFormat="false" ht="45.05" hidden="false" customHeight="false" outlineLevel="0" collapsed="false">
      <c r="A3066" s="0"/>
      <c r="B3066" s="0"/>
      <c r="C3066" s="57" t="s">
        <v>10176</v>
      </c>
      <c r="D3066" s="0" t="s">
        <v>10177</v>
      </c>
      <c r="E3066" s="0" t="s">
        <v>10178</v>
      </c>
      <c r="F3066" s="0" t="s">
        <v>5334</v>
      </c>
      <c r="G3066" s="57" t="s">
        <v>10179</v>
      </c>
      <c r="H3066" s="57" t="s">
        <v>10180</v>
      </c>
      <c r="I3066" s="37" t="s">
        <v>50</v>
      </c>
      <c r="J3066" s="57" t="s">
        <v>10181</v>
      </c>
      <c r="K3066" s="57" t="s">
        <v>9268</v>
      </c>
    </row>
    <row r="3067" customFormat="false" ht="55.95" hidden="false" customHeight="false" outlineLevel="0" collapsed="false">
      <c r="A3067" s="0"/>
      <c r="B3067" s="0"/>
      <c r="C3067" s="0"/>
      <c r="D3067" s="62"/>
      <c r="E3067" s="62"/>
      <c r="F3067" s="62"/>
      <c r="G3067" s="57" t="s">
        <v>10182</v>
      </c>
      <c r="H3067" s="57" t="s">
        <v>3792</v>
      </c>
      <c r="I3067" s="37"/>
      <c r="J3067" s="57" t="s">
        <v>3792</v>
      </c>
      <c r="K3067" s="57" t="s">
        <v>9270</v>
      </c>
    </row>
    <row r="3068" customFormat="false" ht="34.2" hidden="false" customHeight="false" outlineLevel="0" collapsed="false">
      <c r="A3068" s="0"/>
      <c r="B3068" s="0"/>
      <c r="C3068" s="0"/>
      <c r="D3068" s="0" t="s">
        <v>10183</v>
      </c>
      <c r="E3068" s="0" t="s">
        <v>10184</v>
      </c>
      <c r="F3068" s="0" t="s">
        <v>5342</v>
      </c>
      <c r="G3068" s="57" t="s">
        <v>10185</v>
      </c>
      <c r="H3068" s="57" t="s">
        <v>10186</v>
      </c>
      <c r="I3068" s="39" t="s">
        <v>67</v>
      </c>
      <c r="J3068" s="57" t="s">
        <v>10187</v>
      </c>
      <c r="K3068" s="57" t="s">
        <v>9277</v>
      </c>
    </row>
    <row r="3069" customFormat="false" ht="45.05" hidden="false" customHeight="false" outlineLevel="0" collapsed="false">
      <c r="A3069" s="0"/>
      <c r="B3069" s="0"/>
      <c r="C3069" s="0"/>
      <c r="D3069" s="62"/>
      <c r="E3069" s="62"/>
      <c r="F3069" s="62"/>
      <c r="G3069" s="57" t="s">
        <v>10188</v>
      </c>
      <c r="H3069" s="57" t="s">
        <v>3792</v>
      </c>
      <c r="I3069" s="39"/>
      <c r="J3069" s="57" t="s">
        <v>3792</v>
      </c>
      <c r="K3069" s="57" t="s">
        <v>9279</v>
      </c>
    </row>
    <row r="3070" customFormat="false" ht="55.95" hidden="false" customHeight="false" outlineLevel="0" collapsed="false">
      <c r="A3070" s="0"/>
      <c r="B3070" s="0"/>
      <c r="C3070" s="0"/>
      <c r="D3070" s="0" t="s">
        <v>10189</v>
      </c>
      <c r="E3070" s="0" t="s">
        <v>10190</v>
      </c>
      <c r="F3070" s="0" t="s">
        <v>5334</v>
      </c>
      <c r="G3070" s="57" t="s">
        <v>10191</v>
      </c>
      <c r="H3070" s="57" t="s">
        <v>10192</v>
      </c>
      <c r="I3070" s="34" t="s">
        <v>40</v>
      </c>
      <c r="J3070" s="57" t="s">
        <v>10193</v>
      </c>
      <c r="K3070" s="57" t="s">
        <v>9285</v>
      </c>
    </row>
    <row r="3071" customFormat="false" ht="34.2" hidden="false" customHeight="false" outlineLevel="0" collapsed="false">
      <c r="A3071" s="0"/>
      <c r="B3071" s="0"/>
      <c r="C3071" s="0"/>
      <c r="D3071" s="62"/>
      <c r="E3071" s="62"/>
      <c r="F3071" s="62"/>
      <c r="G3071" s="57" t="s">
        <v>10194</v>
      </c>
      <c r="H3071" s="57" t="s">
        <v>3792</v>
      </c>
      <c r="I3071" s="34"/>
      <c r="J3071" s="57" t="s">
        <v>3792</v>
      </c>
      <c r="K3071" s="57" t="s">
        <v>9287</v>
      </c>
    </row>
    <row r="3072" customFormat="false" ht="45.05" hidden="false" customHeight="false" outlineLevel="0" collapsed="false">
      <c r="A3072" s="0"/>
      <c r="B3072" s="0"/>
      <c r="C3072" s="0"/>
      <c r="D3072" s="0" t="s">
        <v>10195</v>
      </c>
      <c r="E3072" s="0" t="s">
        <v>10196</v>
      </c>
      <c r="F3072" s="0" t="s">
        <v>5334</v>
      </c>
      <c r="G3072" s="57" t="s">
        <v>10197</v>
      </c>
      <c r="H3072" s="57" t="s">
        <v>10198</v>
      </c>
      <c r="I3072" s="39" t="s">
        <v>67</v>
      </c>
      <c r="J3072" s="57" t="s">
        <v>10199</v>
      </c>
      <c r="K3072" s="57" t="s">
        <v>9293</v>
      </c>
    </row>
    <row r="3073" customFormat="false" ht="34.2" hidden="false" customHeight="false" outlineLevel="0" collapsed="false">
      <c r="A3073" s="0"/>
      <c r="B3073" s="0"/>
      <c r="C3073" s="0"/>
      <c r="D3073" s="62"/>
      <c r="E3073" s="62"/>
      <c r="F3073" s="62"/>
      <c r="G3073" s="57" t="s">
        <v>10200</v>
      </c>
      <c r="H3073" s="57" t="s">
        <v>3792</v>
      </c>
      <c r="I3073" s="39"/>
      <c r="J3073" s="57" t="s">
        <v>3792</v>
      </c>
      <c r="K3073" s="57" t="s">
        <v>9295</v>
      </c>
    </row>
    <row r="3074" customFormat="false" ht="34.2" hidden="false" customHeight="false" outlineLevel="0" collapsed="false">
      <c r="A3074" s="0"/>
      <c r="B3074" s="0"/>
      <c r="C3074" s="0"/>
      <c r="D3074" s="0" t="s">
        <v>10201</v>
      </c>
      <c r="E3074" s="0" t="s">
        <v>10202</v>
      </c>
      <c r="F3074" s="0" t="s">
        <v>5334</v>
      </c>
      <c r="G3074" s="57" t="s">
        <v>10203</v>
      </c>
      <c r="H3074" s="57" t="s">
        <v>10204</v>
      </c>
      <c r="I3074" s="37" t="s">
        <v>50</v>
      </c>
      <c r="J3074" s="57" t="s">
        <v>10205</v>
      </c>
      <c r="K3074" s="57" t="s">
        <v>9301</v>
      </c>
    </row>
    <row r="3075" customFormat="false" ht="34.2" hidden="false" customHeight="false" outlineLevel="0" collapsed="false">
      <c r="A3075" s="0"/>
      <c r="B3075" s="0"/>
      <c r="C3075" s="65"/>
      <c r="D3075" s="65"/>
      <c r="E3075" s="65"/>
      <c r="F3075" s="65"/>
      <c r="G3075" s="57" t="s">
        <v>10206</v>
      </c>
      <c r="H3075" s="57" t="s">
        <v>3792</v>
      </c>
      <c r="I3075" s="37"/>
      <c r="J3075" s="57" t="s">
        <v>3792</v>
      </c>
      <c r="K3075" s="57" t="s">
        <v>9303</v>
      </c>
    </row>
    <row r="3076" customFormat="false" ht="34.2" hidden="false" customHeight="false" outlineLevel="0" collapsed="false">
      <c r="A3076" s="0"/>
      <c r="B3076" s="0"/>
      <c r="C3076" s="57" t="s">
        <v>10207</v>
      </c>
      <c r="D3076" s="0" t="s">
        <v>10208</v>
      </c>
      <c r="E3076" s="0" t="s">
        <v>10209</v>
      </c>
      <c r="F3076" s="0" t="s">
        <v>5342</v>
      </c>
      <c r="G3076" s="57" t="s">
        <v>10210</v>
      </c>
      <c r="H3076" s="57" t="s">
        <v>10211</v>
      </c>
      <c r="I3076" s="37" t="s">
        <v>50</v>
      </c>
      <c r="J3076" s="57" t="s">
        <v>10212</v>
      </c>
      <c r="K3076" s="57" t="s">
        <v>9309</v>
      </c>
    </row>
    <row r="3077" customFormat="false" ht="21.75" hidden="false" customHeight="false" outlineLevel="0" collapsed="false">
      <c r="A3077" s="0"/>
      <c r="B3077" s="0"/>
      <c r="C3077" s="0"/>
      <c r="D3077" s="62"/>
      <c r="E3077" s="62"/>
      <c r="F3077" s="62"/>
      <c r="G3077" s="57" t="s">
        <v>10213</v>
      </c>
      <c r="H3077" s="57" t="s">
        <v>3792</v>
      </c>
      <c r="I3077" s="37"/>
      <c r="J3077" s="57" t="s">
        <v>3792</v>
      </c>
      <c r="K3077" s="57" t="s">
        <v>9311</v>
      </c>
    </row>
    <row r="3078" customFormat="false" ht="34.2" hidden="false" customHeight="false" outlineLevel="0" collapsed="false">
      <c r="A3078" s="0"/>
      <c r="B3078" s="0"/>
      <c r="C3078" s="0"/>
      <c r="D3078" s="0" t="s">
        <v>10214</v>
      </c>
      <c r="E3078" s="0" t="s">
        <v>10215</v>
      </c>
      <c r="F3078" s="0" t="s">
        <v>5334</v>
      </c>
      <c r="G3078" s="57" t="s">
        <v>10216</v>
      </c>
      <c r="H3078" s="57" t="s">
        <v>10217</v>
      </c>
      <c r="I3078" s="39" t="s">
        <v>67</v>
      </c>
      <c r="J3078" s="57" t="s">
        <v>10218</v>
      </c>
      <c r="K3078" s="57" t="s">
        <v>9318</v>
      </c>
    </row>
    <row r="3079" customFormat="false" ht="34.2" hidden="false" customHeight="false" outlineLevel="0" collapsed="false">
      <c r="A3079" s="0"/>
      <c r="B3079" s="0"/>
      <c r="C3079" s="0"/>
      <c r="D3079" s="62"/>
      <c r="E3079" s="62"/>
      <c r="F3079" s="62"/>
      <c r="G3079" s="57" t="s">
        <v>10219</v>
      </c>
      <c r="H3079" s="57" t="s">
        <v>3792</v>
      </c>
      <c r="I3079" s="39"/>
      <c r="J3079" s="57" t="s">
        <v>3792</v>
      </c>
      <c r="K3079" s="57" t="s">
        <v>9320</v>
      </c>
    </row>
    <row r="3080" customFormat="false" ht="21.75" hidden="false" customHeight="false" outlineLevel="0" collapsed="false">
      <c r="A3080" s="0"/>
      <c r="B3080" s="0"/>
      <c r="C3080" s="0"/>
      <c r="D3080" s="0" t="s">
        <v>10220</v>
      </c>
      <c r="E3080" s="0" t="s">
        <v>10221</v>
      </c>
      <c r="F3080" s="0" t="s">
        <v>5334</v>
      </c>
      <c r="G3080" s="57" t="s">
        <v>10222</v>
      </c>
      <c r="H3080" s="57" t="s">
        <v>10223</v>
      </c>
      <c r="I3080" s="34" t="s">
        <v>40</v>
      </c>
      <c r="J3080" s="57" t="s">
        <v>10224</v>
      </c>
      <c r="K3080" s="57" t="s">
        <v>9326</v>
      </c>
    </row>
    <row r="3081" customFormat="false" ht="21.75" hidden="false" customHeight="false" outlineLevel="0" collapsed="false">
      <c r="A3081" s="0"/>
      <c r="B3081" s="0"/>
      <c r="C3081" s="0"/>
      <c r="D3081" s="62"/>
      <c r="E3081" s="62"/>
      <c r="F3081" s="62"/>
      <c r="G3081" s="57" t="s">
        <v>10225</v>
      </c>
      <c r="H3081" s="57" t="s">
        <v>3792</v>
      </c>
      <c r="I3081" s="34"/>
      <c r="J3081" s="57" t="s">
        <v>3792</v>
      </c>
      <c r="K3081" s="57" t="s">
        <v>9328</v>
      </c>
    </row>
    <row r="3082" customFormat="false" ht="21.75" hidden="false" customHeight="false" outlineLevel="0" collapsed="false">
      <c r="A3082" s="0"/>
      <c r="B3082" s="0"/>
      <c r="C3082" s="0"/>
      <c r="D3082" s="0" t="s">
        <v>10226</v>
      </c>
      <c r="E3082" s="0" t="s">
        <v>10227</v>
      </c>
      <c r="F3082" s="0" t="s">
        <v>5342</v>
      </c>
      <c r="G3082" s="57" t="s">
        <v>10228</v>
      </c>
      <c r="H3082" s="57" t="s">
        <v>10229</v>
      </c>
      <c r="I3082" s="39" t="s">
        <v>67</v>
      </c>
      <c r="J3082" s="57" t="s">
        <v>10230</v>
      </c>
      <c r="K3082" s="57" t="s">
        <v>9334</v>
      </c>
    </row>
    <row r="3083" customFormat="false" ht="21.75" hidden="false" customHeight="false" outlineLevel="0" collapsed="false">
      <c r="A3083" s="0"/>
      <c r="B3083" s="0"/>
      <c r="C3083" s="0"/>
      <c r="D3083" s="62"/>
      <c r="E3083" s="62"/>
      <c r="F3083" s="62"/>
      <c r="G3083" s="57" t="s">
        <v>10231</v>
      </c>
      <c r="H3083" s="57" t="s">
        <v>3792</v>
      </c>
      <c r="I3083" s="39"/>
      <c r="J3083" s="57" t="s">
        <v>3792</v>
      </c>
      <c r="K3083" s="57" t="s">
        <v>9336</v>
      </c>
    </row>
    <row r="3084" customFormat="false" ht="34.2" hidden="false" customHeight="false" outlineLevel="0" collapsed="false">
      <c r="A3084" s="0"/>
      <c r="B3084" s="69"/>
      <c r="C3084" s="0"/>
      <c r="D3084" s="0" t="s">
        <v>10232</v>
      </c>
      <c r="E3084" s="0" t="s">
        <v>10233</v>
      </c>
      <c r="F3084" s="0" t="s">
        <v>5334</v>
      </c>
      <c r="G3084" s="57" t="s">
        <v>10234</v>
      </c>
      <c r="H3084" s="57" t="s">
        <v>10235</v>
      </c>
      <c r="I3084" s="37" t="s">
        <v>50</v>
      </c>
      <c r="J3084" s="57" t="s">
        <v>10236</v>
      </c>
      <c r="K3084" s="57" t="s">
        <v>9342</v>
      </c>
    </row>
    <row r="3085" customFormat="false" ht="34.2" hidden="false" customHeight="false" outlineLevel="0" collapsed="false">
      <c r="A3085" s="0"/>
      <c r="B3085" s="69"/>
      <c r="C3085" s="69"/>
      <c r="D3085" s="69"/>
      <c r="E3085" s="69"/>
      <c r="F3085" s="69"/>
      <c r="G3085" s="57" t="s">
        <v>10237</v>
      </c>
      <c r="H3085" s="57" t="s">
        <v>3792</v>
      </c>
      <c r="I3085" s="37"/>
      <c r="J3085" s="57" t="s">
        <v>3792</v>
      </c>
      <c r="K3085" s="57" t="s">
        <v>9344</v>
      </c>
    </row>
    <row r="3086" customFormat="false" ht="34.2" hidden="false" customHeight="false" outlineLevel="0" collapsed="false">
      <c r="A3086" s="0"/>
      <c r="B3086" s="57" t="s">
        <v>10238</v>
      </c>
      <c r="C3086" s="57" t="s">
        <v>10239</v>
      </c>
      <c r="D3086" s="0" t="s">
        <v>10240</v>
      </c>
      <c r="E3086" s="0" t="s">
        <v>10241</v>
      </c>
      <c r="F3086" s="0" t="s">
        <v>5342</v>
      </c>
      <c r="G3086" s="57" t="s">
        <v>10242</v>
      </c>
      <c r="H3086" s="57" t="s">
        <v>10243</v>
      </c>
      <c r="I3086" s="37" t="s">
        <v>50</v>
      </c>
      <c r="J3086" s="57" t="s">
        <v>10244</v>
      </c>
      <c r="K3086" s="57" t="s">
        <v>9350</v>
      </c>
    </row>
    <row r="3087" customFormat="false" ht="21.75" hidden="false" customHeight="false" outlineLevel="0" collapsed="false">
      <c r="A3087" s="0"/>
      <c r="B3087" s="0"/>
      <c r="C3087" s="0"/>
      <c r="D3087" s="62"/>
      <c r="E3087" s="62"/>
      <c r="F3087" s="62"/>
      <c r="G3087" s="57" t="s">
        <v>10245</v>
      </c>
      <c r="H3087" s="57" t="s">
        <v>3792</v>
      </c>
      <c r="I3087" s="37"/>
      <c r="J3087" s="57" t="s">
        <v>3792</v>
      </c>
      <c r="K3087" s="57" t="s">
        <v>9352</v>
      </c>
    </row>
    <row r="3088" customFormat="false" ht="34.2" hidden="false" customHeight="false" outlineLevel="0" collapsed="false">
      <c r="A3088" s="0"/>
      <c r="B3088" s="0"/>
      <c r="C3088" s="0"/>
      <c r="D3088" s="0" t="s">
        <v>10246</v>
      </c>
      <c r="E3088" s="0" t="s">
        <v>10247</v>
      </c>
      <c r="F3088" s="0" t="s">
        <v>5334</v>
      </c>
      <c r="G3088" s="57" t="s">
        <v>10248</v>
      </c>
      <c r="H3088" s="57" t="s">
        <v>10249</v>
      </c>
      <c r="I3088" s="39" t="s">
        <v>67</v>
      </c>
      <c r="J3088" s="57" t="s">
        <v>10250</v>
      </c>
      <c r="K3088" s="57" t="s">
        <v>9359</v>
      </c>
    </row>
    <row r="3089" customFormat="false" ht="34.2" hidden="false" customHeight="false" outlineLevel="0" collapsed="false">
      <c r="A3089" s="0"/>
      <c r="B3089" s="0"/>
      <c r="C3089" s="0"/>
      <c r="D3089" s="62"/>
      <c r="E3089" s="62"/>
      <c r="F3089" s="62"/>
      <c r="G3089" s="57" t="s">
        <v>10251</v>
      </c>
      <c r="H3089" s="57" t="s">
        <v>3792</v>
      </c>
      <c r="I3089" s="39"/>
      <c r="J3089" s="57" t="s">
        <v>3792</v>
      </c>
      <c r="K3089" s="57" t="s">
        <v>9361</v>
      </c>
    </row>
    <row r="3090" customFormat="false" ht="21.75" hidden="false" customHeight="false" outlineLevel="0" collapsed="false">
      <c r="A3090" s="0"/>
      <c r="B3090" s="0"/>
      <c r="C3090" s="0"/>
      <c r="D3090" s="0" t="s">
        <v>10252</v>
      </c>
      <c r="E3090" s="0" t="s">
        <v>10253</v>
      </c>
      <c r="F3090" s="0" t="s">
        <v>5334</v>
      </c>
      <c r="G3090" s="57" t="s">
        <v>10254</v>
      </c>
      <c r="H3090" s="57" t="s">
        <v>10255</v>
      </c>
      <c r="I3090" s="34" t="s">
        <v>40</v>
      </c>
      <c r="J3090" s="57" t="s">
        <v>10256</v>
      </c>
      <c r="K3090" s="57" t="s">
        <v>9367</v>
      </c>
    </row>
    <row r="3091" customFormat="false" ht="21.75" hidden="false" customHeight="false" outlineLevel="0" collapsed="false">
      <c r="A3091" s="0"/>
      <c r="B3091" s="0"/>
      <c r="C3091" s="0"/>
      <c r="D3091" s="62"/>
      <c r="E3091" s="62"/>
      <c r="F3091" s="62"/>
      <c r="G3091" s="57" t="s">
        <v>1145</v>
      </c>
      <c r="H3091" s="57" t="s">
        <v>3792</v>
      </c>
      <c r="I3091" s="34"/>
      <c r="J3091" s="57" t="s">
        <v>3792</v>
      </c>
      <c r="K3091" s="57" t="s">
        <v>9369</v>
      </c>
    </row>
    <row r="3092" customFormat="false" ht="21.75" hidden="false" customHeight="false" outlineLevel="0" collapsed="false">
      <c r="A3092" s="0"/>
      <c r="B3092" s="0"/>
      <c r="C3092" s="0"/>
      <c r="D3092" s="0" t="s">
        <v>10257</v>
      </c>
      <c r="E3092" s="0" t="s">
        <v>10258</v>
      </c>
      <c r="F3092" s="0" t="s">
        <v>5342</v>
      </c>
      <c r="G3092" s="57" t="s">
        <v>10259</v>
      </c>
      <c r="H3092" s="57" t="s">
        <v>10260</v>
      </c>
      <c r="I3092" s="39" t="s">
        <v>67</v>
      </c>
      <c r="J3092" s="57" t="s">
        <v>10261</v>
      </c>
      <c r="K3092" s="57" t="s">
        <v>9375</v>
      </c>
    </row>
    <row r="3093" customFormat="false" ht="21.75" hidden="false" customHeight="false" outlineLevel="0" collapsed="false">
      <c r="A3093" s="0"/>
      <c r="B3093" s="0"/>
      <c r="C3093" s="0"/>
      <c r="D3093" s="62"/>
      <c r="E3093" s="62"/>
      <c r="F3093" s="62"/>
      <c r="G3093" s="57" t="s">
        <v>10262</v>
      </c>
      <c r="H3093" s="57" t="s">
        <v>3792</v>
      </c>
      <c r="I3093" s="39"/>
      <c r="J3093" s="57" t="s">
        <v>3792</v>
      </c>
      <c r="K3093" s="57" t="s">
        <v>9377</v>
      </c>
    </row>
    <row r="3094" customFormat="false" ht="34.2" hidden="false" customHeight="false" outlineLevel="0" collapsed="false">
      <c r="A3094" s="0"/>
      <c r="B3094" s="0"/>
      <c r="C3094" s="72"/>
      <c r="D3094" s="0" t="s">
        <v>10263</v>
      </c>
      <c r="E3094" s="0" t="s">
        <v>10264</v>
      </c>
      <c r="F3094" s="0" t="s">
        <v>5342</v>
      </c>
      <c r="G3094" s="57" t="s">
        <v>10265</v>
      </c>
      <c r="H3094" s="57" t="s">
        <v>10266</v>
      </c>
      <c r="I3094" s="37" t="s">
        <v>50</v>
      </c>
      <c r="J3094" s="57" t="s">
        <v>10267</v>
      </c>
      <c r="K3094" s="57" t="s">
        <v>9383</v>
      </c>
    </row>
    <row r="3095" customFormat="false" ht="21.75" hidden="false" customHeight="false" outlineLevel="0" collapsed="false">
      <c r="A3095" s="0"/>
      <c r="B3095" s="0"/>
      <c r="C3095" s="65"/>
      <c r="D3095" s="65"/>
      <c r="E3095" s="65"/>
      <c r="F3095" s="65"/>
      <c r="G3095" s="57" t="s">
        <v>10268</v>
      </c>
      <c r="H3095" s="57" t="s">
        <v>3792</v>
      </c>
      <c r="I3095" s="37"/>
      <c r="J3095" s="57" t="s">
        <v>3792</v>
      </c>
      <c r="K3095" s="57" t="s">
        <v>9385</v>
      </c>
    </row>
    <row r="3096" customFormat="false" ht="45.05" hidden="false" customHeight="false" outlineLevel="0" collapsed="false">
      <c r="A3096" s="0"/>
      <c r="B3096" s="0"/>
      <c r="C3096" s="57" t="s">
        <v>10269</v>
      </c>
      <c r="D3096" s="0" t="s">
        <v>10270</v>
      </c>
      <c r="E3096" s="0" t="s">
        <v>10271</v>
      </c>
      <c r="F3096" s="0" t="s">
        <v>5342</v>
      </c>
      <c r="G3096" s="57" t="s">
        <v>10272</v>
      </c>
      <c r="H3096" s="57" t="s">
        <v>10273</v>
      </c>
      <c r="I3096" s="37" t="s">
        <v>50</v>
      </c>
      <c r="J3096" s="57" t="s">
        <v>10274</v>
      </c>
      <c r="K3096" s="57" t="s">
        <v>9391</v>
      </c>
    </row>
    <row r="3097" customFormat="false" ht="55.95" hidden="false" customHeight="false" outlineLevel="0" collapsed="false">
      <c r="A3097" s="0"/>
      <c r="B3097" s="0"/>
      <c r="C3097" s="0"/>
      <c r="D3097" s="62"/>
      <c r="E3097" s="62"/>
      <c r="F3097" s="62"/>
      <c r="G3097" s="57" t="s">
        <v>10275</v>
      </c>
      <c r="H3097" s="57" t="s">
        <v>3792</v>
      </c>
      <c r="I3097" s="37"/>
      <c r="J3097" s="57" t="s">
        <v>3792</v>
      </c>
      <c r="K3097" s="57" t="s">
        <v>9393</v>
      </c>
    </row>
    <row r="3098" customFormat="false" ht="34.2" hidden="false" customHeight="false" outlineLevel="0" collapsed="false">
      <c r="A3098" s="0"/>
      <c r="B3098" s="0"/>
      <c r="C3098" s="0"/>
      <c r="D3098" s="0" t="s">
        <v>10276</v>
      </c>
      <c r="E3098" s="0" t="s">
        <v>10277</v>
      </c>
      <c r="F3098" s="0" t="s">
        <v>5334</v>
      </c>
      <c r="G3098" s="57" t="s">
        <v>10278</v>
      </c>
      <c r="H3098" s="57" t="s">
        <v>10279</v>
      </c>
      <c r="I3098" s="39" t="s">
        <v>67</v>
      </c>
      <c r="J3098" s="57" t="s">
        <v>10280</v>
      </c>
      <c r="K3098" s="57" t="s">
        <v>9400</v>
      </c>
    </row>
    <row r="3099" customFormat="false" ht="45.05" hidden="false" customHeight="false" outlineLevel="0" collapsed="false">
      <c r="A3099" s="0"/>
      <c r="B3099" s="0"/>
      <c r="C3099" s="0"/>
      <c r="D3099" s="62"/>
      <c r="E3099" s="62"/>
      <c r="F3099" s="62"/>
      <c r="G3099" s="57" t="s">
        <v>10281</v>
      </c>
      <c r="H3099" s="57" t="s">
        <v>3792</v>
      </c>
      <c r="I3099" s="39"/>
      <c r="J3099" s="57" t="s">
        <v>3792</v>
      </c>
      <c r="K3099" s="57" t="s">
        <v>9402</v>
      </c>
    </row>
    <row r="3100" customFormat="false" ht="34.2" hidden="false" customHeight="false" outlineLevel="0" collapsed="false">
      <c r="A3100" s="0"/>
      <c r="B3100" s="0"/>
      <c r="C3100" s="0"/>
      <c r="D3100" s="0" t="s">
        <v>10282</v>
      </c>
      <c r="E3100" s="0" t="s">
        <v>10283</v>
      </c>
      <c r="F3100" s="0" t="s">
        <v>5342</v>
      </c>
      <c r="G3100" s="57" t="s">
        <v>10284</v>
      </c>
      <c r="H3100" s="57" t="s">
        <v>10285</v>
      </c>
      <c r="I3100" s="34" t="s">
        <v>40</v>
      </c>
      <c r="J3100" s="57" t="s">
        <v>10286</v>
      </c>
      <c r="K3100" s="57" t="s">
        <v>9408</v>
      </c>
    </row>
    <row r="3101" customFormat="false" ht="55.95" hidden="false" customHeight="false" outlineLevel="0" collapsed="false">
      <c r="A3101" s="0"/>
      <c r="B3101" s="0"/>
      <c r="C3101" s="0"/>
      <c r="D3101" s="62"/>
      <c r="E3101" s="62"/>
      <c r="F3101" s="62"/>
      <c r="G3101" s="57" t="s">
        <v>10287</v>
      </c>
      <c r="H3101" s="57" t="s">
        <v>3792</v>
      </c>
      <c r="I3101" s="34"/>
      <c r="J3101" s="57" t="s">
        <v>3792</v>
      </c>
      <c r="K3101" s="57" t="s">
        <v>9410</v>
      </c>
    </row>
    <row r="3102" customFormat="false" ht="34.2" hidden="false" customHeight="false" outlineLevel="0" collapsed="false">
      <c r="A3102" s="0"/>
      <c r="B3102" s="0"/>
      <c r="C3102" s="0"/>
      <c r="D3102" s="0" t="s">
        <v>10288</v>
      </c>
      <c r="E3102" s="0" t="s">
        <v>10289</v>
      </c>
      <c r="F3102" s="0" t="s">
        <v>5334</v>
      </c>
      <c r="G3102" s="57" t="s">
        <v>10290</v>
      </c>
      <c r="H3102" s="57" t="s">
        <v>10291</v>
      </c>
      <c r="I3102" s="39" t="s">
        <v>67</v>
      </c>
      <c r="J3102" s="57" t="s">
        <v>10292</v>
      </c>
      <c r="K3102" s="57" t="s">
        <v>9416</v>
      </c>
    </row>
    <row r="3103" customFormat="false" ht="34.2" hidden="false" customHeight="false" outlineLevel="0" collapsed="false">
      <c r="A3103" s="0"/>
      <c r="B3103" s="0"/>
      <c r="C3103" s="0"/>
      <c r="D3103" s="62"/>
      <c r="E3103" s="62"/>
      <c r="F3103" s="62"/>
      <c r="G3103" s="57" t="s">
        <v>10293</v>
      </c>
      <c r="H3103" s="57" t="s">
        <v>3792</v>
      </c>
      <c r="I3103" s="39"/>
      <c r="J3103" s="62"/>
      <c r="K3103" s="57" t="s">
        <v>9418</v>
      </c>
    </row>
    <row r="3104" customFormat="false" ht="34.2" hidden="false" customHeight="false" outlineLevel="0" collapsed="false">
      <c r="A3104" s="0"/>
      <c r="B3104" s="0"/>
      <c r="C3104" s="0"/>
      <c r="D3104" s="0" t="s">
        <v>10294</v>
      </c>
      <c r="E3104" s="0" t="s">
        <v>10295</v>
      </c>
      <c r="F3104" s="0" t="s">
        <v>5342</v>
      </c>
      <c r="G3104" s="57" t="s">
        <v>10296</v>
      </c>
      <c r="H3104" s="57" t="s">
        <v>10297</v>
      </c>
      <c r="I3104" s="37" t="s">
        <v>50</v>
      </c>
      <c r="J3104" s="57" t="s">
        <v>10298</v>
      </c>
      <c r="K3104" s="57" t="s">
        <v>9424</v>
      </c>
    </row>
    <row r="3105" customFormat="false" ht="34.2" hidden="false" customHeight="false" outlineLevel="0" collapsed="false">
      <c r="A3105" s="0"/>
      <c r="B3105" s="0"/>
      <c r="C3105" s="65"/>
      <c r="D3105" s="65"/>
      <c r="E3105" s="65"/>
      <c r="F3105" s="65"/>
      <c r="G3105" s="57" t="s">
        <v>10299</v>
      </c>
      <c r="H3105" s="57" t="s">
        <v>3792</v>
      </c>
      <c r="I3105" s="37"/>
      <c r="J3105" s="57" t="s">
        <v>3792</v>
      </c>
      <c r="K3105" s="57" t="s">
        <v>9426</v>
      </c>
    </row>
    <row r="3106" customFormat="false" ht="34.2" hidden="false" customHeight="false" outlineLevel="0" collapsed="false">
      <c r="A3106" s="0"/>
      <c r="B3106" s="0"/>
      <c r="C3106" s="0" t="s">
        <v>10300</v>
      </c>
      <c r="D3106" s="0" t="s">
        <v>10301</v>
      </c>
      <c r="E3106" s="0" t="s">
        <v>10302</v>
      </c>
      <c r="F3106" s="0" t="s">
        <v>5334</v>
      </c>
      <c r="G3106" s="57" t="s">
        <v>10303</v>
      </c>
      <c r="H3106" s="57" t="s">
        <v>10304</v>
      </c>
      <c r="I3106" s="34" t="s">
        <v>40</v>
      </c>
      <c r="J3106" s="57" t="s">
        <v>10305</v>
      </c>
      <c r="K3106" s="57" t="s">
        <v>9432</v>
      </c>
    </row>
    <row r="3107" customFormat="false" ht="34.2" hidden="false" customHeight="false" outlineLevel="0" collapsed="false">
      <c r="A3107" s="0"/>
      <c r="B3107" s="0"/>
      <c r="C3107" s="0"/>
      <c r="D3107" s="62"/>
      <c r="E3107" s="62"/>
      <c r="F3107" s="62"/>
      <c r="G3107" s="57" t="s">
        <v>10306</v>
      </c>
      <c r="H3107" s="57" t="s">
        <v>3792</v>
      </c>
      <c r="I3107" s="34"/>
      <c r="J3107" s="57" t="s">
        <v>3792</v>
      </c>
      <c r="K3107" s="57" t="s">
        <v>9434</v>
      </c>
    </row>
    <row r="3108" customFormat="false" ht="34.2" hidden="false" customHeight="false" outlineLevel="0" collapsed="false">
      <c r="A3108" s="0"/>
      <c r="B3108" s="0"/>
      <c r="C3108" s="0"/>
      <c r="D3108" s="0" t="s">
        <v>10307</v>
      </c>
      <c r="E3108" s="0" t="s">
        <v>10308</v>
      </c>
      <c r="F3108" s="0" t="s">
        <v>5334</v>
      </c>
      <c r="G3108" s="57" t="s">
        <v>10309</v>
      </c>
      <c r="H3108" s="57" t="s">
        <v>10310</v>
      </c>
      <c r="I3108" s="37" t="s">
        <v>50</v>
      </c>
      <c r="J3108" s="57" t="s">
        <v>10311</v>
      </c>
      <c r="K3108" s="57" t="s">
        <v>9441</v>
      </c>
    </row>
    <row r="3109" customFormat="false" ht="34.2" hidden="false" customHeight="false" outlineLevel="0" collapsed="false">
      <c r="A3109" s="0"/>
      <c r="B3109" s="0"/>
      <c r="C3109" s="0"/>
      <c r="D3109" s="62"/>
      <c r="E3109" s="62"/>
      <c r="F3109" s="62"/>
      <c r="G3109" s="57" t="s">
        <v>10312</v>
      </c>
      <c r="H3109" s="57" t="s">
        <v>3792</v>
      </c>
      <c r="I3109" s="37"/>
      <c r="J3109" s="57" t="s">
        <v>3792</v>
      </c>
      <c r="K3109" s="57" t="s">
        <v>9443</v>
      </c>
    </row>
    <row r="3110" customFormat="false" ht="34.2" hidden="false" customHeight="false" outlineLevel="0" collapsed="false">
      <c r="A3110" s="0"/>
      <c r="B3110" s="0"/>
      <c r="C3110" s="0"/>
      <c r="D3110" s="0" t="s">
        <v>10313</v>
      </c>
      <c r="E3110" s="0" t="s">
        <v>10314</v>
      </c>
      <c r="F3110" s="0" t="s">
        <v>5342</v>
      </c>
      <c r="G3110" s="57" t="s">
        <v>1290</v>
      </c>
      <c r="H3110" s="57" t="s">
        <v>10315</v>
      </c>
      <c r="I3110" s="34" t="s">
        <v>40</v>
      </c>
      <c r="J3110" s="57" t="s">
        <v>10316</v>
      </c>
      <c r="K3110" s="57" t="s">
        <v>9449</v>
      </c>
    </row>
    <row r="3111" customFormat="false" ht="21.75" hidden="false" customHeight="false" outlineLevel="0" collapsed="false">
      <c r="A3111" s="0"/>
      <c r="B3111" s="0"/>
      <c r="C3111" s="0"/>
      <c r="D3111" s="62"/>
      <c r="E3111" s="62"/>
      <c r="F3111" s="62"/>
      <c r="G3111" s="57" t="s">
        <v>10317</v>
      </c>
      <c r="H3111" s="57" t="s">
        <v>3792</v>
      </c>
      <c r="I3111" s="34"/>
      <c r="J3111" s="57" t="s">
        <v>3792</v>
      </c>
      <c r="K3111" s="57" t="s">
        <v>9451</v>
      </c>
    </row>
    <row r="3112" customFormat="false" ht="34.2" hidden="false" customHeight="false" outlineLevel="0" collapsed="false">
      <c r="A3112" s="0"/>
      <c r="B3112" s="0"/>
      <c r="C3112" s="0"/>
      <c r="D3112" s="0" t="s">
        <v>10318</v>
      </c>
      <c r="E3112" s="0" t="s">
        <v>10319</v>
      </c>
      <c r="F3112" s="0" t="s">
        <v>5342</v>
      </c>
      <c r="G3112" s="57" t="s">
        <v>10320</v>
      </c>
      <c r="H3112" s="57" t="s">
        <v>10321</v>
      </c>
      <c r="I3112" s="39" t="s">
        <v>67</v>
      </c>
      <c r="J3112" s="57" t="s">
        <v>10322</v>
      </c>
      <c r="K3112" s="57" t="s">
        <v>9457</v>
      </c>
    </row>
    <row r="3113" customFormat="false" ht="34.2" hidden="false" customHeight="false" outlineLevel="0" collapsed="false">
      <c r="A3113" s="0"/>
      <c r="B3113" s="0"/>
      <c r="C3113" s="0"/>
      <c r="D3113" s="62"/>
      <c r="E3113" s="62"/>
      <c r="F3113" s="62"/>
      <c r="G3113" s="57" t="s">
        <v>10323</v>
      </c>
      <c r="H3113" s="57" t="s">
        <v>3792</v>
      </c>
      <c r="I3113" s="39"/>
      <c r="J3113" s="57" t="s">
        <v>3792</v>
      </c>
      <c r="K3113" s="57" t="s">
        <v>9459</v>
      </c>
    </row>
    <row r="3114" customFormat="false" ht="34.2" hidden="false" customHeight="false" outlineLevel="0" collapsed="false">
      <c r="A3114" s="0"/>
      <c r="B3114" s="0"/>
      <c r="C3114" s="0"/>
      <c r="D3114" s="0" t="s">
        <v>10324</v>
      </c>
      <c r="E3114" s="0" t="s">
        <v>10325</v>
      </c>
      <c r="F3114" s="0" t="s">
        <v>5342</v>
      </c>
      <c r="G3114" s="57" t="s">
        <v>10326</v>
      </c>
      <c r="H3114" s="57" t="s">
        <v>10327</v>
      </c>
      <c r="I3114" s="34" t="s">
        <v>40</v>
      </c>
      <c r="J3114" s="57" t="s">
        <v>10328</v>
      </c>
      <c r="K3114" s="57" t="s">
        <v>9465</v>
      </c>
    </row>
    <row r="3115" customFormat="false" ht="45.05" hidden="false" customHeight="false" outlineLevel="0" collapsed="false">
      <c r="A3115" s="0"/>
      <c r="B3115" s="0"/>
      <c r="C3115" s="65"/>
      <c r="D3115" s="65"/>
      <c r="E3115" s="65"/>
      <c r="F3115" s="65"/>
      <c r="G3115" s="57" t="s">
        <v>10329</v>
      </c>
      <c r="H3115" s="57" t="s">
        <v>3792</v>
      </c>
      <c r="I3115" s="34"/>
      <c r="J3115" s="57" t="s">
        <v>3792</v>
      </c>
      <c r="K3115" s="57" t="s">
        <v>3792</v>
      </c>
    </row>
    <row r="3116" customFormat="false" ht="21.75" hidden="false" customHeight="false" outlineLevel="0" collapsed="false">
      <c r="A3116" s="0"/>
      <c r="B3116" s="0"/>
      <c r="C3116" s="57" t="s">
        <v>10330</v>
      </c>
      <c r="D3116" s="0" t="s">
        <v>10331</v>
      </c>
      <c r="E3116" s="0" t="s">
        <v>10332</v>
      </c>
      <c r="F3116" s="0" t="s">
        <v>5334</v>
      </c>
      <c r="G3116" s="57" t="s">
        <v>10333</v>
      </c>
      <c r="H3116" s="57" t="s">
        <v>10334</v>
      </c>
      <c r="I3116" s="37" t="s">
        <v>50</v>
      </c>
      <c r="J3116" s="57" t="s">
        <v>10335</v>
      </c>
      <c r="K3116" s="57" t="s">
        <v>9472</v>
      </c>
    </row>
    <row r="3117" customFormat="false" ht="45.05" hidden="false" customHeight="false" outlineLevel="0" collapsed="false">
      <c r="A3117" s="0"/>
      <c r="B3117" s="0"/>
      <c r="C3117" s="0"/>
      <c r="D3117" s="62"/>
      <c r="E3117" s="62"/>
      <c r="F3117" s="62"/>
      <c r="G3117" s="57" t="s">
        <v>10336</v>
      </c>
      <c r="H3117" s="57" t="s">
        <v>3792</v>
      </c>
      <c r="I3117" s="37"/>
      <c r="J3117" s="57" t="s">
        <v>3792</v>
      </c>
      <c r="K3117" s="57" t="s">
        <v>3792</v>
      </c>
    </row>
    <row r="3118" customFormat="false" ht="21.75" hidden="false" customHeight="false" outlineLevel="0" collapsed="false">
      <c r="A3118" s="0"/>
      <c r="B3118" s="0"/>
      <c r="C3118" s="0"/>
      <c r="D3118" s="0" t="s">
        <v>10337</v>
      </c>
      <c r="E3118" s="0" t="s">
        <v>10338</v>
      </c>
      <c r="F3118" s="0" t="s">
        <v>5342</v>
      </c>
      <c r="G3118" s="57" t="s">
        <v>10339</v>
      </c>
      <c r="H3118" s="57" t="s">
        <v>10151</v>
      </c>
      <c r="I3118" s="34" t="s">
        <v>40</v>
      </c>
      <c r="J3118" s="57" t="s">
        <v>10340</v>
      </c>
      <c r="K3118" s="57" t="s">
        <v>9481</v>
      </c>
    </row>
    <row r="3119" customFormat="false" ht="34.2" hidden="false" customHeight="false" outlineLevel="0" collapsed="false">
      <c r="A3119" s="0"/>
      <c r="B3119" s="0"/>
      <c r="C3119" s="0"/>
      <c r="D3119" s="62"/>
      <c r="E3119" s="62"/>
      <c r="F3119" s="62"/>
      <c r="G3119" s="57" t="s">
        <v>10341</v>
      </c>
      <c r="H3119" s="57" t="s">
        <v>3792</v>
      </c>
      <c r="I3119" s="34"/>
      <c r="J3119" s="57" t="s">
        <v>3792</v>
      </c>
      <c r="K3119" s="57" t="s">
        <v>3792</v>
      </c>
    </row>
    <row r="3120" customFormat="false" ht="34.2" hidden="false" customHeight="false" outlineLevel="0" collapsed="false">
      <c r="A3120" s="0"/>
      <c r="B3120" s="0"/>
      <c r="C3120" s="0"/>
      <c r="D3120" s="0" t="s">
        <v>10342</v>
      </c>
      <c r="E3120" s="0" t="s">
        <v>10343</v>
      </c>
      <c r="F3120" s="0" t="s">
        <v>5334</v>
      </c>
      <c r="G3120" s="57" t="s">
        <v>10344</v>
      </c>
      <c r="H3120" s="57" t="s">
        <v>10157</v>
      </c>
      <c r="I3120" s="39" t="s">
        <v>67</v>
      </c>
      <c r="J3120" s="57" t="s">
        <v>10345</v>
      </c>
      <c r="K3120" s="57" t="s">
        <v>9488</v>
      </c>
    </row>
    <row r="3121" customFormat="false" ht="34.2" hidden="false" customHeight="false" outlineLevel="0" collapsed="false">
      <c r="A3121" s="0"/>
      <c r="B3121" s="0"/>
      <c r="C3121" s="0"/>
      <c r="D3121" s="62"/>
      <c r="E3121" s="62"/>
      <c r="F3121" s="62"/>
      <c r="G3121" s="57" t="s">
        <v>10346</v>
      </c>
      <c r="H3121" s="57" t="s">
        <v>3792</v>
      </c>
      <c r="I3121" s="39"/>
      <c r="J3121" s="57" t="s">
        <v>3792</v>
      </c>
      <c r="K3121" s="57" t="s">
        <v>3792</v>
      </c>
    </row>
    <row r="3122" customFormat="false" ht="34.2" hidden="false" customHeight="false" outlineLevel="0" collapsed="false">
      <c r="A3122" s="0"/>
      <c r="B3122" s="0"/>
      <c r="C3122" s="0"/>
      <c r="D3122" s="0" t="s">
        <v>10347</v>
      </c>
      <c r="E3122" s="0" t="s">
        <v>10348</v>
      </c>
      <c r="F3122" s="0" t="s">
        <v>5342</v>
      </c>
      <c r="G3122" s="57" t="s">
        <v>10349</v>
      </c>
      <c r="H3122" s="57" t="s">
        <v>10163</v>
      </c>
      <c r="I3122" s="34" t="s">
        <v>40</v>
      </c>
      <c r="J3122" s="57" t="s">
        <v>10350</v>
      </c>
      <c r="K3122" s="57" t="s">
        <v>9494</v>
      </c>
    </row>
    <row r="3123" customFormat="false" ht="21.75" hidden="false" customHeight="false" outlineLevel="0" collapsed="false">
      <c r="A3123" s="0"/>
      <c r="B3123" s="0"/>
      <c r="C3123" s="0"/>
      <c r="D3123" s="62"/>
      <c r="E3123" s="62"/>
      <c r="F3123" s="62"/>
      <c r="G3123" s="57" t="s">
        <v>1145</v>
      </c>
      <c r="H3123" s="57" t="s">
        <v>3792</v>
      </c>
      <c r="I3123" s="34"/>
      <c r="J3123" s="57" t="s">
        <v>3792</v>
      </c>
      <c r="K3123" s="57" t="s">
        <v>3792</v>
      </c>
    </row>
    <row r="3124" customFormat="false" ht="45.05" hidden="false" customHeight="false" outlineLevel="0" collapsed="false">
      <c r="A3124" s="0"/>
      <c r="B3124" s="0"/>
      <c r="C3124" s="0"/>
      <c r="D3124" s="0" t="s">
        <v>10351</v>
      </c>
      <c r="E3124" s="0" t="s">
        <v>10352</v>
      </c>
      <c r="F3124" s="0" t="s">
        <v>5342</v>
      </c>
      <c r="G3124" s="57" t="s">
        <v>10353</v>
      </c>
      <c r="H3124" s="57" t="s">
        <v>10168</v>
      </c>
      <c r="I3124" s="37" t="s">
        <v>50</v>
      </c>
      <c r="J3124" s="57" t="s">
        <v>10354</v>
      </c>
      <c r="K3124" s="57" t="s">
        <v>9499</v>
      </c>
    </row>
    <row r="3125" customFormat="false" ht="34.2" hidden="false" customHeight="false" outlineLevel="0" collapsed="false">
      <c r="A3125" s="0"/>
      <c r="B3125" s="0"/>
      <c r="C3125" s="65"/>
      <c r="D3125" s="65"/>
      <c r="E3125" s="65"/>
      <c r="F3125" s="65"/>
      <c r="G3125" s="57" t="s">
        <v>10355</v>
      </c>
      <c r="H3125" s="57" t="s">
        <v>3792</v>
      </c>
      <c r="I3125" s="37"/>
      <c r="J3125" s="57" t="s">
        <v>3792</v>
      </c>
      <c r="K3125" s="57" t="s">
        <v>3792</v>
      </c>
    </row>
    <row r="3126" customFormat="false" ht="45.05" hidden="false" customHeight="false" outlineLevel="0" collapsed="false">
      <c r="A3126" s="0"/>
      <c r="B3126" s="0"/>
      <c r="C3126" s="57" t="s">
        <v>10356</v>
      </c>
      <c r="D3126" s="0" t="s">
        <v>10357</v>
      </c>
      <c r="E3126" s="0" t="s">
        <v>10358</v>
      </c>
      <c r="F3126" s="0" t="s">
        <v>5342</v>
      </c>
      <c r="G3126" s="57" t="s">
        <v>10359</v>
      </c>
      <c r="H3126" s="57" t="s">
        <v>10173</v>
      </c>
      <c r="I3126" s="34" t="s">
        <v>40</v>
      </c>
      <c r="J3126" s="57" t="s">
        <v>10360</v>
      </c>
      <c r="K3126" s="57" t="s">
        <v>9504</v>
      </c>
    </row>
    <row r="3127" customFormat="false" ht="21.75" hidden="false" customHeight="false" outlineLevel="0" collapsed="false">
      <c r="A3127" s="0"/>
      <c r="B3127" s="0"/>
      <c r="C3127" s="0"/>
      <c r="D3127" s="62"/>
      <c r="E3127" s="62"/>
      <c r="F3127" s="62"/>
      <c r="G3127" s="57" t="s">
        <v>10361</v>
      </c>
      <c r="H3127" s="57" t="s">
        <v>3792</v>
      </c>
      <c r="I3127" s="34"/>
      <c r="J3127" s="57" t="s">
        <v>3792</v>
      </c>
      <c r="K3127" s="57" t="s">
        <v>3792</v>
      </c>
    </row>
    <row r="3128" customFormat="false" ht="45.05" hidden="false" customHeight="false" outlineLevel="0" collapsed="false">
      <c r="A3128" s="0"/>
      <c r="B3128" s="0"/>
      <c r="C3128" s="0"/>
      <c r="D3128" s="0" t="s">
        <v>10362</v>
      </c>
      <c r="E3128" s="0" t="s">
        <v>10363</v>
      </c>
      <c r="F3128" s="0" t="s">
        <v>5334</v>
      </c>
      <c r="G3128" s="57" t="s">
        <v>10364</v>
      </c>
      <c r="H3128" s="57" t="s">
        <v>10180</v>
      </c>
      <c r="I3128" s="39" t="s">
        <v>67</v>
      </c>
      <c r="J3128" s="57" t="s">
        <v>10365</v>
      </c>
      <c r="K3128" s="57" t="s">
        <v>9511</v>
      </c>
    </row>
    <row r="3129" customFormat="false" ht="34.2" hidden="false" customHeight="false" outlineLevel="0" collapsed="false">
      <c r="A3129" s="0"/>
      <c r="B3129" s="0"/>
      <c r="C3129" s="0"/>
      <c r="D3129" s="62"/>
      <c r="E3129" s="62"/>
      <c r="F3129" s="62"/>
      <c r="G3129" s="57" t="s">
        <v>10366</v>
      </c>
      <c r="H3129" s="57" t="s">
        <v>3792</v>
      </c>
      <c r="I3129" s="39"/>
      <c r="J3129" s="57" t="s">
        <v>3792</v>
      </c>
      <c r="K3129" s="57" t="s">
        <v>3792</v>
      </c>
    </row>
    <row r="3130" customFormat="false" ht="34.2" hidden="false" customHeight="false" outlineLevel="0" collapsed="false">
      <c r="A3130" s="0"/>
      <c r="B3130" s="0"/>
      <c r="C3130" s="0"/>
      <c r="D3130" s="0" t="s">
        <v>10367</v>
      </c>
      <c r="E3130" s="0" t="s">
        <v>10368</v>
      </c>
      <c r="F3130" s="0" t="s">
        <v>5334</v>
      </c>
      <c r="G3130" s="57" t="s">
        <v>10369</v>
      </c>
      <c r="H3130" s="57" t="s">
        <v>10186</v>
      </c>
      <c r="I3130" s="34" t="s">
        <v>40</v>
      </c>
      <c r="J3130" s="57" t="s">
        <v>10370</v>
      </c>
      <c r="K3130" s="57" t="s">
        <v>9518</v>
      </c>
    </row>
    <row r="3131" customFormat="false" ht="34.2" hidden="false" customHeight="false" outlineLevel="0" collapsed="false">
      <c r="A3131" s="0"/>
      <c r="B3131" s="0"/>
      <c r="C3131" s="0"/>
      <c r="D3131" s="62"/>
      <c r="E3131" s="62"/>
      <c r="F3131" s="62"/>
      <c r="G3131" s="57" t="s">
        <v>10371</v>
      </c>
      <c r="H3131" s="57" t="s">
        <v>3792</v>
      </c>
      <c r="I3131" s="34"/>
      <c r="J3131" s="57" t="s">
        <v>3792</v>
      </c>
      <c r="K3131" s="57" t="s">
        <v>3792</v>
      </c>
    </row>
    <row r="3132" customFormat="false" ht="45.05" hidden="false" customHeight="false" outlineLevel="0" collapsed="false">
      <c r="A3132" s="0"/>
      <c r="B3132" s="0"/>
      <c r="C3132" s="0"/>
      <c r="D3132" s="0" t="s">
        <v>10372</v>
      </c>
      <c r="E3132" s="0" t="s">
        <v>10373</v>
      </c>
      <c r="F3132" s="0" t="s">
        <v>5342</v>
      </c>
      <c r="G3132" s="57" t="s">
        <v>1077</v>
      </c>
      <c r="H3132" s="57" t="s">
        <v>10192</v>
      </c>
      <c r="I3132" s="37" t="s">
        <v>50</v>
      </c>
      <c r="J3132" s="57" t="s">
        <v>10374</v>
      </c>
      <c r="K3132" s="57" t="s">
        <v>9525</v>
      </c>
    </row>
    <row r="3133" customFormat="false" ht="34.2" hidden="false" customHeight="false" outlineLevel="0" collapsed="false">
      <c r="A3133" s="0"/>
      <c r="B3133" s="0"/>
      <c r="C3133" s="0"/>
      <c r="D3133" s="62"/>
      <c r="E3133" s="62"/>
      <c r="F3133" s="62"/>
      <c r="G3133" s="57" t="s">
        <v>10375</v>
      </c>
      <c r="H3133" s="57" t="s">
        <v>3792</v>
      </c>
      <c r="I3133" s="37"/>
      <c r="J3133" s="57" t="s">
        <v>3792</v>
      </c>
      <c r="K3133" s="57" t="s">
        <v>3792</v>
      </c>
    </row>
    <row r="3134" customFormat="false" ht="34.2" hidden="false" customHeight="false" outlineLevel="0" collapsed="false">
      <c r="A3134" s="0"/>
      <c r="B3134" s="0"/>
      <c r="C3134" s="0"/>
      <c r="D3134" s="0" t="s">
        <v>10376</v>
      </c>
      <c r="E3134" s="0" t="s">
        <v>10377</v>
      </c>
      <c r="F3134" s="0" t="s">
        <v>5334</v>
      </c>
      <c r="G3134" s="57" t="s">
        <v>10378</v>
      </c>
      <c r="H3134" s="57" t="s">
        <v>10198</v>
      </c>
      <c r="I3134" s="34" t="s">
        <v>40</v>
      </c>
      <c r="J3134" s="57" t="s">
        <v>10379</v>
      </c>
      <c r="K3134" s="57" t="s">
        <v>9532</v>
      </c>
    </row>
    <row r="3135" customFormat="false" ht="45.05" hidden="false" customHeight="false" outlineLevel="0" collapsed="false">
      <c r="A3135" s="0"/>
      <c r="B3135" s="0"/>
      <c r="C3135" s="65"/>
      <c r="D3135" s="65"/>
      <c r="E3135" s="65"/>
      <c r="F3135" s="65"/>
      <c r="G3135" s="57" t="s">
        <v>10380</v>
      </c>
      <c r="H3135" s="57" t="s">
        <v>3792</v>
      </c>
      <c r="I3135" s="34"/>
      <c r="J3135" s="57" t="s">
        <v>3792</v>
      </c>
      <c r="K3135" s="57" t="s">
        <v>3792</v>
      </c>
    </row>
    <row r="3136" customFormat="false" ht="21.75" hidden="false" customHeight="false" outlineLevel="0" collapsed="false">
      <c r="A3136" s="0"/>
      <c r="B3136" s="0"/>
      <c r="C3136" s="0" t="s">
        <v>10381</v>
      </c>
      <c r="D3136" s="0" t="s">
        <v>10382</v>
      </c>
      <c r="E3136" s="0" t="s">
        <v>10383</v>
      </c>
      <c r="F3136" s="0" t="s">
        <v>5334</v>
      </c>
      <c r="G3136" s="57" t="s">
        <v>10384</v>
      </c>
      <c r="H3136" s="57" t="s">
        <v>10204</v>
      </c>
      <c r="I3136" s="39" t="s">
        <v>67</v>
      </c>
      <c r="J3136" s="57" t="s">
        <v>10385</v>
      </c>
      <c r="K3136" s="57" t="s">
        <v>9539</v>
      </c>
    </row>
    <row r="3137" customFormat="false" ht="21.75" hidden="false" customHeight="false" outlineLevel="0" collapsed="false">
      <c r="A3137" s="0"/>
      <c r="B3137" s="0"/>
      <c r="C3137" s="0"/>
      <c r="D3137" s="62"/>
      <c r="E3137" s="62"/>
      <c r="F3137" s="62"/>
      <c r="G3137" s="57" t="s">
        <v>10386</v>
      </c>
      <c r="H3137" s="57" t="s">
        <v>3792</v>
      </c>
      <c r="I3137" s="39"/>
      <c r="J3137" s="57" t="s">
        <v>3792</v>
      </c>
      <c r="K3137" s="57" t="s">
        <v>3792</v>
      </c>
    </row>
    <row r="3138" customFormat="false" ht="21.75" hidden="false" customHeight="false" outlineLevel="0" collapsed="false">
      <c r="A3138" s="0"/>
      <c r="B3138" s="0"/>
      <c r="C3138" s="0"/>
      <c r="D3138" s="0" t="s">
        <v>10387</v>
      </c>
      <c r="E3138" s="0" t="s">
        <v>10388</v>
      </c>
      <c r="F3138" s="0" t="s">
        <v>5342</v>
      </c>
      <c r="G3138" s="57" t="s">
        <v>10389</v>
      </c>
      <c r="H3138" s="57" t="s">
        <v>10211</v>
      </c>
      <c r="I3138" s="34" t="s">
        <v>40</v>
      </c>
      <c r="J3138" s="57" t="s">
        <v>10390</v>
      </c>
      <c r="K3138" s="57" t="s">
        <v>9547</v>
      </c>
    </row>
    <row r="3139" customFormat="false" ht="34.2" hidden="false" customHeight="false" outlineLevel="0" collapsed="false">
      <c r="A3139" s="0"/>
      <c r="B3139" s="0"/>
      <c r="C3139" s="0"/>
      <c r="D3139" s="62"/>
      <c r="E3139" s="62"/>
      <c r="F3139" s="62"/>
      <c r="G3139" s="57" t="s">
        <v>10391</v>
      </c>
      <c r="H3139" s="57" t="s">
        <v>3792</v>
      </c>
      <c r="I3139" s="34"/>
      <c r="J3139" s="57" t="s">
        <v>3792</v>
      </c>
      <c r="K3139" s="57" t="s">
        <v>3792</v>
      </c>
    </row>
    <row r="3140" customFormat="false" ht="21.75" hidden="false" customHeight="false" outlineLevel="0" collapsed="false">
      <c r="A3140" s="0"/>
      <c r="B3140" s="0"/>
      <c r="C3140" s="0"/>
      <c r="D3140" s="0" t="s">
        <v>10392</v>
      </c>
      <c r="E3140" s="0" t="s">
        <v>10393</v>
      </c>
      <c r="F3140" s="0" t="s">
        <v>5342</v>
      </c>
      <c r="G3140" s="57" t="s">
        <v>10394</v>
      </c>
      <c r="H3140" s="57" t="s">
        <v>10217</v>
      </c>
      <c r="I3140" s="37" t="s">
        <v>50</v>
      </c>
      <c r="J3140" s="57" t="s">
        <v>10395</v>
      </c>
      <c r="K3140" s="57" t="s">
        <v>9554</v>
      </c>
    </row>
    <row r="3141" customFormat="false" ht="21.75" hidden="false" customHeight="false" outlineLevel="0" collapsed="false">
      <c r="A3141" s="0"/>
      <c r="B3141" s="0"/>
      <c r="C3141" s="0"/>
      <c r="D3141" s="62"/>
      <c r="E3141" s="62"/>
      <c r="F3141" s="62"/>
      <c r="G3141" s="57" t="s">
        <v>10396</v>
      </c>
      <c r="H3141" s="57" t="s">
        <v>3792</v>
      </c>
      <c r="I3141" s="37"/>
      <c r="J3141" s="57" t="s">
        <v>3792</v>
      </c>
      <c r="K3141" s="57" t="s">
        <v>3792</v>
      </c>
    </row>
    <row r="3142" customFormat="false" ht="34.2" hidden="false" customHeight="false" outlineLevel="0" collapsed="false">
      <c r="A3142" s="0"/>
      <c r="B3142" s="0"/>
      <c r="C3142" s="0"/>
      <c r="D3142" s="0" t="s">
        <v>10397</v>
      </c>
      <c r="E3142" s="0" t="s">
        <v>10398</v>
      </c>
      <c r="F3142" s="0" t="s">
        <v>5334</v>
      </c>
      <c r="G3142" s="57" t="s">
        <v>10399</v>
      </c>
      <c r="H3142" s="57" t="s">
        <v>10223</v>
      </c>
      <c r="I3142" s="34" t="s">
        <v>40</v>
      </c>
      <c r="J3142" s="57" t="s">
        <v>10400</v>
      </c>
      <c r="K3142" s="57" t="s">
        <v>9561</v>
      </c>
    </row>
    <row r="3143" customFormat="false" ht="21.75" hidden="false" customHeight="false" outlineLevel="0" collapsed="false">
      <c r="A3143" s="0"/>
      <c r="B3143" s="0"/>
      <c r="C3143" s="0"/>
      <c r="D3143" s="62"/>
      <c r="E3143" s="62"/>
      <c r="F3143" s="62"/>
      <c r="G3143" s="57" t="s">
        <v>10401</v>
      </c>
      <c r="H3143" s="57" t="s">
        <v>3792</v>
      </c>
      <c r="I3143" s="34"/>
      <c r="J3143" s="57" t="s">
        <v>3792</v>
      </c>
      <c r="K3143" s="57" t="s">
        <v>3792</v>
      </c>
    </row>
    <row r="3144" customFormat="false" ht="34.2" hidden="false" customHeight="false" outlineLevel="0" collapsed="false">
      <c r="A3144" s="0"/>
      <c r="B3144" s="0"/>
      <c r="C3144" s="0"/>
      <c r="D3144" s="0" t="s">
        <v>10402</v>
      </c>
      <c r="E3144" s="0" t="s">
        <v>10403</v>
      </c>
      <c r="F3144" s="0" t="s">
        <v>5342</v>
      </c>
      <c r="G3144" s="57" t="s">
        <v>10404</v>
      </c>
      <c r="H3144" s="57" t="s">
        <v>10229</v>
      </c>
      <c r="I3144" s="39" t="s">
        <v>67</v>
      </c>
      <c r="J3144" s="57" t="s">
        <v>10405</v>
      </c>
      <c r="K3144" s="57" t="s">
        <v>9568</v>
      </c>
    </row>
    <row r="3145" customFormat="false" ht="34.2" hidden="false" customHeight="false" outlineLevel="0" collapsed="false">
      <c r="A3145" s="0"/>
      <c r="B3145" s="0"/>
      <c r="C3145" s="65"/>
      <c r="D3145" s="65"/>
      <c r="E3145" s="65"/>
      <c r="F3145" s="65"/>
      <c r="G3145" s="57" t="s">
        <v>10406</v>
      </c>
      <c r="H3145" s="57" t="s">
        <v>3792</v>
      </c>
      <c r="I3145" s="39"/>
      <c r="J3145" s="57" t="s">
        <v>3792</v>
      </c>
      <c r="K3145" s="57" t="s">
        <v>3792</v>
      </c>
    </row>
    <row r="3146" customFormat="false" ht="21.75" hidden="false" customHeight="false" outlineLevel="0" collapsed="false">
      <c r="A3146" s="0"/>
      <c r="B3146" s="0"/>
      <c r="C3146" s="0" t="s">
        <v>10407</v>
      </c>
      <c r="D3146" s="0" t="s">
        <v>10408</v>
      </c>
      <c r="E3146" s="0" t="s">
        <v>10409</v>
      </c>
      <c r="F3146" s="0" t="s">
        <v>5342</v>
      </c>
      <c r="G3146" s="57" t="s">
        <v>10410</v>
      </c>
      <c r="H3146" s="57" t="s">
        <v>10235</v>
      </c>
      <c r="I3146" s="34" t="s">
        <v>40</v>
      </c>
      <c r="J3146" s="57" t="s">
        <v>10411</v>
      </c>
      <c r="K3146" s="57" t="s">
        <v>9575</v>
      </c>
    </row>
    <row r="3147" customFormat="false" ht="21.75" hidden="false" customHeight="false" outlineLevel="0" collapsed="false">
      <c r="A3147" s="0"/>
      <c r="B3147" s="0"/>
      <c r="C3147" s="0"/>
      <c r="D3147" s="62"/>
      <c r="E3147" s="62"/>
      <c r="F3147" s="62"/>
      <c r="G3147" s="57" t="s">
        <v>10412</v>
      </c>
      <c r="H3147" s="57" t="s">
        <v>3792</v>
      </c>
      <c r="I3147" s="34"/>
      <c r="J3147" s="57" t="s">
        <v>3792</v>
      </c>
      <c r="K3147" s="57" t="s">
        <v>3792</v>
      </c>
    </row>
    <row r="3148" customFormat="false" ht="34.2" hidden="false" customHeight="false" outlineLevel="0" collapsed="false">
      <c r="A3148" s="0"/>
      <c r="B3148" s="0"/>
      <c r="C3148" s="0"/>
      <c r="D3148" s="0" t="s">
        <v>10413</v>
      </c>
      <c r="E3148" s="0" t="s">
        <v>10414</v>
      </c>
      <c r="F3148" s="0" t="s">
        <v>5334</v>
      </c>
      <c r="G3148" s="57" t="s">
        <v>10415</v>
      </c>
      <c r="H3148" s="57" t="s">
        <v>10243</v>
      </c>
      <c r="I3148" s="37" t="s">
        <v>50</v>
      </c>
      <c r="J3148" s="57" t="s">
        <v>10416</v>
      </c>
      <c r="K3148" s="57" t="s">
        <v>9583</v>
      </c>
    </row>
    <row r="3149" customFormat="false" ht="34.2" hidden="false" customHeight="false" outlineLevel="0" collapsed="false">
      <c r="A3149" s="0"/>
      <c r="B3149" s="0"/>
      <c r="C3149" s="0"/>
      <c r="D3149" s="62"/>
      <c r="E3149" s="62"/>
      <c r="F3149" s="62"/>
      <c r="G3149" s="57" t="s">
        <v>10417</v>
      </c>
      <c r="H3149" s="57" t="s">
        <v>3792</v>
      </c>
      <c r="I3149" s="37"/>
      <c r="J3149" s="57" t="s">
        <v>3792</v>
      </c>
      <c r="K3149" s="57" t="s">
        <v>3792</v>
      </c>
    </row>
    <row r="3150" customFormat="false" ht="34.2" hidden="false" customHeight="false" outlineLevel="0" collapsed="false">
      <c r="A3150" s="0"/>
      <c r="B3150" s="0"/>
      <c r="C3150" s="0"/>
      <c r="D3150" s="0" t="s">
        <v>10418</v>
      </c>
      <c r="E3150" s="0" t="s">
        <v>10419</v>
      </c>
      <c r="F3150" s="0" t="s">
        <v>5334</v>
      </c>
      <c r="G3150" s="57" t="s">
        <v>10420</v>
      </c>
      <c r="H3150" s="57" t="s">
        <v>10249</v>
      </c>
      <c r="I3150" s="34" t="s">
        <v>40</v>
      </c>
      <c r="J3150" s="57" t="s">
        <v>10421</v>
      </c>
      <c r="K3150" s="57" t="s">
        <v>9590</v>
      </c>
    </row>
    <row r="3151" customFormat="false" ht="34.2" hidden="false" customHeight="false" outlineLevel="0" collapsed="false">
      <c r="A3151" s="0"/>
      <c r="B3151" s="0"/>
      <c r="C3151" s="0"/>
      <c r="D3151" s="62"/>
      <c r="E3151" s="62"/>
      <c r="F3151" s="62"/>
      <c r="G3151" s="57" t="s">
        <v>10422</v>
      </c>
      <c r="H3151" s="57" t="s">
        <v>3792</v>
      </c>
      <c r="I3151" s="34"/>
      <c r="J3151" s="57" t="s">
        <v>3792</v>
      </c>
      <c r="K3151" s="57" t="s">
        <v>3792</v>
      </c>
    </row>
    <row r="3152" customFormat="false" ht="34.2" hidden="false" customHeight="false" outlineLevel="0" collapsed="false">
      <c r="A3152" s="0"/>
      <c r="B3152" s="0"/>
      <c r="C3152" s="0"/>
      <c r="D3152" s="0" t="s">
        <v>10423</v>
      </c>
      <c r="E3152" s="0" t="s">
        <v>10424</v>
      </c>
      <c r="F3152" s="0" t="s">
        <v>5342</v>
      </c>
      <c r="G3152" s="57" t="s">
        <v>10425</v>
      </c>
      <c r="H3152" s="57" t="s">
        <v>10255</v>
      </c>
      <c r="I3152" s="39" t="s">
        <v>67</v>
      </c>
      <c r="J3152" s="57" t="s">
        <v>10426</v>
      </c>
      <c r="K3152" s="57" t="s">
        <v>9597</v>
      </c>
    </row>
    <row r="3153" customFormat="false" ht="34.2" hidden="false" customHeight="false" outlineLevel="0" collapsed="false">
      <c r="A3153" s="0"/>
      <c r="B3153" s="0"/>
      <c r="C3153" s="0"/>
      <c r="D3153" s="62"/>
      <c r="E3153" s="62"/>
      <c r="F3153" s="62"/>
      <c r="G3153" s="57" t="s">
        <v>10427</v>
      </c>
      <c r="H3153" s="57" t="s">
        <v>3792</v>
      </c>
      <c r="I3153" s="39"/>
      <c r="J3153" s="57" t="s">
        <v>3792</v>
      </c>
      <c r="K3153" s="57" t="s">
        <v>3792</v>
      </c>
    </row>
    <row r="3154" customFormat="false" ht="34.2" hidden="false" customHeight="false" outlineLevel="0" collapsed="false">
      <c r="A3154" s="0"/>
      <c r="B3154" s="0"/>
      <c r="C3154" s="0"/>
      <c r="D3154" s="0" t="s">
        <v>10428</v>
      </c>
      <c r="E3154" s="0" t="s">
        <v>10429</v>
      </c>
      <c r="F3154" s="0" t="s">
        <v>5342</v>
      </c>
      <c r="G3154" s="57" t="s">
        <v>10430</v>
      </c>
      <c r="H3154" s="57" t="s">
        <v>10260</v>
      </c>
      <c r="I3154" s="34" t="s">
        <v>40</v>
      </c>
      <c r="J3154" s="57" t="s">
        <v>10431</v>
      </c>
      <c r="K3154" s="57" t="s">
        <v>9604</v>
      </c>
    </row>
    <row r="3155" customFormat="false" ht="21.75" hidden="false" customHeight="false" outlineLevel="0" collapsed="false">
      <c r="A3155" s="0"/>
      <c r="B3155" s="69"/>
      <c r="C3155" s="69"/>
      <c r="D3155" s="69"/>
      <c r="E3155" s="69"/>
      <c r="F3155" s="69"/>
      <c r="G3155" s="57" t="s">
        <v>10432</v>
      </c>
      <c r="H3155" s="57" t="s">
        <v>3792</v>
      </c>
      <c r="I3155" s="34"/>
      <c r="J3155" s="69"/>
      <c r="K3155" s="57" t="s">
        <v>3792</v>
      </c>
    </row>
    <row r="3157" customFormat="false" ht="15" hidden="false" customHeight="false" outlineLevel="0" collapsed="false">
      <c r="A3157" s="45" t="s">
        <v>5328</v>
      </c>
      <c r="B3157" s="45" t="s">
        <v>3775</v>
      </c>
      <c r="C3157" s="46" t="s">
        <v>3776</v>
      </c>
      <c r="D3157" s="46" t="s">
        <v>3777</v>
      </c>
      <c r="E3157" s="46" t="s">
        <v>3778</v>
      </c>
      <c r="F3157" s="46" t="s">
        <v>27</v>
      </c>
      <c r="G3157" s="46" t="s">
        <v>3779</v>
      </c>
      <c r="H3157" s="46" t="s">
        <v>28</v>
      </c>
      <c r="I3157" s="45" t="s">
        <v>29</v>
      </c>
      <c r="J3157" s="46" t="s">
        <v>3780</v>
      </c>
      <c r="K3157" s="58" t="s">
        <v>3781</v>
      </c>
    </row>
    <row r="3158" customFormat="false" ht="55.95" hidden="false" customHeight="true" outlineLevel="0" collapsed="false">
      <c r="A3158" s="74" t="s">
        <v>10434</v>
      </c>
      <c r="B3158" s="74" t="s">
        <v>10435</v>
      </c>
      <c r="C3158" s="75" t="s">
        <v>10436</v>
      </c>
      <c r="D3158" s="76" t="s">
        <v>10437</v>
      </c>
      <c r="E3158" s="57" t="s">
        <v>10438</v>
      </c>
      <c r="F3158" s="57" t="s">
        <v>3787</v>
      </c>
      <c r="G3158" s="57" t="s">
        <v>10439</v>
      </c>
      <c r="H3158" s="77" t="s">
        <v>10440</v>
      </c>
      <c r="I3158" s="34" t="s">
        <v>40</v>
      </c>
      <c r="J3158" s="78" t="s">
        <v>10441</v>
      </c>
      <c r="K3158" s="79" t="s">
        <v>10442</v>
      </c>
    </row>
    <row r="3159" customFormat="false" ht="45.05" hidden="false" customHeight="false" outlineLevel="0" collapsed="false">
      <c r="A3159" s="74"/>
      <c r="B3159" s="74"/>
      <c r="C3159" s="74"/>
      <c r="D3159" s="76"/>
      <c r="E3159" s="57" t="s">
        <v>3792</v>
      </c>
      <c r="F3159" s="57" t="s">
        <v>3792</v>
      </c>
      <c r="G3159" s="57" t="s">
        <v>10443</v>
      </c>
      <c r="H3159" s="77"/>
      <c r="I3159" s="34"/>
      <c r="J3159" s="78" t="s">
        <v>10444</v>
      </c>
      <c r="K3159" s="79" t="s">
        <v>10445</v>
      </c>
    </row>
    <row r="3160" customFormat="false" ht="45.05" hidden="false" customHeight="false" outlineLevel="0" collapsed="false">
      <c r="A3160" s="74"/>
      <c r="B3160" s="74"/>
      <c r="C3160" s="74"/>
      <c r="D3160" s="76" t="s">
        <v>10446</v>
      </c>
      <c r="E3160" s="57" t="s">
        <v>10447</v>
      </c>
      <c r="F3160" s="57" t="s">
        <v>3797</v>
      </c>
      <c r="G3160" s="57" t="s">
        <v>10448</v>
      </c>
      <c r="H3160" s="77" t="s">
        <v>10449</v>
      </c>
      <c r="I3160" s="37" t="s">
        <v>50</v>
      </c>
      <c r="J3160" s="78" t="s">
        <v>10450</v>
      </c>
      <c r="K3160" s="79" t="s">
        <v>10451</v>
      </c>
    </row>
    <row r="3161" customFormat="false" ht="55.95" hidden="false" customHeight="false" outlineLevel="0" collapsed="false">
      <c r="A3161" s="74"/>
      <c r="B3161" s="74"/>
      <c r="C3161" s="74"/>
      <c r="D3161" s="76"/>
      <c r="E3161" s="57" t="s">
        <v>3792</v>
      </c>
      <c r="F3161" s="57" t="s">
        <v>3792</v>
      </c>
      <c r="G3161" s="57" t="s">
        <v>10452</v>
      </c>
      <c r="H3161" s="77"/>
      <c r="I3161" s="37"/>
      <c r="J3161" s="78" t="s">
        <v>10453</v>
      </c>
      <c r="K3161" s="79" t="s">
        <v>10454</v>
      </c>
    </row>
    <row r="3162" customFormat="false" ht="34.2" hidden="false" customHeight="false" outlineLevel="0" collapsed="false">
      <c r="A3162" s="74"/>
      <c r="B3162" s="74"/>
      <c r="C3162" s="74"/>
      <c r="D3162" s="76" t="s">
        <v>10455</v>
      </c>
      <c r="E3162" s="57" t="s">
        <v>10456</v>
      </c>
      <c r="F3162" s="57" t="s">
        <v>3806</v>
      </c>
      <c r="G3162" s="57" t="s">
        <v>10457</v>
      </c>
      <c r="H3162" s="77" t="s">
        <v>10458</v>
      </c>
      <c r="I3162" s="34" t="s">
        <v>40</v>
      </c>
      <c r="J3162" s="78" t="s">
        <v>10459</v>
      </c>
      <c r="K3162" s="79" t="s">
        <v>10460</v>
      </c>
    </row>
    <row r="3163" customFormat="false" ht="77.7" hidden="false" customHeight="false" outlineLevel="0" collapsed="false">
      <c r="A3163" s="74"/>
      <c r="B3163" s="74"/>
      <c r="C3163" s="74"/>
      <c r="D3163" s="76"/>
      <c r="E3163" s="57" t="s">
        <v>3792</v>
      </c>
      <c r="F3163" s="57" t="s">
        <v>3792</v>
      </c>
      <c r="G3163" s="57" t="s">
        <v>10461</v>
      </c>
      <c r="H3163" s="77"/>
      <c r="I3163" s="34"/>
      <c r="J3163" s="78" t="s">
        <v>10462</v>
      </c>
      <c r="K3163" s="79" t="s">
        <v>10463</v>
      </c>
    </row>
    <row r="3164" customFormat="false" ht="55.95" hidden="false" customHeight="false" outlineLevel="0" collapsed="false">
      <c r="A3164" s="74"/>
      <c r="B3164" s="74"/>
      <c r="C3164" s="74"/>
      <c r="D3164" s="76" t="s">
        <v>10464</v>
      </c>
      <c r="E3164" s="57" t="s">
        <v>10465</v>
      </c>
      <c r="F3164" s="57" t="s">
        <v>3787</v>
      </c>
      <c r="G3164" s="57" t="s">
        <v>10466</v>
      </c>
      <c r="H3164" s="77" t="s">
        <v>10467</v>
      </c>
      <c r="I3164" s="39" t="s">
        <v>67</v>
      </c>
      <c r="J3164" s="78" t="s">
        <v>10468</v>
      </c>
      <c r="K3164" s="79" t="s">
        <v>10469</v>
      </c>
    </row>
    <row r="3165" customFormat="false" ht="55.95" hidden="false" customHeight="false" outlineLevel="0" collapsed="false">
      <c r="A3165" s="74"/>
      <c r="B3165" s="74"/>
      <c r="C3165" s="74"/>
      <c r="D3165" s="76"/>
      <c r="E3165" s="57" t="s">
        <v>3792</v>
      </c>
      <c r="F3165" s="57" t="s">
        <v>3792</v>
      </c>
      <c r="G3165" s="57" t="s">
        <v>10470</v>
      </c>
      <c r="H3165" s="77"/>
      <c r="I3165" s="39"/>
      <c r="J3165" s="78" t="s">
        <v>10471</v>
      </c>
      <c r="K3165" s="79" t="s">
        <v>10472</v>
      </c>
    </row>
    <row r="3166" customFormat="false" ht="34.2" hidden="false" customHeight="false" outlineLevel="0" collapsed="false">
      <c r="A3166" s="74"/>
      <c r="B3166" s="74"/>
      <c r="C3166" s="74"/>
      <c r="D3166" s="76" t="s">
        <v>10473</v>
      </c>
      <c r="E3166" s="57" t="s">
        <v>10474</v>
      </c>
      <c r="F3166" s="57" t="s">
        <v>3806</v>
      </c>
      <c r="G3166" s="57" t="s">
        <v>10475</v>
      </c>
      <c r="H3166" s="77" t="s">
        <v>10476</v>
      </c>
      <c r="I3166" s="34" t="s">
        <v>40</v>
      </c>
      <c r="J3166" s="78" t="s">
        <v>10477</v>
      </c>
      <c r="K3166" s="79" t="s">
        <v>10478</v>
      </c>
    </row>
    <row r="3167" customFormat="false" ht="77.7" hidden="false" customHeight="false" outlineLevel="0" collapsed="false">
      <c r="A3167" s="74"/>
      <c r="B3167" s="74"/>
      <c r="C3167" s="74"/>
      <c r="D3167" s="76"/>
      <c r="E3167" s="57" t="s">
        <v>3792</v>
      </c>
      <c r="F3167" s="57" t="s">
        <v>3792</v>
      </c>
      <c r="G3167" s="57" t="s">
        <v>10479</v>
      </c>
      <c r="H3167" s="77"/>
      <c r="I3167" s="34"/>
      <c r="J3167" s="78" t="s">
        <v>10480</v>
      </c>
      <c r="K3167" s="79" t="s">
        <v>10481</v>
      </c>
    </row>
    <row r="3168" customFormat="false" ht="45.05" hidden="false" customHeight="true" outlineLevel="0" collapsed="false">
      <c r="A3168" s="74"/>
      <c r="B3168" s="74"/>
      <c r="C3168" s="75" t="s">
        <v>10482</v>
      </c>
      <c r="D3168" s="76" t="s">
        <v>10483</v>
      </c>
      <c r="E3168" s="57" t="s">
        <v>10484</v>
      </c>
      <c r="F3168" s="57" t="s">
        <v>3797</v>
      </c>
      <c r="G3168" s="57" t="s">
        <v>10485</v>
      </c>
      <c r="H3168" s="77" t="s">
        <v>10486</v>
      </c>
      <c r="I3168" s="37" t="s">
        <v>50</v>
      </c>
      <c r="J3168" s="78" t="s">
        <v>10487</v>
      </c>
      <c r="K3168" s="79" t="s">
        <v>10488</v>
      </c>
    </row>
    <row r="3169" customFormat="false" ht="45.05" hidden="false" customHeight="false" outlineLevel="0" collapsed="false">
      <c r="A3169" s="74"/>
      <c r="B3169" s="74"/>
      <c r="C3169" s="74"/>
      <c r="D3169" s="76"/>
      <c r="E3169" s="57" t="s">
        <v>3792</v>
      </c>
      <c r="F3169" s="57" t="s">
        <v>3792</v>
      </c>
      <c r="G3169" s="57" t="s">
        <v>10489</v>
      </c>
      <c r="H3169" s="77"/>
      <c r="I3169" s="37"/>
      <c r="J3169" s="78" t="s">
        <v>10490</v>
      </c>
      <c r="K3169" s="79" t="s">
        <v>10491</v>
      </c>
    </row>
    <row r="3170" customFormat="false" ht="45.05" hidden="false" customHeight="false" outlineLevel="0" collapsed="false">
      <c r="A3170" s="74"/>
      <c r="B3170" s="74"/>
      <c r="C3170" s="74"/>
      <c r="D3170" s="76" t="s">
        <v>10492</v>
      </c>
      <c r="E3170" s="57" t="s">
        <v>10493</v>
      </c>
      <c r="F3170" s="57" t="s">
        <v>3787</v>
      </c>
      <c r="G3170" s="57" t="s">
        <v>10494</v>
      </c>
      <c r="H3170" s="77" t="s">
        <v>10495</v>
      </c>
      <c r="I3170" s="34" t="s">
        <v>40</v>
      </c>
      <c r="J3170" s="78" t="s">
        <v>10496</v>
      </c>
      <c r="K3170" s="79" t="s">
        <v>10497</v>
      </c>
    </row>
    <row r="3171" customFormat="false" ht="66.85" hidden="false" customHeight="false" outlineLevel="0" collapsed="false">
      <c r="A3171" s="74"/>
      <c r="B3171" s="74"/>
      <c r="C3171" s="74"/>
      <c r="D3171" s="76"/>
      <c r="E3171" s="57" t="s">
        <v>3792</v>
      </c>
      <c r="F3171" s="57" t="s">
        <v>3792</v>
      </c>
      <c r="G3171" s="57" t="s">
        <v>10498</v>
      </c>
      <c r="H3171" s="77"/>
      <c r="I3171" s="34"/>
      <c r="J3171" s="78" t="s">
        <v>10499</v>
      </c>
      <c r="K3171" s="79" t="s">
        <v>10500</v>
      </c>
    </row>
    <row r="3172" customFormat="false" ht="45.05" hidden="false" customHeight="false" outlineLevel="0" collapsed="false">
      <c r="A3172" s="74"/>
      <c r="B3172" s="74"/>
      <c r="C3172" s="74"/>
      <c r="D3172" s="76" t="s">
        <v>10501</v>
      </c>
      <c r="E3172" s="57" t="s">
        <v>10502</v>
      </c>
      <c r="F3172" s="57" t="s">
        <v>3797</v>
      </c>
      <c r="G3172" s="57" t="s">
        <v>10503</v>
      </c>
      <c r="H3172" s="77" t="s">
        <v>10504</v>
      </c>
      <c r="I3172" s="39" t="s">
        <v>67</v>
      </c>
      <c r="J3172" s="78" t="s">
        <v>10505</v>
      </c>
      <c r="K3172" s="79" t="s">
        <v>10506</v>
      </c>
    </row>
    <row r="3173" customFormat="false" ht="55.95" hidden="false" customHeight="false" outlineLevel="0" collapsed="false">
      <c r="A3173" s="74"/>
      <c r="B3173" s="74"/>
      <c r="C3173" s="74"/>
      <c r="D3173" s="76"/>
      <c r="E3173" s="57" t="s">
        <v>3792</v>
      </c>
      <c r="F3173" s="57" t="s">
        <v>3792</v>
      </c>
      <c r="G3173" s="57" t="s">
        <v>10507</v>
      </c>
      <c r="H3173" s="77"/>
      <c r="I3173" s="39"/>
      <c r="J3173" s="78" t="s">
        <v>10508</v>
      </c>
      <c r="K3173" s="79" t="s">
        <v>10509</v>
      </c>
    </row>
    <row r="3174" customFormat="false" ht="55.95" hidden="false" customHeight="false" outlineLevel="0" collapsed="false">
      <c r="A3174" s="74"/>
      <c r="B3174" s="74"/>
      <c r="C3174" s="74"/>
      <c r="D3174" s="76" t="s">
        <v>10510</v>
      </c>
      <c r="E3174" s="57" t="s">
        <v>10511</v>
      </c>
      <c r="F3174" s="57" t="s">
        <v>3806</v>
      </c>
      <c r="G3174" s="57" t="s">
        <v>10512</v>
      </c>
      <c r="H3174" s="77" t="s">
        <v>10513</v>
      </c>
      <c r="I3174" s="34" t="s">
        <v>40</v>
      </c>
      <c r="J3174" s="78" t="s">
        <v>10514</v>
      </c>
      <c r="K3174" s="79" t="s">
        <v>10515</v>
      </c>
    </row>
    <row r="3175" customFormat="false" ht="55.95" hidden="false" customHeight="false" outlineLevel="0" collapsed="false">
      <c r="A3175" s="74"/>
      <c r="B3175" s="74"/>
      <c r="C3175" s="74"/>
      <c r="D3175" s="76"/>
      <c r="E3175" s="57" t="s">
        <v>3792</v>
      </c>
      <c r="F3175" s="57" t="s">
        <v>3792</v>
      </c>
      <c r="G3175" s="57" t="s">
        <v>10516</v>
      </c>
      <c r="H3175" s="77"/>
      <c r="I3175" s="34"/>
      <c r="J3175" s="78" t="s">
        <v>10517</v>
      </c>
      <c r="K3175" s="79" t="s">
        <v>10518</v>
      </c>
    </row>
    <row r="3176" customFormat="false" ht="66.85" hidden="false" customHeight="false" outlineLevel="0" collapsed="false">
      <c r="A3176" s="74"/>
      <c r="B3176" s="74"/>
      <c r="C3176" s="74"/>
      <c r="D3176" s="76" t="s">
        <v>10519</v>
      </c>
      <c r="E3176" s="57" t="s">
        <v>10520</v>
      </c>
      <c r="F3176" s="57" t="s">
        <v>3797</v>
      </c>
      <c r="G3176" s="57" t="s">
        <v>10521</v>
      </c>
      <c r="H3176" s="77" t="s">
        <v>10522</v>
      </c>
      <c r="I3176" s="37" t="s">
        <v>50</v>
      </c>
      <c r="J3176" s="78" t="s">
        <v>10523</v>
      </c>
      <c r="K3176" s="79" t="s">
        <v>10524</v>
      </c>
    </row>
    <row r="3177" customFormat="false" ht="66.85" hidden="false" customHeight="false" outlineLevel="0" collapsed="false">
      <c r="A3177" s="74"/>
      <c r="B3177" s="74"/>
      <c r="C3177" s="74"/>
      <c r="D3177" s="76"/>
      <c r="E3177" s="57" t="s">
        <v>3792</v>
      </c>
      <c r="F3177" s="57" t="s">
        <v>3792</v>
      </c>
      <c r="G3177" s="57" t="s">
        <v>10525</v>
      </c>
      <c r="H3177" s="77"/>
      <c r="I3177" s="37"/>
      <c r="J3177" s="78" t="s">
        <v>10526</v>
      </c>
      <c r="K3177" s="79" t="s">
        <v>10527</v>
      </c>
    </row>
    <row r="3178" customFormat="false" ht="45.05" hidden="false" customHeight="true" outlineLevel="0" collapsed="false">
      <c r="A3178" s="74"/>
      <c r="B3178" s="74"/>
      <c r="C3178" s="75" t="s">
        <v>10528</v>
      </c>
      <c r="D3178" s="76" t="s">
        <v>10529</v>
      </c>
      <c r="E3178" s="57" t="s">
        <v>10530</v>
      </c>
      <c r="F3178" s="57" t="s">
        <v>3787</v>
      </c>
      <c r="G3178" s="57" t="s">
        <v>10531</v>
      </c>
      <c r="H3178" s="77" t="s">
        <v>10532</v>
      </c>
      <c r="I3178" s="34" t="s">
        <v>40</v>
      </c>
      <c r="J3178" s="78" t="s">
        <v>10533</v>
      </c>
      <c r="K3178" s="79" t="s">
        <v>10534</v>
      </c>
    </row>
    <row r="3179" customFormat="false" ht="66.85" hidden="false" customHeight="false" outlineLevel="0" collapsed="false">
      <c r="A3179" s="74"/>
      <c r="B3179" s="74"/>
      <c r="C3179" s="74"/>
      <c r="D3179" s="76"/>
      <c r="E3179" s="57" t="s">
        <v>3792</v>
      </c>
      <c r="F3179" s="57" t="s">
        <v>3792</v>
      </c>
      <c r="G3179" s="57" t="s">
        <v>10535</v>
      </c>
      <c r="H3179" s="77"/>
      <c r="I3179" s="34"/>
      <c r="J3179" s="78" t="s">
        <v>10536</v>
      </c>
      <c r="K3179" s="79" t="s">
        <v>10537</v>
      </c>
    </row>
    <row r="3180" customFormat="false" ht="34.2" hidden="false" customHeight="false" outlineLevel="0" collapsed="false">
      <c r="A3180" s="74"/>
      <c r="B3180" s="74"/>
      <c r="C3180" s="74"/>
      <c r="D3180" s="76" t="s">
        <v>10538</v>
      </c>
      <c r="E3180" s="57" t="s">
        <v>10539</v>
      </c>
      <c r="F3180" s="57" t="s">
        <v>3806</v>
      </c>
      <c r="G3180" s="57" t="s">
        <v>10540</v>
      </c>
      <c r="H3180" s="77" t="s">
        <v>10541</v>
      </c>
      <c r="I3180" s="39" t="s">
        <v>67</v>
      </c>
      <c r="J3180" s="78" t="s">
        <v>10542</v>
      </c>
      <c r="K3180" s="79" t="s">
        <v>10543</v>
      </c>
    </row>
    <row r="3181" customFormat="false" ht="66.85" hidden="false" customHeight="false" outlineLevel="0" collapsed="false">
      <c r="A3181" s="74"/>
      <c r="B3181" s="74"/>
      <c r="C3181" s="74"/>
      <c r="D3181" s="76"/>
      <c r="E3181" s="57" t="s">
        <v>3792</v>
      </c>
      <c r="F3181" s="57" t="s">
        <v>3792</v>
      </c>
      <c r="G3181" s="57" t="s">
        <v>10544</v>
      </c>
      <c r="H3181" s="77"/>
      <c r="I3181" s="39"/>
      <c r="J3181" s="78" t="s">
        <v>10545</v>
      </c>
      <c r="K3181" s="79" t="s">
        <v>10546</v>
      </c>
    </row>
    <row r="3182" customFormat="false" ht="45.05" hidden="false" customHeight="false" outlineLevel="0" collapsed="false">
      <c r="A3182" s="74"/>
      <c r="B3182" s="74"/>
      <c r="C3182" s="74"/>
      <c r="D3182" s="76" t="s">
        <v>10547</v>
      </c>
      <c r="E3182" s="57" t="s">
        <v>10548</v>
      </c>
      <c r="F3182" s="57" t="s">
        <v>3787</v>
      </c>
      <c r="G3182" s="57" t="s">
        <v>10549</v>
      </c>
      <c r="H3182" s="77" t="s">
        <v>10550</v>
      </c>
      <c r="I3182" s="34" t="s">
        <v>40</v>
      </c>
      <c r="J3182" s="78" t="s">
        <v>10551</v>
      </c>
      <c r="K3182" s="79" t="s">
        <v>10552</v>
      </c>
    </row>
    <row r="3183" customFormat="false" ht="55.95" hidden="false" customHeight="false" outlineLevel="0" collapsed="false">
      <c r="A3183" s="74"/>
      <c r="B3183" s="74"/>
      <c r="C3183" s="74"/>
      <c r="D3183" s="76"/>
      <c r="E3183" s="57" t="s">
        <v>3792</v>
      </c>
      <c r="F3183" s="57" t="s">
        <v>3792</v>
      </c>
      <c r="G3183" s="57" t="s">
        <v>10553</v>
      </c>
      <c r="H3183" s="77"/>
      <c r="I3183" s="34"/>
      <c r="J3183" s="78" t="s">
        <v>10554</v>
      </c>
      <c r="K3183" s="79" t="s">
        <v>10555</v>
      </c>
    </row>
    <row r="3184" customFormat="false" ht="55.95" hidden="false" customHeight="false" outlineLevel="0" collapsed="false">
      <c r="A3184" s="74"/>
      <c r="B3184" s="74"/>
      <c r="C3184" s="74"/>
      <c r="D3184" s="76" t="s">
        <v>10556</v>
      </c>
      <c r="E3184" s="57" t="s">
        <v>10557</v>
      </c>
      <c r="F3184" s="57" t="s">
        <v>3797</v>
      </c>
      <c r="G3184" s="57" t="s">
        <v>10558</v>
      </c>
      <c r="H3184" s="77" t="s">
        <v>10559</v>
      </c>
      <c r="I3184" s="37" t="s">
        <v>50</v>
      </c>
      <c r="J3184" s="78" t="s">
        <v>10560</v>
      </c>
      <c r="K3184" s="79" t="s">
        <v>10561</v>
      </c>
    </row>
    <row r="3185" customFormat="false" ht="66.85" hidden="false" customHeight="false" outlineLevel="0" collapsed="false">
      <c r="A3185" s="74"/>
      <c r="B3185" s="74"/>
      <c r="C3185" s="74"/>
      <c r="D3185" s="76"/>
      <c r="E3185" s="57" t="s">
        <v>3792</v>
      </c>
      <c r="F3185" s="57" t="s">
        <v>3792</v>
      </c>
      <c r="G3185" s="57" t="s">
        <v>10562</v>
      </c>
      <c r="H3185" s="77"/>
      <c r="I3185" s="37"/>
      <c r="J3185" s="78" t="s">
        <v>10563</v>
      </c>
      <c r="K3185" s="79" t="s">
        <v>10564</v>
      </c>
    </row>
    <row r="3186" customFormat="false" ht="66.85" hidden="false" customHeight="false" outlineLevel="0" collapsed="false">
      <c r="A3186" s="74"/>
      <c r="B3186" s="74"/>
      <c r="C3186" s="74"/>
      <c r="D3186" s="76" t="s">
        <v>10565</v>
      </c>
      <c r="E3186" s="57" t="s">
        <v>10566</v>
      </c>
      <c r="F3186" s="57" t="s">
        <v>3806</v>
      </c>
      <c r="G3186" s="57" t="s">
        <v>10567</v>
      </c>
      <c r="H3186" s="77" t="s">
        <v>10568</v>
      </c>
      <c r="I3186" s="34" t="s">
        <v>40</v>
      </c>
      <c r="J3186" s="78" t="s">
        <v>10569</v>
      </c>
      <c r="K3186" s="79" t="s">
        <v>10570</v>
      </c>
    </row>
    <row r="3187" customFormat="false" ht="66.85" hidden="false" customHeight="false" outlineLevel="0" collapsed="false">
      <c r="A3187" s="74"/>
      <c r="B3187" s="74"/>
      <c r="C3187" s="74"/>
      <c r="D3187" s="76"/>
      <c r="E3187" s="57" t="s">
        <v>3792</v>
      </c>
      <c r="F3187" s="57" t="s">
        <v>3792</v>
      </c>
      <c r="G3187" s="57" t="s">
        <v>10571</v>
      </c>
      <c r="H3187" s="77"/>
      <c r="I3187" s="34"/>
      <c r="J3187" s="78" t="s">
        <v>10572</v>
      </c>
      <c r="K3187" s="79" t="s">
        <v>10573</v>
      </c>
    </row>
    <row r="3188" customFormat="false" ht="77.7" hidden="false" customHeight="true" outlineLevel="0" collapsed="false">
      <c r="A3188" s="74"/>
      <c r="B3188" s="74"/>
      <c r="C3188" s="75" t="s">
        <v>10574</v>
      </c>
      <c r="D3188" s="76" t="s">
        <v>10575</v>
      </c>
      <c r="E3188" s="57" t="s">
        <v>10576</v>
      </c>
      <c r="F3188" s="57" t="s">
        <v>3797</v>
      </c>
      <c r="G3188" s="57" t="s">
        <v>10577</v>
      </c>
      <c r="H3188" s="77" t="s">
        <v>10578</v>
      </c>
      <c r="I3188" s="39" t="s">
        <v>67</v>
      </c>
      <c r="J3188" s="78" t="s">
        <v>10579</v>
      </c>
      <c r="K3188" s="79" t="s">
        <v>10580</v>
      </c>
    </row>
    <row r="3189" customFormat="false" ht="66.85" hidden="false" customHeight="false" outlineLevel="0" collapsed="false">
      <c r="A3189" s="74"/>
      <c r="B3189" s="74"/>
      <c r="C3189" s="74"/>
      <c r="D3189" s="76"/>
      <c r="E3189" s="57" t="s">
        <v>3792</v>
      </c>
      <c r="F3189" s="57" t="s">
        <v>3792</v>
      </c>
      <c r="G3189" s="57" t="s">
        <v>10581</v>
      </c>
      <c r="H3189" s="77"/>
      <c r="I3189" s="39"/>
      <c r="J3189" s="78" t="s">
        <v>10582</v>
      </c>
      <c r="K3189" s="79" t="s">
        <v>10583</v>
      </c>
    </row>
    <row r="3190" customFormat="false" ht="45.05" hidden="false" customHeight="false" outlineLevel="0" collapsed="false">
      <c r="A3190" s="74"/>
      <c r="B3190" s="74"/>
      <c r="C3190" s="74"/>
      <c r="D3190" s="76" t="s">
        <v>10584</v>
      </c>
      <c r="E3190" s="57" t="s">
        <v>10585</v>
      </c>
      <c r="F3190" s="57" t="s">
        <v>3787</v>
      </c>
      <c r="G3190" s="57" t="s">
        <v>10586</v>
      </c>
      <c r="H3190" s="77" t="s">
        <v>10587</v>
      </c>
      <c r="I3190" s="34" t="s">
        <v>40</v>
      </c>
      <c r="J3190" s="78" t="s">
        <v>10588</v>
      </c>
      <c r="K3190" s="79" t="s">
        <v>10589</v>
      </c>
    </row>
    <row r="3191" customFormat="false" ht="34.2" hidden="false" customHeight="false" outlineLevel="0" collapsed="false">
      <c r="A3191" s="74"/>
      <c r="B3191" s="74"/>
      <c r="C3191" s="74"/>
      <c r="D3191" s="76"/>
      <c r="E3191" s="57" t="s">
        <v>3792</v>
      </c>
      <c r="F3191" s="57" t="s">
        <v>3792</v>
      </c>
      <c r="G3191" s="57" t="s">
        <v>10590</v>
      </c>
      <c r="H3191" s="77"/>
      <c r="I3191" s="34"/>
      <c r="J3191" s="78" t="s">
        <v>10591</v>
      </c>
      <c r="K3191" s="79" t="s">
        <v>10592</v>
      </c>
    </row>
    <row r="3192" customFormat="false" ht="34.2" hidden="false" customHeight="false" outlineLevel="0" collapsed="false">
      <c r="A3192" s="74"/>
      <c r="B3192" s="74"/>
      <c r="C3192" s="74"/>
      <c r="D3192" s="76" t="s">
        <v>10593</v>
      </c>
      <c r="E3192" s="57" t="s">
        <v>10594</v>
      </c>
      <c r="F3192" s="57" t="s">
        <v>3806</v>
      </c>
      <c r="G3192" s="57" t="s">
        <v>10595</v>
      </c>
      <c r="H3192" s="77" t="s">
        <v>10596</v>
      </c>
      <c r="I3192" s="37" t="s">
        <v>50</v>
      </c>
      <c r="J3192" s="78" t="s">
        <v>10597</v>
      </c>
      <c r="K3192" s="79" t="s">
        <v>10598</v>
      </c>
    </row>
    <row r="3193" customFormat="false" ht="66.85" hidden="false" customHeight="false" outlineLevel="0" collapsed="false">
      <c r="A3193" s="74"/>
      <c r="B3193" s="74"/>
      <c r="C3193" s="74"/>
      <c r="D3193" s="76"/>
      <c r="E3193" s="57" t="s">
        <v>3792</v>
      </c>
      <c r="F3193" s="57" t="s">
        <v>3792</v>
      </c>
      <c r="G3193" s="57" t="s">
        <v>10599</v>
      </c>
      <c r="H3193" s="77"/>
      <c r="I3193" s="37"/>
      <c r="J3193" s="78" t="s">
        <v>10600</v>
      </c>
      <c r="K3193" s="79" t="s">
        <v>10601</v>
      </c>
    </row>
    <row r="3194" customFormat="false" ht="55.95" hidden="false" customHeight="false" outlineLevel="0" collapsed="false">
      <c r="A3194" s="74"/>
      <c r="B3194" s="74"/>
      <c r="C3194" s="74"/>
      <c r="D3194" s="76" t="s">
        <v>10602</v>
      </c>
      <c r="E3194" s="57" t="s">
        <v>10603</v>
      </c>
      <c r="F3194" s="57" t="s">
        <v>3787</v>
      </c>
      <c r="G3194" s="57" t="s">
        <v>10604</v>
      </c>
      <c r="H3194" s="77" t="s">
        <v>10605</v>
      </c>
      <c r="I3194" s="34" t="s">
        <v>40</v>
      </c>
      <c r="J3194" s="78" t="s">
        <v>10606</v>
      </c>
      <c r="K3194" s="79" t="s">
        <v>10607</v>
      </c>
    </row>
    <row r="3195" customFormat="false" ht="45.05" hidden="false" customHeight="false" outlineLevel="0" collapsed="false">
      <c r="A3195" s="74"/>
      <c r="B3195" s="74"/>
      <c r="C3195" s="74"/>
      <c r="D3195" s="76"/>
      <c r="E3195" s="57" t="s">
        <v>3792</v>
      </c>
      <c r="F3195" s="57" t="s">
        <v>3792</v>
      </c>
      <c r="G3195" s="57" t="s">
        <v>10608</v>
      </c>
      <c r="H3195" s="77"/>
      <c r="I3195" s="34"/>
      <c r="J3195" s="78" t="s">
        <v>10609</v>
      </c>
      <c r="K3195" s="79" t="s">
        <v>10610</v>
      </c>
    </row>
    <row r="3196" customFormat="false" ht="45.05" hidden="false" customHeight="false" outlineLevel="0" collapsed="false">
      <c r="A3196" s="74"/>
      <c r="B3196" s="74"/>
      <c r="C3196" s="74"/>
      <c r="D3196" s="76" t="s">
        <v>10611</v>
      </c>
      <c r="E3196" s="57" t="s">
        <v>10612</v>
      </c>
      <c r="F3196" s="57" t="s">
        <v>3797</v>
      </c>
      <c r="G3196" s="57" t="s">
        <v>10613</v>
      </c>
      <c r="H3196" s="77" t="s">
        <v>10614</v>
      </c>
      <c r="I3196" s="39" t="s">
        <v>67</v>
      </c>
      <c r="J3196" s="78" t="s">
        <v>10615</v>
      </c>
      <c r="K3196" s="79" t="s">
        <v>10616</v>
      </c>
    </row>
    <row r="3197" customFormat="false" ht="55.95" hidden="false" customHeight="false" outlineLevel="0" collapsed="false">
      <c r="A3197" s="74"/>
      <c r="B3197" s="74"/>
      <c r="C3197" s="74"/>
      <c r="D3197" s="76"/>
      <c r="E3197" s="57" t="s">
        <v>3792</v>
      </c>
      <c r="F3197" s="57" t="s">
        <v>3792</v>
      </c>
      <c r="G3197" s="57" t="s">
        <v>10617</v>
      </c>
      <c r="H3197" s="77"/>
      <c r="I3197" s="39"/>
      <c r="J3197" s="78" t="s">
        <v>10618</v>
      </c>
      <c r="K3197" s="79" t="s">
        <v>10619</v>
      </c>
    </row>
    <row r="3198" customFormat="false" ht="45.05" hidden="false" customHeight="true" outlineLevel="0" collapsed="false">
      <c r="A3198" s="74"/>
      <c r="B3198" s="74"/>
      <c r="C3198" s="75" t="s">
        <v>10620</v>
      </c>
      <c r="D3198" s="76" t="s">
        <v>10621</v>
      </c>
      <c r="E3198" s="57" t="s">
        <v>10622</v>
      </c>
      <c r="F3198" s="57" t="s">
        <v>3806</v>
      </c>
      <c r="G3198" s="57" t="s">
        <v>10623</v>
      </c>
      <c r="H3198" s="77" t="s">
        <v>10624</v>
      </c>
      <c r="I3198" s="34" t="s">
        <v>40</v>
      </c>
      <c r="J3198" s="78" t="s">
        <v>10625</v>
      </c>
      <c r="K3198" s="79" t="s">
        <v>10626</v>
      </c>
    </row>
    <row r="3199" customFormat="false" ht="34.2" hidden="false" customHeight="false" outlineLevel="0" collapsed="false">
      <c r="A3199" s="74"/>
      <c r="B3199" s="74"/>
      <c r="C3199" s="74"/>
      <c r="D3199" s="76"/>
      <c r="E3199" s="57" t="s">
        <v>3792</v>
      </c>
      <c r="F3199" s="57" t="s">
        <v>3792</v>
      </c>
      <c r="G3199" s="57" t="s">
        <v>10627</v>
      </c>
      <c r="H3199" s="77"/>
      <c r="I3199" s="34"/>
      <c r="J3199" s="78" t="s">
        <v>10628</v>
      </c>
      <c r="K3199" s="79" t="s">
        <v>10629</v>
      </c>
    </row>
    <row r="3200" customFormat="false" ht="34.2" hidden="false" customHeight="false" outlineLevel="0" collapsed="false">
      <c r="A3200" s="74"/>
      <c r="B3200" s="74"/>
      <c r="C3200" s="74"/>
      <c r="D3200" s="76" t="s">
        <v>10630</v>
      </c>
      <c r="E3200" s="57" t="s">
        <v>10631</v>
      </c>
      <c r="F3200" s="57" t="s">
        <v>3787</v>
      </c>
      <c r="G3200" s="57" t="s">
        <v>10632</v>
      </c>
      <c r="H3200" s="77" t="s">
        <v>10633</v>
      </c>
      <c r="I3200" s="37" t="s">
        <v>50</v>
      </c>
      <c r="J3200" s="78" t="s">
        <v>10634</v>
      </c>
      <c r="K3200" s="79" t="s">
        <v>10635</v>
      </c>
    </row>
    <row r="3201" customFormat="false" ht="45.05" hidden="false" customHeight="false" outlineLevel="0" collapsed="false">
      <c r="A3201" s="74"/>
      <c r="B3201" s="74"/>
      <c r="C3201" s="74"/>
      <c r="D3201" s="76"/>
      <c r="E3201" s="57" t="s">
        <v>3792</v>
      </c>
      <c r="F3201" s="57" t="s">
        <v>3792</v>
      </c>
      <c r="G3201" s="57" t="s">
        <v>10636</v>
      </c>
      <c r="H3201" s="77"/>
      <c r="I3201" s="37"/>
      <c r="J3201" s="78" t="s">
        <v>10637</v>
      </c>
      <c r="K3201" s="79" t="s">
        <v>10638</v>
      </c>
    </row>
    <row r="3202" customFormat="false" ht="34.2" hidden="false" customHeight="false" outlineLevel="0" collapsed="false">
      <c r="A3202" s="74"/>
      <c r="B3202" s="74"/>
      <c r="C3202" s="74"/>
      <c r="D3202" s="76" t="s">
        <v>10639</v>
      </c>
      <c r="E3202" s="57" t="s">
        <v>10640</v>
      </c>
      <c r="F3202" s="57" t="s">
        <v>3797</v>
      </c>
      <c r="G3202" s="57" t="s">
        <v>10641</v>
      </c>
      <c r="H3202" s="77" t="s">
        <v>10642</v>
      </c>
      <c r="I3202" s="34" t="s">
        <v>40</v>
      </c>
      <c r="J3202" s="78" t="s">
        <v>10643</v>
      </c>
      <c r="K3202" s="79" t="s">
        <v>10644</v>
      </c>
    </row>
    <row r="3203" customFormat="false" ht="45.05" hidden="false" customHeight="false" outlineLevel="0" collapsed="false">
      <c r="A3203" s="74"/>
      <c r="B3203" s="74"/>
      <c r="C3203" s="74"/>
      <c r="D3203" s="76"/>
      <c r="E3203" s="57" t="s">
        <v>3792</v>
      </c>
      <c r="F3203" s="57" t="s">
        <v>3792</v>
      </c>
      <c r="G3203" s="57" t="s">
        <v>10645</v>
      </c>
      <c r="H3203" s="77"/>
      <c r="I3203" s="34"/>
      <c r="J3203" s="78" t="s">
        <v>10646</v>
      </c>
      <c r="K3203" s="79" t="s">
        <v>10647</v>
      </c>
    </row>
    <row r="3204" customFormat="false" ht="34.2" hidden="false" customHeight="false" outlineLevel="0" collapsed="false">
      <c r="A3204" s="74"/>
      <c r="B3204" s="74"/>
      <c r="C3204" s="74"/>
      <c r="D3204" s="76" t="s">
        <v>10648</v>
      </c>
      <c r="E3204" s="57" t="s">
        <v>10649</v>
      </c>
      <c r="F3204" s="57" t="s">
        <v>3806</v>
      </c>
      <c r="G3204" s="57" t="s">
        <v>10650</v>
      </c>
      <c r="H3204" s="77" t="s">
        <v>10651</v>
      </c>
      <c r="I3204" s="39" t="s">
        <v>67</v>
      </c>
      <c r="J3204" s="78" t="s">
        <v>10652</v>
      </c>
      <c r="K3204" s="79" t="s">
        <v>10653</v>
      </c>
    </row>
    <row r="3205" customFormat="false" ht="34.2" hidden="false" customHeight="false" outlineLevel="0" collapsed="false">
      <c r="A3205" s="74"/>
      <c r="B3205" s="74"/>
      <c r="C3205" s="74"/>
      <c r="D3205" s="76"/>
      <c r="E3205" s="57" t="s">
        <v>3792</v>
      </c>
      <c r="F3205" s="57" t="s">
        <v>3792</v>
      </c>
      <c r="G3205" s="57" t="s">
        <v>10654</v>
      </c>
      <c r="H3205" s="77"/>
      <c r="I3205" s="39"/>
      <c r="J3205" s="78" t="s">
        <v>10471</v>
      </c>
      <c r="K3205" s="79" t="s">
        <v>10655</v>
      </c>
    </row>
    <row r="3206" customFormat="false" ht="55.95" hidden="false" customHeight="false" outlineLevel="0" collapsed="false">
      <c r="A3206" s="74"/>
      <c r="B3206" s="74"/>
      <c r="C3206" s="74"/>
      <c r="D3206" s="76" t="s">
        <v>10656</v>
      </c>
      <c r="E3206" s="57" t="s">
        <v>10657</v>
      </c>
      <c r="F3206" s="57" t="s">
        <v>3797</v>
      </c>
      <c r="G3206" s="57" t="s">
        <v>10658</v>
      </c>
      <c r="H3206" s="77" t="s">
        <v>10659</v>
      </c>
      <c r="I3206" s="34" t="s">
        <v>40</v>
      </c>
      <c r="J3206" s="78" t="s">
        <v>10660</v>
      </c>
      <c r="K3206" s="79" t="s">
        <v>10661</v>
      </c>
    </row>
    <row r="3207" customFormat="false" ht="66.85" hidden="false" customHeight="false" outlineLevel="0" collapsed="false">
      <c r="A3207" s="74"/>
      <c r="B3207" s="74"/>
      <c r="C3207" s="74"/>
      <c r="D3207" s="76"/>
      <c r="E3207" s="57" t="s">
        <v>3792</v>
      </c>
      <c r="F3207" s="57" t="s">
        <v>3792</v>
      </c>
      <c r="G3207" s="57" t="s">
        <v>10662</v>
      </c>
      <c r="H3207" s="77"/>
      <c r="I3207" s="34"/>
      <c r="J3207" s="78" t="s">
        <v>10663</v>
      </c>
      <c r="K3207" s="79" t="s">
        <v>10664</v>
      </c>
    </row>
    <row r="3208" customFormat="false" ht="45.05" hidden="false" customHeight="true" outlineLevel="0" collapsed="false">
      <c r="A3208" s="74"/>
      <c r="B3208" s="74"/>
      <c r="C3208" s="75" t="s">
        <v>10665</v>
      </c>
      <c r="D3208" s="76" t="s">
        <v>10666</v>
      </c>
      <c r="E3208" s="57" t="s">
        <v>10667</v>
      </c>
      <c r="F3208" s="57" t="s">
        <v>3787</v>
      </c>
      <c r="G3208" s="57" t="s">
        <v>10668</v>
      </c>
      <c r="H3208" s="77" t="s">
        <v>10669</v>
      </c>
      <c r="I3208" s="37" t="s">
        <v>50</v>
      </c>
      <c r="J3208" s="78" t="s">
        <v>10670</v>
      </c>
      <c r="K3208" s="79" t="s">
        <v>10671</v>
      </c>
    </row>
    <row r="3209" customFormat="false" ht="34.2" hidden="false" customHeight="false" outlineLevel="0" collapsed="false">
      <c r="A3209" s="74"/>
      <c r="B3209" s="74"/>
      <c r="C3209" s="74"/>
      <c r="D3209" s="76"/>
      <c r="E3209" s="57" t="s">
        <v>3792</v>
      </c>
      <c r="F3209" s="57" t="s">
        <v>3792</v>
      </c>
      <c r="G3209" s="57" t="s">
        <v>10672</v>
      </c>
      <c r="H3209" s="77"/>
      <c r="I3209" s="37"/>
      <c r="J3209" s="78" t="s">
        <v>10673</v>
      </c>
      <c r="K3209" s="79" t="s">
        <v>10674</v>
      </c>
    </row>
    <row r="3210" customFormat="false" ht="34.2" hidden="false" customHeight="false" outlineLevel="0" collapsed="false">
      <c r="A3210" s="74"/>
      <c r="B3210" s="74"/>
      <c r="C3210" s="74"/>
      <c r="D3210" s="76" t="s">
        <v>10675</v>
      </c>
      <c r="E3210" s="57" t="s">
        <v>10676</v>
      </c>
      <c r="F3210" s="57" t="s">
        <v>3806</v>
      </c>
      <c r="G3210" s="57" t="s">
        <v>10677</v>
      </c>
      <c r="H3210" s="77" t="s">
        <v>10678</v>
      </c>
      <c r="I3210" s="34" t="s">
        <v>40</v>
      </c>
      <c r="J3210" s="78" t="s">
        <v>10679</v>
      </c>
      <c r="K3210" s="79" t="s">
        <v>10680</v>
      </c>
    </row>
    <row r="3211" customFormat="false" ht="45.05" hidden="false" customHeight="false" outlineLevel="0" collapsed="false">
      <c r="A3211" s="74"/>
      <c r="B3211" s="74"/>
      <c r="C3211" s="74"/>
      <c r="D3211" s="76"/>
      <c r="E3211" s="57" t="s">
        <v>3792</v>
      </c>
      <c r="F3211" s="57" t="s">
        <v>3792</v>
      </c>
      <c r="G3211" s="57" t="s">
        <v>10681</v>
      </c>
      <c r="H3211" s="77"/>
      <c r="I3211" s="34"/>
      <c r="J3211" s="78" t="s">
        <v>10682</v>
      </c>
      <c r="K3211" s="79" t="s">
        <v>10683</v>
      </c>
    </row>
    <row r="3212" customFormat="false" ht="55.95" hidden="false" customHeight="false" outlineLevel="0" collapsed="false">
      <c r="A3212" s="74"/>
      <c r="B3212" s="74"/>
      <c r="C3212" s="74"/>
      <c r="D3212" s="76" t="s">
        <v>10684</v>
      </c>
      <c r="E3212" s="57" t="s">
        <v>10685</v>
      </c>
      <c r="F3212" s="57" t="s">
        <v>3787</v>
      </c>
      <c r="G3212" s="57" t="s">
        <v>10686</v>
      </c>
      <c r="H3212" s="77" t="s">
        <v>10687</v>
      </c>
      <c r="I3212" s="39" t="s">
        <v>67</v>
      </c>
      <c r="J3212" s="78" t="s">
        <v>10688</v>
      </c>
      <c r="K3212" s="79" t="s">
        <v>10689</v>
      </c>
    </row>
    <row r="3213" customFormat="false" ht="55.95" hidden="false" customHeight="false" outlineLevel="0" collapsed="false">
      <c r="A3213" s="74"/>
      <c r="B3213" s="74"/>
      <c r="C3213" s="74"/>
      <c r="D3213" s="76"/>
      <c r="E3213" s="57" t="s">
        <v>3792</v>
      </c>
      <c r="F3213" s="57" t="s">
        <v>3792</v>
      </c>
      <c r="G3213" s="57" t="s">
        <v>10690</v>
      </c>
      <c r="H3213" s="77"/>
      <c r="I3213" s="39"/>
      <c r="J3213" s="78" t="s">
        <v>10691</v>
      </c>
      <c r="K3213" s="79" t="s">
        <v>10692</v>
      </c>
    </row>
    <row r="3214" customFormat="false" ht="45.05" hidden="false" customHeight="false" outlineLevel="0" collapsed="false">
      <c r="A3214" s="74"/>
      <c r="B3214" s="74"/>
      <c r="C3214" s="74"/>
      <c r="D3214" s="76" t="s">
        <v>10693</v>
      </c>
      <c r="E3214" s="57" t="s">
        <v>10694</v>
      </c>
      <c r="F3214" s="57" t="s">
        <v>3806</v>
      </c>
      <c r="G3214" s="57" t="s">
        <v>10695</v>
      </c>
      <c r="H3214" s="77" t="s">
        <v>10696</v>
      </c>
      <c r="I3214" s="34" t="s">
        <v>40</v>
      </c>
      <c r="J3214" s="78" t="s">
        <v>10697</v>
      </c>
      <c r="K3214" s="79" t="s">
        <v>10698</v>
      </c>
    </row>
    <row r="3215" customFormat="false" ht="45.05" hidden="false" customHeight="false" outlineLevel="0" collapsed="false">
      <c r="A3215" s="74"/>
      <c r="B3215" s="74"/>
      <c r="C3215" s="74"/>
      <c r="D3215" s="76"/>
      <c r="E3215" s="57" t="s">
        <v>3792</v>
      </c>
      <c r="F3215" s="57" t="s">
        <v>3792</v>
      </c>
      <c r="G3215" s="57" t="s">
        <v>10699</v>
      </c>
      <c r="H3215" s="77"/>
      <c r="I3215" s="34"/>
      <c r="J3215" s="78" t="s">
        <v>10700</v>
      </c>
      <c r="K3215" s="79" t="s">
        <v>10701</v>
      </c>
    </row>
    <row r="3216" customFormat="false" ht="34.2" hidden="false" customHeight="false" outlineLevel="0" collapsed="false">
      <c r="A3216" s="74"/>
      <c r="B3216" s="74"/>
      <c r="C3216" s="74"/>
      <c r="D3216" s="76" t="s">
        <v>10702</v>
      </c>
      <c r="E3216" s="57" t="s">
        <v>10703</v>
      </c>
      <c r="F3216" s="57" t="s">
        <v>3797</v>
      </c>
      <c r="G3216" s="57" t="s">
        <v>10704</v>
      </c>
      <c r="H3216" s="77" t="s">
        <v>10705</v>
      </c>
      <c r="I3216" s="37" t="s">
        <v>50</v>
      </c>
      <c r="J3216" s="78" t="s">
        <v>10706</v>
      </c>
      <c r="K3216" s="79" t="s">
        <v>10707</v>
      </c>
    </row>
    <row r="3217" customFormat="false" ht="45.05" hidden="false" customHeight="false" outlineLevel="0" collapsed="false">
      <c r="A3217" s="74"/>
      <c r="B3217" s="74"/>
      <c r="C3217" s="74"/>
      <c r="D3217" s="76"/>
      <c r="E3217" s="57" t="s">
        <v>3792</v>
      </c>
      <c r="F3217" s="57" t="s">
        <v>3792</v>
      </c>
      <c r="G3217" s="57" t="s">
        <v>10708</v>
      </c>
      <c r="H3217" s="77"/>
      <c r="I3217" s="37"/>
      <c r="J3217" s="78" t="s">
        <v>10709</v>
      </c>
      <c r="K3217" s="79" t="s">
        <v>10710</v>
      </c>
    </row>
    <row r="3218" customFormat="false" ht="45.05" hidden="false" customHeight="true" outlineLevel="0" collapsed="false">
      <c r="A3218" s="74"/>
      <c r="B3218" s="74"/>
      <c r="C3218" s="75" t="s">
        <v>10711</v>
      </c>
      <c r="D3218" s="76" t="s">
        <v>10712</v>
      </c>
      <c r="E3218" s="57" t="s">
        <v>10713</v>
      </c>
      <c r="F3218" s="57" t="s">
        <v>3787</v>
      </c>
      <c r="G3218" s="57" t="s">
        <v>10714</v>
      </c>
      <c r="H3218" s="77" t="s">
        <v>10715</v>
      </c>
      <c r="I3218" s="34" t="s">
        <v>40</v>
      </c>
      <c r="J3218" s="78" t="s">
        <v>10716</v>
      </c>
      <c r="K3218" s="79" t="s">
        <v>10717</v>
      </c>
    </row>
    <row r="3219" customFormat="false" ht="45.05" hidden="false" customHeight="false" outlineLevel="0" collapsed="false">
      <c r="A3219" s="74"/>
      <c r="B3219" s="74"/>
      <c r="C3219" s="74"/>
      <c r="D3219" s="76"/>
      <c r="E3219" s="57" t="s">
        <v>3792</v>
      </c>
      <c r="F3219" s="57" t="s">
        <v>3792</v>
      </c>
      <c r="G3219" s="57" t="s">
        <v>10718</v>
      </c>
      <c r="H3219" s="77"/>
      <c r="I3219" s="34"/>
      <c r="J3219" s="78" t="s">
        <v>10719</v>
      </c>
      <c r="K3219" s="79" t="s">
        <v>10720</v>
      </c>
    </row>
    <row r="3220" customFormat="false" ht="34.2" hidden="false" customHeight="true" outlineLevel="0" collapsed="false">
      <c r="A3220" s="74"/>
      <c r="B3220" s="74"/>
      <c r="C3220" s="74"/>
      <c r="D3220" s="57" t="s">
        <v>10721</v>
      </c>
      <c r="E3220" s="57" t="s">
        <v>10722</v>
      </c>
      <c r="F3220" s="57" t="s">
        <v>3797</v>
      </c>
      <c r="G3220" s="57" t="s">
        <v>10723</v>
      </c>
      <c r="H3220" s="77" t="s">
        <v>10724</v>
      </c>
      <c r="I3220" s="39" t="s">
        <v>67</v>
      </c>
      <c r="J3220" s="78" t="s">
        <v>10725</v>
      </c>
      <c r="K3220" s="79" t="s">
        <v>10726</v>
      </c>
    </row>
    <row r="3221" customFormat="false" ht="45.05" hidden="false" customHeight="false" outlineLevel="0" collapsed="false">
      <c r="A3221" s="74"/>
      <c r="B3221" s="74"/>
      <c r="C3221" s="74"/>
      <c r="D3221" s="57"/>
      <c r="E3221" s="57" t="s">
        <v>3792</v>
      </c>
      <c r="F3221" s="57" t="s">
        <v>3792</v>
      </c>
      <c r="G3221" s="57" t="s">
        <v>10727</v>
      </c>
      <c r="H3221" s="77"/>
      <c r="I3221" s="39"/>
      <c r="J3221" s="78" t="s">
        <v>10728</v>
      </c>
      <c r="K3221" s="79" t="s">
        <v>10729</v>
      </c>
    </row>
    <row r="3222" customFormat="false" ht="45.05" hidden="false" customHeight="false" outlineLevel="0" collapsed="false">
      <c r="A3222" s="74"/>
      <c r="B3222" s="74"/>
      <c r="C3222" s="74"/>
      <c r="D3222" s="76" t="s">
        <v>10730</v>
      </c>
      <c r="E3222" s="57" t="s">
        <v>10731</v>
      </c>
      <c r="F3222" s="57" t="s">
        <v>3806</v>
      </c>
      <c r="G3222" s="57" t="s">
        <v>10732</v>
      </c>
      <c r="H3222" s="77" t="s">
        <v>10733</v>
      </c>
      <c r="I3222" s="34" t="s">
        <v>40</v>
      </c>
      <c r="J3222" s="78" t="s">
        <v>10734</v>
      </c>
      <c r="K3222" s="79" t="s">
        <v>10735</v>
      </c>
    </row>
    <row r="3223" customFormat="false" ht="45.05" hidden="false" customHeight="false" outlineLevel="0" collapsed="false">
      <c r="A3223" s="74"/>
      <c r="B3223" s="74"/>
      <c r="C3223" s="74"/>
      <c r="D3223" s="76"/>
      <c r="E3223" s="57" t="s">
        <v>3792</v>
      </c>
      <c r="F3223" s="57" t="s">
        <v>3792</v>
      </c>
      <c r="G3223" s="57" t="s">
        <v>10736</v>
      </c>
      <c r="H3223" s="77"/>
      <c r="I3223" s="34"/>
      <c r="J3223" s="78" t="s">
        <v>10737</v>
      </c>
      <c r="K3223" s="79" t="s">
        <v>10738</v>
      </c>
    </row>
    <row r="3224" customFormat="false" ht="45.05" hidden="false" customHeight="false" outlineLevel="0" collapsed="false">
      <c r="A3224" s="74"/>
      <c r="B3224" s="74"/>
      <c r="C3224" s="74"/>
      <c r="D3224" s="76" t="s">
        <v>10739</v>
      </c>
      <c r="E3224" s="57" t="s">
        <v>10740</v>
      </c>
      <c r="F3224" s="57" t="s">
        <v>3787</v>
      </c>
      <c r="G3224" s="57" t="s">
        <v>10741</v>
      </c>
      <c r="H3224" s="77" t="s">
        <v>10742</v>
      </c>
      <c r="I3224" s="37" t="s">
        <v>50</v>
      </c>
      <c r="J3224" s="78" t="s">
        <v>10743</v>
      </c>
      <c r="K3224" s="79" t="s">
        <v>10744</v>
      </c>
    </row>
    <row r="3225" customFormat="false" ht="45.05" hidden="false" customHeight="false" outlineLevel="0" collapsed="false">
      <c r="A3225" s="74"/>
      <c r="B3225" s="74"/>
      <c r="C3225" s="74"/>
      <c r="D3225" s="76"/>
      <c r="E3225" s="57" t="s">
        <v>3792</v>
      </c>
      <c r="F3225" s="57" t="s">
        <v>3792</v>
      </c>
      <c r="G3225" s="57" t="s">
        <v>10745</v>
      </c>
      <c r="H3225" s="77"/>
      <c r="I3225" s="37"/>
      <c r="J3225" s="78" t="s">
        <v>10746</v>
      </c>
      <c r="K3225" s="79" t="s">
        <v>10747</v>
      </c>
    </row>
    <row r="3226" customFormat="false" ht="21.75" hidden="false" customHeight="false" outlineLevel="0" collapsed="false">
      <c r="A3226" s="74"/>
      <c r="B3226" s="74"/>
      <c r="C3226" s="74"/>
      <c r="D3226" s="76" t="s">
        <v>10748</v>
      </c>
      <c r="E3226" s="57" t="s">
        <v>10749</v>
      </c>
      <c r="F3226" s="57" t="s">
        <v>3806</v>
      </c>
      <c r="G3226" s="57" t="s">
        <v>10750</v>
      </c>
      <c r="H3226" s="77" t="s">
        <v>10751</v>
      </c>
      <c r="I3226" s="34" t="s">
        <v>40</v>
      </c>
      <c r="J3226" s="78" t="s">
        <v>10752</v>
      </c>
      <c r="K3226" s="79" t="s">
        <v>10753</v>
      </c>
    </row>
    <row r="3227" customFormat="false" ht="34.2" hidden="false" customHeight="false" outlineLevel="0" collapsed="false">
      <c r="A3227" s="74"/>
      <c r="B3227" s="74"/>
      <c r="C3227" s="74"/>
      <c r="D3227" s="76"/>
      <c r="E3227" s="57" t="s">
        <v>3792</v>
      </c>
      <c r="F3227" s="57" t="s">
        <v>3792</v>
      </c>
      <c r="G3227" s="57" t="s">
        <v>10754</v>
      </c>
      <c r="H3227" s="77"/>
      <c r="I3227" s="34"/>
      <c r="J3227" s="78" t="s">
        <v>10755</v>
      </c>
      <c r="K3227" s="79" t="s">
        <v>10756</v>
      </c>
    </row>
    <row r="3228" customFormat="false" ht="45.05" hidden="false" customHeight="true" outlineLevel="0" collapsed="false">
      <c r="A3228" s="74"/>
      <c r="B3228" s="74"/>
      <c r="C3228" s="75" t="s">
        <v>10757</v>
      </c>
      <c r="D3228" s="76" t="s">
        <v>10758</v>
      </c>
      <c r="E3228" s="57" t="s">
        <v>10759</v>
      </c>
      <c r="F3228" s="57" t="s">
        <v>3797</v>
      </c>
      <c r="G3228" s="57" t="s">
        <v>10760</v>
      </c>
      <c r="H3228" s="77" t="s">
        <v>10761</v>
      </c>
      <c r="I3228" s="39" t="s">
        <v>67</v>
      </c>
      <c r="J3228" s="78" t="s">
        <v>10762</v>
      </c>
      <c r="K3228" s="79" t="s">
        <v>10763</v>
      </c>
    </row>
    <row r="3229" customFormat="false" ht="45.05" hidden="false" customHeight="false" outlineLevel="0" collapsed="false">
      <c r="A3229" s="74"/>
      <c r="B3229" s="74"/>
      <c r="C3229" s="74"/>
      <c r="D3229" s="76"/>
      <c r="E3229" s="57" t="s">
        <v>3792</v>
      </c>
      <c r="F3229" s="57" t="s">
        <v>3792</v>
      </c>
      <c r="G3229" s="57" t="s">
        <v>10764</v>
      </c>
      <c r="H3229" s="77"/>
      <c r="I3229" s="39"/>
      <c r="J3229" s="78" t="s">
        <v>10765</v>
      </c>
      <c r="K3229" s="79" t="s">
        <v>10726</v>
      </c>
    </row>
    <row r="3230" customFormat="false" ht="45.05" hidden="false" customHeight="false" outlineLevel="0" collapsed="false">
      <c r="A3230" s="74"/>
      <c r="B3230" s="74"/>
      <c r="C3230" s="74"/>
      <c r="D3230" s="76" t="s">
        <v>10766</v>
      </c>
      <c r="E3230" s="57" t="s">
        <v>10767</v>
      </c>
      <c r="F3230" s="57" t="s">
        <v>3787</v>
      </c>
      <c r="G3230" s="57" t="s">
        <v>10768</v>
      </c>
      <c r="H3230" s="77" t="s">
        <v>10769</v>
      </c>
      <c r="I3230" s="34" t="s">
        <v>40</v>
      </c>
      <c r="J3230" s="78" t="s">
        <v>10770</v>
      </c>
      <c r="K3230" s="79" t="s">
        <v>10729</v>
      </c>
    </row>
    <row r="3231" customFormat="false" ht="45.05" hidden="false" customHeight="false" outlineLevel="0" collapsed="false">
      <c r="A3231" s="74"/>
      <c r="B3231" s="74"/>
      <c r="C3231" s="74"/>
      <c r="D3231" s="76"/>
      <c r="E3231" s="57" t="s">
        <v>3792</v>
      </c>
      <c r="F3231" s="57" t="s">
        <v>3792</v>
      </c>
      <c r="G3231" s="57" t="s">
        <v>10771</v>
      </c>
      <c r="H3231" s="77"/>
      <c r="I3231" s="34"/>
      <c r="J3231" s="78" t="s">
        <v>10772</v>
      </c>
      <c r="K3231" s="79" t="s">
        <v>10735</v>
      </c>
    </row>
    <row r="3232" customFormat="false" ht="45.05" hidden="false" customHeight="false" outlineLevel="0" collapsed="false">
      <c r="A3232" s="74"/>
      <c r="B3232" s="74"/>
      <c r="C3232" s="74"/>
      <c r="D3232" s="76" t="s">
        <v>10773</v>
      </c>
      <c r="E3232" s="57" t="s">
        <v>10774</v>
      </c>
      <c r="F3232" s="57" t="s">
        <v>3797</v>
      </c>
      <c r="G3232" s="57" t="s">
        <v>10775</v>
      </c>
      <c r="H3232" s="77" t="s">
        <v>10776</v>
      </c>
      <c r="I3232" s="37" t="s">
        <v>50</v>
      </c>
      <c r="J3232" s="78" t="s">
        <v>10777</v>
      </c>
      <c r="K3232" s="79" t="s">
        <v>10738</v>
      </c>
    </row>
    <row r="3233" customFormat="false" ht="55.95" hidden="false" customHeight="false" outlineLevel="0" collapsed="false">
      <c r="A3233" s="74"/>
      <c r="B3233" s="74"/>
      <c r="C3233" s="74"/>
      <c r="D3233" s="76"/>
      <c r="E3233" s="57" t="s">
        <v>3792</v>
      </c>
      <c r="F3233" s="57" t="s">
        <v>3792</v>
      </c>
      <c r="G3233" s="57" t="s">
        <v>10778</v>
      </c>
      <c r="H3233" s="77"/>
      <c r="I3233" s="37"/>
      <c r="J3233" s="78" t="s">
        <v>10779</v>
      </c>
      <c r="K3233" s="79" t="s">
        <v>10744</v>
      </c>
    </row>
    <row r="3234" customFormat="false" ht="34.2" hidden="false" customHeight="false" outlineLevel="0" collapsed="false">
      <c r="A3234" s="74"/>
      <c r="B3234" s="74"/>
      <c r="C3234" s="74"/>
      <c r="D3234" s="76" t="s">
        <v>10780</v>
      </c>
      <c r="E3234" s="57" t="s">
        <v>10781</v>
      </c>
      <c r="F3234" s="57" t="s">
        <v>3806</v>
      </c>
      <c r="G3234" s="57" t="s">
        <v>10782</v>
      </c>
      <c r="H3234" s="77" t="s">
        <v>10783</v>
      </c>
      <c r="I3234" s="34" t="s">
        <v>40</v>
      </c>
      <c r="J3234" s="78" t="s">
        <v>10784</v>
      </c>
      <c r="K3234" s="79" t="s">
        <v>10747</v>
      </c>
    </row>
    <row r="3235" customFormat="false" ht="45.05" hidden="false" customHeight="false" outlineLevel="0" collapsed="false">
      <c r="A3235" s="74"/>
      <c r="B3235" s="74"/>
      <c r="C3235" s="74"/>
      <c r="D3235" s="76"/>
      <c r="E3235" s="57" t="s">
        <v>3792</v>
      </c>
      <c r="F3235" s="57" t="s">
        <v>3792</v>
      </c>
      <c r="G3235" s="57" t="s">
        <v>10785</v>
      </c>
      <c r="H3235" s="77"/>
      <c r="I3235" s="34"/>
      <c r="J3235" s="78" t="s">
        <v>10786</v>
      </c>
      <c r="K3235" s="79" t="s">
        <v>10753</v>
      </c>
    </row>
    <row r="3236" customFormat="false" ht="34.2" hidden="false" customHeight="false" outlineLevel="0" collapsed="false">
      <c r="A3236" s="74"/>
      <c r="B3236" s="74"/>
      <c r="C3236" s="74"/>
      <c r="D3236" s="76" t="s">
        <v>10787</v>
      </c>
      <c r="E3236" s="57" t="s">
        <v>10788</v>
      </c>
      <c r="F3236" s="57" t="s">
        <v>3797</v>
      </c>
      <c r="G3236" s="57" t="s">
        <v>10789</v>
      </c>
      <c r="H3236" s="77" t="s">
        <v>10790</v>
      </c>
      <c r="I3236" s="39" t="s">
        <v>67</v>
      </c>
      <c r="J3236" s="78" t="s">
        <v>10791</v>
      </c>
      <c r="K3236" s="79" t="s">
        <v>10756</v>
      </c>
    </row>
    <row r="3237" customFormat="false" ht="66.85" hidden="false" customHeight="false" outlineLevel="0" collapsed="false">
      <c r="A3237" s="74"/>
      <c r="B3237" s="74"/>
      <c r="C3237" s="74"/>
      <c r="D3237" s="76"/>
      <c r="E3237" s="57" t="s">
        <v>3792</v>
      </c>
      <c r="F3237" s="57" t="s">
        <v>3792</v>
      </c>
      <c r="G3237" s="57" t="s">
        <v>10792</v>
      </c>
      <c r="H3237" s="77"/>
      <c r="I3237" s="39"/>
      <c r="J3237" s="78" t="s">
        <v>10793</v>
      </c>
      <c r="K3237" s="79" t="s">
        <v>10763</v>
      </c>
    </row>
    <row r="3238" customFormat="false" ht="34.2" hidden="false" customHeight="true" outlineLevel="0" collapsed="false">
      <c r="A3238" s="74"/>
      <c r="B3238" s="80"/>
      <c r="C3238" s="75" t="s">
        <v>10794</v>
      </c>
      <c r="D3238" s="57" t="s">
        <v>10795</v>
      </c>
      <c r="E3238" s="57" t="s">
        <v>10796</v>
      </c>
      <c r="F3238" s="57" t="s">
        <v>3787</v>
      </c>
      <c r="G3238" s="57" t="s">
        <v>10797</v>
      </c>
      <c r="H3238" s="77" t="s">
        <v>10798</v>
      </c>
      <c r="I3238" s="34" t="s">
        <v>40</v>
      </c>
      <c r="J3238" s="78" t="s">
        <v>10799</v>
      </c>
      <c r="K3238" s="79" t="s">
        <v>10800</v>
      </c>
    </row>
    <row r="3239" customFormat="false" ht="55.95" hidden="false" customHeight="false" outlineLevel="0" collapsed="false">
      <c r="A3239" s="74"/>
      <c r="B3239" s="80"/>
      <c r="C3239" s="75"/>
      <c r="D3239" s="57" t="s">
        <v>3792</v>
      </c>
      <c r="E3239" s="57" t="s">
        <v>3792</v>
      </c>
      <c r="F3239" s="57" t="s">
        <v>3792</v>
      </c>
      <c r="G3239" s="57" t="s">
        <v>10801</v>
      </c>
      <c r="H3239" s="77"/>
      <c r="I3239" s="34"/>
      <c r="J3239" s="78" t="s">
        <v>10802</v>
      </c>
      <c r="K3239" s="79" t="s">
        <v>10803</v>
      </c>
    </row>
    <row r="3240" customFormat="false" ht="66.85" hidden="false" customHeight="false" outlineLevel="0" collapsed="false">
      <c r="A3240" s="74"/>
      <c r="B3240" s="80"/>
      <c r="C3240" s="75"/>
      <c r="D3240" s="57" t="s">
        <v>10804</v>
      </c>
      <c r="E3240" s="57" t="s">
        <v>10805</v>
      </c>
      <c r="F3240" s="57" t="s">
        <v>3806</v>
      </c>
      <c r="G3240" s="57" t="s">
        <v>10806</v>
      </c>
      <c r="H3240" s="77" t="s">
        <v>10807</v>
      </c>
      <c r="I3240" s="37" t="s">
        <v>50</v>
      </c>
      <c r="J3240" s="78" t="s">
        <v>10808</v>
      </c>
      <c r="K3240" s="79" t="s">
        <v>10809</v>
      </c>
    </row>
    <row r="3241" customFormat="false" ht="55.95" hidden="false" customHeight="false" outlineLevel="0" collapsed="false">
      <c r="A3241" s="74"/>
      <c r="B3241" s="80"/>
      <c r="C3241" s="75"/>
      <c r="D3241" s="57" t="s">
        <v>3792</v>
      </c>
      <c r="E3241" s="57" t="s">
        <v>3792</v>
      </c>
      <c r="F3241" s="57" t="s">
        <v>3792</v>
      </c>
      <c r="G3241" s="57" t="s">
        <v>10810</v>
      </c>
      <c r="H3241" s="77"/>
      <c r="I3241" s="37"/>
      <c r="J3241" s="78" t="s">
        <v>10811</v>
      </c>
      <c r="K3241" s="79" t="s">
        <v>10812</v>
      </c>
    </row>
    <row r="3242" customFormat="false" ht="34.2" hidden="false" customHeight="false" outlineLevel="0" collapsed="false">
      <c r="A3242" s="74"/>
      <c r="B3242" s="80"/>
      <c r="C3242" s="75"/>
      <c r="D3242" s="57" t="s">
        <v>10813</v>
      </c>
      <c r="E3242" s="57" t="s">
        <v>10814</v>
      </c>
      <c r="F3242" s="57" t="s">
        <v>3787</v>
      </c>
      <c r="G3242" s="57" t="s">
        <v>10815</v>
      </c>
      <c r="H3242" s="77" t="s">
        <v>10816</v>
      </c>
      <c r="I3242" s="34" t="s">
        <v>40</v>
      </c>
      <c r="J3242" s="78" t="s">
        <v>10817</v>
      </c>
      <c r="K3242" s="79" t="s">
        <v>10818</v>
      </c>
    </row>
    <row r="3243" customFormat="false" ht="34.2" hidden="false" customHeight="false" outlineLevel="0" collapsed="false">
      <c r="A3243" s="74"/>
      <c r="B3243" s="80"/>
      <c r="C3243" s="75"/>
      <c r="D3243" s="57" t="s">
        <v>3792</v>
      </c>
      <c r="E3243" s="57" t="s">
        <v>3792</v>
      </c>
      <c r="F3243" s="57" t="s">
        <v>3792</v>
      </c>
      <c r="G3243" s="57" t="s">
        <v>10819</v>
      </c>
      <c r="H3243" s="77"/>
      <c r="I3243" s="34"/>
      <c r="J3243" s="78" t="s">
        <v>10820</v>
      </c>
      <c r="K3243" s="79" t="s">
        <v>10821</v>
      </c>
    </row>
    <row r="3244" customFormat="false" ht="66.85" hidden="false" customHeight="false" outlineLevel="0" collapsed="false">
      <c r="A3244" s="74"/>
      <c r="B3244" s="80"/>
      <c r="C3244" s="75"/>
      <c r="D3244" s="57" t="s">
        <v>10822</v>
      </c>
      <c r="E3244" s="57" t="s">
        <v>10823</v>
      </c>
      <c r="F3244" s="57" t="s">
        <v>3797</v>
      </c>
      <c r="G3244" s="57" t="s">
        <v>10824</v>
      </c>
      <c r="H3244" s="77" t="s">
        <v>10825</v>
      </c>
      <c r="I3244" s="39" t="s">
        <v>67</v>
      </c>
      <c r="J3244" s="78" t="s">
        <v>10826</v>
      </c>
      <c r="K3244" s="79" t="s">
        <v>10827</v>
      </c>
    </row>
    <row r="3245" customFormat="false" ht="45.05" hidden="false" customHeight="false" outlineLevel="0" collapsed="false">
      <c r="A3245" s="74"/>
      <c r="B3245" s="80"/>
      <c r="C3245" s="75"/>
      <c r="D3245" s="57" t="s">
        <v>3792</v>
      </c>
      <c r="E3245" s="57" t="s">
        <v>3792</v>
      </c>
      <c r="F3245" s="57" t="s">
        <v>3792</v>
      </c>
      <c r="G3245" s="57" t="s">
        <v>10828</v>
      </c>
      <c r="H3245" s="77"/>
      <c r="I3245" s="39"/>
      <c r="J3245" s="78" t="s">
        <v>10829</v>
      </c>
      <c r="K3245" s="79" t="s">
        <v>10830</v>
      </c>
    </row>
    <row r="3246" customFormat="false" ht="45.05" hidden="false" customHeight="false" outlineLevel="0" collapsed="false">
      <c r="A3246" s="74"/>
      <c r="B3246" s="80"/>
      <c r="C3246" s="75"/>
      <c r="D3246" s="57" t="s">
        <v>10831</v>
      </c>
      <c r="E3246" s="57" t="s">
        <v>10832</v>
      </c>
      <c r="F3246" s="57" t="s">
        <v>3806</v>
      </c>
      <c r="G3246" s="57" t="s">
        <v>10833</v>
      </c>
      <c r="H3246" s="77" t="s">
        <v>10834</v>
      </c>
      <c r="I3246" s="34" t="s">
        <v>40</v>
      </c>
      <c r="J3246" s="78" t="s">
        <v>10835</v>
      </c>
      <c r="K3246" s="79" t="s">
        <v>10836</v>
      </c>
    </row>
    <row r="3247" customFormat="false" ht="45.05" hidden="false" customHeight="false" outlineLevel="0" collapsed="false">
      <c r="A3247" s="74"/>
      <c r="B3247" s="80"/>
      <c r="C3247" s="75"/>
      <c r="D3247" s="0"/>
      <c r="E3247" s="0"/>
      <c r="F3247" s="57" t="s">
        <v>3792</v>
      </c>
      <c r="G3247" s="57" t="s">
        <v>10837</v>
      </c>
      <c r="H3247" s="77"/>
      <c r="I3247" s="34"/>
      <c r="J3247" s="78" t="s">
        <v>10838</v>
      </c>
      <c r="K3247" s="79" t="s">
        <v>10839</v>
      </c>
    </row>
    <row r="3248" customFormat="false" ht="34.2" hidden="false" customHeight="true" outlineLevel="0" collapsed="false">
      <c r="A3248" s="74"/>
      <c r="B3248" s="80"/>
      <c r="C3248" s="75" t="s">
        <v>10840</v>
      </c>
      <c r="D3248" s="57" t="s">
        <v>10841</v>
      </c>
      <c r="E3248" s="57" t="s">
        <v>10842</v>
      </c>
      <c r="F3248" s="57" t="s">
        <v>3787</v>
      </c>
      <c r="G3248" s="57" t="s">
        <v>10843</v>
      </c>
      <c r="H3248" s="77" t="s">
        <v>10844</v>
      </c>
      <c r="I3248" s="37" t="s">
        <v>50</v>
      </c>
      <c r="J3248" s="81" t="s">
        <v>10845</v>
      </c>
      <c r="K3248" s="79" t="s">
        <v>10846</v>
      </c>
    </row>
    <row r="3249" customFormat="false" ht="45.05" hidden="false" customHeight="false" outlineLevel="0" collapsed="false">
      <c r="A3249" s="74"/>
      <c r="B3249" s="80"/>
      <c r="C3249" s="75"/>
      <c r="D3249" s="57" t="s">
        <v>3792</v>
      </c>
      <c r="E3249" s="57" t="s">
        <v>3792</v>
      </c>
      <c r="F3249" s="57" t="s">
        <v>3792</v>
      </c>
      <c r="G3249" s="57" t="s">
        <v>10847</v>
      </c>
      <c r="H3249" s="77"/>
      <c r="I3249" s="37"/>
      <c r="J3249" s="81" t="s">
        <v>10848</v>
      </c>
      <c r="K3249" s="79" t="s">
        <v>10849</v>
      </c>
    </row>
    <row r="3250" customFormat="false" ht="34.2" hidden="false" customHeight="false" outlineLevel="0" collapsed="false">
      <c r="A3250" s="74"/>
      <c r="B3250" s="80"/>
      <c r="C3250" s="75"/>
      <c r="D3250" s="57" t="s">
        <v>10850</v>
      </c>
      <c r="E3250" s="57" t="s">
        <v>10851</v>
      </c>
      <c r="F3250" s="57" t="s">
        <v>3797</v>
      </c>
      <c r="G3250" s="57" t="s">
        <v>10852</v>
      </c>
      <c r="H3250" s="77" t="s">
        <v>10853</v>
      </c>
      <c r="I3250" s="34" t="s">
        <v>40</v>
      </c>
      <c r="J3250" s="81" t="s">
        <v>10854</v>
      </c>
      <c r="K3250" s="79" t="s">
        <v>10855</v>
      </c>
    </row>
    <row r="3251" customFormat="false" ht="55.95" hidden="false" customHeight="false" outlineLevel="0" collapsed="false">
      <c r="A3251" s="74"/>
      <c r="B3251" s="80"/>
      <c r="C3251" s="75"/>
      <c r="D3251" s="57" t="s">
        <v>3792</v>
      </c>
      <c r="E3251" s="57" t="s">
        <v>3792</v>
      </c>
      <c r="F3251" s="57" t="s">
        <v>3792</v>
      </c>
      <c r="G3251" s="57" t="s">
        <v>10856</v>
      </c>
      <c r="H3251" s="77"/>
      <c r="I3251" s="34"/>
      <c r="J3251" s="81" t="s">
        <v>10857</v>
      </c>
      <c r="K3251" s="79" t="s">
        <v>10858</v>
      </c>
    </row>
    <row r="3252" customFormat="false" ht="34.2" hidden="false" customHeight="false" outlineLevel="0" collapsed="false">
      <c r="A3252" s="74"/>
      <c r="B3252" s="80"/>
      <c r="C3252" s="75"/>
      <c r="D3252" s="57" t="s">
        <v>10859</v>
      </c>
      <c r="E3252" s="57" t="s">
        <v>10860</v>
      </c>
      <c r="F3252" s="57" t="s">
        <v>3806</v>
      </c>
      <c r="G3252" s="57" t="s">
        <v>10861</v>
      </c>
      <c r="H3252" s="77" t="s">
        <v>10862</v>
      </c>
      <c r="I3252" s="39" t="s">
        <v>67</v>
      </c>
      <c r="J3252" s="81" t="s">
        <v>10863</v>
      </c>
      <c r="K3252" s="79" t="s">
        <v>10864</v>
      </c>
    </row>
    <row r="3253" customFormat="false" ht="34.2" hidden="false" customHeight="false" outlineLevel="0" collapsed="false">
      <c r="A3253" s="74"/>
      <c r="B3253" s="80"/>
      <c r="C3253" s="75"/>
      <c r="D3253" s="57" t="s">
        <v>3792</v>
      </c>
      <c r="E3253" s="57" t="s">
        <v>3792</v>
      </c>
      <c r="F3253" s="57" t="s">
        <v>3792</v>
      </c>
      <c r="G3253" s="57" t="s">
        <v>10865</v>
      </c>
      <c r="H3253" s="77"/>
      <c r="I3253" s="39"/>
      <c r="J3253" s="81" t="s">
        <v>10866</v>
      </c>
      <c r="K3253" s="79" t="s">
        <v>10867</v>
      </c>
    </row>
    <row r="3254" customFormat="false" ht="45.05" hidden="false" customHeight="false" outlineLevel="0" collapsed="false">
      <c r="A3254" s="74"/>
      <c r="B3254" s="80"/>
      <c r="C3254" s="75"/>
      <c r="D3254" s="57" t="s">
        <v>10868</v>
      </c>
      <c r="E3254" s="57" t="s">
        <v>10869</v>
      </c>
      <c r="F3254" s="57" t="s">
        <v>3797</v>
      </c>
      <c r="G3254" s="57" t="s">
        <v>10870</v>
      </c>
      <c r="H3254" s="77" t="s">
        <v>10871</v>
      </c>
      <c r="I3254" s="34" t="s">
        <v>40</v>
      </c>
      <c r="J3254" s="81" t="s">
        <v>10872</v>
      </c>
      <c r="K3254" s="79" t="s">
        <v>10873</v>
      </c>
    </row>
    <row r="3255" customFormat="false" ht="45.05" hidden="false" customHeight="false" outlineLevel="0" collapsed="false">
      <c r="A3255" s="74"/>
      <c r="B3255" s="80"/>
      <c r="C3255" s="75"/>
      <c r="D3255" s="57" t="s">
        <v>3792</v>
      </c>
      <c r="E3255" s="57" t="s">
        <v>3792</v>
      </c>
      <c r="F3255" s="57" t="s">
        <v>3792</v>
      </c>
      <c r="G3255" s="57" t="s">
        <v>10874</v>
      </c>
      <c r="H3255" s="77"/>
      <c r="I3255" s="34"/>
      <c r="J3255" s="81" t="s">
        <v>10875</v>
      </c>
      <c r="K3255" s="79" t="s">
        <v>10876</v>
      </c>
    </row>
    <row r="3256" customFormat="false" ht="45.05" hidden="false" customHeight="false" outlineLevel="0" collapsed="false">
      <c r="A3256" s="74"/>
      <c r="B3256" s="80"/>
      <c r="C3256" s="75"/>
      <c r="D3256" s="57" t="s">
        <v>10877</v>
      </c>
      <c r="E3256" s="57" t="s">
        <v>10878</v>
      </c>
      <c r="F3256" s="57" t="s">
        <v>3787</v>
      </c>
      <c r="G3256" s="57" t="s">
        <v>10879</v>
      </c>
      <c r="H3256" s="77" t="s">
        <v>10880</v>
      </c>
      <c r="I3256" s="37" t="s">
        <v>50</v>
      </c>
      <c r="J3256" s="81" t="s">
        <v>10881</v>
      </c>
      <c r="K3256" s="79" t="s">
        <v>10882</v>
      </c>
    </row>
    <row r="3257" customFormat="false" ht="66.85" hidden="false" customHeight="false" outlineLevel="0" collapsed="false">
      <c r="A3257" s="74"/>
      <c r="B3257" s="80"/>
      <c r="C3257" s="75"/>
      <c r="D3257" s="0"/>
      <c r="E3257" s="57" t="s">
        <v>3792</v>
      </c>
      <c r="F3257" s="57" t="s">
        <v>3792</v>
      </c>
      <c r="G3257" s="57" t="s">
        <v>10883</v>
      </c>
      <c r="H3257" s="77"/>
      <c r="I3257" s="37"/>
      <c r="J3257" s="81" t="s">
        <v>10884</v>
      </c>
      <c r="K3257" s="79" t="s">
        <v>10885</v>
      </c>
    </row>
    <row r="3258" customFormat="false" ht="45.05" hidden="false" customHeight="true" outlineLevel="0" collapsed="false">
      <c r="A3258" s="74"/>
      <c r="B3258" s="80"/>
      <c r="C3258" s="75" t="s">
        <v>10886</v>
      </c>
      <c r="D3258" s="57" t="s">
        <v>10887</v>
      </c>
      <c r="E3258" s="57" t="s">
        <v>10888</v>
      </c>
      <c r="F3258" s="57" t="s">
        <v>3806</v>
      </c>
      <c r="G3258" s="57" t="s">
        <v>10889</v>
      </c>
      <c r="H3258" s="77" t="s">
        <v>10890</v>
      </c>
      <c r="I3258" s="34" t="s">
        <v>40</v>
      </c>
      <c r="J3258" s="81" t="s">
        <v>10891</v>
      </c>
      <c r="K3258" s="79" t="s">
        <v>10892</v>
      </c>
    </row>
    <row r="3259" customFormat="false" ht="34.2" hidden="false" customHeight="false" outlineLevel="0" collapsed="false">
      <c r="A3259" s="74"/>
      <c r="B3259" s="80"/>
      <c r="C3259" s="75"/>
      <c r="D3259" s="57" t="s">
        <v>3792</v>
      </c>
      <c r="E3259" s="57" t="s">
        <v>3792</v>
      </c>
      <c r="F3259" s="57" t="s">
        <v>3792</v>
      </c>
      <c r="G3259" s="57" t="s">
        <v>10893</v>
      </c>
      <c r="H3259" s="77"/>
      <c r="I3259" s="34"/>
      <c r="J3259" s="81" t="s">
        <v>10894</v>
      </c>
      <c r="K3259" s="79" t="s">
        <v>10895</v>
      </c>
    </row>
    <row r="3260" customFormat="false" ht="55.95" hidden="false" customHeight="false" outlineLevel="0" collapsed="false">
      <c r="A3260" s="74"/>
      <c r="B3260" s="80"/>
      <c r="C3260" s="75"/>
      <c r="D3260" s="57" t="s">
        <v>10896</v>
      </c>
      <c r="E3260" s="57" t="s">
        <v>10897</v>
      </c>
      <c r="F3260" s="57" t="s">
        <v>3787</v>
      </c>
      <c r="G3260" s="57" t="s">
        <v>10898</v>
      </c>
      <c r="H3260" s="77" t="s">
        <v>10899</v>
      </c>
      <c r="I3260" s="39" t="s">
        <v>67</v>
      </c>
      <c r="J3260" s="81" t="s">
        <v>10900</v>
      </c>
      <c r="K3260" s="79" t="s">
        <v>10901</v>
      </c>
    </row>
    <row r="3261" customFormat="false" ht="34.2" hidden="false" customHeight="false" outlineLevel="0" collapsed="false">
      <c r="A3261" s="74"/>
      <c r="B3261" s="80"/>
      <c r="C3261" s="75"/>
      <c r="D3261" s="57" t="s">
        <v>3792</v>
      </c>
      <c r="E3261" s="57" t="s">
        <v>3792</v>
      </c>
      <c r="F3261" s="57" t="s">
        <v>3792</v>
      </c>
      <c r="G3261" s="57" t="s">
        <v>10902</v>
      </c>
      <c r="H3261" s="77"/>
      <c r="I3261" s="39"/>
      <c r="J3261" s="81" t="s">
        <v>10903</v>
      </c>
      <c r="K3261" s="79" t="s">
        <v>10904</v>
      </c>
    </row>
    <row r="3262" customFormat="false" ht="55.95" hidden="false" customHeight="false" outlineLevel="0" collapsed="false">
      <c r="A3262" s="74"/>
      <c r="B3262" s="80"/>
      <c r="C3262" s="75"/>
      <c r="D3262" s="57" t="s">
        <v>10905</v>
      </c>
      <c r="E3262" s="57" t="s">
        <v>10906</v>
      </c>
      <c r="F3262" s="57" t="s">
        <v>3806</v>
      </c>
      <c r="G3262" s="57" t="s">
        <v>10907</v>
      </c>
      <c r="H3262" s="77" t="s">
        <v>10908</v>
      </c>
      <c r="I3262" s="34" t="s">
        <v>40</v>
      </c>
      <c r="J3262" s="81" t="s">
        <v>10909</v>
      </c>
      <c r="K3262" s="79" t="s">
        <v>10910</v>
      </c>
    </row>
    <row r="3263" customFormat="false" ht="55.95" hidden="false" customHeight="false" outlineLevel="0" collapsed="false">
      <c r="A3263" s="74"/>
      <c r="B3263" s="80"/>
      <c r="C3263" s="75"/>
      <c r="D3263" s="57" t="s">
        <v>3792</v>
      </c>
      <c r="E3263" s="57" t="s">
        <v>3792</v>
      </c>
      <c r="F3263" s="57" t="s">
        <v>3792</v>
      </c>
      <c r="G3263" s="57" t="s">
        <v>10911</v>
      </c>
      <c r="H3263" s="77"/>
      <c r="I3263" s="34"/>
      <c r="J3263" s="81" t="s">
        <v>10912</v>
      </c>
      <c r="K3263" s="79" t="s">
        <v>10913</v>
      </c>
    </row>
    <row r="3264" customFormat="false" ht="55.95" hidden="false" customHeight="false" outlineLevel="0" collapsed="false">
      <c r="A3264" s="74"/>
      <c r="B3264" s="80"/>
      <c r="C3264" s="75"/>
      <c r="D3264" s="57" t="s">
        <v>10914</v>
      </c>
      <c r="E3264" s="57" t="s">
        <v>10915</v>
      </c>
      <c r="F3264" s="57" t="s">
        <v>3797</v>
      </c>
      <c r="G3264" s="57" t="s">
        <v>10916</v>
      </c>
      <c r="H3264" s="77" t="s">
        <v>10917</v>
      </c>
      <c r="I3264" s="37" t="s">
        <v>50</v>
      </c>
      <c r="J3264" s="81" t="s">
        <v>10918</v>
      </c>
      <c r="K3264" s="79" t="s">
        <v>10919</v>
      </c>
    </row>
    <row r="3265" customFormat="false" ht="45.05" hidden="false" customHeight="false" outlineLevel="0" collapsed="false">
      <c r="A3265" s="74"/>
      <c r="B3265" s="80"/>
      <c r="C3265" s="75"/>
      <c r="D3265" s="57" t="s">
        <v>3792</v>
      </c>
      <c r="E3265" s="57" t="s">
        <v>3792</v>
      </c>
      <c r="F3265" s="57" t="s">
        <v>3792</v>
      </c>
      <c r="G3265" s="57" t="s">
        <v>10920</v>
      </c>
      <c r="H3265" s="77"/>
      <c r="I3265" s="37"/>
      <c r="J3265" s="81" t="s">
        <v>10921</v>
      </c>
      <c r="K3265" s="79" t="s">
        <v>10922</v>
      </c>
    </row>
    <row r="3266" customFormat="false" ht="66.85" hidden="false" customHeight="false" outlineLevel="0" collapsed="false">
      <c r="A3266" s="74"/>
      <c r="B3266" s="80"/>
      <c r="C3266" s="75"/>
      <c r="D3266" s="57" t="s">
        <v>10923</v>
      </c>
      <c r="E3266" s="57" t="s">
        <v>10924</v>
      </c>
      <c r="F3266" s="57" t="s">
        <v>3787</v>
      </c>
      <c r="G3266" s="57" t="s">
        <v>10925</v>
      </c>
      <c r="H3266" s="77" t="s">
        <v>10926</v>
      </c>
      <c r="I3266" s="34" t="s">
        <v>40</v>
      </c>
      <c r="J3266" s="81" t="s">
        <v>10927</v>
      </c>
      <c r="K3266" s="79" t="s">
        <v>10928</v>
      </c>
    </row>
    <row r="3267" customFormat="false" ht="45.05" hidden="false" customHeight="false" outlineLevel="0" collapsed="false">
      <c r="A3267" s="74"/>
      <c r="B3267" s="80"/>
      <c r="C3267" s="75"/>
      <c r="D3267" s="0"/>
      <c r="E3267" s="57" t="s">
        <v>3792</v>
      </c>
      <c r="F3267" s="57" t="s">
        <v>3792</v>
      </c>
      <c r="G3267" s="57" t="s">
        <v>10929</v>
      </c>
      <c r="H3267" s="77"/>
      <c r="I3267" s="34"/>
      <c r="J3267" s="81" t="s">
        <v>10930</v>
      </c>
      <c r="K3267" s="79" t="s">
        <v>10931</v>
      </c>
    </row>
    <row r="3268" customFormat="false" ht="77.7" hidden="false" customHeight="false" outlineLevel="0" collapsed="false">
      <c r="A3268" s="74"/>
      <c r="B3268" s="80"/>
      <c r="C3268" s="74" t="s">
        <v>10932</v>
      </c>
      <c r="D3268" s="57" t="s">
        <v>10933</v>
      </c>
      <c r="E3268" s="57" t="s">
        <v>10934</v>
      </c>
      <c r="F3268" s="57" t="s">
        <v>3797</v>
      </c>
      <c r="G3268" s="57" t="s">
        <v>10935</v>
      </c>
      <c r="H3268" s="77" t="s">
        <v>10936</v>
      </c>
      <c r="I3268" s="39" t="s">
        <v>67</v>
      </c>
      <c r="J3268" s="81" t="s">
        <v>10937</v>
      </c>
      <c r="K3268" s="79" t="s">
        <v>10938</v>
      </c>
    </row>
    <row r="3269" customFormat="false" ht="45.05" hidden="false" customHeight="false" outlineLevel="0" collapsed="false">
      <c r="A3269" s="74"/>
      <c r="B3269" s="80"/>
      <c r="C3269" s="74"/>
      <c r="D3269" s="57" t="s">
        <v>3792</v>
      </c>
      <c r="E3269" s="57" t="s">
        <v>3792</v>
      </c>
      <c r="F3269" s="57" t="s">
        <v>3792</v>
      </c>
      <c r="G3269" s="57" t="s">
        <v>10939</v>
      </c>
      <c r="H3269" s="77"/>
      <c r="I3269" s="39"/>
      <c r="J3269" s="81" t="s">
        <v>10940</v>
      </c>
      <c r="K3269" s="79" t="s">
        <v>10941</v>
      </c>
    </row>
    <row r="3270" customFormat="false" ht="77.7" hidden="false" customHeight="false" outlineLevel="0" collapsed="false">
      <c r="A3270" s="74"/>
      <c r="B3270" s="80"/>
      <c r="C3270" s="74"/>
      <c r="D3270" s="57" t="s">
        <v>10942</v>
      </c>
      <c r="E3270" s="57" t="s">
        <v>10943</v>
      </c>
      <c r="F3270" s="57" t="s">
        <v>3806</v>
      </c>
      <c r="G3270" s="57" t="s">
        <v>10944</v>
      </c>
      <c r="H3270" s="77" t="s">
        <v>10945</v>
      </c>
      <c r="I3270" s="34" t="s">
        <v>40</v>
      </c>
      <c r="J3270" s="81" t="s">
        <v>10946</v>
      </c>
      <c r="K3270" s="79" t="s">
        <v>10947</v>
      </c>
    </row>
    <row r="3271" customFormat="false" ht="45.05" hidden="false" customHeight="false" outlineLevel="0" collapsed="false">
      <c r="A3271" s="74"/>
      <c r="B3271" s="80"/>
      <c r="C3271" s="74"/>
      <c r="D3271" s="57" t="s">
        <v>3792</v>
      </c>
      <c r="E3271" s="57" t="s">
        <v>3792</v>
      </c>
      <c r="F3271" s="57" t="s">
        <v>3792</v>
      </c>
      <c r="G3271" s="57" t="s">
        <v>10948</v>
      </c>
      <c r="H3271" s="77"/>
      <c r="I3271" s="34"/>
      <c r="J3271" s="81" t="s">
        <v>10949</v>
      </c>
      <c r="K3271" s="79" t="s">
        <v>10950</v>
      </c>
    </row>
    <row r="3272" customFormat="false" ht="55.95" hidden="false" customHeight="false" outlineLevel="0" collapsed="false">
      <c r="A3272" s="74"/>
      <c r="B3272" s="80"/>
      <c r="C3272" s="74"/>
      <c r="D3272" s="57" t="s">
        <v>10951</v>
      </c>
      <c r="E3272" s="57" t="s">
        <v>10952</v>
      </c>
      <c r="F3272" s="57" t="s">
        <v>3787</v>
      </c>
      <c r="G3272" s="57" t="s">
        <v>10953</v>
      </c>
      <c r="H3272" s="77" t="s">
        <v>10954</v>
      </c>
      <c r="I3272" s="37" t="s">
        <v>50</v>
      </c>
      <c r="J3272" s="81" t="s">
        <v>10955</v>
      </c>
      <c r="K3272" s="79" t="s">
        <v>10956</v>
      </c>
    </row>
    <row r="3273" customFormat="false" ht="34.2" hidden="false" customHeight="false" outlineLevel="0" collapsed="false">
      <c r="A3273" s="74"/>
      <c r="B3273" s="80"/>
      <c r="C3273" s="74"/>
      <c r="D3273" s="57" t="s">
        <v>3792</v>
      </c>
      <c r="E3273" s="57" t="s">
        <v>3792</v>
      </c>
      <c r="F3273" s="57" t="s">
        <v>3792</v>
      </c>
      <c r="G3273" s="57" t="s">
        <v>10957</v>
      </c>
      <c r="H3273" s="77"/>
      <c r="I3273" s="37"/>
      <c r="J3273" s="81" t="s">
        <v>10958</v>
      </c>
      <c r="K3273" s="79" t="s">
        <v>10959</v>
      </c>
    </row>
    <row r="3274" customFormat="false" ht="55.95" hidden="false" customHeight="false" outlineLevel="0" collapsed="false">
      <c r="A3274" s="74"/>
      <c r="B3274" s="80"/>
      <c r="C3274" s="74"/>
      <c r="D3274" s="57" t="s">
        <v>10960</v>
      </c>
      <c r="E3274" s="57" t="s">
        <v>10961</v>
      </c>
      <c r="F3274" s="57" t="s">
        <v>3797</v>
      </c>
      <c r="G3274" s="57" t="s">
        <v>10962</v>
      </c>
      <c r="H3274" s="77" t="s">
        <v>10963</v>
      </c>
      <c r="I3274" s="34" t="s">
        <v>40</v>
      </c>
      <c r="J3274" s="81" t="s">
        <v>10964</v>
      </c>
      <c r="K3274" s="79" t="s">
        <v>10965</v>
      </c>
    </row>
    <row r="3275" customFormat="false" ht="45.05" hidden="false" customHeight="false" outlineLevel="0" collapsed="false">
      <c r="A3275" s="74"/>
      <c r="B3275" s="80"/>
      <c r="C3275" s="74"/>
      <c r="D3275" s="57" t="s">
        <v>3792</v>
      </c>
      <c r="E3275" s="57" t="s">
        <v>3792</v>
      </c>
      <c r="F3275" s="57" t="s">
        <v>3792</v>
      </c>
      <c r="G3275" s="57" t="s">
        <v>10966</v>
      </c>
      <c r="H3275" s="77"/>
      <c r="I3275" s="34"/>
      <c r="J3275" s="81" t="s">
        <v>10967</v>
      </c>
      <c r="K3275" s="79" t="s">
        <v>10968</v>
      </c>
    </row>
    <row r="3276" customFormat="false" ht="55.95" hidden="false" customHeight="false" outlineLevel="0" collapsed="false">
      <c r="A3276" s="74"/>
      <c r="B3276" s="80"/>
      <c r="C3276" s="74"/>
      <c r="D3276" s="57" t="s">
        <v>10969</v>
      </c>
      <c r="E3276" s="57" t="s">
        <v>10970</v>
      </c>
      <c r="F3276" s="57" t="s">
        <v>3806</v>
      </c>
      <c r="G3276" s="57" t="s">
        <v>10971</v>
      </c>
      <c r="H3276" s="77" t="s">
        <v>10972</v>
      </c>
      <c r="I3276" s="39" t="s">
        <v>67</v>
      </c>
      <c r="J3276" s="81" t="s">
        <v>10973</v>
      </c>
      <c r="K3276" s="79" t="s">
        <v>10974</v>
      </c>
    </row>
    <row r="3277" customFormat="false" ht="45.05" hidden="false" customHeight="false" outlineLevel="0" collapsed="false">
      <c r="A3277" s="74"/>
      <c r="B3277" s="80"/>
      <c r="C3277" s="74"/>
      <c r="D3277" s="0"/>
      <c r="E3277" s="57" t="s">
        <v>3792</v>
      </c>
      <c r="F3277" s="57" t="s">
        <v>3792</v>
      </c>
      <c r="G3277" s="57" t="s">
        <v>10975</v>
      </c>
      <c r="H3277" s="77"/>
      <c r="I3277" s="39"/>
      <c r="J3277" s="81" t="s">
        <v>10976</v>
      </c>
      <c r="K3277" s="79" t="s">
        <v>10977</v>
      </c>
    </row>
    <row r="3278" customFormat="false" ht="55.95" hidden="false" customHeight="false" outlineLevel="0" collapsed="false">
      <c r="A3278" s="74"/>
      <c r="B3278" s="80"/>
      <c r="C3278" s="74" t="s">
        <v>10978</v>
      </c>
      <c r="D3278" s="57" t="s">
        <v>10979</v>
      </c>
      <c r="E3278" s="57" t="s">
        <v>10980</v>
      </c>
      <c r="F3278" s="57" t="s">
        <v>3797</v>
      </c>
      <c r="G3278" s="57" t="s">
        <v>10981</v>
      </c>
      <c r="H3278" s="77" t="s">
        <v>10982</v>
      </c>
      <c r="I3278" s="34" t="s">
        <v>40</v>
      </c>
      <c r="J3278" s="81" t="s">
        <v>10983</v>
      </c>
      <c r="K3278" s="79" t="s">
        <v>10984</v>
      </c>
    </row>
    <row r="3279" customFormat="false" ht="66.85" hidden="false" customHeight="false" outlineLevel="0" collapsed="false">
      <c r="A3279" s="74"/>
      <c r="B3279" s="80"/>
      <c r="C3279" s="74"/>
      <c r="D3279" s="57" t="s">
        <v>3792</v>
      </c>
      <c r="E3279" s="57" t="s">
        <v>3792</v>
      </c>
      <c r="F3279" s="57" t="s">
        <v>3792</v>
      </c>
      <c r="G3279" s="57" t="s">
        <v>10985</v>
      </c>
      <c r="H3279" s="77"/>
      <c r="I3279" s="34"/>
      <c r="J3279" s="81" t="s">
        <v>10986</v>
      </c>
      <c r="K3279" s="79" t="s">
        <v>10987</v>
      </c>
    </row>
    <row r="3280" customFormat="false" ht="66.85" hidden="false" customHeight="false" outlineLevel="0" collapsed="false">
      <c r="A3280" s="74"/>
      <c r="B3280" s="80"/>
      <c r="C3280" s="74"/>
      <c r="D3280" s="57" t="s">
        <v>10988</v>
      </c>
      <c r="E3280" s="57" t="s">
        <v>10989</v>
      </c>
      <c r="F3280" s="57" t="s">
        <v>3787</v>
      </c>
      <c r="G3280" s="57" t="s">
        <v>10990</v>
      </c>
      <c r="H3280" s="77" t="s">
        <v>10991</v>
      </c>
      <c r="I3280" s="37" t="s">
        <v>50</v>
      </c>
      <c r="J3280" s="81" t="s">
        <v>10992</v>
      </c>
      <c r="K3280" s="79" t="s">
        <v>10993</v>
      </c>
    </row>
    <row r="3281" customFormat="false" ht="45.05" hidden="false" customHeight="false" outlineLevel="0" collapsed="false">
      <c r="A3281" s="74"/>
      <c r="B3281" s="80"/>
      <c r="C3281" s="74"/>
      <c r="D3281" s="57" t="s">
        <v>3792</v>
      </c>
      <c r="E3281" s="57" t="s">
        <v>3792</v>
      </c>
      <c r="F3281" s="57" t="s">
        <v>3792</v>
      </c>
      <c r="G3281" s="57" t="s">
        <v>10994</v>
      </c>
      <c r="H3281" s="77"/>
      <c r="I3281" s="37"/>
      <c r="J3281" s="81" t="s">
        <v>10995</v>
      </c>
      <c r="K3281" s="79" t="s">
        <v>10996</v>
      </c>
    </row>
    <row r="3282" customFormat="false" ht="55.95" hidden="false" customHeight="false" outlineLevel="0" collapsed="false">
      <c r="A3282" s="74"/>
      <c r="B3282" s="80"/>
      <c r="C3282" s="74"/>
      <c r="D3282" s="57" t="s">
        <v>10997</v>
      </c>
      <c r="E3282" s="57" t="s">
        <v>10998</v>
      </c>
      <c r="F3282" s="57" t="s">
        <v>3806</v>
      </c>
      <c r="G3282" s="57" t="s">
        <v>10999</v>
      </c>
      <c r="H3282" s="77" t="s">
        <v>11000</v>
      </c>
      <c r="I3282" s="34" t="s">
        <v>40</v>
      </c>
      <c r="J3282" s="81" t="s">
        <v>11001</v>
      </c>
      <c r="K3282" s="79" t="s">
        <v>11002</v>
      </c>
    </row>
    <row r="3283" customFormat="false" ht="45.05" hidden="false" customHeight="false" outlineLevel="0" collapsed="false">
      <c r="A3283" s="74"/>
      <c r="B3283" s="80"/>
      <c r="C3283" s="74"/>
      <c r="D3283" s="57" t="s">
        <v>3792</v>
      </c>
      <c r="E3283" s="57" t="s">
        <v>3792</v>
      </c>
      <c r="F3283" s="57" t="s">
        <v>3792</v>
      </c>
      <c r="G3283" s="57" t="s">
        <v>11003</v>
      </c>
      <c r="H3283" s="77"/>
      <c r="I3283" s="34"/>
      <c r="J3283" s="81" t="s">
        <v>11004</v>
      </c>
      <c r="K3283" s="79" t="s">
        <v>11005</v>
      </c>
    </row>
    <row r="3284" customFormat="false" ht="55.95" hidden="false" customHeight="false" outlineLevel="0" collapsed="false">
      <c r="A3284" s="74"/>
      <c r="B3284" s="80"/>
      <c r="C3284" s="74"/>
      <c r="D3284" s="57" t="s">
        <v>11006</v>
      </c>
      <c r="E3284" s="57" t="s">
        <v>11007</v>
      </c>
      <c r="F3284" s="57" t="s">
        <v>3787</v>
      </c>
      <c r="G3284" s="57" t="s">
        <v>11008</v>
      </c>
      <c r="H3284" s="77" t="s">
        <v>11009</v>
      </c>
      <c r="I3284" s="39" t="s">
        <v>67</v>
      </c>
      <c r="J3284" s="81" t="s">
        <v>11010</v>
      </c>
      <c r="K3284" s="79" t="s">
        <v>11011</v>
      </c>
    </row>
    <row r="3285" customFormat="false" ht="55.95" hidden="false" customHeight="false" outlineLevel="0" collapsed="false">
      <c r="A3285" s="74"/>
      <c r="B3285" s="80"/>
      <c r="C3285" s="74"/>
      <c r="D3285" s="57" t="s">
        <v>3792</v>
      </c>
      <c r="E3285" s="57" t="s">
        <v>3792</v>
      </c>
      <c r="F3285" s="57" t="s">
        <v>3792</v>
      </c>
      <c r="G3285" s="57" t="s">
        <v>11012</v>
      </c>
      <c r="H3285" s="77"/>
      <c r="I3285" s="39"/>
      <c r="J3285" s="81" t="s">
        <v>11013</v>
      </c>
      <c r="K3285" s="79" t="s">
        <v>11014</v>
      </c>
    </row>
    <row r="3286" customFormat="false" ht="66.85" hidden="false" customHeight="false" outlineLevel="0" collapsed="false">
      <c r="A3286" s="74"/>
      <c r="B3286" s="80"/>
      <c r="C3286" s="74"/>
      <c r="D3286" s="57" t="s">
        <v>11015</v>
      </c>
      <c r="E3286" s="57" t="s">
        <v>11016</v>
      </c>
      <c r="F3286" s="57" t="s">
        <v>3797</v>
      </c>
      <c r="G3286" s="57" t="s">
        <v>11017</v>
      </c>
      <c r="H3286" s="77" t="s">
        <v>11018</v>
      </c>
      <c r="I3286" s="34" t="s">
        <v>40</v>
      </c>
      <c r="J3286" s="81" t="s">
        <v>11019</v>
      </c>
      <c r="K3286" s="79" t="s">
        <v>11020</v>
      </c>
    </row>
    <row r="3287" customFormat="false" ht="45.05" hidden="false" customHeight="false" outlineLevel="0" collapsed="false">
      <c r="A3287" s="74"/>
      <c r="B3287" s="80"/>
      <c r="C3287" s="74"/>
      <c r="D3287" s="0"/>
      <c r="E3287" s="57" t="s">
        <v>3792</v>
      </c>
      <c r="F3287" s="57" t="s">
        <v>3792</v>
      </c>
      <c r="G3287" s="57" t="s">
        <v>11021</v>
      </c>
      <c r="H3287" s="77"/>
      <c r="I3287" s="34"/>
      <c r="J3287" s="81" t="s">
        <v>11022</v>
      </c>
      <c r="K3287" s="79" t="s">
        <v>11023</v>
      </c>
    </row>
    <row r="3288" customFormat="false" ht="45.05" hidden="false" customHeight="true" outlineLevel="0" collapsed="false">
      <c r="A3288" s="74"/>
      <c r="B3288" s="80"/>
      <c r="C3288" s="75" t="s">
        <v>11024</v>
      </c>
      <c r="D3288" s="57" t="s">
        <v>11025</v>
      </c>
      <c r="E3288" s="57" t="s">
        <v>11026</v>
      </c>
      <c r="F3288" s="57" t="s">
        <v>3806</v>
      </c>
      <c r="G3288" s="57" t="s">
        <v>11027</v>
      </c>
      <c r="H3288" s="77" t="s">
        <v>11028</v>
      </c>
      <c r="I3288" s="37" t="s">
        <v>50</v>
      </c>
      <c r="J3288" s="81" t="s">
        <v>11029</v>
      </c>
      <c r="K3288" s="79" t="s">
        <v>11030</v>
      </c>
    </row>
    <row r="3289" customFormat="false" ht="45.05" hidden="false" customHeight="false" outlineLevel="0" collapsed="false">
      <c r="A3289" s="74"/>
      <c r="B3289" s="80"/>
      <c r="C3289" s="75"/>
      <c r="D3289" s="57" t="s">
        <v>3792</v>
      </c>
      <c r="E3289" s="57" t="s">
        <v>3792</v>
      </c>
      <c r="F3289" s="57" t="s">
        <v>3792</v>
      </c>
      <c r="G3289" s="57" t="s">
        <v>11031</v>
      </c>
      <c r="H3289" s="77"/>
      <c r="I3289" s="37"/>
      <c r="J3289" s="81" t="s">
        <v>11032</v>
      </c>
      <c r="K3289" s="79" t="s">
        <v>11033</v>
      </c>
    </row>
    <row r="3290" customFormat="false" ht="45.05" hidden="false" customHeight="false" outlineLevel="0" collapsed="false">
      <c r="A3290" s="74"/>
      <c r="B3290" s="80"/>
      <c r="C3290" s="75"/>
      <c r="D3290" s="57" t="s">
        <v>11034</v>
      </c>
      <c r="E3290" s="57" t="s">
        <v>11035</v>
      </c>
      <c r="F3290" s="57" t="s">
        <v>3787</v>
      </c>
      <c r="G3290" s="57" t="s">
        <v>11036</v>
      </c>
      <c r="H3290" s="77" t="s">
        <v>11037</v>
      </c>
      <c r="I3290" s="34" t="s">
        <v>40</v>
      </c>
      <c r="J3290" s="81" t="s">
        <v>11038</v>
      </c>
      <c r="K3290" s="79" t="s">
        <v>11039</v>
      </c>
    </row>
    <row r="3291" customFormat="false" ht="45.05" hidden="false" customHeight="false" outlineLevel="0" collapsed="false">
      <c r="A3291" s="74"/>
      <c r="B3291" s="80"/>
      <c r="C3291" s="75"/>
      <c r="D3291" s="57" t="s">
        <v>3792</v>
      </c>
      <c r="E3291" s="57" t="s">
        <v>3792</v>
      </c>
      <c r="F3291" s="57" t="s">
        <v>3792</v>
      </c>
      <c r="G3291" s="57" t="s">
        <v>11040</v>
      </c>
      <c r="H3291" s="77"/>
      <c r="I3291" s="34"/>
      <c r="J3291" s="81" t="s">
        <v>11041</v>
      </c>
      <c r="K3291" s="79" t="s">
        <v>11042</v>
      </c>
    </row>
    <row r="3292" customFormat="false" ht="55.95" hidden="false" customHeight="false" outlineLevel="0" collapsed="false">
      <c r="A3292" s="74"/>
      <c r="B3292" s="80"/>
      <c r="C3292" s="75"/>
      <c r="D3292" s="57" t="s">
        <v>11043</v>
      </c>
      <c r="E3292" s="57" t="s">
        <v>11044</v>
      </c>
      <c r="F3292" s="57" t="s">
        <v>3806</v>
      </c>
      <c r="G3292" s="57" t="s">
        <v>11045</v>
      </c>
      <c r="H3292" s="77" t="s">
        <v>11046</v>
      </c>
      <c r="I3292" s="39" t="s">
        <v>67</v>
      </c>
      <c r="J3292" s="81" t="s">
        <v>11047</v>
      </c>
      <c r="K3292" s="79" t="s">
        <v>11048</v>
      </c>
    </row>
    <row r="3293" customFormat="false" ht="55.95" hidden="false" customHeight="false" outlineLevel="0" collapsed="false">
      <c r="A3293" s="74"/>
      <c r="B3293" s="80"/>
      <c r="C3293" s="75"/>
      <c r="D3293" s="57" t="s">
        <v>3792</v>
      </c>
      <c r="E3293" s="57" t="s">
        <v>3792</v>
      </c>
      <c r="F3293" s="57" t="s">
        <v>3792</v>
      </c>
      <c r="G3293" s="57" t="s">
        <v>11049</v>
      </c>
      <c r="H3293" s="77"/>
      <c r="I3293" s="39"/>
      <c r="J3293" s="81" t="s">
        <v>11050</v>
      </c>
      <c r="K3293" s="79" t="s">
        <v>11051</v>
      </c>
    </row>
    <row r="3294" customFormat="false" ht="55.95" hidden="false" customHeight="false" outlineLevel="0" collapsed="false">
      <c r="A3294" s="74"/>
      <c r="B3294" s="80"/>
      <c r="C3294" s="75"/>
      <c r="D3294" s="57" t="s">
        <v>11052</v>
      </c>
      <c r="E3294" s="57" t="s">
        <v>11053</v>
      </c>
      <c r="F3294" s="57" t="s">
        <v>3797</v>
      </c>
      <c r="G3294" s="57" t="s">
        <v>11054</v>
      </c>
      <c r="H3294" s="77" t="s">
        <v>11055</v>
      </c>
      <c r="I3294" s="34" t="s">
        <v>40</v>
      </c>
      <c r="J3294" s="81" t="s">
        <v>11056</v>
      </c>
      <c r="K3294" s="0" t="s">
        <v>11057</v>
      </c>
    </row>
    <row r="3295" customFormat="false" ht="34.2" hidden="false" customHeight="false" outlineLevel="0" collapsed="false">
      <c r="A3295" s="74"/>
      <c r="B3295" s="80"/>
      <c r="C3295" s="75"/>
      <c r="D3295" s="57" t="s">
        <v>3792</v>
      </c>
      <c r="E3295" s="57" t="s">
        <v>3792</v>
      </c>
      <c r="F3295" s="57" t="s">
        <v>3792</v>
      </c>
      <c r="G3295" s="57" t="s">
        <v>11058</v>
      </c>
      <c r="H3295" s="77"/>
      <c r="I3295" s="34"/>
      <c r="J3295" s="81" t="s">
        <v>11059</v>
      </c>
      <c r="K3295" s="0" t="s">
        <v>11060</v>
      </c>
    </row>
    <row r="3296" customFormat="false" ht="77.7" hidden="false" customHeight="false" outlineLevel="0" collapsed="false">
      <c r="A3296" s="74"/>
      <c r="B3296" s="80"/>
      <c r="C3296" s="75"/>
      <c r="D3296" s="57" t="s">
        <v>11061</v>
      </c>
      <c r="E3296" s="57" t="s">
        <v>11062</v>
      </c>
      <c r="F3296" s="57" t="s">
        <v>3787</v>
      </c>
      <c r="G3296" s="57" t="s">
        <v>11063</v>
      </c>
      <c r="H3296" s="77" t="s">
        <v>11064</v>
      </c>
      <c r="I3296" s="37" t="s">
        <v>50</v>
      </c>
      <c r="J3296" s="81" t="s">
        <v>11065</v>
      </c>
      <c r="K3296" s="0" t="s">
        <v>11066</v>
      </c>
    </row>
    <row r="3297" customFormat="false" ht="34.2" hidden="false" customHeight="false" outlineLevel="0" collapsed="false">
      <c r="A3297" s="74"/>
      <c r="B3297" s="80"/>
      <c r="C3297" s="75"/>
      <c r="D3297" s="0"/>
      <c r="E3297" s="57" t="s">
        <v>3792</v>
      </c>
      <c r="F3297" s="57" t="s">
        <v>3792</v>
      </c>
      <c r="G3297" s="57" t="s">
        <v>11067</v>
      </c>
      <c r="H3297" s="77"/>
      <c r="I3297" s="37"/>
      <c r="J3297" s="81" t="s">
        <v>11068</v>
      </c>
      <c r="K3297" s="0" t="s">
        <v>11069</v>
      </c>
    </row>
    <row r="3298" customFormat="false" ht="45.05" hidden="false" customHeight="true" outlineLevel="0" collapsed="false">
      <c r="A3298" s="74"/>
      <c r="B3298" s="80"/>
      <c r="C3298" s="75" t="s">
        <v>11070</v>
      </c>
      <c r="D3298" s="57" t="s">
        <v>11071</v>
      </c>
      <c r="E3298" s="57" t="s">
        <v>11072</v>
      </c>
      <c r="F3298" s="57" t="s">
        <v>3797</v>
      </c>
      <c r="G3298" s="57" t="s">
        <v>11073</v>
      </c>
      <c r="H3298" s="77" t="s">
        <v>11074</v>
      </c>
      <c r="I3298" s="34" t="s">
        <v>40</v>
      </c>
      <c r="J3298" s="81" t="s">
        <v>11075</v>
      </c>
      <c r="K3298" s="0" t="s">
        <v>11076</v>
      </c>
    </row>
    <row r="3299" customFormat="false" ht="45.05" hidden="false" customHeight="false" outlineLevel="0" collapsed="false">
      <c r="A3299" s="74"/>
      <c r="B3299" s="80"/>
      <c r="C3299" s="75"/>
      <c r="D3299" s="57" t="s">
        <v>3792</v>
      </c>
      <c r="E3299" s="57" t="s">
        <v>3792</v>
      </c>
      <c r="F3299" s="57" t="s">
        <v>3792</v>
      </c>
      <c r="G3299" s="57" t="s">
        <v>11077</v>
      </c>
      <c r="H3299" s="77"/>
      <c r="I3299" s="34"/>
      <c r="J3299" s="81" t="s">
        <v>11078</v>
      </c>
      <c r="K3299" s="0" t="s">
        <v>11079</v>
      </c>
    </row>
    <row r="3300" customFormat="false" ht="45.05" hidden="false" customHeight="false" outlineLevel="0" collapsed="false">
      <c r="A3300" s="74"/>
      <c r="B3300" s="80"/>
      <c r="C3300" s="75"/>
      <c r="D3300" s="57" t="s">
        <v>11080</v>
      </c>
      <c r="E3300" s="57" t="s">
        <v>11081</v>
      </c>
      <c r="F3300" s="57" t="s">
        <v>3806</v>
      </c>
      <c r="G3300" s="57" t="s">
        <v>11082</v>
      </c>
      <c r="H3300" s="77" t="s">
        <v>11083</v>
      </c>
      <c r="I3300" s="39" t="s">
        <v>67</v>
      </c>
      <c r="J3300" s="81" t="s">
        <v>11084</v>
      </c>
      <c r="K3300" s="0" t="s">
        <v>11085</v>
      </c>
    </row>
    <row r="3301" customFormat="false" ht="34.2" hidden="false" customHeight="false" outlineLevel="0" collapsed="false">
      <c r="A3301" s="74"/>
      <c r="B3301" s="80"/>
      <c r="C3301" s="75"/>
      <c r="D3301" s="57" t="s">
        <v>3792</v>
      </c>
      <c r="E3301" s="57" t="s">
        <v>3792</v>
      </c>
      <c r="F3301" s="57" t="s">
        <v>3792</v>
      </c>
      <c r="G3301" s="57" t="s">
        <v>11086</v>
      </c>
      <c r="H3301" s="77"/>
      <c r="I3301" s="39"/>
      <c r="J3301" s="81" t="s">
        <v>11087</v>
      </c>
      <c r="K3301" s="0" t="s">
        <v>11088</v>
      </c>
    </row>
    <row r="3302" customFormat="false" ht="55.95" hidden="false" customHeight="false" outlineLevel="0" collapsed="false">
      <c r="A3302" s="74"/>
      <c r="B3302" s="80"/>
      <c r="C3302" s="75"/>
      <c r="D3302" s="57" t="s">
        <v>11089</v>
      </c>
      <c r="E3302" s="57" t="s">
        <v>11090</v>
      </c>
      <c r="F3302" s="57" t="s">
        <v>3797</v>
      </c>
      <c r="G3302" s="57" t="s">
        <v>11091</v>
      </c>
      <c r="H3302" s="77" t="s">
        <v>11092</v>
      </c>
      <c r="I3302" s="34" t="s">
        <v>40</v>
      </c>
      <c r="J3302" s="81" t="s">
        <v>11093</v>
      </c>
      <c r="K3302" s="0" t="s">
        <v>11094</v>
      </c>
    </row>
    <row r="3303" customFormat="false" ht="34.2" hidden="false" customHeight="false" outlineLevel="0" collapsed="false">
      <c r="A3303" s="74"/>
      <c r="B3303" s="80"/>
      <c r="C3303" s="75"/>
      <c r="D3303" s="57" t="s">
        <v>3792</v>
      </c>
      <c r="E3303" s="57" t="s">
        <v>3792</v>
      </c>
      <c r="F3303" s="57" t="s">
        <v>3792</v>
      </c>
      <c r="G3303" s="57" t="s">
        <v>11095</v>
      </c>
      <c r="H3303" s="77"/>
      <c r="I3303" s="34"/>
      <c r="J3303" s="81" t="s">
        <v>11096</v>
      </c>
      <c r="K3303" s="0" t="s">
        <v>11097</v>
      </c>
    </row>
    <row r="3304" customFormat="false" ht="55.95" hidden="false" customHeight="false" outlineLevel="0" collapsed="false">
      <c r="A3304" s="74"/>
      <c r="B3304" s="80"/>
      <c r="C3304" s="75"/>
      <c r="D3304" s="57" t="s">
        <v>11098</v>
      </c>
      <c r="E3304" s="57" t="s">
        <v>11099</v>
      </c>
      <c r="F3304" s="57" t="s">
        <v>3787</v>
      </c>
      <c r="G3304" s="57" t="s">
        <v>11100</v>
      </c>
      <c r="H3304" s="77" t="s">
        <v>11101</v>
      </c>
      <c r="I3304" s="37" t="s">
        <v>50</v>
      </c>
      <c r="J3304" s="81" t="s">
        <v>11102</v>
      </c>
      <c r="K3304" s="0" t="s">
        <v>11103</v>
      </c>
    </row>
    <row r="3305" customFormat="false" ht="45.05" hidden="false" customHeight="false" outlineLevel="0" collapsed="false">
      <c r="A3305" s="74"/>
      <c r="B3305" s="80"/>
      <c r="C3305" s="75"/>
      <c r="D3305" s="57" t="s">
        <v>3792</v>
      </c>
      <c r="E3305" s="57" t="s">
        <v>3792</v>
      </c>
      <c r="F3305" s="57" t="s">
        <v>3792</v>
      </c>
      <c r="G3305" s="57" t="s">
        <v>11104</v>
      </c>
      <c r="H3305" s="77"/>
      <c r="I3305" s="37"/>
      <c r="J3305" s="81" t="s">
        <v>11105</v>
      </c>
      <c r="K3305" s="0" t="s">
        <v>11106</v>
      </c>
    </row>
    <row r="3306" customFormat="false" ht="45.05" hidden="false" customHeight="false" outlineLevel="0" collapsed="false">
      <c r="A3306" s="74"/>
      <c r="B3306" s="80"/>
      <c r="C3306" s="75"/>
      <c r="D3306" s="57" t="s">
        <v>11107</v>
      </c>
      <c r="E3306" s="57" t="s">
        <v>11108</v>
      </c>
      <c r="F3306" s="57" t="s">
        <v>3806</v>
      </c>
      <c r="G3306" s="57" t="s">
        <v>11109</v>
      </c>
      <c r="H3306" s="77" t="s">
        <v>11110</v>
      </c>
      <c r="I3306" s="34" t="s">
        <v>40</v>
      </c>
      <c r="J3306" s="81" t="s">
        <v>11111</v>
      </c>
      <c r="K3306" s="0" t="s">
        <v>11112</v>
      </c>
    </row>
    <row r="3307" customFormat="false" ht="55.95" hidden="false" customHeight="false" outlineLevel="0" collapsed="false">
      <c r="A3307" s="74"/>
      <c r="B3307" s="80"/>
      <c r="C3307" s="75"/>
      <c r="D3307" s="0"/>
      <c r="E3307" s="57" t="s">
        <v>3792</v>
      </c>
      <c r="F3307" s="57" t="s">
        <v>3792</v>
      </c>
      <c r="G3307" s="57" t="s">
        <v>11113</v>
      </c>
      <c r="H3307" s="77"/>
      <c r="I3307" s="34"/>
      <c r="J3307" s="81" t="s">
        <v>11114</v>
      </c>
      <c r="K3307" s="0" t="s">
        <v>11115</v>
      </c>
    </row>
    <row r="3308" customFormat="false" ht="34.2" hidden="false" customHeight="true" outlineLevel="0" collapsed="false">
      <c r="A3308" s="74"/>
      <c r="B3308" s="80"/>
      <c r="C3308" s="75" t="s">
        <v>11116</v>
      </c>
      <c r="D3308" s="57" t="s">
        <v>11117</v>
      </c>
      <c r="E3308" s="57" t="s">
        <v>11118</v>
      </c>
      <c r="F3308" s="57" t="s">
        <v>3787</v>
      </c>
      <c r="G3308" s="57" t="s">
        <v>11119</v>
      </c>
      <c r="H3308" s="77" t="s">
        <v>11120</v>
      </c>
      <c r="I3308" s="39" t="s">
        <v>67</v>
      </c>
      <c r="J3308" s="81" t="s">
        <v>11121</v>
      </c>
      <c r="K3308" s="0" t="s">
        <v>11122</v>
      </c>
    </row>
    <row r="3309" customFormat="false" ht="45.05" hidden="false" customHeight="false" outlineLevel="0" collapsed="false">
      <c r="A3309" s="74"/>
      <c r="B3309" s="80"/>
      <c r="C3309" s="75"/>
      <c r="D3309" s="57" t="s">
        <v>3792</v>
      </c>
      <c r="E3309" s="57" t="s">
        <v>3792</v>
      </c>
      <c r="F3309" s="57" t="s">
        <v>3792</v>
      </c>
      <c r="G3309" s="57" t="s">
        <v>11123</v>
      </c>
      <c r="H3309" s="77"/>
      <c r="I3309" s="39"/>
      <c r="J3309" s="81" t="s">
        <v>11124</v>
      </c>
      <c r="K3309" s="0" t="s">
        <v>11125</v>
      </c>
    </row>
    <row r="3310" customFormat="false" ht="45.05" hidden="false" customHeight="false" outlineLevel="0" collapsed="false">
      <c r="A3310" s="74"/>
      <c r="B3310" s="80"/>
      <c r="C3310" s="75"/>
      <c r="D3310" s="57" t="s">
        <v>11126</v>
      </c>
      <c r="E3310" s="57" t="s">
        <v>11127</v>
      </c>
      <c r="F3310" s="57" t="s">
        <v>3797</v>
      </c>
      <c r="G3310" s="57" t="s">
        <v>11128</v>
      </c>
      <c r="H3310" s="77" t="s">
        <v>11129</v>
      </c>
      <c r="I3310" s="34" t="s">
        <v>40</v>
      </c>
      <c r="J3310" s="81" t="s">
        <v>11130</v>
      </c>
      <c r="K3310" s="0" t="s">
        <v>11131</v>
      </c>
    </row>
    <row r="3311" customFormat="false" ht="45.05" hidden="false" customHeight="false" outlineLevel="0" collapsed="false">
      <c r="A3311" s="74"/>
      <c r="B3311" s="80"/>
      <c r="C3311" s="75"/>
      <c r="D3311" s="57" t="s">
        <v>3792</v>
      </c>
      <c r="E3311" s="57" t="s">
        <v>3792</v>
      </c>
      <c r="F3311" s="57" t="s">
        <v>3792</v>
      </c>
      <c r="G3311" s="57" t="s">
        <v>11132</v>
      </c>
      <c r="H3311" s="77"/>
      <c r="I3311" s="34"/>
      <c r="J3311" s="81" t="s">
        <v>11096</v>
      </c>
      <c r="K3311" s="0" t="s">
        <v>11133</v>
      </c>
    </row>
    <row r="3312" customFormat="false" ht="45.05" hidden="false" customHeight="false" outlineLevel="0" collapsed="false">
      <c r="A3312" s="74"/>
      <c r="B3312" s="80"/>
      <c r="C3312" s="75"/>
      <c r="D3312" s="57" t="s">
        <v>11134</v>
      </c>
      <c r="E3312" s="57" t="s">
        <v>11135</v>
      </c>
      <c r="F3312" s="57" t="s">
        <v>3806</v>
      </c>
      <c r="G3312" s="57" t="s">
        <v>11136</v>
      </c>
      <c r="H3312" s="77" t="s">
        <v>11137</v>
      </c>
      <c r="I3312" s="34" t="s">
        <v>40</v>
      </c>
      <c r="J3312" s="81" t="s">
        <v>11138</v>
      </c>
      <c r="K3312" s="0" t="s">
        <v>11139</v>
      </c>
    </row>
    <row r="3313" customFormat="false" ht="45.05" hidden="false" customHeight="false" outlineLevel="0" collapsed="false">
      <c r="A3313" s="74"/>
      <c r="B3313" s="80"/>
      <c r="C3313" s="75"/>
      <c r="D3313" s="57" t="s">
        <v>3792</v>
      </c>
      <c r="E3313" s="57" t="s">
        <v>3792</v>
      </c>
      <c r="F3313" s="57" t="s">
        <v>3792</v>
      </c>
      <c r="G3313" s="57" t="s">
        <v>11140</v>
      </c>
      <c r="H3313" s="77"/>
      <c r="I3313" s="34"/>
      <c r="J3313" s="81" t="s">
        <v>11141</v>
      </c>
      <c r="K3313" s="0" t="s">
        <v>11142</v>
      </c>
    </row>
    <row r="3314" customFormat="false" ht="34.2" hidden="false" customHeight="false" outlineLevel="0" collapsed="false">
      <c r="A3314" s="74"/>
      <c r="B3314" s="80"/>
      <c r="C3314" s="75"/>
      <c r="D3314" s="57" t="s">
        <v>11143</v>
      </c>
      <c r="E3314" s="57" t="s">
        <v>11144</v>
      </c>
      <c r="F3314" s="57" t="s">
        <v>3787</v>
      </c>
      <c r="G3314" s="57" t="s">
        <v>11145</v>
      </c>
      <c r="H3314" s="77" t="s">
        <v>11146</v>
      </c>
      <c r="I3314" s="39" t="s">
        <v>67</v>
      </c>
      <c r="J3314" s="81" t="s">
        <v>11147</v>
      </c>
      <c r="K3314" s="0" t="s">
        <v>11148</v>
      </c>
    </row>
    <row r="3315" customFormat="false" ht="34.2" hidden="false" customHeight="false" outlineLevel="0" collapsed="false">
      <c r="A3315" s="74"/>
      <c r="B3315" s="80"/>
      <c r="C3315" s="75"/>
      <c r="D3315" s="57" t="s">
        <v>3792</v>
      </c>
      <c r="E3315" s="57" t="s">
        <v>3792</v>
      </c>
      <c r="F3315" s="57" t="s">
        <v>3792</v>
      </c>
      <c r="G3315" s="57" t="s">
        <v>11149</v>
      </c>
      <c r="H3315" s="77"/>
      <c r="I3315" s="39"/>
      <c r="J3315" s="81" t="s">
        <v>11150</v>
      </c>
      <c r="K3315" s="0" t="s">
        <v>11151</v>
      </c>
    </row>
    <row r="3316" customFormat="false" ht="45.05" hidden="false" customHeight="false" outlineLevel="0" collapsed="false">
      <c r="A3316" s="74"/>
      <c r="B3316" s="80"/>
      <c r="C3316" s="75"/>
      <c r="D3316" s="57" t="s">
        <v>11152</v>
      </c>
      <c r="E3316" s="57" t="s">
        <v>11153</v>
      </c>
      <c r="F3316" s="57" t="s">
        <v>3797</v>
      </c>
      <c r="G3316" s="57" t="s">
        <v>11154</v>
      </c>
      <c r="H3316" s="77" t="s">
        <v>11155</v>
      </c>
      <c r="I3316" s="37" t="s">
        <v>50</v>
      </c>
      <c r="J3316" s="81" t="s">
        <v>11138</v>
      </c>
      <c r="K3316" s="0" t="s">
        <v>11156</v>
      </c>
    </row>
    <row r="3317" customFormat="false" ht="34.2" hidden="false" customHeight="false" outlineLevel="0" collapsed="false">
      <c r="A3317" s="74"/>
      <c r="B3317" s="80"/>
      <c r="C3317" s="75"/>
      <c r="D3317" s="0"/>
      <c r="E3317" s="57" t="s">
        <v>3792</v>
      </c>
      <c r="F3317" s="57" t="s">
        <v>3792</v>
      </c>
      <c r="G3317" s="57" t="s">
        <v>11157</v>
      </c>
      <c r="H3317" s="77"/>
      <c r="I3317" s="37"/>
      <c r="J3317" s="81" t="s">
        <v>11158</v>
      </c>
      <c r="K3317" s="0" t="s">
        <v>11159</v>
      </c>
    </row>
    <row r="3318" customFormat="false" ht="45.05" hidden="false" customHeight="true" outlineLevel="0" collapsed="false">
      <c r="A3318" s="74"/>
      <c r="B3318" s="80"/>
      <c r="C3318" s="75" t="s">
        <v>11160</v>
      </c>
      <c r="D3318" s="57" t="s">
        <v>11161</v>
      </c>
      <c r="E3318" s="57" t="s">
        <v>11162</v>
      </c>
      <c r="F3318" s="57" t="s">
        <v>3806</v>
      </c>
      <c r="G3318" s="57" t="s">
        <v>11163</v>
      </c>
      <c r="H3318" s="77" t="s">
        <v>11164</v>
      </c>
      <c r="I3318" s="37" t="s">
        <v>50</v>
      </c>
      <c r="J3318" s="81" t="s">
        <v>11165</v>
      </c>
      <c r="K3318" s="0" t="s">
        <v>11166</v>
      </c>
    </row>
    <row r="3319" customFormat="false" ht="45.05" hidden="false" customHeight="false" outlineLevel="0" collapsed="false">
      <c r="A3319" s="74"/>
      <c r="B3319" s="80"/>
      <c r="C3319" s="75"/>
      <c r="D3319" s="57" t="s">
        <v>3792</v>
      </c>
      <c r="E3319" s="57" t="s">
        <v>3792</v>
      </c>
      <c r="F3319" s="57" t="s">
        <v>3792</v>
      </c>
      <c r="G3319" s="57" t="s">
        <v>11167</v>
      </c>
      <c r="H3319" s="77"/>
      <c r="I3319" s="37"/>
      <c r="J3319" s="81" t="s">
        <v>11168</v>
      </c>
      <c r="K3319" s="0" t="s">
        <v>11169</v>
      </c>
    </row>
    <row r="3320" customFormat="false" ht="45.05" hidden="false" customHeight="false" outlineLevel="0" collapsed="false">
      <c r="A3320" s="74"/>
      <c r="B3320" s="80"/>
      <c r="C3320" s="75"/>
      <c r="D3320" s="57" t="s">
        <v>11170</v>
      </c>
      <c r="E3320" s="57" t="s">
        <v>11171</v>
      </c>
      <c r="F3320" s="57" t="s">
        <v>3797</v>
      </c>
      <c r="G3320" s="57" t="s">
        <v>11172</v>
      </c>
      <c r="H3320" s="77" t="s">
        <v>11173</v>
      </c>
      <c r="I3320" s="39" t="s">
        <v>67</v>
      </c>
      <c r="J3320" s="81" t="s">
        <v>11174</v>
      </c>
      <c r="K3320" s="0" t="s">
        <v>11175</v>
      </c>
    </row>
    <row r="3321" customFormat="false" ht="34.2" hidden="false" customHeight="false" outlineLevel="0" collapsed="false">
      <c r="A3321" s="74"/>
      <c r="B3321" s="80"/>
      <c r="C3321" s="75"/>
      <c r="D3321" s="57" t="s">
        <v>3792</v>
      </c>
      <c r="E3321" s="57" t="s">
        <v>3792</v>
      </c>
      <c r="F3321" s="57" t="s">
        <v>3792</v>
      </c>
      <c r="G3321" s="57" t="s">
        <v>11176</v>
      </c>
      <c r="H3321" s="77"/>
      <c r="I3321" s="39"/>
      <c r="J3321" s="81" t="s">
        <v>11177</v>
      </c>
      <c r="K3321" s="0" t="s">
        <v>11178</v>
      </c>
    </row>
    <row r="3322" customFormat="false" ht="45.05" hidden="false" customHeight="false" outlineLevel="0" collapsed="false">
      <c r="A3322" s="74"/>
      <c r="B3322" s="80"/>
      <c r="C3322" s="75"/>
      <c r="D3322" s="57" t="s">
        <v>11179</v>
      </c>
      <c r="E3322" s="57" t="s">
        <v>11180</v>
      </c>
      <c r="F3322" s="57" t="s">
        <v>3787</v>
      </c>
      <c r="G3322" s="57" t="s">
        <v>11181</v>
      </c>
      <c r="H3322" s="77" t="s">
        <v>11182</v>
      </c>
      <c r="I3322" s="34" t="s">
        <v>40</v>
      </c>
      <c r="J3322" s="81" t="s">
        <v>11183</v>
      </c>
      <c r="K3322" s="0" t="s">
        <v>11184</v>
      </c>
    </row>
    <row r="3323" customFormat="false" ht="45.05" hidden="false" customHeight="false" outlineLevel="0" collapsed="false">
      <c r="A3323" s="74"/>
      <c r="B3323" s="80"/>
      <c r="C3323" s="75"/>
      <c r="D3323" s="57" t="s">
        <v>3792</v>
      </c>
      <c r="E3323" s="57" t="s">
        <v>3792</v>
      </c>
      <c r="F3323" s="57" t="s">
        <v>3792</v>
      </c>
      <c r="G3323" s="57" t="s">
        <v>11185</v>
      </c>
      <c r="H3323" s="77"/>
      <c r="I3323" s="34"/>
      <c r="J3323" s="81" t="s">
        <v>11186</v>
      </c>
      <c r="K3323" s="0" t="s">
        <v>11187</v>
      </c>
    </row>
    <row r="3324" customFormat="false" ht="34.2" hidden="false" customHeight="false" outlineLevel="0" collapsed="false">
      <c r="A3324" s="74"/>
      <c r="B3324" s="80"/>
      <c r="C3324" s="75"/>
      <c r="D3324" s="57" t="s">
        <v>11188</v>
      </c>
      <c r="E3324" s="57" t="s">
        <v>11189</v>
      </c>
      <c r="F3324" s="57" t="s">
        <v>3806</v>
      </c>
      <c r="G3324" s="57" t="s">
        <v>11190</v>
      </c>
      <c r="H3324" s="77" t="s">
        <v>11191</v>
      </c>
      <c r="I3324" s="39" t="s">
        <v>67</v>
      </c>
      <c r="J3324" s="81" t="s">
        <v>11192</v>
      </c>
      <c r="K3324" s="0" t="s">
        <v>11193</v>
      </c>
    </row>
    <row r="3325" customFormat="false" ht="34.2" hidden="false" customHeight="false" outlineLevel="0" collapsed="false">
      <c r="A3325" s="74"/>
      <c r="B3325" s="80"/>
      <c r="C3325" s="75"/>
      <c r="D3325" s="57" t="s">
        <v>3792</v>
      </c>
      <c r="E3325" s="57" t="s">
        <v>3792</v>
      </c>
      <c r="F3325" s="57" t="s">
        <v>3792</v>
      </c>
      <c r="G3325" s="57" t="s">
        <v>11194</v>
      </c>
      <c r="H3325" s="77"/>
      <c r="I3325" s="39"/>
      <c r="J3325" s="81" t="s">
        <v>11195</v>
      </c>
      <c r="K3325" s="0" t="s">
        <v>11196</v>
      </c>
    </row>
    <row r="3326" customFormat="false" ht="34.2" hidden="false" customHeight="false" outlineLevel="0" collapsed="false">
      <c r="A3326" s="74"/>
      <c r="B3326" s="80"/>
      <c r="C3326" s="75"/>
      <c r="D3326" s="57" t="s">
        <v>11197</v>
      </c>
      <c r="E3326" s="57" t="s">
        <v>11198</v>
      </c>
      <c r="F3326" s="57" t="s">
        <v>3787</v>
      </c>
      <c r="G3326" s="57" t="s">
        <v>11199</v>
      </c>
      <c r="H3326" s="77" t="s">
        <v>11200</v>
      </c>
      <c r="I3326" s="37" t="s">
        <v>50</v>
      </c>
      <c r="J3326" s="81" t="s">
        <v>10976</v>
      </c>
      <c r="K3326" s="0" t="s">
        <v>11201</v>
      </c>
    </row>
    <row r="3327" customFormat="false" ht="45.05" hidden="false" customHeight="false" outlineLevel="0" collapsed="false">
      <c r="A3327" s="74"/>
      <c r="B3327" s="80"/>
      <c r="C3327" s="75"/>
      <c r="D3327" s="0"/>
      <c r="E3327" s="57" t="s">
        <v>3792</v>
      </c>
      <c r="F3327" s="57" t="s">
        <v>3792</v>
      </c>
      <c r="G3327" s="57" t="s">
        <v>11202</v>
      </c>
      <c r="H3327" s="77"/>
      <c r="I3327" s="37"/>
      <c r="J3327" s="81" t="s">
        <v>11013</v>
      </c>
      <c r="K3327" s="0" t="s">
        <v>11203</v>
      </c>
    </row>
    <row r="3328" customFormat="false" ht="45.05" hidden="false" customHeight="true" outlineLevel="0" collapsed="false">
      <c r="A3328" s="74"/>
      <c r="B3328" s="80"/>
      <c r="C3328" s="75" t="s">
        <v>11204</v>
      </c>
      <c r="D3328" s="57" t="s">
        <v>11205</v>
      </c>
      <c r="E3328" s="57" t="s">
        <v>11206</v>
      </c>
      <c r="F3328" s="57" t="s">
        <v>3806</v>
      </c>
      <c r="G3328" s="57" t="s">
        <v>11207</v>
      </c>
      <c r="H3328" s="77" t="s">
        <v>11208</v>
      </c>
      <c r="I3328" s="37" t="s">
        <v>50</v>
      </c>
      <c r="J3328" s="81" t="s">
        <v>11209</v>
      </c>
      <c r="K3328" s="0" t="s">
        <v>11210</v>
      </c>
    </row>
    <row r="3329" customFormat="false" ht="34.2" hidden="false" customHeight="false" outlineLevel="0" collapsed="false">
      <c r="A3329" s="74"/>
      <c r="B3329" s="80"/>
      <c r="C3329" s="75"/>
      <c r="D3329" s="57" t="s">
        <v>3792</v>
      </c>
      <c r="E3329" s="57" t="s">
        <v>3792</v>
      </c>
      <c r="F3329" s="57" t="s">
        <v>3792</v>
      </c>
      <c r="G3329" s="57" t="s">
        <v>11211</v>
      </c>
      <c r="H3329" s="77"/>
      <c r="I3329" s="37"/>
      <c r="J3329" s="81" t="s">
        <v>11212</v>
      </c>
      <c r="K3329" s="0" t="s">
        <v>11213</v>
      </c>
    </row>
    <row r="3330" customFormat="false" ht="45.05" hidden="false" customHeight="false" outlineLevel="0" collapsed="false">
      <c r="A3330" s="74"/>
      <c r="B3330" s="80"/>
      <c r="C3330" s="75"/>
      <c r="D3330" s="57" t="s">
        <v>11214</v>
      </c>
      <c r="E3330" s="57" t="s">
        <v>11215</v>
      </c>
      <c r="F3330" s="57" t="s">
        <v>3797</v>
      </c>
      <c r="G3330" s="57" t="s">
        <v>11216</v>
      </c>
      <c r="H3330" s="77" t="s">
        <v>11217</v>
      </c>
      <c r="I3330" s="39" t="s">
        <v>67</v>
      </c>
      <c r="J3330" s="81" t="s">
        <v>11218</v>
      </c>
      <c r="K3330" s="0" t="s">
        <v>11219</v>
      </c>
    </row>
    <row r="3331" customFormat="false" ht="34.2" hidden="false" customHeight="false" outlineLevel="0" collapsed="false">
      <c r="A3331" s="74"/>
      <c r="B3331" s="80"/>
      <c r="C3331" s="75"/>
      <c r="D3331" s="57" t="s">
        <v>3792</v>
      </c>
      <c r="E3331" s="57" t="s">
        <v>3792</v>
      </c>
      <c r="F3331" s="57" t="s">
        <v>3792</v>
      </c>
      <c r="G3331" s="57" t="s">
        <v>11220</v>
      </c>
      <c r="H3331" s="77"/>
      <c r="I3331" s="39"/>
      <c r="J3331" s="81" t="s">
        <v>11221</v>
      </c>
      <c r="K3331" s="0" t="s">
        <v>11222</v>
      </c>
    </row>
    <row r="3332" customFormat="false" ht="45.05" hidden="false" customHeight="false" outlineLevel="0" collapsed="false">
      <c r="A3332" s="74"/>
      <c r="B3332" s="80"/>
      <c r="C3332" s="75"/>
      <c r="D3332" s="57" t="s">
        <v>11223</v>
      </c>
      <c r="E3332" s="57" t="s">
        <v>11224</v>
      </c>
      <c r="F3332" s="57" t="s">
        <v>3787</v>
      </c>
      <c r="G3332" s="57" t="s">
        <v>11225</v>
      </c>
      <c r="H3332" s="77" t="s">
        <v>11226</v>
      </c>
      <c r="I3332" s="34" t="s">
        <v>40</v>
      </c>
      <c r="J3332" s="81" t="s">
        <v>11227</v>
      </c>
      <c r="K3332" s="0" t="s">
        <v>11228</v>
      </c>
    </row>
    <row r="3333" customFormat="false" ht="34.2" hidden="false" customHeight="false" outlineLevel="0" collapsed="false">
      <c r="A3333" s="74"/>
      <c r="B3333" s="80"/>
      <c r="C3333" s="75"/>
      <c r="D3333" s="57" t="s">
        <v>3792</v>
      </c>
      <c r="E3333" s="57" t="s">
        <v>3792</v>
      </c>
      <c r="F3333" s="57" t="s">
        <v>3792</v>
      </c>
      <c r="G3333" s="57" t="s">
        <v>11229</v>
      </c>
      <c r="H3333" s="77"/>
      <c r="I3333" s="34"/>
      <c r="J3333" s="81" t="s">
        <v>11230</v>
      </c>
      <c r="K3333" s="0" t="s">
        <v>11231</v>
      </c>
    </row>
    <row r="3334" customFormat="false" ht="34.2" hidden="false" customHeight="false" outlineLevel="0" collapsed="false">
      <c r="A3334" s="74"/>
      <c r="B3334" s="80"/>
      <c r="C3334" s="75"/>
      <c r="D3334" s="57" t="s">
        <v>11232</v>
      </c>
      <c r="E3334" s="57" t="s">
        <v>11233</v>
      </c>
      <c r="F3334" s="57" t="s">
        <v>3797</v>
      </c>
      <c r="G3334" s="57" t="s">
        <v>11234</v>
      </c>
      <c r="H3334" s="77" t="s">
        <v>11235</v>
      </c>
      <c r="I3334" s="39" t="s">
        <v>67</v>
      </c>
      <c r="J3334" s="81" t="s">
        <v>11236</v>
      </c>
      <c r="K3334" s="0" t="s">
        <v>11237</v>
      </c>
    </row>
    <row r="3335" customFormat="false" ht="21.75" hidden="false" customHeight="false" outlineLevel="0" collapsed="false">
      <c r="A3335" s="74"/>
      <c r="B3335" s="80"/>
      <c r="C3335" s="75"/>
      <c r="D3335" s="57" t="s">
        <v>3792</v>
      </c>
      <c r="E3335" s="57" t="s">
        <v>3792</v>
      </c>
      <c r="F3335" s="57" t="s">
        <v>3792</v>
      </c>
      <c r="G3335" s="57" t="s">
        <v>11238</v>
      </c>
      <c r="H3335" s="77"/>
      <c r="I3335" s="39"/>
      <c r="J3335" s="81" t="s">
        <v>11239</v>
      </c>
      <c r="K3335" s="0" t="s">
        <v>11240</v>
      </c>
    </row>
    <row r="3336" customFormat="false" ht="45.05" hidden="false" customHeight="false" outlineLevel="0" collapsed="false">
      <c r="A3336" s="74"/>
      <c r="B3336" s="80"/>
      <c r="C3336" s="75"/>
      <c r="D3336" s="57" t="s">
        <v>11241</v>
      </c>
      <c r="E3336" s="57" t="s">
        <v>11242</v>
      </c>
      <c r="F3336" s="57" t="s">
        <v>3806</v>
      </c>
      <c r="G3336" s="57" t="s">
        <v>11243</v>
      </c>
      <c r="H3336" s="77" t="s">
        <v>11244</v>
      </c>
      <c r="I3336" s="37" t="s">
        <v>50</v>
      </c>
      <c r="J3336" s="81" t="s">
        <v>11245</v>
      </c>
      <c r="K3336" s="0" t="s">
        <v>11246</v>
      </c>
    </row>
    <row r="3337" customFormat="false" ht="55.95" hidden="false" customHeight="false" outlineLevel="0" collapsed="false">
      <c r="A3337" s="74"/>
      <c r="B3337" s="80"/>
      <c r="C3337" s="75"/>
      <c r="D3337" s="0"/>
      <c r="E3337" s="57" t="s">
        <v>3792</v>
      </c>
      <c r="F3337" s="57" t="s">
        <v>3792</v>
      </c>
      <c r="G3337" s="57" t="s">
        <v>11247</v>
      </c>
      <c r="H3337" s="77"/>
      <c r="I3337" s="37"/>
      <c r="J3337" s="81" t="s">
        <v>11248</v>
      </c>
      <c r="K3337" s="0" t="s">
        <v>11249</v>
      </c>
    </row>
    <row r="3338" customFormat="false" ht="34.2" hidden="false" customHeight="true" outlineLevel="0" collapsed="false">
      <c r="A3338" s="74"/>
      <c r="B3338" s="80"/>
      <c r="C3338" s="75" t="s">
        <v>11250</v>
      </c>
      <c r="D3338" s="57" t="s">
        <v>11251</v>
      </c>
      <c r="E3338" s="57" t="s">
        <v>11252</v>
      </c>
      <c r="F3338" s="57" t="s">
        <v>3787</v>
      </c>
      <c r="G3338" s="57" t="s">
        <v>11253</v>
      </c>
      <c r="H3338" s="77" t="s">
        <v>11254</v>
      </c>
      <c r="I3338" s="37" t="s">
        <v>50</v>
      </c>
      <c r="J3338" s="81" t="s">
        <v>11255</v>
      </c>
      <c r="K3338" s="0" t="s">
        <v>11256</v>
      </c>
    </row>
    <row r="3339" customFormat="false" ht="45.05" hidden="false" customHeight="false" outlineLevel="0" collapsed="false">
      <c r="A3339" s="74"/>
      <c r="B3339" s="80"/>
      <c r="C3339" s="75"/>
      <c r="D3339" s="57" t="s">
        <v>3792</v>
      </c>
      <c r="E3339" s="57" t="s">
        <v>3792</v>
      </c>
      <c r="F3339" s="57" t="s">
        <v>3792</v>
      </c>
      <c r="G3339" s="57" t="s">
        <v>11257</v>
      </c>
      <c r="H3339" s="77"/>
      <c r="I3339" s="37"/>
      <c r="J3339" s="81" t="s">
        <v>11258</v>
      </c>
      <c r="K3339" s="0" t="s">
        <v>11259</v>
      </c>
    </row>
    <row r="3340" customFormat="false" ht="45.05" hidden="false" customHeight="false" outlineLevel="0" collapsed="false">
      <c r="A3340" s="74"/>
      <c r="B3340" s="80"/>
      <c r="C3340" s="75"/>
      <c r="D3340" s="57" t="s">
        <v>11260</v>
      </c>
      <c r="E3340" s="57" t="s">
        <v>11261</v>
      </c>
      <c r="F3340" s="57" t="s">
        <v>3797</v>
      </c>
      <c r="G3340" s="57" t="s">
        <v>11262</v>
      </c>
      <c r="H3340" s="77" t="s">
        <v>11263</v>
      </c>
      <c r="I3340" s="39" t="s">
        <v>67</v>
      </c>
      <c r="J3340" s="81" t="s">
        <v>11264</v>
      </c>
      <c r="K3340" s="0" t="s">
        <v>11265</v>
      </c>
    </row>
    <row r="3341" customFormat="false" ht="45.05" hidden="false" customHeight="false" outlineLevel="0" collapsed="false">
      <c r="A3341" s="74"/>
      <c r="B3341" s="80"/>
      <c r="C3341" s="75"/>
      <c r="D3341" s="57" t="s">
        <v>3792</v>
      </c>
      <c r="E3341" s="57" t="s">
        <v>3792</v>
      </c>
      <c r="F3341" s="57" t="s">
        <v>3792</v>
      </c>
      <c r="G3341" s="57" t="s">
        <v>11266</v>
      </c>
      <c r="H3341" s="77"/>
      <c r="I3341" s="39"/>
      <c r="J3341" s="81" t="s">
        <v>11267</v>
      </c>
      <c r="K3341" s="0" t="s">
        <v>11268</v>
      </c>
    </row>
    <row r="3342" customFormat="false" ht="45.05" hidden="false" customHeight="false" outlineLevel="0" collapsed="false">
      <c r="A3342" s="74"/>
      <c r="B3342" s="80"/>
      <c r="C3342" s="75"/>
      <c r="D3342" s="57" t="s">
        <v>11269</v>
      </c>
      <c r="E3342" s="57" t="s">
        <v>11270</v>
      </c>
      <c r="F3342" s="57" t="s">
        <v>3806</v>
      </c>
      <c r="G3342" s="57" t="s">
        <v>11271</v>
      </c>
      <c r="H3342" s="77" t="s">
        <v>11272</v>
      </c>
      <c r="I3342" s="34" t="s">
        <v>40</v>
      </c>
      <c r="J3342" s="81" t="s">
        <v>11273</v>
      </c>
      <c r="K3342" s="0" t="s">
        <v>11274</v>
      </c>
    </row>
    <row r="3343" customFormat="false" ht="45.05" hidden="false" customHeight="false" outlineLevel="0" collapsed="false">
      <c r="A3343" s="74"/>
      <c r="B3343" s="80"/>
      <c r="C3343" s="75"/>
      <c r="D3343" s="57" t="s">
        <v>3792</v>
      </c>
      <c r="E3343" s="57" t="s">
        <v>3792</v>
      </c>
      <c r="F3343" s="57" t="s">
        <v>3792</v>
      </c>
      <c r="G3343" s="57" t="s">
        <v>11275</v>
      </c>
      <c r="H3343" s="77"/>
      <c r="I3343" s="34"/>
      <c r="J3343" s="81" t="s">
        <v>11276</v>
      </c>
      <c r="K3343" s="0" t="s">
        <v>11277</v>
      </c>
    </row>
    <row r="3344" customFormat="false" ht="45.05" hidden="false" customHeight="false" outlineLevel="0" collapsed="false">
      <c r="A3344" s="74"/>
      <c r="B3344" s="80"/>
      <c r="C3344" s="75"/>
      <c r="D3344" s="57" t="s">
        <v>11278</v>
      </c>
      <c r="E3344" s="57" t="s">
        <v>11279</v>
      </c>
      <c r="F3344" s="57" t="s">
        <v>3797</v>
      </c>
      <c r="G3344" s="57" t="s">
        <v>11280</v>
      </c>
      <c r="H3344" s="77" t="s">
        <v>11281</v>
      </c>
      <c r="I3344" s="39" t="s">
        <v>67</v>
      </c>
      <c r="J3344" s="81" t="s">
        <v>11282</v>
      </c>
      <c r="K3344" s="0" t="s">
        <v>11283</v>
      </c>
    </row>
    <row r="3345" customFormat="false" ht="45.05" hidden="false" customHeight="false" outlineLevel="0" collapsed="false">
      <c r="A3345" s="74"/>
      <c r="B3345" s="80"/>
      <c r="C3345" s="75"/>
      <c r="D3345" s="57" t="s">
        <v>3792</v>
      </c>
      <c r="E3345" s="57" t="s">
        <v>3792</v>
      </c>
      <c r="F3345" s="57" t="s">
        <v>3792</v>
      </c>
      <c r="G3345" s="57" t="s">
        <v>11284</v>
      </c>
      <c r="H3345" s="77"/>
      <c r="I3345" s="39"/>
      <c r="J3345" s="81" t="s">
        <v>11285</v>
      </c>
      <c r="K3345" s="0" t="s">
        <v>11286</v>
      </c>
    </row>
    <row r="3346" customFormat="false" ht="45.05" hidden="false" customHeight="false" outlineLevel="0" collapsed="false">
      <c r="A3346" s="74"/>
      <c r="B3346" s="80"/>
      <c r="C3346" s="75"/>
      <c r="D3346" s="57" t="s">
        <v>11287</v>
      </c>
      <c r="E3346" s="57" t="s">
        <v>11288</v>
      </c>
      <c r="F3346" s="57" t="s">
        <v>3787</v>
      </c>
      <c r="G3346" s="57" t="s">
        <v>11289</v>
      </c>
      <c r="H3346" s="77" t="s">
        <v>11290</v>
      </c>
      <c r="I3346" s="37" t="s">
        <v>50</v>
      </c>
      <c r="J3346" s="81" t="s">
        <v>11291</v>
      </c>
      <c r="K3346" s="0" t="s">
        <v>11292</v>
      </c>
    </row>
    <row r="3347" customFormat="false" ht="45.05" hidden="false" customHeight="false" outlineLevel="0" collapsed="false">
      <c r="A3347" s="74"/>
      <c r="B3347" s="80"/>
      <c r="C3347" s="75"/>
      <c r="D3347" s="0"/>
      <c r="E3347" s="57"/>
      <c r="F3347" s="57"/>
      <c r="G3347" s="57" t="s">
        <v>11293</v>
      </c>
      <c r="H3347" s="77"/>
      <c r="I3347" s="37"/>
      <c r="J3347" s="81" t="s">
        <v>11294</v>
      </c>
      <c r="K3347" s="0" t="s">
        <v>11295</v>
      </c>
    </row>
    <row r="3348" customFormat="false" ht="34.2" hidden="false" customHeight="false" outlineLevel="0" collapsed="false">
      <c r="A3348" s="74"/>
      <c r="B3348" s="80"/>
      <c r="C3348" s="80"/>
      <c r="D3348" s="0"/>
      <c r="E3348" s="57" t="s">
        <v>3792</v>
      </c>
      <c r="F3348" s="57" t="s">
        <v>3792</v>
      </c>
      <c r="G3348" s="57" t="s">
        <v>11296</v>
      </c>
      <c r="H3348" s="77" t="s">
        <v>11297</v>
      </c>
      <c r="I3348" s="37" t="s">
        <v>50</v>
      </c>
      <c r="J3348" s="81" t="s">
        <v>11298</v>
      </c>
      <c r="K3348" s="0" t="s">
        <v>11299</v>
      </c>
    </row>
    <row r="3349" customFormat="false" ht="45.05" hidden="false" customHeight="true" outlineLevel="0" collapsed="false">
      <c r="A3349" s="74"/>
      <c r="B3349" s="80"/>
      <c r="C3349" s="75" t="s">
        <v>11300</v>
      </c>
      <c r="D3349" s="57" t="s">
        <v>11301</v>
      </c>
      <c r="E3349" s="57" t="s">
        <v>11302</v>
      </c>
      <c r="F3349" s="57" t="s">
        <v>3806</v>
      </c>
      <c r="G3349" s="57" t="s">
        <v>11303</v>
      </c>
      <c r="H3349" s="77"/>
      <c r="I3349" s="37"/>
      <c r="J3349" s="81" t="s">
        <v>11304</v>
      </c>
      <c r="K3349" s="0" t="s">
        <v>11305</v>
      </c>
    </row>
    <row r="3350" customFormat="false" ht="45.05" hidden="false" customHeight="false" outlineLevel="0" collapsed="false">
      <c r="A3350" s="74"/>
      <c r="B3350" s="80"/>
      <c r="C3350" s="75"/>
      <c r="D3350" s="57" t="s">
        <v>3792</v>
      </c>
      <c r="E3350" s="57" t="s">
        <v>3792</v>
      </c>
      <c r="F3350" s="57" t="s">
        <v>3792</v>
      </c>
      <c r="G3350" s="57" t="s">
        <v>11306</v>
      </c>
      <c r="H3350" s="77" t="s">
        <v>11307</v>
      </c>
      <c r="I3350" s="39" t="s">
        <v>67</v>
      </c>
      <c r="J3350" s="81" t="s">
        <v>11308</v>
      </c>
      <c r="K3350" s="0" t="s">
        <v>11309</v>
      </c>
    </row>
    <row r="3351" customFormat="false" ht="45.05" hidden="false" customHeight="false" outlineLevel="0" collapsed="false">
      <c r="A3351" s="74"/>
      <c r="B3351" s="80"/>
      <c r="C3351" s="75"/>
      <c r="D3351" s="57" t="s">
        <v>11310</v>
      </c>
      <c r="E3351" s="57" t="s">
        <v>11311</v>
      </c>
      <c r="F3351" s="57" t="s">
        <v>3787</v>
      </c>
      <c r="G3351" s="57" t="s">
        <v>11312</v>
      </c>
      <c r="H3351" s="77"/>
      <c r="I3351" s="39"/>
      <c r="J3351" s="81" t="s">
        <v>11313</v>
      </c>
      <c r="K3351" s="0" t="s">
        <v>11314</v>
      </c>
    </row>
    <row r="3352" customFormat="false" ht="55.95" hidden="false" customHeight="false" outlineLevel="0" collapsed="false">
      <c r="A3352" s="74"/>
      <c r="B3352" s="80"/>
      <c r="C3352" s="75"/>
      <c r="D3352" s="57" t="s">
        <v>3792</v>
      </c>
      <c r="E3352" s="57" t="s">
        <v>3792</v>
      </c>
      <c r="F3352" s="57" t="s">
        <v>3792</v>
      </c>
      <c r="G3352" s="57" t="s">
        <v>11315</v>
      </c>
      <c r="H3352" s="77" t="s">
        <v>11316</v>
      </c>
      <c r="I3352" s="34" t="s">
        <v>40</v>
      </c>
      <c r="J3352" s="81" t="s">
        <v>11317</v>
      </c>
      <c r="K3352" s="0" t="s">
        <v>11318</v>
      </c>
    </row>
    <row r="3353" customFormat="false" ht="34.2" hidden="false" customHeight="false" outlineLevel="0" collapsed="false">
      <c r="A3353" s="74"/>
      <c r="B3353" s="80"/>
      <c r="C3353" s="75"/>
      <c r="D3353" s="57" t="s">
        <v>11319</v>
      </c>
      <c r="E3353" s="57" t="s">
        <v>11320</v>
      </c>
      <c r="F3353" s="57" t="s">
        <v>3797</v>
      </c>
      <c r="G3353" s="57" t="s">
        <v>11321</v>
      </c>
      <c r="H3353" s="77"/>
      <c r="I3353" s="34"/>
      <c r="J3353" s="81" t="s">
        <v>11322</v>
      </c>
      <c r="K3353" s="0" t="s">
        <v>11323</v>
      </c>
    </row>
    <row r="3354" customFormat="false" ht="34.2" hidden="false" customHeight="false" outlineLevel="0" collapsed="false">
      <c r="A3354" s="74"/>
      <c r="B3354" s="80"/>
      <c r="C3354" s="75"/>
      <c r="D3354" s="57" t="s">
        <v>3792</v>
      </c>
      <c r="E3354" s="57" t="s">
        <v>3792</v>
      </c>
      <c r="F3354" s="57" t="s">
        <v>3792</v>
      </c>
      <c r="G3354" s="57" t="s">
        <v>11324</v>
      </c>
      <c r="H3354" s="77" t="s">
        <v>11325</v>
      </c>
      <c r="I3354" s="39" t="s">
        <v>67</v>
      </c>
      <c r="J3354" s="81" t="s">
        <v>11326</v>
      </c>
      <c r="K3354" s="0" t="s">
        <v>11327</v>
      </c>
    </row>
    <row r="3355" customFormat="false" ht="34.2" hidden="false" customHeight="false" outlineLevel="0" collapsed="false">
      <c r="A3355" s="74"/>
      <c r="B3355" s="80"/>
      <c r="C3355" s="75"/>
      <c r="D3355" s="57" t="s">
        <v>11328</v>
      </c>
      <c r="E3355" s="57" t="s">
        <v>11329</v>
      </c>
      <c r="F3355" s="57" t="s">
        <v>3806</v>
      </c>
      <c r="G3355" s="57" t="s">
        <v>11330</v>
      </c>
      <c r="H3355" s="77"/>
      <c r="I3355" s="39"/>
      <c r="J3355" s="81" t="s">
        <v>11331</v>
      </c>
      <c r="K3355" s="0" t="s">
        <v>11332</v>
      </c>
    </row>
    <row r="3356" customFormat="false" ht="12.8" hidden="false" customHeight="false" outlineLevel="0" collapsed="false">
      <c r="A3356" s="74"/>
      <c r="B3356" s="80"/>
      <c r="C3356" s="75"/>
      <c r="D3356" s="57" t="s">
        <v>3792</v>
      </c>
      <c r="E3356" s="57" t="s">
        <v>3792</v>
      </c>
      <c r="F3356" s="57" t="s">
        <v>3792</v>
      </c>
      <c r="G3356" s="0"/>
      <c r="H3356" s="77" t="s">
        <v>11333</v>
      </c>
      <c r="I3356" s="37" t="s">
        <v>50</v>
      </c>
      <c r="J3356" s="81" t="s">
        <v>11334</v>
      </c>
      <c r="K3356" s="0" t="s">
        <v>11335</v>
      </c>
    </row>
    <row r="3357" customFormat="false" ht="45.05" hidden="false" customHeight="false" outlineLevel="0" collapsed="false">
      <c r="A3357" s="74"/>
      <c r="B3357" s="80"/>
      <c r="C3357" s="75"/>
      <c r="D3357" s="57" t="s">
        <v>11336</v>
      </c>
      <c r="E3357" s="57" t="s">
        <v>11337</v>
      </c>
      <c r="F3357" s="57" t="s">
        <v>3787</v>
      </c>
      <c r="G3357" s="57" t="s">
        <v>11338</v>
      </c>
      <c r="H3357" s="77"/>
      <c r="I3357" s="37"/>
      <c r="J3357" s="81" t="s">
        <v>11339</v>
      </c>
      <c r="K3357" s="0" t="s">
        <v>11340</v>
      </c>
    </row>
    <row r="3358" customFormat="false" ht="45.05" hidden="false" customHeight="false" outlineLevel="0" collapsed="false">
      <c r="A3358" s="74"/>
      <c r="B3358" s="80"/>
      <c r="C3358" s="75"/>
      <c r="D3358" s="0"/>
      <c r="E3358" s="57" t="s">
        <v>3792</v>
      </c>
      <c r="F3358" s="57" t="s">
        <v>3792</v>
      </c>
      <c r="G3358" s="57" t="s">
        <v>11341</v>
      </c>
      <c r="H3358" s="77" t="s">
        <v>11342</v>
      </c>
      <c r="I3358" s="34" t="s">
        <v>40</v>
      </c>
      <c r="J3358" s="81" t="s">
        <v>10949</v>
      </c>
      <c r="K3358" s="0" t="s">
        <v>11343</v>
      </c>
    </row>
    <row r="3359" customFormat="false" ht="45.05" hidden="false" customHeight="false" outlineLevel="0" collapsed="false">
      <c r="A3359" s="74"/>
      <c r="B3359" s="80"/>
      <c r="C3359" s="74" t="s">
        <v>11344</v>
      </c>
      <c r="D3359" s="57" t="s">
        <v>11345</v>
      </c>
      <c r="E3359" s="57" t="s">
        <v>11346</v>
      </c>
      <c r="F3359" s="57" t="s">
        <v>3806</v>
      </c>
      <c r="G3359" s="57" t="s">
        <v>11347</v>
      </c>
      <c r="H3359" s="77"/>
      <c r="I3359" s="34"/>
      <c r="J3359" s="81" t="s">
        <v>11348</v>
      </c>
      <c r="K3359" s="0" t="s">
        <v>11349</v>
      </c>
    </row>
    <row r="3360" customFormat="false" ht="45.05" hidden="false" customHeight="false" outlineLevel="0" collapsed="false">
      <c r="A3360" s="74"/>
      <c r="B3360" s="80"/>
      <c r="C3360" s="74"/>
      <c r="D3360" s="57" t="s">
        <v>3792</v>
      </c>
      <c r="E3360" s="57" t="s">
        <v>3792</v>
      </c>
      <c r="F3360" s="57" t="s">
        <v>3792</v>
      </c>
      <c r="G3360" s="57" t="s">
        <v>11350</v>
      </c>
      <c r="H3360" s="77" t="s">
        <v>11351</v>
      </c>
      <c r="I3360" s="37" t="s">
        <v>50</v>
      </c>
      <c r="J3360" s="81" t="s">
        <v>11352</v>
      </c>
      <c r="K3360" s="0" t="s">
        <v>11353</v>
      </c>
    </row>
    <row r="3361" customFormat="false" ht="55.95" hidden="false" customHeight="false" outlineLevel="0" collapsed="false">
      <c r="A3361" s="74"/>
      <c r="B3361" s="80"/>
      <c r="C3361" s="74"/>
      <c r="D3361" s="57" t="s">
        <v>11354</v>
      </c>
      <c r="E3361" s="57" t="s">
        <v>11355</v>
      </c>
      <c r="F3361" s="57" t="s">
        <v>3797</v>
      </c>
      <c r="G3361" s="57" t="s">
        <v>11356</v>
      </c>
      <c r="H3361" s="77"/>
      <c r="I3361" s="37"/>
      <c r="J3361" s="81" t="s">
        <v>11357</v>
      </c>
      <c r="K3361" s="0" t="s">
        <v>11358</v>
      </c>
    </row>
    <row r="3362" customFormat="false" ht="45.05" hidden="false" customHeight="false" outlineLevel="0" collapsed="false">
      <c r="A3362" s="74"/>
      <c r="B3362" s="80"/>
      <c r="C3362" s="74"/>
      <c r="D3362" s="57" t="s">
        <v>3792</v>
      </c>
      <c r="E3362" s="57" t="s">
        <v>3792</v>
      </c>
      <c r="F3362" s="57" t="s">
        <v>3792</v>
      </c>
      <c r="G3362" s="57" t="s">
        <v>11359</v>
      </c>
      <c r="H3362" s="77" t="s">
        <v>11360</v>
      </c>
      <c r="I3362" s="34" t="s">
        <v>40</v>
      </c>
      <c r="J3362" s="81" t="s">
        <v>11361</v>
      </c>
      <c r="K3362" s="0" t="s">
        <v>11362</v>
      </c>
    </row>
    <row r="3363" customFormat="false" ht="55.95" hidden="false" customHeight="false" outlineLevel="0" collapsed="false">
      <c r="A3363" s="74"/>
      <c r="B3363" s="80"/>
      <c r="C3363" s="74"/>
      <c r="D3363" s="57" t="s">
        <v>11363</v>
      </c>
      <c r="E3363" s="57" t="s">
        <v>11364</v>
      </c>
      <c r="F3363" s="57" t="s">
        <v>3787</v>
      </c>
      <c r="G3363" s="57" t="s">
        <v>11365</v>
      </c>
      <c r="H3363" s="77"/>
      <c r="I3363" s="34"/>
      <c r="J3363" s="81" t="s">
        <v>11366</v>
      </c>
      <c r="K3363" s="0" t="s">
        <v>11367</v>
      </c>
    </row>
    <row r="3364" customFormat="false" ht="34.2" hidden="false" customHeight="false" outlineLevel="0" collapsed="false">
      <c r="A3364" s="74"/>
      <c r="B3364" s="80"/>
      <c r="C3364" s="74"/>
      <c r="D3364" s="57" t="s">
        <v>3792</v>
      </c>
      <c r="E3364" s="57" t="s">
        <v>3792</v>
      </c>
      <c r="F3364" s="57" t="s">
        <v>3792</v>
      </c>
      <c r="G3364" s="57" t="s">
        <v>11368</v>
      </c>
      <c r="H3364" s="77" t="s">
        <v>11369</v>
      </c>
      <c r="I3364" s="39" t="s">
        <v>67</v>
      </c>
      <c r="J3364" s="81" t="s">
        <v>11370</v>
      </c>
      <c r="K3364" s="0" t="s">
        <v>11371</v>
      </c>
    </row>
    <row r="3365" customFormat="false" ht="55.95" hidden="false" customHeight="false" outlineLevel="0" collapsed="false">
      <c r="A3365" s="74"/>
      <c r="B3365" s="80"/>
      <c r="C3365" s="74"/>
      <c r="D3365" s="57" t="s">
        <v>11372</v>
      </c>
      <c r="E3365" s="57" t="s">
        <v>11373</v>
      </c>
      <c r="F3365" s="57" t="s">
        <v>3797</v>
      </c>
      <c r="G3365" s="57" t="s">
        <v>11374</v>
      </c>
      <c r="H3365" s="77"/>
      <c r="I3365" s="39"/>
      <c r="J3365" s="81" t="s">
        <v>11375</v>
      </c>
      <c r="K3365" s="0" t="s">
        <v>11376</v>
      </c>
    </row>
    <row r="3366" customFormat="false" ht="45.05" hidden="false" customHeight="false" outlineLevel="0" collapsed="false">
      <c r="A3366" s="74"/>
      <c r="B3366" s="80"/>
      <c r="C3366" s="74"/>
      <c r="D3366" s="57" t="s">
        <v>3792</v>
      </c>
      <c r="E3366" s="57" t="s">
        <v>3792</v>
      </c>
      <c r="F3366" s="57" t="s">
        <v>3792</v>
      </c>
      <c r="G3366" s="57" t="s">
        <v>11377</v>
      </c>
      <c r="H3366" s="77" t="s">
        <v>11378</v>
      </c>
      <c r="I3366" s="34" t="s">
        <v>40</v>
      </c>
      <c r="J3366" s="81" t="s">
        <v>11379</v>
      </c>
      <c r="K3366" s="0" t="s">
        <v>11380</v>
      </c>
    </row>
    <row r="3367" customFormat="false" ht="34.2" hidden="false" customHeight="false" outlineLevel="0" collapsed="false">
      <c r="A3367" s="74"/>
      <c r="B3367" s="80"/>
      <c r="C3367" s="74"/>
      <c r="D3367" s="57" t="s">
        <v>11381</v>
      </c>
      <c r="E3367" s="57" t="s">
        <v>11382</v>
      </c>
      <c r="F3367" s="57" t="s">
        <v>3806</v>
      </c>
      <c r="G3367" s="57" t="s">
        <v>11383</v>
      </c>
      <c r="H3367" s="77"/>
      <c r="I3367" s="34"/>
      <c r="J3367" s="81" t="s">
        <v>11384</v>
      </c>
      <c r="K3367" s="0" t="s">
        <v>11385</v>
      </c>
    </row>
    <row r="3368" customFormat="false" ht="55.95" hidden="false" customHeight="false" outlineLevel="0" collapsed="false">
      <c r="A3368" s="74"/>
      <c r="B3368" s="80"/>
      <c r="C3368" s="74"/>
      <c r="D3368" s="0"/>
      <c r="E3368" s="57" t="s">
        <v>3792</v>
      </c>
      <c r="F3368" s="57" t="s">
        <v>3792</v>
      </c>
      <c r="G3368" s="57" t="s">
        <v>11386</v>
      </c>
      <c r="H3368" s="77" t="s">
        <v>11387</v>
      </c>
      <c r="I3368" s="37" t="s">
        <v>50</v>
      </c>
      <c r="J3368" s="81" t="s">
        <v>11388</v>
      </c>
      <c r="K3368" s="0" t="s">
        <v>10956</v>
      </c>
    </row>
    <row r="3369" customFormat="false" ht="55.95" hidden="false" customHeight="false" outlineLevel="0" collapsed="false">
      <c r="A3369" s="74"/>
      <c r="B3369" s="74" t="s">
        <v>11389</v>
      </c>
      <c r="C3369" s="74" t="s">
        <v>11390</v>
      </c>
      <c r="D3369" s="57" t="s">
        <v>11391</v>
      </c>
      <c r="E3369" s="57" t="s">
        <v>11392</v>
      </c>
      <c r="F3369" s="57" t="s">
        <v>3797</v>
      </c>
      <c r="G3369" s="57" t="s">
        <v>11393</v>
      </c>
      <c r="H3369" s="77"/>
      <c r="I3369" s="37"/>
      <c r="J3369" s="81" t="s">
        <v>11394</v>
      </c>
      <c r="K3369" s="0" t="s">
        <v>11395</v>
      </c>
    </row>
    <row r="3370" customFormat="false" ht="66.85" hidden="false" customHeight="false" outlineLevel="0" collapsed="false">
      <c r="A3370" s="74"/>
      <c r="B3370" s="74"/>
      <c r="C3370" s="74"/>
      <c r="D3370" s="57" t="s">
        <v>3792</v>
      </c>
      <c r="E3370" s="57" t="s">
        <v>3792</v>
      </c>
      <c r="F3370" s="57" t="s">
        <v>3792</v>
      </c>
      <c r="G3370" s="57" t="s">
        <v>11396</v>
      </c>
      <c r="H3370" s="77" t="s">
        <v>11397</v>
      </c>
      <c r="I3370" s="34" t="s">
        <v>40</v>
      </c>
      <c r="J3370" s="81" t="s">
        <v>11398</v>
      </c>
      <c r="K3370" s="0" t="s">
        <v>11399</v>
      </c>
    </row>
    <row r="3371" customFormat="false" ht="45.05" hidden="false" customHeight="false" outlineLevel="0" collapsed="false">
      <c r="A3371" s="74"/>
      <c r="B3371" s="74"/>
      <c r="C3371" s="74"/>
      <c r="D3371" s="57" t="s">
        <v>11400</v>
      </c>
      <c r="E3371" s="57" t="s">
        <v>11401</v>
      </c>
      <c r="F3371" s="57" t="s">
        <v>3787</v>
      </c>
      <c r="G3371" s="57" t="s">
        <v>11402</v>
      </c>
      <c r="H3371" s="77"/>
      <c r="I3371" s="34"/>
      <c r="J3371" s="81" t="s">
        <v>11403</v>
      </c>
      <c r="K3371" s="0" t="s">
        <v>11404</v>
      </c>
    </row>
    <row r="3372" customFormat="false" ht="34.2" hidden="false" customHeight="false" outlineLevel="0" collapsed="false">
      <c r="A3372" s="74"/>
      <c r="B3372" s="74"/>
      <c r="C3372" s="74"/>
      <c r="D3372" s="57" t="s">
        <v>3792</v>
      </c>
      <c r="E3372" s="57" t="s">
        <v>3792</v>
      </c>
      <c r="F3372" s="57" t="s">
        <v>3792</v>
      </c>
      <c r="G3372" s="57" t="s">
        <v>11405</v>
      </c>
      <c r="H3372" s="77" t="s">
        <v>11406</v>
      </c>
      <c r="I3372" s="39" t="s">
        <v>67</v>
      </c>
      <c r="J3372" s="81" t="s">
        <v>11407</v>
      </c>
      <c r="K3372" s="0" t="s">
        <v>11408</v>
      </c>
    </row>
    <row r="3373" customFormat="false" ht="45.05" hidden="false" customHeight="false" outlineLevel="0" collapsed="false">
      <c r="A3373" s="74"/>
      <c r="B3373" s="74"/>
      <c r="C3373" s="74"/>
      <c r="D3373" s="57" t="s">
        <v>11409</v>
      </c>
      <c r="E3373" s="57" t="s">
        <v>11410</v>
      </c>
      <c r="F3373" s="57" t="s">
        <v>3806</v>
      </c>
      <c r="G3373" s="57" t="s">
        <v>11411</v>
      </c>
      <c r="H3373" s="77"/>
      <c r="I3373" s="39"/>
      <c r="J3373" s="81" t="s">
        <v>11412</v>
      </c>
      <c r="K3373" s="0" t="s">
        <v>11413</v>
      </c>
    </row>
    <row r="3374" customFormat="false" ht="45.05" hidden="false" customHeight="false" outlineLevel="0" collapsed="false">
      <c r="A3374" s="74"/>
      <c r="B3374" s="74"/>
      <c r="C3374" s="74"/>
      <c r="D3374" s="57" t="s">
        <v>3792</v>
      </c>
      <c r="E3374" s="57" t="s">
        <v>3792</v>
      </c>
      <c r="F3374" s="57" t="s">
        <v>3792</v>
      </c>
      <c r="G3374" s="57" t="s">
        <v>11414</v>
      </c>
      <c r="H3374" s="77" t="s">
        <v>11415</v>
      </c>
      <c r="I3374" s="34" t="s">
        <v>40</v>
      </c>
      <c r="J3374" s="81" t="s">
        <v>11416</v>
      </c>
      <c r="K3374" s="0" t="s">
        <v>11417</v>
      </c>
    </row>
    <row r="3375" customFormat="false" ht="55.95" hidden="false" customHeight="false" outlineLevel="0" collapsed="false">
      <c r="A3375" s="74"/>
      <c r="B3375" s="74"/>
      <c r="C3375" s="74"/>
      <c r="D3375" s="57" t="s">
        <v>11418</v>
      </c>
      <c r="E3375" s="57" t="s">
        <v>11419</v>
      </c>
      <c r="F3375" s="57" t="s">
        <v>3787</v>
      </c>
      <c r="G3375" s="57" t="s">
        <v>11420</v>
      </c>
      <c r="H3375" s="77"/>
      <c r="I3375" s="34"/>
      <c r="J3375" s="81" t="s">
        <v>11421</v>
      </c>
      <c r="K3375" s="0" t="s">
        <v>11422</v>
      </c>
    </row>
    <row r="3376" customFormat="false" ht="55.95" hidden="false" customHeight="false" outlineLevel="0" collapsed="false">
      <c r="A3376" s="74"/>
      <c r="B3376" s="74"/>
      <c r="C3376" s="74"/>
      <c r="D3376" s="57" t="s">
        <v>3792</v>
      </c>
      <c r="E3376" s="57" t="s">
        <v>3792</v>
      </c>
      <c r="F3376" s="57" t="s">
        <v>3792</v>
      </c>
      <c r="G3376" s="57" t="s">
        <v>11423</v>
      </c>
      <c r="H3376" s="77" t="s">
        <v>11424</v>
      </c>
      <c r="I3376" s="37" t="s">
        <v>50</v>
      </c>
      <c r="J3376" s="81" t="s">
        <v>11425</v>
      </c>
      <c r="K3376" s="0" t="s">
        <v>11426</v>
      </c>
    </row>
    <row r="3377" customFormat="false" ht="34.2" hidden="false" customHeight="false" outlineLevel="0" collapsed="false">
      <c r="A3377" s="74"/>
      <c r="B3377" s="74"/>
      <c r="C3377" s="74"/>
      <c r="D3377" s="57" t="s">
        <v>11427</v>
      </c>
      <c r="E3377" s="57" t="s">
        <v>11428</v>
      </c>
      <c r="F3377" s="57" t="s">
        <v>3797</v>
      </c>
      <c r="G3377" s="57" t="s">
        <v>11429</v>
      </c>
      <c r="H3377" s="77"/>
      <c r="I3377" s="37"/>
      <c r="J3377" s="81" t="s">
        <v>11430</v>
      </c>
      <c r="K3377" s="0" t="s">
        <v>11431</v>
      </c>
    </row>
    <row r="3378" customFormat="false" ht="21.75" hidden="false" customHeight="false" outlineLevel="0" collapsed="false">
      <c r="A3378" s="74"/>
      <c r="B3378" s="74"/>
      <c r="C3378" s="74"/>
      <c r="D3378" s="0"/>
      <c r="E3378" s="57" t="s">
        <v>3792</v>
      </c>
      <c r="F3378" s="57" t="s">
        <v>3792</v>
      </c>
      <c r="G3378" s="57" t="s">
        <v>11432</v>
      </c>
      <c r="H3378" s="77" t="s">
        <v>11433</v>
      </c>
      <c r="I3378" s="34" t="s">
        <v>40</v>
      </c>
      <c r="J3378" s="81" t="s">
        <v>11434</v>
      </c>
      <c r="K3378" s="0" t="s">
        <v>11435</v>
      </c>
    </row>
    <row r="3379" customFormat="false" ht="45.05" hidden="false" customHeight="true" outlineLevel="0" collapsed="false">
      <c r="A3379" s="74"/>
      <c r="B3379" s="74"/>
      <c r="C3379" s="75" t="s">
        <v>11436</v>
      </c>
      <c r="D3379" s="57" t="s">
        <v>11437</v>
      </c>
      <c r="E3379" s="57" t="s">
        <v>11438</v>
      </c>
      <c r="F3379" s="57" t="s">
        <v>3806</v>
      </c>
      <c r="G3379" s="57" t="s">
        <v>11439</v>
      </c>
      <c r="H3379" s="77"/>
      <c r="I3379" s="34"/>
      <c r="J3379" s="81" t="s">
        <v>10949</v>
      </c>
      <c r="K3379" s="0" t="s">
        <v>11440</v>
      </c>
    </row>
    <row r="3380" customFormat="false" ht="34.2" hidden="false" customHeight="false" outlineLevel="0" collapsed="false">
      <c r="A3380" s="74"/>
      <c r="B3380" s="74"/>
      <c r="C3380" s="74"/>
      <c r="D3380" s="57" t="s">
        <v>3792</v>
      </c>
      <c r="E3380" s="57" t="s">
        <v>3792</v>
      </c>
      <c r="F3380" s="57" t="s">
        <v>3792</v>
      </c>
      <c r="G3380" s="57" t="s">
        <v>11441</v>
      </c>
      <c r="H3380" s="77" t="s">
        <v>11442</v>
      </c>
      <c r="I3380" s="39" t="s">
        <v>67</v>
      </c>
      <c r="J3380" s="81" t="s">
        <v>11443</v>
      </c>
      <c r="K3380" s="0" t="s">
        <v>11444</v>
      </c>
    </row>
    <row r="3381" customFormat="false" ht="45.05" hidden="false" customHeight="false" outlineLevel="0" collapsed="false">
      <c r="A3381" s="74"/>
      <c r="B3381" s="74"/>
      <c r="C3381" s="74"/>
      <c r="D3381" s="57" t="s">
        <v>11445</v>
      </c>
      <c r="E3381" s="57" t="s">
        <v>11446</v>
      </c>
      <c r="F3381" s="57" t="s">
        <v>3787</v>
      </c>
      <c r="G3381" s="57" t="s">
        <v>11447</v>
      </c>
      <c r="H3381" s="77"/>
      <c r="I3381" s="39"/>
      <c r="J3381" s="81" t="s">
        <v>11448</v>
      </c>
      <c r="K3381" s="0" t="s">
        <v>11449</v>
      </c>
    </row>
    <row r="3382" customFormat="false" ht="34.2" hidden="false" customHeight="false" outlineLevel="0" collapsed="false">
      <c r="A3382" s="74"/>
      <c r="B3382" s="74"/>
      <c r="C3382" s="74"/>
      <c r="D3382" s="57" t="s">
        <v>3792</v>
      </c>
      <c r="E3382" s="57" t="s">
        <v>3792</v>
      </c>
      <c r="F3382" s="57" t="s">
        <v>3792</v>
      </c>
      <c r="G3382" s="57" t="s">
        <v>11450</v>
      </c>
      <c r="H3382" s="77" t="s">
        <v>11451</v>
      </c>
      <c r="I3382" s="34" t="s">
        <v>40</v>
      </c>
      <c r="J3382" s="81" t="s">
        <v>11452</v>
      </c>
      <c r="K3382" s="0" t="s">
        <v>11453</v>
      </c>
    </row>
    <row r="3383" customFormat="false" ht="45.05" hidden="false" customHeight="false" outlineLevel="0" collapsed="false">
      <c r="A3383" s="74"/>
      <c r="B3383" s="74"/>
      <c r="C3383" s="74"/>
      <c r="D3383" s="57" t="s">
        <v>11454</v>
      </c>
      <c r="E3383" s="57" t="s">
        <v>11455</v>
      </c>
      <c r="F3383" s="57" t="s">
        <v>3797</v>
      </c>
      <c r="G3383" s="57" t="s">
        <v>11456</v>
      </c>
      <c r="H3383" s="77"/>
      <c r="I3383" s="34"/>
      <c r="J3383" s="81" t="s">
        <v>11457</v>
      </c>
      <c r="K3383" s="0" t="s">
        <v>11458</v>
      </c>
    </row>
    <row r="3384" customFormat="false" ht="34.2" hidden="false" customHeight="false" outlineLevel="0" collapsed="false">
      <c r="A3384" s="74"/>
      <c r="B3384" s="74"/>
      <c r="C3384" s="74"/>
      <c r="D3384" s="57" t="s">
        <v>3792</v>
      </c>
      <c r="E3384" s="57" t="s">
        <v>3792</v>
      </c>
      <c r="F3384" s="57" t="s">
        <v>3792</v>
      </c>
      <c r="G3384" s="57" t="s">
        <v>11459</v>
      </c>
      <c r="H3384" s="77" t="s">
        <v>11460</v>
      </c>
      <c r="I3384" s="37" t="s">
        <v>50</v>
      </c>
      <c r="J3384" s="81" t="s">
        <v>11461</v>
      </c>
      <c r="K3384" s="0" t="s">
        <v>11462</v>
      </c>
    </row>
    <row r="3385" customFormat="false" ht="45.05" hidden="false" customHeight="false" outlineLevel="0" collapsed="false">
      <c r="A3385" s="74"/>
      <c r="B3385" s="74"/>
      <c r="C3385" s="74"/>
      <c r="D3385" s="57" t="s">
        <v>11463</v>
      </c>
      <c r="E3385" s="57" t="s">
        <v>11464</v>
      </c>
      <c r="F3385" s="57" t="s">
        <v>3806</v>
      </c>
      <c r="G3385" s="57" t="s">
        <v>11465</v>
      </c>
      <c r="H3385" s="77"/>
      <c r="I3385" s="37"/>
      <c r="J3385" s="81" t="s">
        <v>11466</v>
      </c>
      <c r="K3385" s="0" t="s">
        <v>11467</v>
      </c>
    </row>
    <row r="3386" customFormat="false" ht="34.2" hidden="false" customHeight="false" outlineLevel="0" collapsed="false">
      <c r="A3386" s="74"/>
      <c r="B3386" s="74"/>
      <c r="C3386" s="74"/>
      <c r="D3386" s="57" t="s">
        <v>3792</v>
      </c>
      <c r="E3386" s="57" t="s">
        <v>3792</v>
      </c>
      <c r="F3386" s="57" t="s">
        <v>3792</v>
      </c>
      <c r="G3386" s="57" t="s">
        <v>11468</v>
      </c>
      <c r="H3386" s="77" t="s">
        <v>11469</v>
      </c>
      <c r="I3386" s="34" t="s">
        <v>40</v>
      </c>
      <c r="J3386" s="81" t="s">
        <v>11470</v>
      </c>
      <c r="K3386" s="0" t="s">
        <v>11471</v>
      </c>
    </row>
    <row r="3387" customFormat="false" ht="34.2" hidden="false" customHeight="false" outlineLevel="0" collapsed="false">
      <c r="A3387" s="74"/>
      <c r="B3387" s="74"/>
      <c r="C3387" s="74"/>
      <c r="D3387" s="57" t="s">
        <v>11472</v>
      </c>
      <c r="E3387" s="57" t="s">
        <v>11473</v>
      </c>
      <c r="F3387" s="57" t="s">
        <v>3797</v>
      </c>
      <c r="G3387" s="57" t="s">
        <v>11474</v>
      </c>
      <c r="H3387" s="77"/>
      <c r="I3387" s="34"/>
      <c r="J3387" s="81" t="s">
        <v>11004</v>
      </c>
      <c r="K3387" s="0" t="s">
        <v>11475</v>
      </c>
    </row>
    <row r="3388" customFormat="false" ht="45.05" hidden="false" customHeight="false" outlineLevel="0" collapsed="false">
      <c r="A3388" s="74"/>
      <c r="B3388" s="74"/>
      <c r="C3388" s="74"/>
      <c r="D3388" s="0"/>
      <c r="E3388" s="57" t="s">
        <v>3792</v>
      </c>
      <c r="F3388" s="57" t="s">
        <v>3792</v>
      </c>
      <c r="G3388" s="57" t="s">
        <v>11476</v>
      </c>
      <c r="H3388" s="77" t="s">
        <v>11477</v>
      </c>
      <c r="I3388" s="39" t="s">
        <v>67</v>
      </c>
      <c r="J3388" s="81" t="s">
        <v>11478</v>
      </c>
      <c r="K3388" s="0" t="s">
        <v>11479</v>
      </c>
    </row>
    <row r="3389" customFormat="false" ht="45.05" hidden="false" customHeight="true" outlineLevel="0" collapsed="false">
      <c r="A3389" s="74"/>
      <c r="B3389" s="74"/>
      <c r="C3389" s="75" t="s">
        <v>11480</v>
      </c>
      <c r="D3389" s="57" t="s">
        <v>11481</v>
      </c>
      <c r="E3389" s="57" t="s">
        <v>11482</v>
      </c>
      <c r="F3389" s="57" t="s">
        <v>3787</v>
      </c>
      <c r="G3389" s="57" t="s">
        <v>11483</v>
      </c>
      <c r="H3389" s="77"/>
      <c r="I3389" s="39"/>
      <c r="J3389" s="81" t="s">
        <v>11484</v>
      </c>
      <c r="K3389" s="0" t="s">
        <v>11485</v>
      </c>
    </row>
    <row r="3390" customFormat="false" ht="66.85" hidden="false" customHeight="false" outlineLevel="0" collapsed="false">
      <c r="A3390" s="74"/>
      <c r="B3390" s="74"/>
      <c r="C3390" s="74"/>
      <c r="D3390" s="57" t="s">
        <v>3792</v>
      </c>
      <c r="E3390" s="57" t="s">
        <v>3792</v>
      </c>
      <c r="F3390" s="57" t="s">
        <v>3792</v>
      </c>
      <c r="G3390" s="57" t="s">
        <v>11486</v>
      </c>
      <c r="H3390" s="77" t="s">
        <v>11487</v>
      </c>
      <c r="I3390" s="34" t="s">
        <v>40</v>
      </c>
      <c r="J3390" s="81" t="s">
        <v>11488</v>
      </c>
      <c r="K3390" s="0" t="s">
        <v>11489</v>
      </c>
    </row>
    <row r="3391" customFormat="false" ht="45.05" hidden="false" customHeight="false" outlineLevel="0" collapsed="false">
      <c r="A3391" s="74"/>
      <c r="B3391" s="74"/>
      <c r="C3391" s="74"/>
      <c r="D3391" s="57" t="s">
        <v>11490</v>
      </c>
      <c r="E3391" s="57" t="s">
        <v>11491</v>
      </c>
      <c r="F3391" s="57" t="s">
        <v>3806</v>
      </c>
      <c r="G3391" s="57" t="s">
        <v>11492</v>
      </c>
      <c r="H3391" s="77"/>
      <c r="I3391" s="34"/>
      <c r="J3391" s="81" t="s">
        <v>11493</v>
      </c>
      <c r="K3391" s="0" t="s">
        <v>11494</v>
      </c>
    </row>
    <row r="3392" customFormat="false" ht="55.95" hidden="false" customHeight="false" outlineLevel="0" collapsed="false">
      <c r="A3392" s="74"/>
      <c r="B3392" s="74"/>
      <c r="C3392" s="74"/>
      <c r="D3392" s="57" t="s">
        <v>3792</v>
      </c>
      <c r="E3392" s="57" t="s">
        <v>3792</v>
      </c>
      <c r="F3392" s="57" t="s">
        <v>3792</v>
      </c>
      <c r="G3392" s="57" t="s">
        <v>11495</v>
      </c>
      <c r="H3392" s="77" t="s">
        <v>11496</v>
      </c>
      <c r="I3392" s="37" t="s">
        <v>50</v>
      </c>
      <c r="J3392" s="81" t="s">
        <v>11497</v>
      </c>
      <c r="K3392" s="0" t="s">
        <v>11498</v>
      </c>
    </row>
    <row r="3393" customFormat="false" ht="55.95" hidden="false" customHeight="false" outlineLevel="0" collapsed="false">
      <c r="A3393" s="74"/>
      <c r="B3393" s="74"/>
      <c r="C3393" s="74"/>
      <c r="D3393" s="57" t="s">
        <v>11499</v>
      </c>
      <c r="E3393" s="57" t="s">
        <v>11500</v>
      </c>
      <c r="F3393" s="57" t="s">
        <v>3787</v>
      </c>
      <c r="G3393" s="57" t="s">
        <v>11501</v>
      </c>
      <c r="H3393" s="77"/>
      <c r="I3393" s="37"/>
      <c r="J3393" s="81" t="s">
        <v>11502</v>
      </c>
      <c r="K3393" s="0" t="s">
        <v>11503</v>
      </c>
    </row>
    <row r="3394" customFormat="false" ht="34.2" hidden="false" customHeight="false" outlineLevel="0" collapsed="false">
      <c r="A3394" s="74"/>
      <c r="B3394" s="74"/>
      <c r="C3394" s="74"/>
      <c r="D3394" s="57" t="s">
        <v>3792</v>
      </c>
      <c r="E3394" s="57" t="s">
        <v>3792</v>
      </c>
      <c r="F3394" s="57" t="s">
        <v>3792</v>
      </c>
      <c r="G3394" s="57" t="s">
        <v>11504</v>
      </c>
      <c r="H3394" s="77" t="s">
        <v>11505</v>
      </c>
      <c r="I3394" s="34" t="s">
        <v>40</v>
      </c>
      <c r="J3394" s="81" t="s">
        <v>11506</v>
      </c>
      <c r="K3394" s="0" t="s">
        <v>11507</v>
      </c>
    </row>
    <row r="3395" customFormat="false" ht="45.05" hidden="false" customHeight="false" outlineLevel="0" collapsed="false">
      <c r="A3395" s="74"/>
      <c r="B3395" s="74"/>
      <c r="C3395" s="74"/>
      <c r="D3395" s="57" t="s">
        <v>11508</v>
      </c>
      <c r="E3395" s="57" t="s">
        <v>11509</v>
      </c>
      <c r="F3395" s="57" t="s">
        <v>3806</v>
      </c>
      <c r="G3395" s="57" t="s">
        <v>11510</v>
      </c>
      <c r="H3395" s="77"/>
      <c r="I3395" s="34"/>
      <c r="J3395" s="81" t="s">
        <v>11511</v>
      </c>
      <c r="K3395" s="0" t="s">
        <v>11512</v>
      </c>
    </row>
    <row r="3396" customFormat="false" ht="45.05" hidden="false" customHeight="false" outlineLevel="0" collapsed="false">
      <c r="A3396" s="74"/>
      <c r="B3396" s="74"/>
      <c r="C3396" s="74"/>
      <c r="D3396" s="57" t="s">
        <v>3792</v>
      </c>
      <c r="E3396" s="57" t="s">
        <v>3792</v>
      </c>
      <c r="F3396" s="57" t="s">
        <v>3792</v>
      </c>
      <c r="G3396" s="57" t="s">
        <v>11513</v>
      </c>
      <c r="H3396" s="77" t="s">
        <v>11514</v>
      </c>
      <c r="I3396" s="39" t="s">
        <v>67</v>
      </c>
      <c r="J3396" s="81" t="s">
        <v>11515</v>
      </c>
      <c r="K3396" s="0" t="s">
        <v>11516</v>
      </c>
    </row>
    <row r="3397" customFormat="false" ht="34.2" hidden="false" customHeight="false" outlineLevel="0" collapsed="false">
      <c r="A3397" s="74"/>
      <c r="B3397" s="74"/>
      <c r="C3397" s="74"/>
      <c r="D3397" s="57" t="s">
        <v>11517</v>
      </c>
      <c r="E3397" s="57" t="s">
        <v>11518</v>
      </c>
      <c r="F3397" s="57" t="s">
        <v>3797</v>
      </c>
      <c r="G3397" s="57" t="s">
        <v>11519</v>
      </c>
      <c r="H3397" s="77"/>
      <c r="I3397" s="39"/>
      <c r="J3397" s="81" t="s">
        <v>11520</v>
      </c>
      <c r="K3397" s="0" t="s">
        <v>11521</v>
      </c>
    </row>
    <row r="3398" customFormat="false" ht="34.2" hidden="false" customHeight="false" outlineLevel="0" collapsed="false">
      <c r="A3398" s="74"/>
      <c r="B3398" s="74"/>
      <c r="C3398" s="74"/>
      <c r="D3398" s="0"/>
      <c r="E3398" s="57" t="s">
        <v>3792</v>
      </c>
      <c r="F3398" s="57" t="s">
        <v>3792</v>
      </c>
      <c r="G3398" s="57" t="s">
        <v>11522</v>
      </c>
      <c r="H3398" s="77" t="s">
        <v>11523</v>
      </c>
      <c r="I3398" s="34" t="s">
        <v>40</v>
      </c>
      <c r="J3398" s="81" t="s">
        <v>11524</v>
      </c>
      <c r="K3398" s="0" t="s">
        <v>11525</v>
      </c>
    </row>
    <row r="3399" customFormat="false" ht="45.05" hidden="false" customHeight="false" outlineLevel="0" collapsed="false">
      <c r="A3399" s="74"/>
      <c r="B3399" s="74"/>
      <c r="C3399" s="74" t="s">
        <v>11526</v>
      </c>
      <c r="D3399" s="57" t="s">
        <v>11527</v>
      </c>
      <c r="E3399" s="57" t="s">
        <v>11528</v>
      </c>
      <c r="F3399" s="57" t="s">
        <v>3787</v>
      </c>
      <c r="G3399" s="57" t="s">
        <v>11529</v>
      </c>
      <c r="H3399" s="77"/>
      <c r="I3399" s="34"/>
      <c r="J3399" s="81" t="s">
        <v>11530</v>
      </c>
      <c r="K3399" s="0" t="s">
        <v>11531</v>
      </c>
    </row>
    <row r="3400" customFormat="false" ht="45.05" hidden="false" customHeight="false" outlineLevel="0" collapsed="false">
      <c r="A3400" s="74"/>
      <c r="B3400" s="74"/>
      <c r="C3400" s="74"/>
      <c r="D3400" s="57" t="s">
        <v>3792</v>
      </c>
      <c r="E3400" s="57" t="s">
        <v>3792</v>
      </c>
      <c r="F3400" s="57" t="s">
        <v>3792</v>
      </c>
      <c r="G3400" s="57" t="s">
        <v>11532</v>
      </c>
      <c r="H3400" s="77" t="s">
        <v>11533</v>
      </c>
      <c r="I3400" s="37" t="s">
        <v>50</v>
      </c>
      <c r="J3400" s="81" t="s">
        <v>11534</v>
      </c>
      <c r="K3400" s="0" t="s">
        <v>11535</v>
      </c>
    </row>
    <row r="3401" customFormat="false" ht="45.05" hidden="false" customHeight="false" outlineLevel="0" collapsed="false">
      <c r="A3401" s="74"/>
      <c r="B3401" s="74"/>
      <c r="C3401" s="74"/>
      <c r="D3401" s="57" t="s">
        <v>11536</v>
      </c>
      <c r="E3401" s="57" t="s">
        <v>11537</v>
      </c>
      <c r="F3401" s="57" t="s">
        <v>3797</v>
      </c>
      <c r="G3401" s="57" t="s">
        <v>11538</v>
      </c>
      <c r="H3401" s="77"/>
      <c r="I3401" s="37"/>
      <c r="J3401" s="81" t="s">
        <v>11539</v>
      </c>
      <c r="K3401" s="0" t="s">
        <v>11540</v>
      </c>
    </row>
    <row r="3402" customFormat="false" ht="34.2" hidden="false" customHeight="false" outlineLevel="0" collapsed="false">
      <c r="A3402" s="74"/>
      <c r="B3402" s="74"/>
      <c r="C3402" s="74"/>
      <c r="D3402" s="57" t="s">
        <v>3792</v>
      </c>
      <c r="E3402" s="57" t="s">
        <v>3792</v>
      </c>
      <c r="F3402" s="57" t="s">
        <v>3792</v>
      </c>
      <c r="G3402" s="57" t="s">
        <v>11541</v>
      </c>
      <c r="H3402" s="77" t="s">
        <v>11542</v>
      </c>
      <c r="I3402" s="34" t="s">
        <v>40</v>
      </c>
      <c r="J3402" s="81" t="s">
        <v>11543</v>
      </c>
      <c r="K3402" s="0" t="s">
        <v>11544</v>
      </c>
    </row>
    <row r="3403" customFormat="false" ht="55.95" hidden="false" customHeight="false" outlineLevel="0" collapsed="false">
      <c r="A3403" s="74"/>
      <c r="B3403" s="74"/>
      <c r="C3403" s="74"/>
      <c r="D3403" s="57" t="s">
        <v>11545</v>
      </c>
      <c r="E3403" s="57" t="s">
        <v>11546</v>
      </c>
      <c r="F3403" s="57" t="s">
        <v>3806</v>
      </c>
      <c r="G3403" s="57" t="s">
        <v>11547</v>
      </c>
      <c r="H3403" s="77"/>
      <c r="I3403" s="34"/>
      <c r="J3403" s="81" t="s">
        <v>11548</v>
      </c>
      <c r="K3403" s="0" t="s">
        <v>11549</v>
      </c>
    </row>
    <row r="3404" customFormat="false" ht="45.05" hidden="false" customHeight="false" outlineLevel="0" collapsed="false">
      <c r="A3404" s="74"/>
      <c r="B3404" s="74"/>
      <c r="C3404" s="74"/>
      <c r="D3404" s="57" t="s">
        <v>3792</v>
      </c>
      <c r="E3404" s="57" t="s">
        <v>3792</v>
      </c>
      <c r="F3404" s="57" t="s">
        <v>3792</v>
      </c>
      <c r="G3404" s="57" t="s">
        <v>11550</v>
      </c>
      <c r="H3404" s="77" t="s">
        <v>11551</v>
      </c>
      <c r="I3404" s="39" t="s">
        <v>67</v>
      </c>
      <c r="J3404" s="81" t="s">
        <v>11552</v>
      </c>
      <c r="K3404" s="79" t="s">
        <v>11553</v>
      </c>
    </row>
    <row r="3405" customFormat="false" ht="45.05" hidden="false" customHeight="false" outlineLevel="0" collapsed="false">
      <c r="A3405" s="74"/>
      <c r="B3405" s="74"/>
      <c r="C3405" s="74"/>
      <c r="D3405" s="57" t="s">
        <v>11554</v>
      </c>
      <c r="E3405" s="57" t="s">
        <v>11555</v>
      </c>
      <c r="F3405" s="57" t="s">
        <v>3787</v>
      </c>
      <c r="G3405" s="57" t="s">
        <v>11556</v>
      </c>
      <c r="H3405" s="77"/>
      <c r="I3405" s="39"/>
      <c r="J3405" s="81" t="s">
        <v>11177</v>
      </c>
      <c r="K3405" s="79" t="s">
        <v>11557</v>
      </c>
    </row>
    <row r="3406" customFormat="false" ht="45.05" hidden="false" customHeight="false" outlineLevel="0" collapsed="false">
      <c r="A3406" s="74"/>
      <c r="B3406" s="74"/>
      <c r="C3406" s="74"/>
      <c r="D3406" s="57" t="s">
        <v>3792</v>
      </c>
      <c r="E3406" s="57" t="s">
        <v>3792</v>
      </c>
      <c r="F3406" s="57" t="s">
        <v>3792</v>
      </c>
      <c r="G3406" s="57" t="s">
        <v>11558</v>
      </c>
      <c r="H3406" s="77" t="s">
        <v>11559</v>
      </c>
      <c r="I3406" s="34" t="s">
        <v>40</v>
      </c>
      <c r="J3406" s="81" t="s">
        <v>11560</v>
      </c>
      <c r="K3406" s="79" t="s">
        <v>11561</v>
      </c>
    </row>
    <row r="3407" customFormat="false" ht="34.2" hidden="false" customHeight="false" outlineLevel="0" collapsed="false">
      <c r="A3407" s="74"/>
      <c r="B3407" s="74"/>
      <c r="C3407" s="74"/>
      <c r="D3407" s="57" t="s">
        <v>11562</v>
      </c>
      <c r="E3407" s="57" t="s">
        <v>11563</v>
      </c>
      <c r="F3407" s="57" t="s">
        <v>3797</v>
      </c>
      <c r="G3407" s="57" t="s">
        <v>11564</v>
      </c>
      <c r="H3407" s="77"/>
      <c r="I3407" s="34"/>
      <c r="J3407" s="81" t="s">
        <v>11565</v>
      </c>
      <c r="K3407" s="79" t="s">
        <v>11566</v>
      </c>
    </row>
    <row r="3408" customFormat="false" ht="45.05" hidden="false" customHeight="false" outlineLevel="0" collapsed="false">
      <c r="A3408" s="74"/>
      <c r="B3408" s="74"/>
      <c r="C3408" s="74"/>
      <c r="D3408" s="0"/>
      <c r="E3408" s="57" t="s">
        <v>3792</v>
      </c>
      <c r="F3408" s="57" t="s">
        <v>3792</v>
      </c>
      <c r="G3408" s="57" t="s">
        <v>11567</v>
      </c>
      <c r="H3408" s="77" t="s">
        <v>11568</v>
      </c>
      <c r="I3408" s="37" t="s">
        <v>50</v>
      </c>
      <c r="J3408" s="81" t="s">
        <v>11569</v>
      </c>
      <c r="K3408" s="79" t="s">
        <v>11570</v>
      </c>
    </row>
    <row r="3409" customFormat="false" ht="34.2" hidden="false" customHeight="true" outlineLevel="0" collapsed="false">
      <c r="A3409" s="74"/>
      <c r="B3409" s="74"/>
      <c r="C3409" s="75" t="s">
        <v>11571</v>
      </c>
      <c r="D3409" s="57" t="s">
        <v>11572</v>
      </c>
      <c r="E3409" s="57" t="s">
        <v>11573</v>
      </c>
      <c r="F3409" s="57" t="s">
        <v>3806</v>
      </c>
      <c r="G3409" s="57" t="s">
        <v>11574</v>
      </c>
      <c r="H3409" s="77"/>
      <c r="I3409" s="37"/>
      <c r="J3409" s="81" t="s">
        <v>11575</v>
      </c>
      <c r="K3409" s="79" t="s">
        <v>11576</v>
      </c>
    </row>
    <row r="3410" customFormat="false" ht="34.2" hidden="false" customHeight="false" outlineLevel="0" collapsed="false">
      <c r="A3410" s="74"/>
      <c r="B3410" s="74"/>
      <c r="C3410" s="74"/>
      <c r="D3410" s="57" t="s">
        <v>3792</v>
      </c>
      <c r="E3410" s="57" t="s">
        <v>3792</v>
      </c>
      <c r="F3410" s="57" t="s">
        <v>3792</v>
      </c>
      <c r="G3410" s="57" t="s">
        <v>11577</v>
      </c>
      <c r="H3410" s="77" t="s">
        <v>11578</v>
      </c>
      <c r="I3410" s="34" t="s">
        <v>40</v>
      </c>
      <c r="J3410" s="81" t="s">
        <v>11579</v>
      </c>
      <c r="K3410" s="79" t="s">
        <v>11580</v>
      </c>
    </row>
    <row r="3411" customFormat="false" ht="45.05" hidden="false" customHeight="false" outlineLevel="0" collapsed="false">
      <c r="A3411" s="74"/>
      <c r="B3411" s="74"/>
      <c r="C3411" s="74"/>
      <c r="D3411" s="57" t="s">
        <v>11581</v>
      </c>
      <c r="E3411" s="57" t="s">
        <v>11582</v>
      </c>
      <c r="F3411" s="57" t="s">
        <v>3797</v>
      </c>
      <c r="G3411" s="57" t="s">
        <v>11583</v>
      </c>
      <c r="H3411" s="77"/>
      <c r="I3411" s="34"/>
      <c r="J3411" s="81" t="s">
        <v>11412</v>
      </c>
      <c r="K3411" s="79" t="s">
        <v>11584</v>
      </c>
    </row>
    <row r="3412" customFormat="false" ht="45.05" hidden="false" customHeight="false" outlineLevel="0" collapsed="false">
      <c r="A3412" s="74"/>
      <c r="B3412" s="74"/>
      <c r="C3412" s="74"/>
      <c r="D3412" s="57" t="s">
        <v>3792</v>
      </c>
      <c r="E3412" s="57" t="s">
        <v>3792</v>
      </c>
      <c r="F3412" s="57" t="s">
        <v>3792</v>
      </c>
      <c r="G3412" s="57" t="s">
        <v>11585</v>
      </c>
      <c r="H3412" s="77" t="s">
        <v>11586</v>
      </c>
      <c r="I3412" s="39" t="s">
        <v>67</v>
      </c>
      <c r="J3412" s="81" t="s">
        <v>11587</v>
      </c>
      <c r="K3412" s="79" t="s">
        <v>11588</v>
      </c>
    </row>
    <row r="3413" customFormat="false" ht="34.2" hidden="false" customHeight="false" outlineLevel="0" collapsed="false">
      <c r="A3413" s="74"/>
      <c r="B3413" s="74"/>
      <c r="C3413" s="74"/>
      <c r="D3413" s="57" t="s">
        <v>11589</v>
      </c>
      <c r="E3413" s="57" t="s">
        <v>11590</v>
      </c>
      <c r="F3413" s="57" t="s">
        <v>3787</v>
      </c>
      <c r="G3413" s="57" t="s">
        <v>11591</v>
      </c>
      <c r="H3413" s="77"/>
      <c r="I3413" s="39"/>
      <c r="J3413" s="81" t="s">
        <v>11592</v>
      </c>
      <c r="K3413" s="79" t="s">
        <v>11593</v>
      </c>
    </row>
    <row r="3414" customFormat="false" ht="34.2" hidden="false" customHeight="false" outlineLevel="0" collapsed="false">
      <c r="A3414" s="74"/>
      <c r="B3414" s="74"/>
      <c r="C3414" s="74"/>
      <c r="D3414" s="57" t="s">
        <v>3792</v>
      </c>
      <c r="E3414" s="57" t="s">
        <v>3792</v>
      </c>
      <c r="F3414" s="57" t="s">
        <v>3792</v>
      </c>
      <c r="G3414" s="57" t="s">
        <v>11594</v>
      </c>
      <c r="H3414" s="77" t="s">
        <v>11595</v>
      </c>
      <c r="I3414" s="34" t="s">
        <v>40</v>
      </c>
      <c r="J3414" s="81" t="s">
        <v>11596</v>
      </c>
      <c r="K3414" s="79" t="s">
        <v>11597</v>
      </c>
    </row>
    <row r="3415" customFormat="false" ht="34.2" hidden="false" customHeight="false" outlineLevel="0" collapsed="false">
      <c r="A3415" s="74"/>
      <c r="B3415" s="74"/>
      <c r="C3415" s="74"/>
      <c r="D3415" s="57" t="s">
        <v>11598</v>
      </c>
      <c r="E3415" s="57" t="s">
        <v>11599</v>
      </c>
      <c r="F3415" s="57" t="s">
        <v>3806</v>
      </c>
      <c r="G3415" s="57" t="s">
        <v>11600</v>
      </c>
      <c r="H3415" s="77"/>
      <c r="I3415" s="34"/>
      <c r="J3415" s="81" t="s">
        <v>11601</v>
      </c>
      <c r="K3415" s="79" t="s">
        <v>11462</v>
      </c>
    </row>
    <row r="3416" customFormat="false" ht="34.2" hidden="false" customHeight="false" outlineLevel="0" collapsed="false">
      <c r="A3416" s="74"/>
      <c r="B3416" s="74"/>
      <c r="C3416" s="74"/>
      <c r="D3416" s="57" t="s">
        <v>3792</v>
      </c>
      <c r="E3416" s="57" t="s">
        <v>3792</v>
      </c>
      <c r="F3416" s="57" t="s">
        <v>3792</v>
      </c>
      <c r="G3416" s="57" t="s">
        <v>11602</v>
      </c>
      <c r="H3416" s="77" t="s">
        <v>11603</v>
      </c>
      <c r="I3416" s="37" t="s">
        <v>50</v>
      </c>
      <c r="J3416" s="81" t="s">
        <v>11604</v>
      </c>
      <c r="K3416" s="79" t="s">
        <v>11605</v>
      </c>
    </row>
    <row r="3417" customFormat="false" ht="45.05" hidden="false" customHeight="false" outlineLevel="0" collapsed="false">
      <c r="A3417" s="74"/>
      <c r="B3417" s="74"/>
      <c r="C3417" s="74"/>
      <c r="D3417" s="57" t="s">
        <v>11606</v>
      </c>
      <c r="E3417" s="57" t="s">
        <v>11607</v>
      </c>
      <c r="F3417" s="57" t="s">
        <v>3787</v>
      </c>
      <c r="G3417" s="57" t="s">
        <v>11608</v>
      </c>
      <c r="H3417" s="77"/>
      <c r="I3417" s="37"/>
      <c r="J3417" s="81" t="s">
        <v>11609</v>
      </c>
      <c r="K3417" s="79" t="s">
        <v>11610</v>
      </c>
    </row>
    <row r="3418" customFormat="false" ht="34.2" hidden="false" customHeight="false" outlineLevel="0" collapsed="false">
      <c r="A3418" s="74"/>
      <c r="B3418" s="74"/>
      <c r="C3418" s="74"/>
      <c r="D3418" s="0"/>
      <c r="E3418" s="57" t="s">
        <v>3792</v>
      </c>
      <c r="F3418" s="57" t="s">
        <v>3792</v>
      </c>
      <c r="G3418" s="57" t="s">
        <v>11611</v>
      </c>
      <c r="H3418" s="77" t="s">
        <v>11612</v>
      </c>
      <c r="I3418" s="34" t="s">
        <v>40</v>
      </c>
      <c r="J3418" s="81" t="s">
        <v>11613</v>
      </c>
      <c r="K3418" s="79" t="s">
        <v>11444</v>
      </c>
    </row>
    <row r="3419" customFormat="false" ht="34.2" hidden="false" customHeight="true" outlineLevel="0" collapsed="false">
      <c r="A3419" s="74"/>
      <c r="B3419" s="74"/>
      <c r="C3419" s="75" t="s">
        <v>11614</v>
      </c>
      <c r="D3419" s="57" t="s">
        <v>11615</v>
      </c>
      <c r="E3419" s="57" t="s">
        <v>11616</v>
      </c>
      <c r="F3419" s="57" t="s">
        <v>3797</v>
      </c>
      <c r="G3419" s="57" t="s">
        <v>11617</v>
      </c>
      <c r="H3419" s="77"/>
      <c r="I3419" s="34"/>
      <c r="J3419" s="81" t="s">
        <v>11618</v>
      </c>
      <c r="K3419" s="79" t="s">
        <v>11619</v>
      </c>
    </row>
    <row r="3420" customFormat="false" ht="34.2" hidden="false" customHeight="false" outlineLevel="0" collapsed="false">
      <c r="A3420" s="74"/>
      <c r="B3420" s="74"/>
      <c r="C3420" s="74"/>
      <c r="D3420" s="57" t="s">
        <v>3792</v>
      </c>
      <c r="E3420" s="57" t="s">
        <v>3792</v>
      </c>
      <c r="F3420" s="57" t="s">
        <v>3792</v>
      </c>
      <c r="G3420" s="57" t="s">
        <v>11620</v>
      </c>
      <c r="H3420" s="77" t="s">
        <v>11621</v>
      </c>
      <c r="I3420" s="39" t="s">
        <v>67</v>
      </c>
      <c r="J3420" s="81" t="s">
        <v>11622</v>
      </c>
      <c r="K3420" s="79" t="s">
        <v>11623</v>
      </c>
    </row>
    <row r="3421" customFormat="false" ht="45.05" hidden="false" customHeight="false" outlineLevel="0" collapsed="false">
      <c r="A3421" s="74"/>
      <c r="B3421" s="74"/>
      <c r="C3421" s="74"/>
      <c r="D3421" s="57" t="s">
        <v>11624</v>
      </c>
      <c r="E3421" s="57" t="s">
        <v>11625</v>
      </c>
      <c r="F3421" s="57" t="s">
        <v>3806</v>
      </c>
      <c r="G3421" s="57" t="s">
        <v>11626</v>
      </c>
      <c r="H3421" s="77"/>
      <c r="I3421" s="39"/>
      <c r="J3421" s="81" t="s">
        <v>11493</v>
      </c>
      <c r="K3421" s="79" t="s">
        <v>11627</v>
      </c>
    </row>
    <row r="3422" customFormat="false" ht="34.2" hidden="false" customHeight="false" outlineLevel="0" collapsed="false">
      <c r="A3422" s="74"/>
      <c r="B3422" s="74"/>
      <c r="C3422" s="74"/>
      <c r="D3422" s="57" t="s">
        <v>3792</v>
      </c>
      <c r="E3422" s="57" t="s">
        <v>3792</v>
      </c>
      <c r="F3422" s="57" t="s">
        <v>3792</v>
      </c>
      <c r="G3422" s="57" t="s">
        <v>11628</v>
      </c>
      <c r="H3422" s="77" t="s">
        <v>11629</v>
      </c>
      <c r="I3422" s="34" t="s">
        <v>40</v>
      </c>
      <c r="J3422" s="81" t="s">
        <v>11361</v>
      </c>
      <c r="K3422" s="79" t="s">
        <v>11630</v>
      </c>
    </row>
    <row r="3423" customFormat="false" ht="45.05" hidden="false" customHeight="false" outlineLevel="0" collapsed="false">
      <c r="A3423" s="74"/>
      <c r="B3423" s="74"/>
      <c r="C3423" s="74"/>
      <c r="D3423" s="57" t="s">
        <v>11631</v>
      </c>
      <c r="E3423" s="57" t="s">
        <v>11632</v>
      </c>
      <c r="F3423" s="57" t="s">
        <v>3787</v>
      </c>
      <c r="G3423" s="57" t="s">
        <v>11633</v>
      </c>
      <c r="H3423" s="77"/>
      <c r="I3423" s="34"/>
      <c r="J3423" s="81" t="s">
        <v>11634</v>
      </c>
      <c r="K3423" s="79" t="s">
        <v>11635</v>
      </c>
    </row>
    <row r="3424" customFormat="false" ht="45.05" hidden="false" customHeight="false" outlineLevel="0" collapsed="false">
      <c r="A3424" s="74"/>
      <c r="B3424" s="74"/>
      <c r="C3424" s="74"/>
      <c r="D3424" s="57" t="s">
        <v>3792</v>
      </c>
      <c r="E3424" s="57" t="s">
        <v>3792</v>
      </c>
      <c r="F3424" s="57" t="s">
        <v>3792</v>
      </c>
      <c r="G3424" s="57" t="s">
        <v>11636</v>
      </c>
      <c r="H3424" s="77" t="s">
        <v>11637</v>
      </c>
      <c r="I3424" s="37" t="s">
        <v>50</v>
      </c>
      <c r="J3424" s="81" t="s">
        <v>11285</v>
      </c>
      <c r="K3424" s="79" t="s">
        <v>11638</v>
      </c>
    </row>
    <row r="3425" customFormat="false" ht="34.2" hidden="false" customHeight="false" outlineLevel="0" collapsed="false">
      <c r="A3425" s="74"/>
      <c r="B3425" s="74"/>
      <c r="C3425" s="74"/>
      <c r="D3425" s="57" t="s">
        <v>11639</v>
      </c>
      <c r="E3425" s="57" t="s">
        <v>11640</v>
      </c>
      <c r="F3425" s="57" t="s">
        <v>3806</v>
      </c>
      <c r="G3425" s="57" t="s">
        <v>11641</v>
      </c>
      <c r="H3425" s="77"/>
      <c r="I3425" s="37"/>
      <c r="J3425" s="81" t="s">
        <v>11642</v>
      </c>
      <c r="K3425" s="79" t="s">
        <v>11643</v>
      </c>
    </row>
    <row r="3426" customFormat="false" ht="34.2" hidden="false" customHeight="false" outlineLevel="0" collapsed="false">
      <c r="A3426" s="74"/>
      <c r="B3426" s="74"/>
      <c r="C3426" s="74"/>
      <c r="D3426" s="57" t="s">
        <v>3792</v>
      </c>
      <c r="E3426" s="57" t="s">
        <v>3792</v>
      </c>
      <c r="F3426" s="57" t="s">
        <v>3792</v>
      </c>
      <c r="G3426" s="57" t="s">
        <v>11644</v>
      </c>
      <c r="H3426" s="77" t="s">
        <v>11645</v>
      </c>
      <c r="I3426" s="34" t="s">
        <v>40</v>
      </c>
      <c r="J3426" s="81" t="s">
        <v>11646</v>
      </c>
      <c r="K3426" s="79" t="s">
        <v>11647</v>
      </c>
    </row>
    <row r="3427" customFormat="false" ht="55.95" hidden="false" customHeight="false" outlineLevel="0" collapsed="false">
      <c r="A3427" s="74"/>
      <c r="B3427" s="74"/>
      <c r="C3427" s="74"/>
      <c r="D3427" s="57" t="s">
        <v>11648</v>
      </c>
      <c r="E3427" s="57" t="s">
        <v>11649</v>
      </c>
      <c r="F3427" s="57" t="s">
        <v>3797</v>
      </c>
      <c r="G3427" s="57" t="s">
        <v>11650</v>
      </c>
      <c r="H3427" s="77"/>
      <c r="I3427" s="34"/>
      <c r="J3427" s="81" t="s">
        <v>11511</v>
      </c>
      <c r="K3427" s="79" t="s">
        <v>11651</v>
      </c>
    </row>
    <row r="3428" customFormat="false" ht="45.05" hidden="false" customHeight="false" outlineLevel="0" collapsed="false">
      <c r="A3428" s="74"/>
      <c r="B3428" s="74"/>
      <c r="C3428" s="74"/>
      <c r="D3428" s="0"/>
      <c r="E3428" s="57" t="s">
        <v>3792</v>
      </c>
      <c r="F3428" s="57" t="s">
        <v>3792</v>
      </c>
      <c r="G3428" s="57" t="s">
        <v>11652</v>
      </c>
      <c r="H3428" s="77" t="s">
        <v>11653</v>
      </c>
      <c r="I3428" s="39" t="s">
        <v>67</v>
      </c>
      <c r="J3428" s="81" t="s">
        <v>11111</v>
      </c>
      <c r="K3428" s="79" t="s">
        <v>11654</v>
      </c>
    </row>
    <row r="3429" customFormat="false" ht="55.95" hidden="false" customHeight="true" outlineLevel="0" collapsed="false">
      <c r="A3429" s="74"/>
      <c r="B3429" s="74" t="s">
        <v>11655</v>
      </c>
      <c r="C3429" s="75" t="s">
        <v>11656</v>
      </c>
      <c r="D3429" s="57" t="s">
        <v>11657</v>
      </c>
      <c r="E3429" s="57" t="s">
        <v>11658</v>
      </c>
      <c r="F3429" s="57" t="s">
        <v>3787</v>
      </c>
      <c r="G3429" s="57" t="s">
        <v>11659</v>
      </c>
      <c r="H3429" s="77"/>
      <c r="I3429" s="39"/>
      <c r="J3429" s="81" t="s">
        <v>11660</v>
      </c>
      <c r="K3429" s="79" t="s">
        <v>11661</v>
      </c>
    </row>
    <row r="3430" customFormat="false" ht="45.05" hidden="false" customHeight="false" outlineLevel="0" collapsed="false">
      <c r="A3430" s="74"/>
      <c r="B3430" s="74"/>
      <c r="C3430" s="74"/>
      <c r="D3430" s="57" t="s">
        <v>3792</v>
      </c>
      <c r="E3430" s="57" t="s">
        <v>3792</v>
      </c>
      <c r="F3430" s="57" t="s">
        <v>3792</v>
      </c>
      <c r="G3430" s="57" t="s">
        <v>11662</v>
      </c>
      <c r="H3430" s="77" t="s">
        <v>11663</v>
      </c>
      <c r="I3430" s="34" t="s">
        <v>40</v>
      </c>
      <c r="J3430" s="81" t="s">
        <v>11664</v>
      </c>
      <c r="K3430" s="79" t="s">
        <v>11665</v>
      </c>
    </row>
    <row r="3431" customFormat="false" ht="66.85" hidden="false" customHeight="false" outlineLevel="0" collapsed="false">
      <c r="A3431" s="74"/>
      <c r="B3431" s="74"/>
      <c r="C3431" s="74"/>
      <c r="D3431" s="57" t="s">
        <v>11666</v>
      </c>
      <c r="E3431" s="57" t="s">
        <v>11667</v>
      </c>
      <c r="F3431" s="57" t="s">
        <v>3797</v>
      </c>
      <c r="G3431" s="57" t="s">
        <v>11668</v>
      </c>
      <c r="H3431" s="77"/>
      <c r="I3431" s="34"/>
      <c r="J3431" s="81" t="s">
        <v>11669</v>
      </c>
      <c r="K3431" s="79" t="s">
        <v>11670</v>
      </c>
    </row>
    <row r="3432" customFormat="false" ht="21.75" hidden="false" customHeight="false" outlineLevel="0" collapsed="false">
      <c r="A3432" s="74"/>
      <c r="B3432" s="74"/>
      <c r="C3432" s="74"/>
      <c r="D3432" s="57" t="s">
        <v>3792</v>
      </c>
      <c r="E3432" s="57" t="s">
        <v>3792</v>
      </c>
      <c r="F3432" s="57" t="s">
        <v>3792</v>
      </c>
      <c r="G3432" s="57" t="s">
        <v>11671</v>
      </c>
      <c r="H3432" s="77" t="s">
        <v>11672</v>
      </c>
      <c r="I3432" s="37" t="s">
        <v>50</v>
      </c>
      <c r="J3432" s="81" t="s">
        <v>11673</v>
      </c>
      <c r="K3432" s="79" t="s">
        <v>11674</v>
      </c>
    </row>
    <row r="3433" customFormat="false" ht="45.05" hidden="false" customHeight="false" outlineLevel="0" collapsed="false">
      <c r="A3433" s="74"/>
      <c r="B3433" s="74"/>
      <c r="C3433" s="74"/>
      <c r="D3433" s="57" t="s">
        <v>11675</v>
      </c>
      <c r="E3433" s="57" t="s">
        <v>11676</v>
      </c>
      <c r="F3433" s="57" t="s">
        <v>3806</v>
      </c>
      <c r="G3433" s="57" t="s">
        <v>11677</v>
      </c>
      <c r="H3433" s="77"/>
      <c r="I3433" s="37"/>
      <c r="J3433" s="81" t="s">
        <v>11678</v>
      </c>
      <c r="K3433" s="79" t="s">
        <v>11679</v>
      </c>
    </row>
    <row r="3434" customFormat="false" ht="21.75" hidden="false" customHeight="false" outlineLevel="0" collapsed="false">
      <c r="A3434" s="74"/>
      <c r="B3434" s="74"/>
      <c r="C3434" s="74"/>
      <c r="D3434" s="57" t="s">
        <v>3792</v>
      </c>
      <c r="E3434" s="57" t="s">
        <v>3792</v>
      </c>
      <c r="F3434" s="57" t="s">
        <v>3792</v>
      </c>
      <c r="G3434" s="57" t="s">
        <v>11680</v>
      </c>
      <c r="H3434" s="77" t="s">
        <v>11681</v>
      </c>
      <c r="I3434" s="34" t="s">
        <v>40</v>
      </c>
      <c r="J3434" s="81" t="s">
        <v>11682</v>
      </c>
      <c r="K3434" s="79" t="s">
        <v>11683</v>
      </c>
    </row>
    <row r="3435" customFormat="false" ht="55.95" hidden="false" customHeight="false" outlineLevel="0" collapsed="false">
      <c r="A3435" s="74"/>
      <c r="B3435" s="74"/>
      <c r="C3435" s="74"/>
      <c r="D3435" s="57" t="s">
        <v>11684</v>
      </c>
      <c r="E3435" s="57" t="s">
        <v>11685</v>
      </c>
      <c r="F3435" s="57" t="s">
        <v>3797</v>
      </c>
      <c r="G3435" s="57" t="s">
        <v>11686</v>
      </c>
      <c r="H3435" s="77"/>
      <c r="I3435" s="34"/>
      <c r="J3435" s="81" t="s">
        <v>11687</v>
      </c>
      <c r="K3435" s="79" t="s">
        <v>11688</v>
      </c>
    </row>
    <row r="3436" customFormat="false" ht="34.2" hidden="false" customHeight="false" outlineLevel="0" collapsed="false">
      <c r="A3436" s="74"/>
      <c r="B3436" s="74"/>
      <c r="C3436" s="74"/>
      <c r="D3436" s="57" t="s">
        <v>3792</v>
      </c>
      <c r="E3436" s="57" t="s">
        <v>3792</v>
      </c>
      <c r="F3436" s="57" t="s">
        <v>3792</v>
      </c>
      <c r="G3436" s="57" t="s">
        <v>11689</v>
      </c>
      <c r="H3436" s="77" t="s">
        <v>11690</v>
      </c>
      <c r="I3436" s="39" t="s">
        <v>67</v>
      </c>
      <c r="J3436" s="81" t="s">
        <v>10872</v>
      </c>
      <c r="K3436" s="79" t="s">
        <v>11691</v>
      </c>
    </row>
    <row r="3437" customFormat="false" ht="55.95" hidden="false" customHeight="false" outlineLevel="0" collapsed="false">
      <c r="A3437" s="74"/>
      <c r="B3437" s="74"/>
      <c r="C3437" s="74"/>
      <c r="D3437" s="57" t="s">
        <v>11692</v>
      </c>
      <c r="E3437" s="57" t="s">
        <v>11693</v>
      </c>
      <c r="F3437" s="57" t="s">
        <v>3787</v>
      </c>
      <c r="G3437" s="57" t="s">
        <v>11694</v>
      </c>
      <c r="H3437" s="77"/>
      <c r="I3437" s="39"/>
      <c r="J3437" s="81" t="s">
        <v>11695</v>
      </c>
      <c r="K3437" s="79" t="s">
        <v>11696</v>
      </c>
    </row>
    <row r="3438" customFormat="false" ht="45.05" hidden="false" customHeight="false" outlineLevel="0" collapsed="false">
      <c r="A3438" s="74"/>
      <c r="B3438" s="74"/>
      <c r="C3438" s="74"/>
      <c r="D3438" s="0"/>
      <c r="E3438" s="57" t="s">
        <v>3792</v>
      </c>
      <c r="F3438" s="57" t="s">
        <v>3792</v>
      </c>
      <c r="G3438" s="57" t="s">
        <v>11697</v>
      </c>
      <c r="H3438" s="77" t="s">
        <v>11698</v>
      </c>
      <c r="I3438" s="34" t="s">
        <v>40</v>
      </c>
      <c r="J3438" s="81" t="s">
        <v>11699</v>
      </c>
      <c r="K3438" s="79" t="s">
        <v>11700</v>
      </c>
    </row>
    <row r="3439" customFormat="false" ht="34.2" hidden="false" customHeight="true" outlineLevel="0" collapsed="false">
      <c r="A3439" s="74"/>
      <c r="B3439" s="74"/>
      <c r="C3439" s="75" t="s">
        <v>11701</v>
      </c>
      <c r="D3439" s="57" t="s">
        <v>11702</v>
      </c>
      <c r="E3439" s="57" t="s">
        <v>11703</v>
      </c>
      <c r="F3439" s="57" t="s">
        <v>3806</v>
      </c>
      <c r="G3439" s="57" t="s">
        <v>11704</v>
      </c>
      <c r="H3439" s="77"/>
      <c r="I3439" s="34"/>
      <c r="J3439" s="81" t="s">
        <v>11705</v>
      </c>
      <c r="K3439" s="79" t="s">
        <v>11706</v>
      </c>
    </row>
    <row r="3440" customFormat="false" ht="34.2" hidden="false" customHeight="false" outlineLevel="0" collapsed="false">
      <c r="A3440" s="74"/>
      <c r="B3440" s="74"/>
      <c r="C3440" s="74"/>
      <c r="D3440" s="57" t="s">
        <v>3792</v>
      </c>
      <c r="E3440" s="57" t="s">
        <v>3792</v>
      </c>
      <c r="F3440" s="57" t="s">
        <v>3792</v>
      </c>
      <c r="G3440" s="57" t="s">
        <v>11707</v>
      </c>
      <c r="H3440" s="77" t="s">
        <v>11708</v>
      </c>
      <c r="I3440" s="37" t="s">
        <v>50</v>
      </c>
      <c r="J3440" s="81" t="s">
        <v>11709</v>
      </c>
      <c r="K3440" s="79" t="s">
        <v>11710</v>
      </c>
    </row>
    <row r="3441" customFormat="false" ht="34.2" hidden="false" customHeight="false" outlineLevel="0" collapsed="false">
      <c r="A3441" s="74"/>
      <c r="B3441" s="74"/>
      <c r="C3441" s="74"/>
      <c r="D3441" s="57" t="s">
        <v>11711</v>
      </c>
      <c r="E3441" s="57" t="s">
        <v>11712</v>
      </c>
      <c r="F3441" s="57" t="s">
        <v>3787</v>
      </c>
      <c r="G3441" s="57" t="s">
        <v>11713</v>
      </c>
      <c r="H3441" s="77"/>
      <c r="I3441" s="37"/>
      <c r="J3441" s="81" t="s">
        <v>11714</v>
      </c>
      <c r="K3441" s="79" t="s">
        <v>11715</v>
      </c>
    </row>
    <row r="3442" customFormat="false" ht="34.2" hidden="false" customHeight="false" outlineLevel="0" collapsed="false">
      <c r="A3442" s="74"/>
      <c r="B3442" s="74"/>
      <c r="C3442" s="74"/>
      <c r="D3442" s="57" t="s">
        <v>3792</v>
      </c>
      <c r="E3442" s="57" t="s">
        <v>3792</v>
      </c>
      <c r="F3442" s="57" t="s">
        <v>3792</v>
      </c>
      <c r="G3442" s="57" t="s">
        <v>11716</v>
      </c>
      <c r="H3442" s="77" t="s">
        <v>11717</v>
      </c>
      <c r="I3442" s="34" t="s">
        <v>40</v>
      </c>
      <c r="J3442" s="81" t="s">
        <v>11718</v>
      </c>
      <c r="K3442" s="79" t="s">
        <v>11719</v>
      </c>
    </row>
    <row r="3443" customFormat="false" ht="45.05" hidden="false" customHeight="false" outlineLevel="0" collapsed="false">
      <c r="A3443" s="74"/>
      <c r="B3443" s="74"/>
      <c r="C3443" s="74"/>
      <c r="D3443" s="57" t="s">
        <v>11720</v>
      </c>
      <c r="E3443" s="57" t="s">
        <v>11721</v>
      </c>
      <c r="F3443" s="57" t="s">
        <v>3797</v>
      </c>
      <c r="G3443" s="57" t="s">
        <v>11722</v>
      </c>
      <c r="H3443" s="77"/>
      <c r="I3443" s="34"/>
      <c r="J3443" s="81" t="s">
        <v>11723</v>
      </c>
      <c r="K3443" s="79" t="s">
        <v>11724</v>
      </c>
    </row>
    <row r="3444" customFormat="false" ht="34.2" hidden="false" customHeight="false" outlineLevel="0" collapsed="false">
      <c r="A3444" s="74"/>
      <c r="B3444" s="74"/>
      <c r="C3444" s="74"/>
      <c r="D3444" s="57" t="s">
        <v>3792</v>
      </c>
      <c r="E3444" s="57" t="s">
        <v>3792</v>
      </c>
      <c r="F3444" s="57" t="s">
        <v>3792</v>
      </c>
      <c r="G3444" s="57" t="s">
        <v>11725</v>
      </c>
      <c r="H3444" s="77" t="s">
        <v>11726</v>
      </c>
      <c r="I3444" s="39" t="s">
        <v>67</v>
      </c>
      <c r="J3444" s="81" t="s">
        <v>11727</v>
      </c>
      <c r="K3444" s="79" t="s">
        <v>11728</v>
      </c>
    </row>
    <row r="3445" customFormat="false" ht="45.05" hidden="false" customHeight="false" outlineLevel="0" collapsed="false">
      <c r="A3445" s="74"/>
      <c r="B3445" s="74"/>
      <c r="C3445" s="74"/>
      <c r="D3445" s="57" t="s">
        <v>11729</v>
      </c>
      <c r="E3445" s="57" t="s">
        <v>11730</v>
      </c>
      <c r="F3445" s="57" t="s">
        <v>3806</v>
      </c>
      <c r="G3445" s="57" t="s">
        <v>11731</v>
      </c>
      <c r="H3445" s="77"/>
      <c r="I3445" s="39"/>
      <c r="J3445" s="81" t="s">
        <v>11732</v>
      </c>
      <c r="K3445" s="79" t="s">
        <v>11733</v>
      </c>
    </row>
    <row r="3446" customFormat="false" ht="45.05" hidden="false" customHeight="false" outlineLevel="0" collapsed="false">
      <c r="A3446" s="74"/>
      <c r="B3446" s="74"/>
      <c r="C3446" s="74"/>
      <c r="D3446" s="57" t="s">
        <v>3792</v>
      </c>
      <c r="E3446" s="57" t="s">
        <v>3792</v>
      </c>
      <c r="F3446" s="57" t="s">
        <v>3792</v>
      </c>
      <c r="G3446" s="57" t="s">
        <v>11734</v>
      </c>
      <c r="H3446" s="77" t="s">
        <v>11735</v>
      </c>
      <c r="I3446" s="34" t="s">
        <v>40</v>
      </c>
      <c r="J3446" s="81" t="s">
        <v>11736</v>
      </c>
      <c r="K3446" s="79" t="s">
        <v>11737</v>
      </c>
    </row>
    <row r="3447" customFormat="false" ht="45.05" hidden="false" customHeight="false" outlineLevel="0" collapsed="false">
      <c r="A3447" s="74"/>
      <c r="B3447" s="74"/>
      <c r="C3447" s="74"/>
      <c r="D3447" s="57" t="s">
        <v>11738</v>
      </c>
      <c r="E3447" s="57" t="s">
        <v>11739</v>
      </c>
      <c r="F3447" s="57" t="s">
        <v>3787</v>
      </c>
      <c r="G3447" s="57" t="s">
        <v>11740</v>
      </c>
      <c r="H3447" s="77"/>
      <c r="I3447" s="34"/>
      <c r="J3447" s="81" t="s">
        <v>11741</v>
      </c>
      <c r="K3447" s="79" t="s">
        <v>11742</v>
      </c>
    </row>
    <row r="3448" customFormat="false" ht="45.05" hidden="false" customHeight="false" outlineLevel="0" collapsed="false">
      <c r="A3448" s="74"/>
      <c r="B3448" s="74"/>
      <c r="C3448" s="74"/>
      <c r="D3448" s="0"/>
      <c r="E3448" s="57" t="s">
        <v>3792</v>
      </c>
      <c r="F3448" s="57" t="s">
        <v>3792</v>
      </c>
      <c r="G3448" s="57" t="s">
        <v>11743</v>
      </c>
      <c r="H3448" s="77" t="s">
        <v>11744</v>
      </c>
      <c r="I3448" s="37" t="s">
        <v>50</v>
      </c>
      <c r="J3448" s="81" t="s">
        <v>11745</v>
      </c>
      <c r="K3448" s="79" t="s">
        <v>11746</v>
      </c>
    </row>
    <row r="3449" customFormat="false" ht="34.2" hidden="false" customHeight="false" outlineLevel="0" collapsed="false">
      <c r="A3449" s="74"/>
      <c r="B3449" s="74"/>
      <c r="C3449" s="74" t="s">
        <v>11747</v>
      </c>
      <c r="D3449" s="57" t="s">
        <v>11748</v>
      </c>
      <c r="E3449" s="57" t="s">
        <v>11749</v>
      </c>
      <c r="F3449" s="57" t="s">
        <v>3797</v>
      </c>
      <c r="G3449" s="57" t="s">
        <v>11750</v>
      </c>
      <c r="H3449" s="77"/>
      <c r="I3449" s="37"/>
      <c r="J3449" s="81" t="s">
        <v>11751</v>
      </c>
      <c r="K3449" s="79" t="s">
        <v>11752</v>
      </c>
    </row>
    <row r="3450" customFormat="false" ht="34.2" hidden="false" customHeight="false" outlineLevel="0" collapsed="false">
      <c r="A3450" s="74"/>
      <c r="B3450" s="74"/>
      <c r="C3450" s="74"/>
      <c r="D3450" s="57" t="s">
        <v>3792</v>
      </c>
      <c r="E3450" s="57" t="s">
        <v>3792</v>
      </c>
      <c r="F3450" s="57" t="s">
        <v>3792</v>
      </c>
      <c r="G3450" s="57" t="s">
        <v>11753</v>
      </c>
      <c r="H3450" s="77" t="s">
        <v>11754</v>
      </c>
      <c r="I3450" s="34" t="s">
        <v>40</v>
      </c>
      <c r="J3450" s="81" t="s">
        <v>11755</v>
      </c>
      <c r="K3450" s="79" t="s">
        <v>11756</v>
      </c>
    </row>
    <row r="3451" customFormat="false" ht="34.2" hidden="false" customHeight="false" outlineLevel="0" collapsed="false">
      <c r="A3451" s="74"/>
      <c r="B3451" s="74"/>
      <c r="C3451" s="74"/>
      <c r="D3451" s="57" t="s">
        <v>11757</v>
      </c>
      <c r="E3451" s="57" t="s">
        <v>11758</v>
      </c>
      <c r="F3451" s="57" t="s">
        <v>3806</v>
      </c>
      <c r="G3451" s="57" t="s">
        <v>11759</v>
      </c>
      <c r="H3451" s="77"/>
      <c r="I3451" s="34"/>
      <c r="J3451" s="81" t="s">
        <v>11760</v>
      </c>
      <c r="K3451" s="79" t="s">
        <v>11761</v>
      </c>
    </row>
    <row r="3452" customFormat="false" ht="45.05" hidden="false" customHeight="false" outlineLevel="0" collapsed="false">
      <c r="A3452" s="74"/>
      <c r="B3452" s="74"/>
      <c r="C3452" s="74"/>
      <c r="D3452" s="57" t="s">
        <v>3792</v>
      </c>
      <c r="E3452" s="57" t="s">
        <v>3792</v>
      </c>
      <c r="F3452" s="57" t="s">
        <v>3792</v>
      </c>
      <c r="G3452" s="57" t="s">
        <v>11762</v>
      </c>
      <c r="H3452" s="77" t="s">
        <v>11763</v>
      </c>
      <c r="I3452" s="39" t="s">
        <v>67</v>
      </c>
      <c r="J3452" s="81" t="s">
        <v>11764</v>
      </c>
      <c r="K3452" s="79" t="s">
        <v>11765</v>
      </c>
    </row>
    <row r="3453" customFormat="false" ht="34.2" hidden="false" customHeight="false" outlineLevel="0" collapsed="false">
      <c r="A3453" s="74"/>
      <c r="B3453" s="74"/>
      <c r="C3453" s="74"/>
      <c r="D3453" s="57" t="s">
        <v>11766</v>
      </c>
      <c r="E3453" s="57" t="s">
        <v>11767</v>
      </c>
      <c r="F3453" s="57" t="s">
        <v>3797</v>
      </c>
      <c r="G3453" s="57" t="s">
        <v>11234</v>
      </c>
      <c r="H3453" s="77"/>
      <c r="I3453" s="39"/>
      <c r="J3453" s="81" t="s">
        <v>11019</v>
      </c>
      <c r="K3453" s="79" t="s">
        <v>11768</v>
      </c>
    </row>
    <row r="3454" customFormat="false" ht="34.2" hidden="false" customHeight="false" outlineLevel="0" collapsed="false">
      <c r="A3454" s="74"/>
      <c r="B3454" s="74"/>
      <c r="C3454" s="74"/>
      <c r="D3454" s="57" t="s">
        <v>3792</v>
      </c>
      <c r="E3454" s="57" t="s">
        <v>3792</v>
      </c>
      <c r="F3454" s="57" t="s">
        <v>3792</v>
      </c>
      <c r="G3454" s="57" t="s">
        <v>11769</v>
      </c>
      <c r="H3454" s="77" t="s">
        <v>11770</v>
      </c>
      <c r="I3454" s="34" t="s">
        <v>40</v>
      </c>
      <c r="J3454" s="81" t="s">
        <v>11592</v>
      </c>
      <c r="K3454" s="79" t="s">
        <v>11771</v>
      </c>
    </row>
    <row r="3455" customFormat="false" ht="34.2" hidden="false" customHeight="false" outlineLevel="0" collapsed="false">
      <c r="A3455" s="74"/>
      <c r="B3455" s="74"/>
      <c r="C3455" s="74"/>
      <c r="D3455" s="57" t="s">
        <v>11772</v>
      </c>
      <c r="E3455" s="57" t="s">
        <v>11773</v>
      </c>
      <c r="F3455" s="57" t="s">
        <v>3787</v>
      </c>
      <c r="G3455" s="73" t="s">
        <v>11234</v>
      </c>
      <c r="H3455" s="77"/>
      <c r="I3455" s="34"/>
      <c r="J3455" s="81" t="s">
        <v>11774</v>
      </c>
      <c r="K3455" s="79" t="s">
        <v>11775</v>
      </c>
    </row>
    <row r="3456" customFormat="false" ht="45.05" hidden="false" customHeight="false" outlineLevel="0" collapsed="false">
      <c r="A3456" s="74"/>
      <c r="B3456" s="74"/>
      <c r="C3456" s="74"/>
      <c r="D3456" s="57" t="s">
        <v>3792</v>
      </c>
      <c r="E3456" s="57" t="s">
        <v>3792</v>
      </c>
      <c r="F3456" s="57" t="s">
        <v>3792</v>
      </c>
      <c r="G3456" s="73" t="s">
        <v>11776</v>
      </c>
      <c r="H3456" s="77" t="s">
        <v>11777</v>
      </c>
      <c r="I3456" s="37" t="s">
        <v>50</v>
      </c>
      <c r="J3456" s="81" t="s">
        <v>11778</v>
      </c>
      <c r="K3456" s="79" t="s">
        <v>11779</v>
      </c>
    </row>
    <row r="3457" customFormat="false" ht="45.05" hidden="false" customHeight="false" outlineLevel="0" collapsed="false">
      <c r="A3457" s="74"/>
      <c r="B3457" s="74"/>
      <c r="C3457" s="74"/>
      <c r="D3457" s="57" t="s">
        <v>11241</v>
      </c>
      <c r="E3457" s="57" t="s">
        <v>11780</v>
      </c>
      <c r="F3457" s="57" t="s">
        <v>3806</v>
      </c>
      <c r="G3457" s="73" t="s">
        <v>11781</v>
      </c>
      <c r="H3457" s="77"/>
      <c r="I3457" s="37"/>
      <c r="J3457" s="81" t="s">
        <v>11782</v>
      </c>
      <c r="K3457" s="79" t="s">
        <v>11783</v>
      </c>
    </row>
    <row r="3458" customFormat="false" ht="45.05" hidden="false" customHeight="false" outlineLevel="0" collapsed="false">
      <c r="A3458" s="74"/>
      <c r="B3458" s="74"/>
      <c r="C3458" s="74"/>
      <c r="D3458" s="0"/>
      <c r="E3458" s="57" t="s">
        <v>3792</v>
      </c>
      <c r="F3458" s="57" t="s">
        <v>3792</v>
      </c>
      <c r="G3458" s="73" t="s">
        <v>11784</v>
      </c>
      <c r="H3458" s="77" t="s">
        <v>11785</v>
      </c>
      <c r="I3458" s="34" t="s">
        <v>40</v>
      </c>
      <c r="J3458" s="81" t="s">
        <v>11786</v>
      </c>
      <c r="K3458" s="79" t="s">
        <v>11787</v>
      </c>
    </row>
    <row r="3459" customFormat="false" ht="101.05" hidden="false" customHeight="true" outlineLevel="0" collapsed="false">
      <c r="A3459" s="74"/>
      <c r="B3459" s="74"/>
      <c r="C3459" s="75" t="s">
        <v>11788</v>
      </c>
      <c r="D3459" s="57" t="s">
        <v>11789</v>
      </c>
      <c r="E3459" s="57" t="s">
        <v>11790</v>
      </c>
      <c r="F3459" s="57" t="s">
        <v>3787</v>
      </c>
      <c r="G3459" s="73" t="s">
        <v>11791</v>
      </c>
      <c r="H3459" s="77"/>
      <c r="I3459" s="34"/>
      <c r="J3459" s="81" t="s">
        <v>11792</v>
      </c>
      <c r="K3459" s="79" t="s">
        <v>11793</v>
      </c>
    </row>
    <row r="3460" customFormat="false" ht="34.2" hidden="false" customHeight="false" outlineLevel="0" collapsed="false">
      <c r="A3460" s="74"/>
      <c r="B3460" s="74"/>
      <c r="C3460" s="74"/>
      <c r="D3460" s="57" t="s">
        <v>3792</v>
      </c>
      <c r="E3460" s="57" t="s">
        <v>3792</v>
      </c>
      <c r="F3460" s="57" t="s">
        <v>3792</v>
      </c>
      <c r="G3460" s="73" t="s">
        <v>11794</v>
      </c>
      <c r="H3460" s="77" t="s">
        <v>11795</v>
      </c>
      <c r="I3460" s="39" t="s">
        <v>67</v>
      </c>
      <c r="J3460" s="81" t="s">
        <v>11796</v>
      </c>
      <c r="K3460" s="79" t="s">
        <v>11797</v>
      </c>
    </row>
    <row r="3461" customFormat="false" ht="77.7" hidden="false" customHeight="false" outlineLevel="0" collapsed="false">
      <c r="A3461" s="74"/>
      <c r="B3461" s="74"/>
      <c r="C3461" s="74"/>
      <c r="D3461" s="57" t="s">
        <v>11798</v>
      </c>
      <c r="E3461" s="57" t="s">
        <v>11799</v>
      </c>
      <c r="F3461" s="57" t="s">
        <v>3806</v>
      </c>
      <c r="G3461" s="73" t="s">
        <v>11800</v>
      </c>
      <c r="H3461" s="77"/>
      <c r="I3461" s="39"/>
      <c r="J3461" s="81" t="s">
        <v>11801</v>
      </c>
      <c r="K3461" s="79" t="s">
        <v>11802</v>
      </c>
    </row>
    <row r="3462" customFormat="false" ht="66.85" hidden="false" customHeight="false" outlineLevel="0" collapsed="false">
      <c r="A3462" s="74"/>
      <c r="B3462" s="74"/>
      <c r="C3462" s="74"/>
      <c r="D3462" s="57" t="s">
        <v>3792</v>
      </c>
      <c r="E3462" s="57" t="s">
        <v>3792</v>
      </c>
      <c r="F3462" s="57" t="s">
        <v>3792</v>
      </c>
      <c r="G3462" s="73" t="s">
        <v>11803</v>
      </c>
      <c r="H3462" s="77" t="s">
        <v>11804</v>
      </c>
      <c r="I3462" s="34" t="s">
        <v>40</v>
      </c>
      <c r="J3462" s="81" t="s">
        <v>11805</v>
      </c>
      <c r="K3462" s="79" t="s">
        <v>11806</v>
      </c>
    </row>
    <row r="3463" customFormat="false" ht="77.7" hidden="false" customHeight="false" outlineLevel="0" collapsed="false">
      <c r="A3463" s="74"/>
      <c r="B3463" s="74"/>
      <c r="C3463" s="74"/>
      <c r="D3463" s="57" t="s">
        <v>11807</v>
      </c>
      <c r="E3463" s="57" t="s">
        <v>11808</v>
      </c>
      <c r="F3463" s="57" t="s">
        <v>3797</v>
      </c>
      <c r="G3463" s="73" t="s">
        <v>11809</v>
      </c>
      <c r="H3463" s="77"/>
      <c r="I3463" s="34"/>
      <c r="J3463" s="81" t="s">
        <v>11810</v>
      </c>
      <c r="K3463" s="79" t="s">
        <v>11811</v>
      </c>
    </row>
    <row r="3464" customFormat="false" ht="45.05" hidden="false" customHeight="false" outlineLevel="0" collapsed="false">
      <c r="A3464" s="74"/>
      <c r="B3464" s="74"/>
      <c r="C3464" s="74"/>
      <c r="D3464" s="57" t="s">
        <v>3792</v>
      </c>
      <c r="E3464" s="57" t="s">
        <v>3792</v>
      </c>
      <c r="F3464" s="57" t="s">
        <v>3792</v>
      </c>
      <c r="G3464" s="73" t="s">
        <v>11812</v>
      </c>
      <c r="H3464" s="77" t="s">
        <v>11813</v>
      </c>
      <c r="I3464" s="37" t="s">
        <v>50</v>
      </c>
      <c r="J3464" s="81" t="s">
        <v>11814</v>
      </c>
      <c r="K3464" s="79" t="s">
        <v>11815</v>
      </c>
    </row>
    <row r="3465" customFormat="false" ht="66.85" hidden="false" customHeight="false" outlineLevel="0" collapsed="false">
      <c r="A3465" s="74"/>
      <c r="B3465" s="74"/>
      <c r="C3465" s="74"/>
      <c r="D3465" s="57" t="s">
        <v>11816</v>
      </c>
      <c r="E3465" s="57" t="s">
        <v>11817</v>
      </c>
      <c r="F3465" s="57" t="s">
        <v>3787</v>
      </c>
      <c r="G3465" s="73" t="s">
        <v>11818</v>
      </c>
      <c r="H3465" s="77"/>
      <c r="I3465" s="37"/>
      <c r="J3465" s="81" t="s">
        <v>11819</v>
      </c>
      <c r="K3465" s="79" t="s">
        <v>11820</v>
      </c>
    </row>
    <row r="3466" customFormat="false" ht="45.05" hidden="false" customHeight="false" outlineLevel="0" collapsed="false">
      <c r="A3466" s="74"/>
      <c r="B3466" s="74"/>
      <c r="C3466" s="74"/>
      <c r="D3466" s="57" t="s">
        <v>3792</v>
      </c>
      <c r="E3466" s="57" t="s">
        <v>3792</v>
      </c>
      <c r="F3466" s="57" t="s">
        <v>3792</v>
      </c>
      <c r="G3466" s="73" t="s">
        <v>11821</v>
      </c>
      <c r="H3466" s="77" t="s">
        <v>11822</v>
      </c>
      <c r="I3466" s="34" t="s">
        <v>40</v>
      </c>
      <c r="J3466" s="81" t="s">
        <v>11823</v>
      </c>
      <c r="K3466" s="79" t="s">
        <v>11824</v>
      </c>
    </row>
    <row r="3467" customFormat="false" ht="77.7" hidden="false" customHeight="false" outlineLevel="0" collapsed="false">
      <c r="A3467" s="74"/>
      <c r="B3467" s="74"/>
      <c r="C3467" s="74"/>
      <c r="D3467" s="57" t="s">
        <v>11825</v>
      </c>
      <c r="E3467" s="57" t="s">
        <v>11826</v>
      </c>
      <c r="F3467" s="57" t="s">
        <v>3797</v>
      </c>
      <c r="G3467" s="73" t="s">
        <v>11827</v>
      </c>
      <c r="H3467" s="77"/>
      <c r="I3467" s="34"/>
      <c r="J3467" s="81" t="s">
        <v>11828</v>
      </c>
      <c r="K3467" s="79" t="s">
        <v>11399</v>
      </c>
    </row>
    <row r="3468" customFormat="false" ht="45.05" hidden="false" customHeight="false" outlineLevel="0" collapsed="false">
      <c r="A3468" s="74"/>
      <c r="B3468" s="74"/>
      <c r="C3468" s="74"/>
      <c r="D3468" s="0"/>
      <c r="E3468" s="57" t="s">
        <v>3792</v>
      </c>
      <c r="F3468" s="57" t="s">
        <v>3792</v>
      </c>
      <c r="G3468" s="73" t="s">
        <v>11829</v>
      </c>
      <c r="H3468" s="77" t="s">
        <v>11830</v>
      </c>
      <c r="I3468" s="39" t="s">
        <v>67</v>
      </c>
      <c r="J3468" s="81" t="s">
        <v>11831</v>
      </c>
      <c r="K3468" s="79" t="s">
        <v>11832</v>
      </c>
    </row>
    <row r="3469" customFormat="false" ht="55.95" hidden="false" customHeight="true" outlineLevel="0" collapsed="false">
      <c r="A3469" s="74"/>
      <c r="B3469" s="74"/>
      <c r="C3469" s="75" t="s">
        <v>11833</v>
      </c>
      <c r="D3469" s="57" t="s">
        <v>11834</v>
      </c>
      <c r="E3469" s="57" t="s">
        <v>11835</v>
      </c>
      <c r="F3469" s="57" t="s">
        <v>3806</v>
      </c>
      <c r="G3469" s="73" t="s">
        <v>11836</v>
      </c>
      <c r="H3469" s="77"/>
      <c r="I3469" s="39"/>
      <c r="J3469" s="81" t="s">
        <v>11398</v>
      </c>
      <c r="K3469" s="79" t="s">
        <v>11837</v>
      </c>
    </row>
    <row r="3470" customFormat="false" ht="55.95" hidden="false" customHeight="false" outlineLevel="0" collapsed="false">
      <c r="A3470" s="74"/>
      <c r="B3470" s="74"/>
      <c r="C3470" s="74"/>
      <c r="D3470" s="57" t="s">
        <v>3792</v>
      </c>
      <c r="E3470" s="57" t="s">
        <v>3792</v>
      </c>
      <c r="F3470" s="57" t="s">
        <v>3792</v>
      </c>
      <c r="G3470" s="73" t="s">
        <v>11838</v>
      </c>
      <c r="H3470" s="77" t="s">
        <v>11839</v>
      </c>
      <c r="I3470" s="34" t="s">
        <v>40</v>
      </c>
      <c r="J3470" s="81" t="s">
        <v>11840</v>
      </c>
      <c r="K3470" s="79" t="s">
        <v>11841</v>
      </c>
    </row>
    <row r="3471" customFormat="false" ht="66.85" hidden="false" customHeight="false" outlineLevel="0" collapsed="false">
      <c r="A3471" s="74"/>
      <c r="B3471" s="74"/>
      <c r="C3471" s="74"/>
      <c r="D3471" s="57" t="s">
        <v>11842</v>
      </c>
      <c r="E3471" s="57" t="s">
        <v>11843</v>
      </c>
      <c r="F3471" s="57" t="s">
        <v>3787</v>
      </c>
      <c r="G3471" s="73" t="s">
        <v>11844</v>
      </c>
      <c r="H3471" s="77"/>
      <c r="I3471" s="34"/>
      <c r="J3471" s="81" t="s">
        <v>11845</v>
      </c>
      <c r="K3471" s="79" t="s">
        <v>11846</v>
      </c>
    </row>
    <row r="3472" customFormat="false" ht="45.05" hidden="false" customHeight="false" outlineLevel="0" collapsed="false">
      <c r="A3472" s="74"/>
      <c r="B3472" s="74"/>
      <c r="C3472" s="74"/>
      <c r="D3472" s="57" t="s">
        <v>3792</v>
      </c>
      <c r="E3472" s="57" t="s">
        <v>3792</v>
      </c>
      <c r="F3472" s="57" t="s">
        <v>3792</v>
      </c>
      <c r="G3472" s="73" t="s">
        <v>11847</v>
      </c>
      <c r="H3472" s="77" t="s">
        <v>11848</v>
      </c>
      <c r="I3472" s="37" t="s">
        <v>50</v>
      </c>
      <c r="J3472" s="81" t="s">
        <v>11699</v>
      </c>
      <c r="K3472" s="79" t="s">
        <v>11849</v>
      </c>
    </row>
    <row r="3473" customFormat="false" ht="55.95" hidden="false" customHeight="false" outlineLevel="0" collapsed="false">
      <c r="A3473" s="74"/>
      <c r="B3473" s="74"/>
      <c r="C3473" s="74"/>
      <c r="D3473" s="57" t="s">
        <v>11850</v>
      </c>
      <c r="E3473" s="57" t="s">
        <v>11851</v>
      </c>
      <c r="F3473" s="57" t="s">
        <v>3797</v>
      </c>
      <c r="G3473" s="73" t="s">
        <v>11852</v>
      </c>
      <c r="H3473" s="77"/>
      <c r="I3473" s="37"/>
      <c r="J3473" s="81" t="s">
        <v>11853</v>
      </c>
      <c r="K3473" s="79" t="s">
        <v>11854</v>
      </c>
    </row>
    <row r="3474" customFormat="false" ht="45.05" hidden="false" customHeight="false" outlineLevel="0" collapsed="false">
      <c r="A3474" s="74"/>
      <c r="B3474" s="74"/>
      <c r="C3474" s="74"/>
      <c r="D3474" s="57" t="s">
        <v>3792</v>
      </c>
      <c r="E3474" s="57" t="s">
        <v>3792</v>
      </c>
      <c r="F3474" s="57" t="s">
        <v>3792</v>
      </c>
      <c r="G3474" s="73" t="s">
        <v>11855</v>
      </c>
      <c r="H3474" s="77" t="s">
        <v>11856</v>
      </c>
      <c r="I3474" s="34" t="s">
        <v>40</v>
      </c>
      <c r="J3474" s="81" t="s">
        <v>11857</v>
      </c>
      <c r="K3474" s="79" t="s">
        <v>11858</v>
      </c>
    </row>
    <row r="3475" customFormat="false" ht="66.85" hidden="false" customHeight="false" outlineLevel="0" collapsed="false">
      <c r="A3475" s="74"/>
      <c r="B3475" s="74"/>
      <c r="C3475" s="74"/>
      <c r="D3475" s="57" t="s">
        <v>11859</v>
      </c>
      <c r="E3475" s="57" t="s">
        <v>11860</v>
      </c>
      <c r="F3475" s="57" t="s">
        <v>3806</v>
      </c>
      <c r="G3475" s="73" t="s">
        <v>11861</v>
      </c>
      <c r="H3475" s="77"/>
      <c r="I3475" s="34"/>
      <c r="J3475" s="81" t="s">
        <v>11862</v>
      </c>
      <c r="K3475" s="79" t="s">
        <v>11023</v>
      </c>
    </row>
    <row r="3476" customFormat="false" ht="55.95" hidden="false" customHeight="false" outlineLevel="0" collapsed="false">
      <c r="A3476" s="74"/>
      <c r="B3476" s="74"/>
      <c r="C3476" s="74"/>
      <c r="D3476" s="57" t="s">
        <v>3792</v>
      </c>
      <c r="E3476" s="57" t="s">
        <v>3792</v>
      </c>
      <c r="F3476" s="57" t="s">
        <v>3792</v>
      </c>
      <c r="G3476" s="73" t="s">
        <v>11863</v>
      </c>
      <c r="H3476" s="77" t="s">
        <v>11726</v>
      </c>
      <c r="I3476" s="39" t="s">
        <v>67</v>
      </c>
      <c r="J3476" s="81" t="s">
        <v>11864</v>
      </c>
      <c r="K3476" s="79" t="s">
        <v>11865</v>
      </c>
    </row>
    <row r="3477" customFormat="false" ht="45.05" hidden="false" customHeight="false" outlineLevel="0" collapsed="false">
      <c r="A3477" s="74"/>
      <c r="B3477" s="74"/>
      <c r="C3477" s="74"/>
      <c r="D3477" s="57" t="s">
        <v>11866</v>
      </c>
      <c r="E3477" s="57" t="s">
        <v>11867</v>
      </c>
      <c r="F3477" s="57" t="s">
        <v>3797</v>
      </c>
      <c r="G3477" s="73" t="s">
        <v>11868</v>
      </c>
      <c r="H3477" s="77"/>
      <c r="I3477" s="39"/>
      <c r="J3477" s="81" t="s">
        <v>11096</v>
      </c>
      <c r="K3477" s="79" t="s">
        <v>11869</v>
      </c>
    </row>
    <row r="3478" customFormat="false" ht="55.95" hidden="false" customHeight="false" outlineLevel="0" collapsed="false">
      <c r="A3478" s="74"/>
      <c r="B3478" s="74"/>
      <c r="C3478" s="74"/>
      <c r="D3478" s="0"/>
      <c r="E3478" s="57" t="s">
        <v>3792</v>
      </c>
      <c r="F3478" s="57" t="s">
        <v>3792</v>
      </c>
      <c r="G3478" s="73" t="s">
        <v>11870</v>
      </c>
      <c r="H3478" s="77" t="s">
        <v>11871</v>
      </c>
      <c r="I3478" s="34" t="s">
        <v>40</v>
      </c>
      <c r="J3478" s="81" t="s">
        <v>11872</v>
      </c>
      <c r="K3478" s="79" t="s">
        <v>11873</v>
      </c>
    </row>
    <row r="3479" customFormat="false" ht="66.85" hidden="false" customHeight="true" outlineLevel="0" collapsed="false">
      <c r="A3479" s="74"/>
      <c r="B3479" s="74"/>
      <c r="C3479" s="75" t="s">
        <v>11874</v>
      </c>
      <c r="D3479" s="57" t="s">
        <v>11875</v>
      </c>
      <c r="E3479" s="57" t="s">
        <v>11876</v>
      </c>
      <c r="F3479" s="57" t="s">
        <v>3787</v>
      </c>
      <c r="G3479" s="73" t="s">
        <v>11877</v>
      </c>
      <c r="H3479" s="77"/>
      <c r="I3479" s="34"/>
      <c r="J3479" s="81" t="s">
        <v>11878</v>
      </c>
      <c r="K3479" s="79" t="s">
        <v>11879</v>
      </c>
    </row>
    <row r="3480" customFormat="false" ht="55.95" hidden="false" customHeight="false" outlineLevel="0" collapsed="false">
      <c r="A3480" s="74"/>
      <c r="B3480" s="74"/>
      <c r="C3480" s="74"/>
      <c r="D3480" s="57" t="s">
        <v>3792</v>
      </c>
      <c r="E3480" s="57" t="s">
        <v>3792</v>
      </c>
      <c r="F3480" s="57" t="s">
        <v>3792</v>
      </c>
      <c r="G3480" s="73" t="s">
        <v>11880</v>
      </c>
      <c r="H3480" s="77" t="s">
        <v>11881</v>
      </c>
      <c r="I3480" s="37" t="s">
        <v>50</v>
      </c>
      <c r="J3480" s="81" t="s">
        <v>10909</v>
      </c>
      <c r="K3480" s="79" t="s">
        <v>11882</v>
      </c>
    </row>
    <row r="3481" customFormat="false" ht="55.95" hidden="false" customHeight="false" outlineLevel="0" collapsed="false">
      <c r="A3481" s="74"/>
      <c r="B3481" s="74"/>
      <c r="C3481" s="74"/>
      <c r="D3481" s="57" t="s">
        <v>11883</v>
      </c>
      <c r="E3481" s="57" t="s">
        <v>11884</v>
      </c>
      <c r="F3481" s="57" t="s">
        <v>3806</v>
      </c>
      <c r="G3481" s="73" t="s">
        <v>11885</v>
      </c>
      <c r="H3481" s="77"/>
      <c r="I3481" s="37"/>
      <c r="J3481" s="81" t="s">
        <v>11886</v>
      </c>
      <c r="K3481" s="79" t="s">
        <v>11887</v>
      </c>
    </row>
    <row r="3482" customFormat="false" ht="45.05" hidden="false" customHeight="false" outlineLevel="0" collapsed="false">
      <c r="A3482" s="74"/>
      <c r="B3482" s="74"/>
      <c r="C3482" s="74"/>
      <c r="D3482" s="57" t="s">
        <v>3792</v>
      </c>
      <c r="E3482" s="57" t="s">
        <v>3792</v>
      </c>
      <c r="F3482" s="57" t="s">
        <v>3792</v>
      </c>
      <c r="G3482" s="73" t="s">
        <v>11888</v>
      </c>
      <c r="H3482" s="77" t="s">
        <v>11889</v>
      </c>
      <c r="I3482" s="34" t="s">
        <v>40</v>
      </c>
      <c r="J3482" s="81" t="s">
        <v>11890</v>
      </c>
      <c r="K3482" s="79" t="s">
        <v>11891</v>
      </c>
    </row>
    <row r="3483" customFormat="false" ht="90.15" hidden="false" customHeight="false" outlineLevel="0" collapsed="false">
      <c r="A3483" s="74"/>
      <c r="B3483" s="74"/>
      <c r="C3483" s="74"/>
      <c r="D3483" s="57" t="s">
        <v>11892</v>
      </c>
      <c r="E3483" s="57" t="s">
        <v>11893</v>
      </c>
      <c r="F3483" s="57" t="s">
        <v>3787</v>
      </c>
      <c r="G3483" s="73" t="s">
        <v>11894</v>
      </c>
      <c r="H3483" s="77"/>
      <c r="I3483" s="34"/>
      <c r="J3483" s="81" t="s">
        <v>11895</v>
      </c>
      <c r="K3483" s="79" t="s">
        <v>11896</v>
      </c>
    </row>
    <row r="3484" customFormat="false" ht="55.95" hidden="false" customHeight="false" outlineLevel="0" collapsed="false">
      <c r="A3484" s="74"/>
      <c r="B3484" s="74"/>
      <c r="C3484" s="74"/>
      <c r="D3484" s="57" t="s">
        <v>3792</v>
      </c>
      <c r="E3484" s="57" t="s">
        <v>3792</v>
      </c>
      <c r="F3484" s="57" t="s">
        <v>3792</v>
      </c>
      <c r="G3484" s="73" t="s">
        <v>11897</v>
      </c>
      <c r="H3484" s="77" t="s">
        <v>11898</v>
      </c>
      <c r="I3484" s="39" t="s">
        <v>67</v>
      </c>
      <c r="J3484" s="81" t="s">
        <v>11899</v>
      </c>
      <c r="K3484" s="79" t="s">
        <v>11900</v>
      </c>
    </row>
    <row r="3485" customFormat="false" ht="101.05" hidden="false" customHeight="false" outlineLevel="0" collapsed="false">
      <c r="A3485" s="74"/>
      <c r="B3485" s="74"/>
      <c r="C3485" s="74"/>
      <c r="D3485" s="57" t="s">
        <v>11901</v>
      </c>
      <c r="E3485" s="57" t="s">
        <v>11902</v>
      </c>
      <c r="F3485" s="57" t="s">
        <v>3797</v>
      </c>
      <c r="G3485" s="73" t="s">
        <v>11903</v>
      </c>
      <c r="H3485" s="77"/>
      <c r="I3485" s="39"/>
      <c r="J3485" s="81" t="s">
        <v>11904</v>
      </c>
      <c r="K3485" s="79" t="s">
        <v>11905</v>
      </c>
    </row>
    <row r="3486" customFormat="false" ht="66.85" hidden="false" customHeight="false" outlineLevel="0" collapsed="false">
      <c r="A3486" s="74"/>
      <c r="B3486" s="74"/>
      <c r="C3486" s="74"/>
      <c r="D3486" s="57" t="s">
        <v>3792</v>
      </c>
      <c r="E3486" s="57" t="s">
        <v>3792</v>
      </c>
      <c r="F3486" s="57" t="s">
        <v>3792</v>
      </c>
      <c r="G3486" s="73" t="s">
        <v>11906</v>
      </c>
      <c r="H3486" s="77" t="s">
        <v>11907</v>
      </c>
      <c r="I3486" s="34" t="s">
        <v>40</v>
      </c>
      <c r="J3486" s="81" t="s">
        <v>11908</v>
      </c>
      <c r="K3486" s="79" t="s">
        <v>11909</v>
      </c>
    </row>
    <row r="3487" customFormat="false" ht="66.85" hidden="false" customHeight="false" outlineLevel="0" collapsed="false">
      <c r="A3487" s="74"/>
      <c r="B3487" s="74"/>
      <c r="C3487" s="74"/>
      <c r="D3487" s="57" t="s">
        <v>11910</v>
      </c>
      <c r="E3487" s="57" t="s">
        <v>11911</v>
      </c>
      <c r="F3487" s="57" t="s">
        <v>3806</v>
      </c>
      <c r="G3487" s="73" t="s">
        <v>11912</v>
      </c>
      <c r="H3487" s="77"/>
      <c r="I3487" s="34"/>
      <c r="J3487" s="81" t="s">
        <v>11105</v>
      </c>
      <c r="K3487" s="79" t="s">
        <v>11913</v>
      </c>
    </row>
    <row r="3488" customFormat="false" ht="66.85" hidden="false" customHeight="false" outlineLevel="0" collapsed="false">
      <c r="A3488" s="74"/>
      <c r="B3488" s="74"/>
      <c r="C3488" s="74"/>
      <c r="D3488" s="0"/>
      <c r="E3488" s="57" t="s">
        <v>3792</v>
      </c>
      <c r="F3488" s="57" t="s">
        <v>3792</v>
      </c>
      <c r="G3488" s="73" t="s">
        <v>11914</v>
      </c>
      <c r="H3488" s="77" t="s">
        <v>11915</v>
      </c>
      <c r="I3488" s="37" t="s">
        <v>50</v>
      </c>
      <c r="J3488" s="81" t="s">
        <v>11916</v>
      </c>
      <c r="K3488" s="79" t="s">
        <v>11917</v>
      </c>
    </row>
    <row r="3489" customFormat="false" ht="45.05" hidden="false" customHeight="false" outlineLevel="0" collapsed="false">
      <c r="A3489" s="74"/>
      <c r="B3489" s="74"/>
      <c r="C3489" s="74" t="s">
        <v>11918</v>
      </c>
      <c r="D3489" s="57" t="s">
        <v>11919</v>
      </c>
      <c r="E3489" s="57" t="s">
        <v>11920</v>
      </c>
      <c r="F3489" s="57" t="s">
        <v>3787</v>
      </c>
      <c r="G3489" s="73" t="s">
        <v>11921</v>
      </c>
      <c r="H3489" s="77"/>
      <c r="I3489" s="37"/>
      <c r="J3489" s="81" t="s">
        <v>11922</v>
      </c>
      <c r="K3489" s="79" t="s">
        <v>11923</v>
      </c>
    </row>
    <row r="3490" customFormat="false" ht="55.95" hidden="false" customHeight="false" outlineLevel="0" collapsed="false">
      <c r="A3490" s="74"/>
      <c r="B3490" s="74"/>
      <c r="C3490" s="74"/>
      <c r="D3490" s="57" t="s">
        <v>3792</v>
      </c>
      <c r="E3490" s="57" t="s">
        <v>3792</v>
      </c>
      <c r="F3490" s="57" t="s">
        <v>3792</v>
      </c>
      <c r="G3490" s="73" t="s">
        <v>11924</v>
      </c>
      <c r="H3490" s="77" t="s">
        <v>11925</v>
      </c>
      <c r="I3490" s="34" t="s">
        <v>40</v>
      </c>
      <c r="J3490" s="81" t="s">
        <v>11926</v>
      </c>
      <c r="K3490" s="79" t="s">
        <v>11927</v>
      </c>
    </row>
    <row r="3491" customFormat="false" ht="45.05" hidden="false" customHeight="false" outlineLevel="0" collapsed="false">
      <c r="A3491" s="74"/>
      <c r="B3491" s="74"/>
      <c r="C3491" s="74"/>
      <c r="D3491" s="57" t="s">
        <v>11928</v>
      </c>
      <c r="E3491" s="57" t="s">
        <v>11929</v>
      </c>
      <c r="F3491" s="57" t="s">
        <v>3806</v>
      </c>
      <c r="G3491" s="73" t="s">
        <v>11930</v>
      </c>
      <c r="H3491" s="77"/>
      <c r="I3491" s="34"/>
      <c r="J3491" s="81" t="s">
        <v>11931</v>
      </c>
      <c r="K3491" s="79" t="s">
        <v>11932</v>
      </c>
    </row>
    <row r="3492" customFormat="false" ht="45.05" hidden="false" customHeight="false" outlineLevel="0" collapsed="false">
      <c r="A3492" s="74"/>
      <c r="B3492" s="74"/>
      <c r="C3492" s="74"/>
      <c r="D3492" s="57" t="s">
        <v>3792</v>
      </c>
      <c r="E3492" s="57" t="s">
        <v>3792</v>
      </c>
      <c r="F3492" s="57" t="s">
        <v>3792</v>
      </c>
      <c r="G3492" s="73" t="s">
        <v>11933</v>
      </c>
      <c r="H3492" s="77" t="s">
        <v>11934</v>
      </c>
      <c r="I3492" s="39" t="s">
        <v>67</v>
      </c>
      <c r="J3492" s="81" t="s">
        <v>11935</v>
      </c>
      <c r="K3492" s="79" t="s">
        <v>11936</v>
      </c>
    </row>
    <row r="3493" customFormat="false" ht="55.95" hidden="false" customHeight="false" outlineLevel="0" collapsed="false">
      <c r="A3493" s="74"/>
      <c r="B3493" s="74"/>
      <c r="C3493" s="74"/>
      <c r="D3493" s="57" t="s">
        <v>11937</v>
      </c>
      <c r="E3493" s="57" t="s">
        <v>11938</v>
      </c>
      <c r="F3493" s="57" t="s">
        <v>3797</v>
      </c>
      <c r="G3493" s="73" t="s">
        <v>11939</v>
      </c>
      <c r="H3493" s="77"/>
      <c r="I3493" s="39"/>
      <c r="J3493" s="81" t="s">
        <v>11186</v>
      </c>
      <c r="K3493" s="79" t="s">
        <v>11940</v>
      </c>
    </row>
    <row r="3494" customFormat="false" ht="55.95" hidden="false" customHeight="false" outlineLevel="0" collapsed="false">
      <c r="A3494" s="74"/>
      <c r="B3494" s="74"/>
      <c r="C3494" s="74"/>
      <c r="D3494" s="57" t="s">
        <v>3792</v>
      </c>
      <c r="E3494" s="57" t="s">
        <v>3792</v>
      </c>
      <c r="F3494" s="57" t="s">
        <v>3792</v>
      </c>
      <c r="G3494" s="73" t="s">
        <v>11941</v>
      </c>
      <c r="H3494" s="77" t="s">
        <v>11942</v>
      </c>
      <c r="I3494" s="34" t="s">
        <v>40</v>
      </c>
      <c r="J3494" s="81" t="s">
        <v>11298</v>
      </c>
      <c r="K3494" s="79" t="s">
        <v>11943</v>
      </c>
    </row>
    <row r="3495" customFormat="false" ht="55.95" hidden="false" customHeight="false" outlineLevel="0" collapsed="false">
      <c r="A3495" s="74"/>
      <c r="B3495" s="74"/>
      <c r="C3495" s="74"/>
      <c r="D3495" s="57" t="s">
        <v>11944</v>
      </c>
      <c r="E3495" s="57" t="s">
        <v>11945</v>
      </c>
      <c r="F3495" s="57" t="s">
        <v>3787</v>
      </c>
      <c r="G3495" s="73" t="s">
        <v>11946</v>
      </c>
      <c r="H3495" s="77"/>
      <c r="I3495" s="34"/>
      <c r="J3495" s="81" t="s">
        <v>11947</v>
      </c>
      <c r="K3495" s="79" t="s">
        <v>11948</v>
      </c>
    </row>
    <row r="3496" customFormat="false" ht="55.95" hidden="false" customHeight="false" outlineLevel="0" collapsed="false">
      <c r="A3496" s="74"/>
      <c r="B3496" s="74"/>
      <c r="C3496" s="74"/>
      <c r="D3496" s="57" t="s">
        <v>3792</v>
      </c>
      <c r="E3496" s="57" t="s">
        <v>3792</v>
      </c>
      <c r="F3496" s="57" t="s">
        <v>3792</v>
      </c>
      <c r="G3496" s="73" t="s">
        <v>11949</v>
      </c>
      <c r="H3496" s="77" t="s">
        <v>11950</v>
      </c>
      <c r="I3496" s="37" t="s">
        <v>50</v>
      </c>
      <c r="J3496" s="81" t="s">
        <v>11951</v>
      </c>
      <c r="K3496" s="79" t="s">
        <v>11952</v>
      </c>
    </row>
    <row r="3497" customFormat="false" ht="90.15" hidden="false" customHeight="false" outlineLevel="0" collapsed="false">
      <c r="A3497" s="74"/>
      <c r="B3497" s="74"/>
      <c r="C3497" s="74"/>
      <c r="D3497" s="57" t="s">
        <v>11953</v>
      </c>
      <c r="E3497" s="57" t="s">
        <v>11954</v>
      </c>
      <c r="F3497" s="57" t="s">
        <v>3797</v>
      </c>
      <c r="G3497" s="73" t="s">
        <v>11955</v>
      </c>
      <c r="H3497" s="77"/>
      <c r="I3497" s="37"/>
      <c r="J3497" s="81" t="s">
        <v>11956</v>
      </c>
      <c r="K3497" s="79" t="s">
        <v>11957</v>
      </c>
    </row>
    <row r="3498" customFormat="false" ht="45.05" hidden="false" customHeight="false" outlineLevel="0" collapsed="false">
      <c r="A3498" s="74"/>
      <c r="B3498" s="74"/>
      <c r="C3498" s="74"/>
      <c r="D3498" s="0"/>
      <c r="E3498" s="57" t="s">
        <v>3792</v>
      </c>
      <c r="F3498" s="57" t="s">
        <v>3792</v>
      </c>
      <c r="G3498" s="73" t="s">
        <v>11958</v>
      </c>
      <c r="H3498" s="77" t="s">
        <v>11959</v>
      </c>
      <c r="I3498" s="34" t="s">
        <v>40</v>
      </c>
      <c r="J3498" s="81" t="s">
        <v>11960</v>
      </c>
      <c r="K3498" s="79" t="s">
        <v>11961</v>
      </c>
    </row>
    <row r="3499" customFormat="false" ht="66.85" hidden="false" customHeight="true" outlineLevel="0" collapsed="false">
      <c r="A3499" s="74"/>
      <c r="B3499" s="74"/>
      <c r="C3499" s="75" t="s">
        <v>11962</v>
      </c>
      <c r="D3499" s="57" t="s">
        <v>11963</v>
      </c>
      <c r="E3499" s="57" t="s">
        <v>11964</v>
      </c>
      <c r="F3499" s="57" t="s">
        <v>3806</v>
      </c>
      <c r="G3499" s="73" t="s">
        <v>11965</v>
      </c>
      <c r="H3499" s="77"/>
      <c r="I3499" s="34"/>
      <c r="J3499" s="81" t="s">
        <v>11966</v>
      </c>
      <c r="K3499" s="79" t="s">
        <v>11295</v>
      </c>
    </row>
    <row r="3500" customFormat="false" ht="45.05" hidden="false" customHeight="false" outlineLevel="0" collapsed="false">
      <c r="A3500" s="74"/>
      <c r="B3500" s="74"/>
      <c r="C3500" s="74"/>
      <c r="D3500" s="57" t="s">
        <v>3792</v>
      </c>
      <c r="E3500" s="57" t="s">
        <v>3792</v>
      </c>
      <c r="F3500" s="57" t="s">
        <v>3792</v>
      </c>
      <c r="G3500" s="73" t="s">
        <v>11967</v>
      </c>
      <c r="H3500" s="77" t="s">
        <v>11968</v>
      </c>
      <c r="I3500" s="39" t="s">
        <v>67</v>
      </c>
      <c r="J3500" s="81" t="s">
        <v>11291</v>
      </c>
      <c r="K3500" s="79" t="s">
        <v>11969</v>
      </c>
    </row>
    <row r="3501" customFormat="false" ht="45.05" hidden="false" customHeight="false" outlineLevel="0" collapsed="false">
      <c r="A3501" s="74"/>
      <c r="B3501" s="74"/>
      <c r="C3501" s="74"/>
      <c r="D3501" s="57" t="s">
        <v>11970</v>
      </c>
      <c r="E3501" s="57" t="s">
        <v>11971</v>
      </c>
      <c r="F3501" s="57" t="s">
        <v>3797</v>
      </c>
      <c r="G3501" s="73" t="s">
        <v>11972</v>
      </c>
      <c r="H3501" s="77"/>
      <c r="I3501" s="39"/>
      <c r="J3501" s="81" t="s">
        <v>11973</v>
      </c>
      <c r="K3501" s="79" t="s">
        <v>11332</v>
      </c>
    </row>
    <row r="3502" customFormat="false" ht="34.2" hidden="false" customHeight="false" outlineLevel="0" collapsed="false">
      <c r="A3502" s="74"/>
      <c r="B3502" s="74"/>
      <c r="C3502" s="74"/>
      <c r="D3502" s="57" t="s">
        <v>3792</v>
      </c>
      <c r="E3502" s="57" t="s">
        <v>3792</v>
      </c>
      <c r="F3502" s="57" t="s">
        <v>3792</v>
      </c>
      <c r="G3502" s="73" t="s">
        <v>11974</v>
      </c>
      <c r="H3502" s="77" t="s">
        <v>11975</v>
      </c>
      <c r="I3502" s="34" t="s">
        <v>40</v>
      </c>
      <c r="J3502" s="81" t="s">
        <v>11326</v>
      </c>
      <c r="K3502" s="79" t="s">
        <v>11976</v>
      </c>
    </row>
    <row r="3503" customFormat="false" ht="90.15" hidden="false" customHeight="false" outlineLevel="0" collapsed="false">
      <c r="A3503" s="74"/>
      <c r="B3503" s="74"/>
      <c r="C3503" s="74"/>
      <c r="D3503" s="57" t="s">
        <v>11977</v>
      </c>
      <c r="E3503" s="57" t="s">
        <v>11978</v>
      </c>
      <c r="F3503" s="57" t="s">
        <v>3787</v>
      </c>
      <c r="G3503" s="73" t="s">
        <v>11979</v>
      </c>
      <c r="H3503" s="77"/>
      <c r="I3503" s="34"/>
      <c r="J3503" s="81" t="s">
        <v>11331</v>
      </c>
      <c r="K3503" s="79" t="s">
        <v>11980</v>
      </c>
    </row>
    <row r="3504" customFormat="false" ht="21.75" hidden="false" customHeight="false" outlineLevel="0" collapsed="false">
      <c r="A3504" s="74"/>
      <c r="B3504" s="74"/>
      <c r="C3504" s="74"/>
      <c r="D3504" s="57" t="s">
        <v>3792</v>
      </c>
      <c r="E3504" s="57" t="s">
        <v>3792</v>
      </c>
      <c r="F3504" s="57" t="s">
        <v>3792</v>
      </c>
      <c r="G3504" s="73" t="s">
        <v>11981</v>
      </c>
      <c r="H3504" s="77" t="s">
        <v>11982</v>
      </c>
      <c r="I3504" s="37" t="s">
        <v>50</v>
      </c>
      <c r="J3504" s="81" t="s">
        <v>11983</v>
      </c>
      <c r="K3504" s="79" t="s">
        <v>11984</v>
      </c>
    </row>
    <row r="3505" customFormat="false" ht="55.95" hidden="false" customHeight="false" outlineLevel="0" collapsed="false">
      <c r="A3505" s="74"/>
      <c r="B3505" s="74"/>
      <c r="C3505" s="74"/>
      <c r="D3505" s="57" t="s">
        <v>11985</v>
      </c>
      <c r="E3505" s="57" t="s">
        <v>11986</v>
      </c>
      <c r="F3505" s="57" t="s">
        <v>3806</v>
      </c>
      <c r="G3505" s="73" t="s">
        <v>11987</v>
      </c>
      <c r="H3505" s="77"/>
      <c r="I3505" s="37"/>
      <c r="J3505" s="81" t="s">
        <v>11988</v>
      </c>
      <c r="K3505" s="79" t="s">
        <v>11989</v>
      </c>
    </row>
    <row r="3506" customFormat="false" ht="21.75" hidden="false" customHeight="false" outlineLevel="0" collapsed="false">
      <c r="A3506" s="74"/>
      <c r="B3506" s="74"/>
      <c r="C3506" s="74"/>
      <c r="D3506" s="57" t="s">
        <v>3792</v>
      </c>
      <c r="E3506" s="57" t="s">
        <v>3792</v>
      </c>
      <c r="F3506" s="57" t="s">
        <v>3792</v>
      </c>
      <c r="G3506" s="73" t="s">
        <v>11990</v>
      </c>
      <c r="H3506" s="77" t="s">
        <v>11991</v>
      </c>
      <c r="I3506" s="34" t="s">
        <v>40</v>
      </c>
      <c r="J3506" s="81" t="s">
        <v>11992</v>
      </c>
      <c r="K3506" s="79" t="s">
        <v>11993</v>
      </c>
    </row>
    <row r="3507" customFormat="false" ht="45.05" hidden="false" customHeight="false" outlineLevel="0" collapsed="false">
      <c r="A3507" s="74"/>
      <c r="B3507" s="74"/>
      <c r="C3507" s="74"/>
      <c r="D3507" s="57" t="s">
        <v>11994</v>
      </c>
      <c r="E3507" s="57" t="s">
        <v>11995</v>
      </c>
      <c r="F3507" s="57" t="s">
        <v>3787</v>
      </c>
      <c r="G3507" s="73" t="s">
        <v>11996</v>
      </c>
      <c r="H3507" s="77"/>
      <c r="I3507" s="34"/>
      <c r="J3507" s="81" t="s">
        <v>11997</v>
      </c>
      <c r="K3507" s="79" t="s">
        <v>11998</v>
      </c>
    </row>
    <row r="3508" customFormat="false" ht="55.95" hidden="false" customHeight="false" outlineLevel="0" collapsed="false">
      <c r="A3508" s="74"/>
      <c r="B3508" s="74"/>
      <c r="C3508" s="74"/>
      <c r="D3508" s="0"/>
      <c r="E3508" s="57" t="s">
        <v>3792</v>
      </c>
      <c r="F3508" s="57" t="s">
        <v>3792</v>
      </c>
      <c r="G3508" s="73" t="s">
        <v>11999</v>
      </c>
      <c r="H3508" s="77" t="s">
        <v>12000</v>
      </c>
      <c r="I3508" s="39" t="s">
        <v>67</v>
      </c>
      <c r="J3508" s="81" t="s">
        <v>12001</v>
      </c>
      <c r="K3508" s="79" t="s">
        <v>12002</v>
      </c>
    </row>
    <row r="3509" customFormat="false" ht="45.05" hidden="false" customHeight="true" outlineLevel="0" collapsed="false">
      <c r="A3509" s="74"/>
      <c r="B3509" s="74"/>
      <c r="C3509" s="75" t="s">
        <v>12003</v>
      </c>
      <c r="D3509" s="57" t="s">
        <v>12004</v>
      </c>
      <c r="E3509" s="57" t="s">
        <v>12005</v>
      </c>
      <c r="F3509" s="57" t="s">
        <v>3797</v>
      </c>
      <c r="G3509" s="73" t="s">
        <v>12006</v>
      </c>
      <c r="H3509" s="77"/>
      <c r="I3509" s="39"/>
      <c r="J3509" s="81" t="s">
        <v>11221</v>
      </c>
      <c r="K3509" s="79" t="s">
        <v>11771</v>
      </c>
    </row>
    <row r="3510" customFormat="false" ht="45.05" hidden="false" customHeight="false" outlineLevel="0" collapsed="false">
      <c r="A3510" s="74"/>
      <c r="B3510" s="74"/>
      <c r="C3510" s="74"/>
      <c r="D3510" s="57" t="s">
        <v>3792</v>
      </c>
      <c r="E3510" s="57" t="s">
        <v>3792</v>
      </c>
      <c r="F3510" s="57" t="s">
        <v>3792</v>
      </c>
      <c r="G3510" s="73" t="s">
        <v>12007</v>
      </c>
      <c r="H3510" s="77" t="s">
        <v>12008</v>
      </c>
      <c r="I3510" s="34" t="s">
        <v>40</v>
      </c>
      <c r="J3510" s="81" t="s">
        <v>12009</v>
      </c>
      <c r="K3510" s="79" t="s">
        <v>12010</v>
      </c>
    </row>
    <row r="3511" customFormat="false" ht="45.05" hidden="false" customHeight="false" outlineLevel="0" collapsed="false">
      <c r="A3511" s="74"/>
      <c r="B3511" s="74"/>
      <c r="C3511" s="74"/>
      <c r="D3511" s="57" t="s">
        <v>12011</v>
      </c>
      <c r="E3511" s="57" t="s">
        <v>12012</v>
      </c>
      <c r="F3511" s="57" t="s">
        <v>3806</v>
      </c>
      <c r="G3511" s="73" t="s">
        <v>12013</v>
      </c>
      <c r="H3511" s="77"/>
      <c r="I3511" s="34"/>
      <c r="J3511" s="81" t="s">
        <v>12014</v>
      </c>
      <c r="K3511" s="79" t="s">
        <v>12015</v>
      </c>
    </row>
    <row r="3512" customFormat="false" ht="34.2" hidden="false" customHeight="false" outlineLevel="0" collapsed="false">
      <c r="A3512" s="74"/>
      <c r="B3512" s="74"/>
      <c r="C3512" s="74"/>
      <c r="D3512" s="57" t="s">
        <v>3792</v>
      </c>
      <c r="E3512" s="57" t="s">
        <v>3792</v>
      </c>
      <c r="F3512" s="57" t="s">
        <v>3792</v>
      </c>
      <c r="G3512" s="73" t="s">
        <v>12016</v>
      </c>
      <c r="H3512" s="77" t="s">
        <v>12017</v>
      </c>
      <c r="I3512" s="34" t="s">
        <v>40</v>
      </c>
      <c r="J3512" s="81" t="s">
        <v>12018</v>
      </c>
      <c r="K3512" s="79" t="s">
        <v>12002</v>
      </c>
    </row>
    <row r="3513" customFormat="false" ht="55.95" hidden="false" customHeight="false" outlineLevel="0" collapsed="false">
      <c r="A3513" s="74"/>
      <c r="B3513" s="74"/>
      <c r="C3513" s="74"/>
      <c r="D3513" s="57" t="s">
        <v>12019</v>
      </c>
      <c r="E3513" s="57" t="s">
        <v>12020</v>
      </c>
      <c r="F3513" s="57" t="s">
        <v>3787</v>
      </c>
      <c r="G3513" s="73" t="s">
        <v>12021</v>
      </c>
      <c r="H3513" s="77"/>
      <c r="I3513" s="34"/>
      <c r="J3513" s="81" t="s">
        <v>12022</v>
      </c>
      <c r="K3513" s="79" t="s">
        <v>11771</v>
      </c>
    </row>
    <row r="3514" customFormat="false" ht="45.05" hidden="false" customHeight="false" outlineLevel="0" collapsed="false">
      <c r="A3514" s="74"/>
      <c r="B3514" s="74"/>
      <c r="C3514" s="74"/>
      <c r="D3514" s="57" t="s">
        <v>3792</v>
      </c>
      <c r="E3514" s="57" t="s">
        <v>3792</v>
      </c>
      <c r="F3514" s="57" t="s">
        <v>3792</v>
      </c>
      <c r="G3514" s="73" t="s">
        <v>12023</v>
      </c>
      <c r="H3514" s="77" t="s">
        <v>11217</v>
      </c>
      <c r="I3514" s="39" t="s">
        <v>67</v>
      </c>
      <c r="J3514" s="81" t="s">
        <v>12009</v>
      </c>
      <c r="K3514" s="79" t="s">
        <v>12010</v>
      </c>
    </row>
    <row r="3515" customFormat="false" ht="34.2" hidden="false" customHeight="false" outlineLevel="0" collapsed="false">
      <c r="A3515" s="74"/>
      <c r="B3515" s="74"/>
      <c r="C3515" s="74"/>
      <c r="D3515" s="57" t="s">
        <v>12024</v>
      </c>
      <c r="E3515" s="57" t="s">
        <v>12025</v>
      </c>
      <c r="F3515" s="57" t="s">
        <v>3797</v>
      </c>
      <c r="G3515" s="73" t="s">
        <v>12026</v>
      </c>
      <c r="H3515" s="77"/>
      <c r="I3515" s="39"/>
      <c r="J3515" s="81" t="s">
        <v>12014</v>
      </c>
      <c r="K3515" s="79" t="s">
        <v>12015</v>
      </c>
    </row>
    <row r="3516" customFormat="false" ht="45.05" hidden="false" customHeight="false" outlineLevel="0" collapsed="false">
      <c r="A3516" s="74"/>
      <c r="B3516" s="74"/>
      <c r="C3516" s="74"/>
      <c r="D3516" s="57" t="s">
        <v>3792</v>
      </c>
      <c r="E3516" s="57" t="s">
        <v>3792</v>
      </c>
      <c r="F3516" s="57" t="s">
        <v>3792</v>
      </c>
      <c r="G3516" s="73" t="s">
        <v>12027</v>
      </c>
      <c r="H3516" s="77" t="s">
        <v>12028</v>
      </c>
      <c r="I3516" s="37" t="s">
        <v>50</v>
      </c>
      <c r="J3516" s="81" t="s">
        <v>12018</v>
      </c>
      <c r="K3516" s="79" t="s">
        <v>12029</v>
      </c>
    </row>
    <row r="3517" customFormat="false" ht="55.95" hidden="false" customHeight="false" outlineLevel="0" collapsed="false">
      <c r="A3517" s="74"/>
      <c r="B3517" s="74"/>
      <c r="C3517" s="74"/>
      <c r="D3517" s="57" t="s">
        <v>12030</v>
      </c>
      <c r="E3517" s="57" t="s">
        <v>12031</v>
      </c>
      <c r="F3517" s="57" t="s">
        <v>3806</v>
      </c>
      <c r="G3517" s="73" t="s">
        <v>12032</v>
      </c>
      <c r="H3517" s="77"/>
      <c r="I3517" s="37"/>
      <c r="J3517" s="81" t="s">
        <v>12022</v>
      </c>
      <c r="K3517" s="79" t="s">
        <v>12033</v>
      </c>
    </row>
    <row r="3518" customFormat="false" ht="45.05" hidden="false" customHeight="false" outlineLevel="0" collapsed="false">
      <c r="A3518" s="74"/>
      <c r="B3518" s="74"/>
      <c r="C3518" s="74"/>
      <c r="D3518" s="0"/>
      <c r="E3518" s="57" t="s">
        <v>3792</v>
      </c>
      <c r="F3518" s="57" t="s">
        <v>3792</v>
      </c>
      <c r="G3518" s="73" t="s">
        <v>12034</v>
      </c>
      <c r="H3518" s="77" t="s">
        <v>12035</v>
      </c>
      <c r="I3518" s="37" t="s">
        <v>50</v>
      </c>
      <c r="J3518" s="81" t="s">
        <v>12036</v>
      </c>
      <c r="K3518" s="79" t="s">
        <v>12037</v>
      </c>
    </row>
    <row r="3519" customFormat="false" ht="55.95" hidden="false" customHeight="true" outlineLevel="0" collapsed="false">
      <c r="A3519" s="74"/>
      <c r="B3519" s="75" t="s">
        <v>12038</v>
      </c>
      <c r="C3519" s="75" t="s">
        <v>12039</v>
      </c>
      <c r="D3519" s="57" t="s">
        <v>12040</v>
      </c>
      <c r="E3519" s="57" t="s">
        <v>12041</v>
      </c>
      <c r="F3519" s="57" t="s">
        <v>3797</v>
      </c>
      <c r="G3519" s="73" t="s">
        <v>12042</v>
      </c>
      <c r="H3519" s="77"/>
      <c r="I3519" s="37"/>
      <c r="J3519" s="81" t="s">
        <v>12043</v>
      </c>
      <c r="K3519" s="79" t="s">
        <v>11458</v>
      </c>
    </row>
    <row r="3520" customFormat="false" ht="45.05" hidden="false" customHeight="false" outlineLevel="0" collapsed="false">
      <c r="A3520" s="74"/>
      <c r="B3520" s="75"/>
      <c r="C3520" s="75"/>
      <c r="D3520" s="57" t="s">
        <v>3792</v>
      </c>
      <c r="E3520" s="57" t="s">
        <v>3792</v>
      </c>
      <c r="F3520" s="57" t="s">
        <v>3792</v>
      </c>
      <c r="G3520" s="73" t="s">
        <v>12044</v>
      </c>
      <c r="H3520" s="77" t="s">
        <v>12045</v>
      </c>
      <c r="I3520" s="39" t="s">
        <v>67</v>
      </c>
      <c r="J3520" s="81" t="s">
        <v>12046</v>
      </c>
      <c r="K3520" s="79" t="s">
        <v>12047</v>
      </c>
    </row>
    <row r="3521" customFormat="false" ht="66.85" hidden="false" customHeight="false" outlineLevel="0" collapsed="false">
      <c r="A3521" s="74"/>
      <c r="B3521" s="75"/>
      <c r="C3521" s="75"/>
      <c r="D3521" s="57" t="s">
        <v>12048</v>
      </c>
      <c r="E3521" s="57" t="s">
        <v>12049</v>
      </c>
      <c r="F3521" s="57" t="s">
        <v>3787</v>
      </c>
      <c r="G3521" s="73" t="s">
        <v>12050</v>
      </c>
      <c r="H3521" s="77"/>
      <c r="I3521" s="39"/>
      <c r="J3521" s="81" t="s">
        <v>11457</v>
      </c>
      <c r="K3521" s="79" t="s">
        <v>12051</v>
      </c>
    </row>
    <row r="3522" customFormat="false" ht="55.95" hidden="false" customHeight="false" outlineLevel="0" collapsed="false">
      <c r="A3522" s="74"/>
      <c r="B3522" s="75"/>
      <c r="C3522" s="75"/>
      <c r="D3522" s="57" t="s">
        <v>3792</v>
      </c>
      <c r="E3522" s="57" t="s">
        <v>3792</v>
      </c>
      <c r="F3522" s="57" t="s">
        <v>3792</v>
      </c>
      <c r="G3522" s="73" t="s">
        <v>12052</v>
      </c>
      <c r="H3522" s="77" t="s">
        <v>12053</v>
      </c>
      <c r="I3522" s="34" t="s">
        <v>40</v>
      </c>
      <c r="J3522" s="81" t="s">
        <v>12054</v>
      </c>
      <c r="K3522" s="0" t="s">
        <v>12055</v>
      </c>
    </row>
    <row r="3523" customFormat="false" ht="66.85" hidden="false" customHeight="false" outlineLevel="0" collapsed="false">
      <c r="A3523" s="74"/>
      <c r="B3523" s="75"/>
      <c r="C3523" s="75"/>
      <c r="D3523" s="57" t="s">
        <v>12056</v>
      </c>
      <c r="E3523" s="57" t="s">
        <v>12057</v>
      </c>
      <c r="F3523" s="57" t="s">
        <v>3806</v>
      </c>
      <c r="G3523" s="73" t="s">
        <v>12058</v>
      </c>
      <c r="H3523" s="77"/>
      <c r="I3523" s="34"/>
      <c r="J3523" s="81" t="s">
        <v>12059</v>
      </c>
      <c r="K3523" s="0" t="s">
        <v>12060</v>
      </c>
    </row>
    <row r="3524" customFormat="false" ht="55.95" hidden="false" customHeight="false" outlineLevel="0" collapsed="false">
      <c r="A3524" s="74"/>
      <c r="B3524" s="75"/>
      <c r="C3524" s="75"/>
      <c r="D3524" s="57" t="s">
        <v>3792</v>
      </c>
      <c r="E3524" s="57" t="s">
        <v>3792</v>
      </c>
      <c r="F3524" s="57" t="s">
        <v>3792</v>
      </c>
      <c r="G3524" s="73" t="s">
        <v>12061</v>
      </c>
      <c r="H3524" s="77" t="s">
        <v>12062</v>
      </c>
      <c r="I3524" s="39" t="s">
        <v>67</v>
      </c>
      <c r="J3524" s="81" t="s">
        <v>12054</v>
      </c>
      <c r="K3524" s="0" t="s">
        <v>12063</v>
      </c>
    </row>
    <row r="3525" customFormat="false" ht="66.85" hidden="false" customHeight="false" outlineLevel="0" collapsed="false">
      <c r="A3525" s="74"/>
      <c r="B3525" s="75"/>
      <c r="C3525" s="75"/>
      <c r="D3525" s="57" t="s">
        <v>12064</v>
      </c>
      <c r="E3525" s="57" t="s">
        <v>12065</v>
      </c>
      <c r="F3525" s="57" t="s">
        <v>3787</v>
      </c>
      <c r="G3525" s="73" t="s">
        <v>12066</v>
      </c>
      <c r="H3525" s="77"/>
      <c r="I3525" s="39"/>
      <c r="J3525" s="81" t="s">
        <v>12067</v>
      </c>
      <c r="K3525" s="0" t="s">
        <v>12068</v>
      </c>
    </row>
    <row r="3526" customFormat="false" ht="55.95" hidden="false" customHeight="false" outlineLevel="0" collapsed="false">
      <c r="A3526" s="74"/>
      <c r="B3526" s="75"/>
      <c r="C3526" s="75"/>
      <c r="D3526" s="57" t="s">
        <v>3792</v>
      </c>
      <c r="E3526" s="57" t="s">
        <v>3792</v>
      </c>
      <c r="F3526" s="57" t="s">
        <v>3792</v>
      </c>
      <c r="G3526" s="73" t="s">
        <v>12069</v>
      </c>
      <c r="H3526" s="77" t="s">
        <v>12070</v>
      </c>
      <c r="I3526" s="37" t="s">
        <v>50</v>
      </c>
      <c r="J3526" s="81" t="s">
        <v>12071</v>
      </c>
      <c r="K3526" s="0" t="s">
        <v>12072</v>
      </c>
    </row>
    <row r="3527" customFormat="false" ht="45.05" hidden="false" customHeight="false" outlineLevel="0" collapsed="false">
      <c r="A3527" s="74"/>
      <c r="B3527" s="75"/>
      <c r="C3527" s="75"/>
      <c r="D3527" s="57" t="s">
        <v>12073</v>
      </c>
      <c r="E3527" s="57" t="s">
        <v>12074</v>
      </c>
      <c r="F3527" s="57" t="s">
        <v>3806</v>
      </c>
      <c r="G3527" s="73" t="s">
        <v>12075</v>
      </c>
      <c r="H3527" s="77"/>
      <c r="I3527" s="37"/>
      <c r="J3527" s="81" t="s">
        <v>12076</v>
      </c>
      <c r="K3527" s="0" t="s">
        <v>12077</v>
      </c>
    </row>
    <row r="3528" customFormat="false" ht="45.05" hidden="false" customHeight="false" outlineLevel="0" collapsed="false">
      <c r="A3528" s="74"/>
      <c r="B3528" s="75"/>
      <c r="C3528" s="75"/>
      <c r="D3528" s="0"/>
      <c r="E3528" s="57" t="s">
        <v>3792</v>
      </c>
      <c r="F3528" s="57" t="s">
        <v>3792</v>
      </c>
      <c r="G3528" s="73" t="s">
        <v>12078</v>
      </c>
      <c r="H3528" s="77" t="s">
        <v>12079</v>
      </c>
      <c r="I3528" s="37" t="s">
        <v>50</v>
      </c>
      <c r="J3528" s="81" t="s">
        <v>11660</v>
      </c>
      <c r="K3528" s="0" t="s">
        <v>12080</v>
      </c>
    </row>
    <row r="3529" customFormat="false" ht="66.85" hidden="false" customHeight="true" outlineLevel="0" collapsed="false">
      <c r="A3529" s="74"/>
      <c r="B3529" s="75"/>
      <c r="C3529" s="75" t="s">
        <v>12081</v>
      </c>
      <c r="D3529" s="57" t="s">
        <v>12082</v>
      </c>
      <c r="E3529" s="57" t="s">
        <v>12083</v>
      </c>
      <c r="F3529" s="57" t="s">
        <v>3797</v>
      </c>
      <c r="G3529" s="73" t="s">
        <v>12084</v>
      </c>
      <c r="H3529" s="77"/>
      <c r="I3529" s="37"/>
      <c r="J3529" s="81" t="s">
        <v>12085</v>
      </c>
      <c r="K3529" s="0" t="s">
        <v>12086</v>
      </c>
    </row>
    <row r="3530" customFormat="false" ht="45.05" hidden="false" customHeight="false" outlineLevel="0" collapsed="false">
      <c r="A3530" s="74"/>
      <c r="B3530" s="75"/>
      <c r="C3530" s="75"/>
      <c r="D3530" s="57" t="s">
        <v>3792</v>
      </c>
      <c r="E3530" s="57" t="s">
        <v>3792</v>
      </c>
      <c r="F3530" s="57" t="s">
        <v>3792</v>
      </c>
      <c r="G3530" s="73" t="s">
        <v>12087</v>
      </c>
      <c r="H3530" s="77" t="s">
        <v>12088</v>
      </c>
      <c r="I3530" s="39" t="s">
        <v>67</v>
      </c>
      <c r="J3530" s="81" t="s">
        <v>12089</v>
      </c>
      <c r="K3530" s="0" t="s">
        <v>12090</v>
      </c>
    </row>
    <row r="3531" customFormat="false" ht="45.05" hidden="false" customHeight="false" outlineLevel="0" collapsed="false">
      <c r="A3531" s="74"/>
      <c r="B3531" s="75"/>
      <c r="C3531" s="75"/>
      <c r="D3531" s="57" t="s">
        <v>12091</v>
      </c>
      <c r="E3531" s="57" t="s">
        <v>12092</v>
      </c>
      <c r="F3531" s="57" t="s">
        <v>3787</v>
      </c>
      <c r="G3531" s="73" t="s">
        <v>12093</v>
      </c>
      <c r="H3531" s="77"/>
      <c r="I3531" s="39"/>
      <c r="J3531" s="81" t="s">
        <v>12094</v>
      </c>
      <c r="K3531" s="0" t="s">
        <v>10846</v>
      </c>
    </row>
    <row r="3532" customFormat="false" ht="45.05" hidden="false" customHeight="false" outlineLevel="0" collapsed="false">
      <c r="A3532" s="74"/>
      <c r="B3532" s="75"/>
      <c r="C3532" s="75"/>
      <c r="D3532" s="57" t="s">
        <v>3792</v>
      </c>
      <c r="E3532" s="57" t="s">
        <v>3792</v>
      </c>
      <c r="F3532" s="57" t="s">
        <v>3792</v>
      </c>
      <c r="G3532" s="73" t="s">
        <v>12095</v>
      </c>
      <c r="H3532" s="77" t="s">
        <v>12096</v>
      </c>
      <c r="I3532" s="34" t="s">
        <v>40</v>
      </c>
      <c r="J3532" s="81" t="s">
        <v>12097</v>
      </c>
      <c r="K3532" s="0" t="s">
        <v>12098</v>
      </c>
    </row>
    <row r="3533" customFormat="false" ht="55.95" hidden="false" customHeight="false" outlineLevel="0" collapsed="false">
      <c r="A3533" s="74"/>
      <c r="B3533" s="75"/>
      <c r="C3533" s="75"/>
      <c r="D3533" s="57" t="s">
        <v>12099</v>
      </c>
      <c r="E3533" s="57" t="s">
        <v>12100</v>
      </c>
      <c r="F3533" s="57" t="s">
        <v>3797</v>
      </c>
      <c r="G3533" s="73" t="s">
        <v>12101</v>
      </c>
      <c r="H3533" s="77"/>
      <c r="I3533" s="34"/>
      <c r="J3533" s="81" t="s">
        <v>12102</v>
      </c>
      <c r="K3533" s="0" t="s">
        <v>12103</v>
      </c>
    </row>
    <row r="3534" customFormat="false" ht="66.85" hidden="false" customHeight="false" outlineLevel="0" collapsed="false">
      <c r="A3534" s="74"/>
      <c r="B3534" s="75"/>
      <c r="C3534" s="75"/>
      <c r="D3534" s="57" t="s">
        <v>3792</v>
      </c>
      <c r="E3534" s="57" t="s">
        <v>3792</v>
      </c>
      <c r="F3534" s="57" t="s">
        <v>3792</v>
      </c>
      <c r="G3534" s="73" t="s">
        <v>12104</v>
      </c>
      <c r="H3534" s="77" t="s">
        <v>12105</v>
      </c>
      <c r="I3534" s="39" t="s">
        <v>67</v>
      </c>
      <c r="J3534" s="81" t="s">
        <v>12106</v>
      </c>
      <c r="K3534" s="0" t="s">
        <v>12107</v>
      </c>
    </row>
    <row r="3535" customFormat="false" ht="66.85" hidden="false" customHeight="false" outlineLevel="0" collapsed="false">
      <c r="A3535" s="74"/>
      <c r="B3535" s="75"/>
      <c r="C3535" s="75"/>
      <c r="D3535" s="57" t="s">
        <v>12108</v>
      </c>
      <c r="E3535" s="57" t="s">
        <v>12109</v>
      </c>
      <c r="F3535" s="57" t="s">
        <v>3806</v>
      </c>
      <c r="G3535" s="73" t="s">
        <v>12110</v>
      </c>
      <c r="H3535" s="77"/>
      <c r="I3535" s="39"/>
      <c r="J3535" s="81" t="s">
        <v>12111</v>
      </c>
      <c r="K3535" s="0" t="s">
        <v>12112</v>
      </c>
    </row>
    <row r="3536" customFormat="false" ht="55.95" hidden="false" customHeight="false" outlineLevel="0" collapsed="false">
      <c r="A3536" s="74"/>
      <c r="B3536" s="75"/>
      <c r="C3536" s="75"/>
      <c r="D3536" s="57" t="s">
        <v>3792</v>
      </c>
      <c r="E3536" s="57" t="s">
        <v>3792</v>
      </c>
      <c r="F3536" s="57" t="s">
        <v>3792</v>
      </c>
      <c r="G3536" s="73" t="s">
        <v>12113</v>
      </c>
      <c r="H3536" s="77" t="s">
        <v>12114</v>
      </c>
      <c r="I3536" s="37" t="s">
        <v>50</v>
      </c>
      <c r="J3536" s="81" t="s">
        <v>12115</v>
      </c>
      <c r="K3536" s="0" t="s">
        <v>12116</v>
      </c>
    </row>
    <row r="3537" customFormat="false" ht="66.85" hidden="false" customHeight="false" outlineLevel="0" collapsed="false">
      <c r="A3537" s="74"/>
      <c r="B3537" s="75"/>
      <c r="C3537" s="75"/>
      <c r="D3537" s="57" t="s">
        <v>12117</v>
      </c>
      <c r="E3537" s="57" t="s">
        <v>12118</v>
      </c>
      <c r="F3537" s="57" t="s">
        <v>3787</v>
      </c>
      <c r="G3537" s="73" t="s">
        <v>12119</v>
      </c>
      <c r="H3537" s="77"/>
      <c r="I3537" s="37"/>
      <c r="J3537" s="81" t="s">
        <v>12120</v>
      </c>
      <c r="K3537" s="0" t="s">
        <v>12121</v>
      </c>
    </row>
    <row r="3538" customFormat="false" ht="55.95" hidden="false" customHeight="false" outlineLevel="0" collapsed="false">
      <c r="A3538" s="74"/>
      <c r="B3538" s="75"/>
      <c r="C3538" s="75"/>
      <c r="D3538" s="0"/>
      <c r="E3538" s="57" t="s">
        <v>3792</v>
      </c>
      <c r="F3538" s="57" t="s">
        <v>3792</v>
      </c>
      <c r="G3538" s="73" t="s">
        <v>12122</v>
      </c>
      <c r="H3538" s="77" t="s">
        <v>12123</v>
      </c>
      <c r="I3538" s="37" t="s">
        <v>50</v>
      </c>
      <c r="J3538" s="81" t="s">
        <v>12124</v>
      </c>
      <c r="K3538" s="0" t="s">
        <v>12125</v>
      </c>
    </row>
    <row r="3539" customFormat="false" ht="34.2" hidden="false" customHeight="true" outlineLevel="0" collapsed="false">
      <c r="A3539" s="74"/>
      <c r="B3539" s="75"/>
      <c r="C3539" s="75" t="s">
        <v>12126</v>
      </c>
      <c r="D3539" s="57" t="s">
        <v>12127</v>
      </c>
      <c r="E3539" s="57" t="s">
        <v>12128</v>
      </c>
      <c r="F3539" s="57" t="s">
        <v>3797</v>
      </c>
      <c r="G3539" s="73" t="s">
        <v>12129</v>
      </c>
      <c r="H3539" s="77"/>
      <c r="I3539" s="37"/>
      <c r="J3539" s="81" t="s">
        <v>11212</v>
      </c>
      <c r="K3539" s="0" t="s">
        <v>12130</v>
      </c>
    </row>
    <row r="3540" customFormat="false" ht="55.95" hidden="false" customHeight="false" outlineLevel="0" collapsed="false">
      <c r="A3540" s="74"/>
      <c r="B3540" s="75"/>
      <c r="C3540" s="75"/>
      <c r="D3540" s="57" t="s">
        <v>3792</v>
      </c>
      <c r="E3540" s="57" t="s">
        <v>3792</v>
      </c>
      <c r="F3540" s="57" t="s">
        <v>3792</v>
      </c>
      <c r="G3540" s="73" t="s">
        <v>12131</v>
      </c>
      <c r="H3540" s="77" t="s">
        <v>12132</v>
      </c>
      <c r="I3540" s="39" t="s">
        <v>67</v>
      </c>
      <c r="J3540" s="81" t="s">
        <v>12133</v>
      </c>
      <c r="K3540" s="0" t="s">
        <v>12134</v>
      </c>
    </row>
    <row r="3541" customFormat="false" ht="45.05" hidden="false" customHeight="false" outlineLevel="0" collapsed="false">
      <c r="A3541" s="74"/>
      <c r="B3541" s="75"/>
      <c r="C3541" s="75"/>
      <c r="D3541" s="57" t="s">
        <v>12135</v>
      </c>
      <c r="E3541" s="57" t="s">
        <v>12136</v>
      </c>
      <c r="F3541" s="57" t="s">
        <v>3806</v>
      </c>
      <c r="G3541" s="73" t="s">
        <v>12137</v>
      </c>
      <c r="H3541" s="77"/>
      <c r="I3541" s="39"/>
      <c r="J3541" s="81" t="s">
        <v>12138</v>
      </c>
      <c r="K3541" s="0" t="s">
        <v>11222</v>
      </c>
    </row>
    <row r="3542" customFormat="false" ht="21.75" hidden="false" customHeight="false" outlineLevel="0" collapsed="false">
      <c r="A3542" s="74"/>
      <c r="B3542" s="75"/>
      <c r="C3542" s="75"/>
      <c r="D3542" s="57" t="s">
        <v>3792</v>
      </c>
      <c r="E3542" s="57" t="s">
        <v>3792</v>
      </c>
      <c r="F3542" s="57" t="s">
        <v>3792</v>
      </c>
      <c r="G3542" s="73" t="s">
        <v>12139</v>
      </c>
      <c r="H3542" s="77" t="s">
        <v>12140</v>
      </c>
      <c r="I3542" s="34" t="s">
        <v>40</v>
      </c>
      <c r="J3542" s="81" t="s">
        <v>12141</v>
      </c>
      <c r="K3542" s="0" t="s">
        <v>12142</v>
      </c>
    </row>
    <row r="3543" customFormat="false" ht="55.95" hidden="false" customHeight="false" outlineLevel="0" collapsed="false">
      <c r="A3543" s="74"/>
      <c r="B3543" s="75"/>
      <c r="C3543" s="75"/>
      <c r="D3543" s="57" t="s">
        <v>12143</v>
      </c>
      <c r="E3543" s="57" t="s">
        <v>12144</v>
      </c>
      <c r="F3543" s="57" t="s">
        <v>3797</v>
      </c>
      <c r="G3543" s="73" t="s">
        <v>12145</v>
      </c>
      <c r="H3543" s="77"/>
      <c r="I3543" s="34"/>
      <c r="J3543" s="81" t="s">
        <v>12146</v>
      </c>
      <c r="K3543" s="0" t="s">
        <v>12147</v>
      </c>
    </row>
    <row r="3544" customFormat="false" ht="45.05" hidden="false" customHeight="false" outlineLevel="0" collapsed="false">
      <c r="A3544" s="74"/>
      <c r="B3544" s="75"/>
      <c r="C3544" s="75"/>
      <c r="D3544" s="57" t="s">
        <v>3792</v>
      </c>
      <c r="E3544" s="57" t="s">
        <v>3792</v>
      </c>
      <c r="F3544" s="57" t="s">
        <v>3792</v>
      </c>
      <c r="G3544" s="73" t="s">
        <v>12148</v>
      </c>
      <c r="H3544" s="77" t="s">
        <v>12149</v>
      </c>
      <c r="I3544" s="39" t="s">
        <v>67</v>
      </c>
      <c r="J3544" s="81" t="s">
        <v>12150</v>
      </c>
      <c r="K3544" s="0" t="s">
        <v>12151</v>
      </c>
    </row>
    <row r="3545" customFormat="false" ht="55.95" hidden="false" customHeight="false" outlineLevel="0" collapsed="false">
      <c r="A3545" s="74"/>
      <c r="B3545" s="75"/>
      <c r="C3545" s="75"/>
      <c r="D3545" s="57" t="s">
        <v>12152</v>
      </c>
      <c r="E3545" s="57" t="s">
        <v>12153</v>
      </c>
      <c r="F3545" s="57" t="s">
        <v>3787</v>
      </c>
      <c r="G3545" s="73" t="s">
        <v>12154</v>
      </c>
      <c r="H3545" s="77"/>
      <c r="I3545" s="39"/>
      <c r="J3545" s="81" t="s">
        <v>12155</v>
      </c>
      <c r="K3545" s="0" t="s">
        <v>12156</v>
      </c>
    </row>
    <row r="3546" customFormat="false" ht="66.85" hidden="false" customHeight="false" outlineLevel="0" collapsed="false">
      <c r="A3546" s="74"/>
      <c r="B3546" s="75"/>
      <c r="C3546" s="75"/>
      <c r="D3546" s="57" t="s">
        <v>3792</v>
      </c>
      <c r="E3546" s="57" t="s">
        <v>3792</v>
      </c>
      <c r="F3546" s="57" t="s">
        <v>3792</v>
      </c>
      <c r="G3546" s="73" t="s">
        <v>12157</v>
      </c>
      <c r="H3546" s="77" t="s">
        <v>12158</v>
      </c>
      <c r="I3546" s="37" t="s">
        <v>50</v>
      </c>
      <c r="J3546" s="81" t="s">
        <v>12159</v>
      </c>
      <c r="K3546" s="0" t="s">
        <v>12160</v>
      </c>
    </row>
    <row r="3547" customFormat="false" ht="45.05" hidden="false" customHeight="false" outlineLevel="0" collapsed="false">
      <c r="A3547" s="74"/>
      <c r="B3547" s="75"/>
      <c r="C3547" s="75"/>
      <c r="D3547" s="57" t="s">
        <v>12161</v>
      </c>
      <c r="E3547" s="57" t="s">
        <v>12162</v>
      </c>
      <c r="F3547" s="57" t="s">
        <v>3806</v>
      </c>
      <c r="G3547" s="73" t="s">
        <v>12163</v>
      </c>
      <c r="H3547" s="77"/>
      <c r="I3547" s="37"/>
      <c r="J3547" s="81" t="s">
        <v>12164</v>
      </c>
      <c r="K3547" s="0" t="s">
        <v>12165</v>
      </c>
    </row>
    <row r="3548" customFormat="false" ht="45.05" hidden="false" customHeight="false" outlineLevel="0" collapsed="false">
      <c r="A3548" s="74"/>
      <c r="B3548" s="75"/>
      <c r="C3548" s="75"/>
      <c r="D3548" s="0"/>
      <c r="E3548" s="57" t="s">
        <v>3792</v>
      </c>
      <c r="F3548" s="57" t="s">
        <v>3792</v>
      </c>
      <c r="G3548" s="73" t="s">
        <v>12166</v>
      </c>
      <c r="H3548" s="77" t="s">
        <v>12167</v>
      </c>
      <c r="I3548" s="37" t="s">
        <v>50</v>
      </c>
      <c r="J3548" s="81" t="s">
        <v>12168</v>
      </c>
      <c r="K3548" s="0" t="s">
        <v>12169</v>
      </c>
    </row>
    <row r="3549" customFormat="false" ht="45.05" hidden="false" customHeight="false" outlineLevel="0" collapsed="false">
      <c r="A3549" s="74"/>
      <c r="B3549" s="75"/>
      <c r="C3549" s="74" t="s">
        <v>12170</v>
      </c>
      <c r="D3549" s="57" t="s">
        <v>12171</v>
      </c>
      <c r="E3549" s="57" t="s">
        <v>12172</v>
      </c>
      <c r="F3549" s="57" t="s">
        <v>3787</v>
      </c>
      <c r="G3549" s="73" t="s">
        <v>12173</v>
      </c>
      <c r="H3549" s="77"/>
      <c r="I3549" s="37"/>
      <c r="J3549" s="81" t="s">
        <v>12174</v>
      </c>
      <c r="K3549" s="0" t="s">
        <v>12175</v>
      </c>
    </row>
    <row r="3550" customFormat="false" ht="34.2" hidden="false" customHeight="false" outlineLevel="0" collapsed="false">
      <c r="A3550" s="74"/>
      <c r="B3550" s="75"/>
      <c r="C3550" s="74"/>
      <c r="D3550" s="57" t="s">
        <v>3792</v>
      </c>
      <c r="E3550" s="57" t="s">
        <v>3792</v>
      </c>
      <c r="F3550" s="57" t="s">
        <v>3792</v>
      </c>
      <c r="G3550" s="73" t="s">
        <v>12176</v>
      </c>
      <c r="H3550" s="77" t="s">
        <v>12177</v>
      </c>
      <c r="I3550" s="39" t="s">
        <v>67</v>
      </c>
      <c r="J3550" s="81" t="s">
        <v>12178</v>
      </c>
      <c r="K3550" s="0" t="s">
        <v>12179</v>
      </c>
    </row>
    <row r="3551" customFormat="false" ht="45.05" hidden="false" customHeight="false" outlineLevel="0" collapsed="false">
      <c r="A3551" s="74"/>
      <c r="B3551" s="75"/>
      <c r="C3551" s="74"/>
      <c r="D3551" s="57" t="s">
        <v>12180</v>
      </c>
      <c r="E3551" s="57" t="s">
        <v>12181</v>
      </c>
      <c r="F3551" s="57" t="s">
        <v>3797</v>
      </c>
      <c r="G3551" s="73" t="s">
        <v>12182</v>
      </c>
      <c r="H3551" s="77"/>
      <c r="I3551" s="39"/>
      <c r="J3551" s="81" t="s">
        <v>12183</v>
      </c>
      <c r="K3551" s="0" t="s">
        <v>12184</v>
      </c>
    </row>
    <row r="3552" customFormat="false" ht="34.2" hidden="false" customHeight="false" outlineLevel="0" collapsed="false">
      <c r="A3552" s="74"/>
      <c r="B3552" s="75"/>
      <c r="C3552" s="74"/>
      <c r="D3552" s="57" t="s">
        <v>3792</v>
      </c>
      <c r="E3552" s="57" t="s">
        <v>3792</v>
      </c>
      <c r="F3552" s="57" t="s">
        <v>3792</v>
      </c>
      <c r="G3552" s="73" t="s">
        <v>12185</v>
      </c>
      <c r="H3552" s="77" t="s">
        <v>12186</v>
      </c>
      <c r="I3552" s="34" t="s">
        <v>40</v>
      </c>
      <c r="J3552" s="81" t="s">
        <v>12187</v>
      </c>
      <c r="K3552" s="0" t="s">
        <v>12188</v>
      </c>
    </row>
    <row r="3553" customFormat="false" ht="45.05" hidden="false" customHeight="false" outlineLevel="0" collapsed="false">
      <c r="A3553" s="74"/>
      <c r="B3553" s="75"/>
      <c r="C3553" s="74"/>
      <c r="D3553" s="57" t="s">
        <v>12189</v>
      </c>
      <c r="E3553" s="57" t="s">
        <v>12190</v>
      </c>
      <c r="F3553" s="57" t="s">
        <v>3806</v>
      </c>
      <c r="G3553" s="73" t="s">
        <v>12191</v>
      </c>
      <c r="H3553" s="77"/>
      <c r="I3553" s="34"/>
      <c r="J3553" s="81" t="s">
        <v>12192</v>
      </c>
      <c r="K3553" s="0" t="s">
        <v>12193</v>
      </c>
    </row>
    <row r="3554" customFormat="false" ht="34.2" hidden="false" customHeight="false" outlineLevel="0" collapsed="false">
      <c r="A3554" s="74"/>
      <c r="B3554" s="75"/>
      <c r="C3554" s="74"/>
      <c r="D3554" s="57" t="s">
        <v>3792</v>
      </c>
      <c r="E3554" s="57" t="s">
        <v>3792</v>
      </c>
      <c r="F3554" s="57" t="s">
        <v>3792</v>
      </c>
      <c r="G3554" s="73" t="s">
        <v>12194</v>
      </c>
      <c r="H3554" s="77" t="s">
        <v>12195</v>
      </c>
      <c r="I3554" s="39" t="s">
        <v>67</v>
      </c>
      <c r="J3554" s="81" t="s">
        <v>11209</v>
      </c>
      <c r="K3554" s="0" t="s">
        <v>12196</v>
      </c>
    </row>
    <row r="3555" customFormat="false" ht="45.05" hidden="false" customHeight="false" outlineLevel="0" collapsed="false">
      <c r="A3555" s="74"/>
      <c r="B3555" s="75"/>
      <c r="C3555" s="74"/>
      <c r="D3555" s="57" t="s">
        <v>12197</v>
      </c>
      <c r="E3555" s="57" t="s">
        <v>12198</v>
      </c>
      <c r="F3555" s="57" t="s">
        <v>3787</v>
      </c>
      <c r="G3555" s="73" t="s">
        <v>12199</v>
      </c>
      <c r="H3555" s="77"/>
      <c r="I3555" s="39"/>
      <c r="J3555" s="81" t="s">
        <v>11276</v>
      </c>
      <c r="K3555" s="0" t="s">
        <v>12200</v>
      </c>
    </row>
    <row r="3556" customFormat="false" ht="45.05" hidden="false" customHeight="false" outlineLevel="0" collapsed="false">
      <c r="A3556" s="74"/>
      <c r="B3556" s="75"/>
      <c r="C3556" s="74"/>
      <c r="D3556" s="57" t="s">
        <v>3792</v>
      </c>
      <c r="E3556" s="57" t="s">
        <v>3792</v>
      </c>
      <c r="F3556" s="57" t="s">
        <v>3792</v>
      </c>
      <c r="G3556" s="73" t="s">
        <v>12201</v>
      </c>
      <c r="H3556" s="77" t="s">
        <v>12202</v>
      </c>
      <c r="I3556" s="37" t="s">
        <v>50</v>
      </c>
      <c r="J3556" s="81" t="s">
        <v>12203</v>
      </c>
      <c r="K3556" s="0" t="s">
        <v>12204</v>
      </c>
    </row>
    <row r="3557" customFormat="false" ht="45.05" hidden="false" customHeight="false" outlineLevel="0" collapsed="false">
      <c r="A3557" s="74"/>
      <c r="B3557" s="75"/>
      <c r="C3557" s="74"/>
      <c r="D3557" s="57" t="s">
        <v>12205</v>
      </c>
      <c r="E3557" s="57" t="s">
        <v>12206</v>
      </c>
      <c r="F3557" s="57" t="s">
        <v>3806</v>
      </c>
      <c r="G3557" s="57" t="s">
        <v>12207</v>
      </c>
      <c r="H3557" s="77"/>
      <c r="I3557" s="37"/>
      <c r="J3557" s="81" t="s">
        <v>12208</v>
      </c>
      <c r="K3557" s="0" t="s">
        <v>12209</v>
      </c>
    </row>
    <row r="3558" customFormat="false" ht="45.05" hidden="false" customHeight="false" outlineLevel="0" collapsed="false">
      <c r="A3558" s="74"/>
      <c r="B3558" s="75"/>
      <c r="C3558" s="74"/>
      <c r="D3558" s="0"/>
      <c r="E3558" s="57" t="s">
        <v>3792</v>
      </c>
      <c r="F3558" s="57" t="s">
        <v>3792</v>
      </c>
      <c r="G3558" s="57" t="s">
        <v>12210</v>
      </c>
      <c r="H3558" s="77" t="s">
        <v>12211</v>
      </c>
      <c r="I3558" s="34" t="s">
        <v>40</v>
      </c>
      <c r="J3558" s="81" t="s">
        <v>12212</v>
      </c>
      <c r="K3558" s="0" t="s">
        <v>12213</v>
      </c>
    </row>
    <row r="3559" customFormat="false" ht="45.05" hidden="false" customHeight="false" outlineLevel="0" collapsed="false">
      <c r="A3559" s="74"/>
      <c r="B3559" s="75"/>
      <c r="C3559" s="74" t="s">
        <v>12214</v>
      </c>
      <c r="D3559" s="57" t="s">
        <v>12215</v>
      </c>
      <c r="E3559" s="57" t="s">
        <v>12216</v>
      </c>
      <c r="F3559" s="57" t="s">
        <v>3797</v>
      </c>
      <c r="G3559" s="57" t="s">
        <v>12217</v>
      </c>
      <c r="H3559" s="77"/>
      <c r="I3559" s="34"/>
      <c r="J3559" s="81" t="s">
        <v>11212</v>
      </c>
      <c r="K3559" s="0" t="s">
        <v>12218</v>
      </c>
    </row>
    <row r="3560" customFormat="false" ht="45.05" hidden="false" customHeight="false" outlineLevel="0" collapsed="false">
      <c r="A3560" s="74"/>
      <c r="B3560" s="75"/>
      <c r="C3560" s="74"/>
      <c r="D3560" s="57" t="s">
        <v>3792</v>
      </c>
      <c r="E3560" s="57" t="s">
        <v>3792</v>
      </c>
      <c r="F3560" s="57" t="s">
        <v>3792</v>
      </c>
      <c r="G3560" s="57" t="s">
        <v>12219</v>
      </c>
      <c r="H3560" s="77" t="s">
        <v>11325</v>
      </c>
      <c r="I3560" s="37" t="s">
        <v>50</v>
      </c>
      <c r="J3560" s="81" t="s">
        <v>12220</v>
      </c>
      <c r="K3560" s="0" t="s">
        <v>11332</v>
      </c>
    </row>
    <row r="3561" customFormat="false" ht="45.05" hidden="false" customHeight="false" outlineLevel="0" collapsed="false">
      <c r="A3561" s="74"/>
      <c r="B3561" s="75"/>
      <c r="C3561" s="74"/>
      <c r="D3561" s="57" t="s">
        <v>12221</v>
      </c>
      <c r="E3561" s="57" t="s">
        <v>12222</v>
      </c>
      <c r="F3561" s="57" t="s">
        <v>3787</v>
      </c>
      <c r="G3561" s="57" t="s">
        <v>12223</v>
      </c>
      <c r="H3561" s="77"/>
      <c r="I3561" s="37"/>
      <c r="J3561" s="81" t="s">
        <v>11285</v>
      </c>
      <c r="K3561" s="0" t="s">
        <v>12224</v>
      </c>
    </row>
    <row r="3562" customFormat="false" ht="34.2" hidden="false" customHeight="false" outlineLevel="0" collapsed="false">
      <c r="A3562" s="74"/>
      <c r="B3562" s="75"/>
      <c r="C3562" s="74"/>
      <c r="D3562" s="57" t="s">
        <v>3792</v>
      </c>
      <c r="E3562" s="57" t="s">
        <v>3792</v>
      </c>
      <c r="F3562" s="57" t="s">
        <v>3792</v>
      </c>
      <c r="G3562" s="57" t="s">
        <v>12225</v>
      </c>
      <c r="H3562" s="77" t="s">
        <v>12226</v>
      </c>
      <c r="I3562" s="34" t="s">
        <v>40</v>
      </c>
      <c r="J3562" s="81" t="s">
        <v>12227</v>
      </c>
      <c r="K3562" s="0" t="s">
        <v>12228</v>
      </c>
    </row>
    <row r="3563" customFormat="false" ht="55.95" hidden="false" customHeight="false" outlineLevel="0" collapsed="false">
      <c r="A3563" s="74"/>
      <c r="B3563" s="75"/>
      <c r="C3563" s="74"/>
      <c r="D3563" s="57" t="s">
        <v>12229</v>
      </c>
      <c r="E3563" s="57" t="s">
        <v>12230</v>
      </c>
      <c r="F3563" s="57" t="s">
        <v>3797</v>
      </c>
      <c r="G3563" s="57" t="s">
        <v>12231</v>
      </c>
      <c r="H3563" s="77"/>
      <c r="I3563" s="34"/>
      <c r="J3563" s="81" t="s">
        <v>11331</v>
      </c>
      <c r="K3563" s="0" t="s">
        <v>11936</v>
      </c>
    </row>
    <row r="3564" customFormat="false" ht="45.05" hidden="false" customHeight="false" outlineLevel="0" collapsed="false">
      <c r="A3564" s="74"/>
      <c r="B3564" s="75"/>
      <c r="C3564" s="74"/>
      <c r="D3564" s="57" t="s">
        <v>3792</v>
      </c>
      <c r="E3564" s="57" t="s">
        <v>3792</v>
      </c>
      <c r="F3564" s="57" t="s">
        <v>3792</v>
      </c>
      <c r="G3564" s="57" t="s">
        <v>12232</v>
      </c>
      <c r="H3564" s="77" t="s">
        <v>12233</v>
      </c>
      <c r="I3564" s="39" t="s">
        <v>67</v>
      </c>
      <c r="J3564" s="81" t="s">
        <v>12234</v>
      </c>
      <c r="K3564" s="0" t="s">
        <v>11940</v>
      </c>
    </row>
    <row r="3565" customFormat="false" ht="34.2" hidden="false" customHeight="false" outlineLevel="0" collapsed="false">
      <c r="A3565" s="74"/>
      <c r="B3565" s="75"/>
      <c r="C3565" s="74"/>
      <c r="D3565" s="57" t="s">
        <v>12235</v>
      </c>
      <c r="E3565" s="57" t="s">
        <v>12236</v>
      </c>
      <c r="F3565" s="57" t="s">
        <v>3806</v>
      </c>
      <c r="G3565" s="57" t="s">
        <v>12237</v>
      </c>
      <c r="H3565" s="77"/>
      <c r="I3565" s="39"/>
      <c r="J3565" s="81" t="s">
        <v>12238</v>
      </c>
      <c r="K3565" s="0" t="s">
        <v>12239</v>
      </c>
    </row>
    <row r="3566" customFormat="false" ht="45.05" hidden="false" customHeight="false" outlineLevel="0" collapsed="false">
      <c r="A3566" s="74"/>
      <c r="B3566" s="75"/>
      <c r="C3566" s="74"/>
      <c r="D3566" s="57" t="s">
        <v>3792</v>
      </c>
      <c r="E3566" s="57" t="s">
        <v>3792</v>
      </c>
      <c r="F3566" s="57" t="s">
        <v>3792</v>
      </c>
      <c r="G3566" s="57" t="s">
        <v>12240</v>
      </c>
      <c r="H3566" s="77" t="s">
        <v>12241</v>
      </c>
      <c r="I3566" s="34" t="s">
        <v>40</v>
      </c>
      <c r="J3566" s="81" t="s">
        <v>12242</v>
      </c>
      <c r="K3566" s="0" t="s">
        <v>12243</v>
      </c>
    </row>
    <row r="3567" customFormat="false" ht="34.2" hidden="false" customHeight="false" outlineLevel="0" collapsed="false">
      <c r="A3567" s="74"/>
      <c r="B3567" s="75"/>
      <c r="C3567" s="74"/>
      <c r="D3567" s="57" t="s">
        <v>12244</v>
      </c>
      <c r="E3567" s="57" t="s">
        <v>12245</v>
      </c>
      <c r="F3567" s="57" t="s">
        <v>3797</v>
      </c>
      <c r="G3567" s="57" t="s">
        <v>12246</v>
      </c>
      <c r="H3567" s="77"/>
      <c r="I3567" s="34"/>
      <c r="J3567" s="81" t="s">
        <v>11947</v>
      </c>
      <c r="K3567" s="0" t="s">
        <v>12247</v>
      </c>
    </row>
    <row r="3568" customFormat="false" ht="45.05" hidden="false" customHeight="false" outlineLevel="0" collapsed="false">
      <c r="A3568" s="74"/>
      <c r="B3568" s="75"/>
      <c r="C3568" s="74"/>
      <c r="D3568" s="0"/>
      <c r="E3568" s="57" t="s">
        <v>3792</v>
      </c>
      <c r="F3568" s="57" t="s">
        <v>3792</v>
      </c>
      <c r="G3568" s="57" t="s">
        <v>12248</v>
      </c>
      <c r="H3568" s="77" t="s">
        <v>12249</v>
      </c>
      <c r="I3568" s="37" t="s">
        <v>50</v>
      </c>
      <c r="J3568" s="81" t="s">
        <v>10854</v>
      </c>
      <c r="K3568" s="0" t="s">
        <v>12250</v>
      </c>
    </row>
    <row r="3569" customFormat="false" ht="34.2" hidden="false" customHeight="false" outlineLevel="0" collapsed="false">
      <c r="A3569" s="74"/>
      <c r="B3569" s="74" t="s">
        <v>12251</v>
      </c>
      <c r="C3569" s="74" t="s">
        <v>12252</v>
      </c>
      <c r="D3569" s="57" t="s">
        <v>12253</v>
      </c>
      <c r="E3569" s="57" t="s">
        <v>12254</v>
      </c>
      <c r="F3569" s="57" t="s">
        <v>3787</v>
      </c>
      <c r="G3569" s="57" t="s">
        <v>12255</v>
      </c>
      <c r="H3569" s="77"/>
      <c r="I3569" s="37"/>
      <c r="J3569" s="81" t="s">
        <v>11059</v>
      </c>
      <c r="K3569" s="0" t="s">
        <v>12256</v>
      </c>
    </row>
    <row r="3570" customFormat="false" ht="45.05" hidden="false" customHeight="false" outlineLevel="0" collapsed="false">
      <c r="A3570" s="74"/>
      <c r="B3570" s="74"/>
      <c r="C3570" s="74"/>
      <c r="D3570" s="57" t="s">
        <v>3792</v>
      </c>
      <c r="E3570" s="57" t="s">
        <v>3792</v>
      </c>
      <c r="F3570" s="57" t="s">
        <v>3792</v>
      </c>
      <c r="G3570" s="57" t="s">
        <v>12257</v>
      </c>
      <c r="H3570" s="77" t="s">
        <v>12258</v>
      </c>
      <c r="I3570" s="34" t="s">
        <v>40</v>
      </c>
      <c r="J3570" s="81" t="s">
        <v>11774</v>
      </c>
      <c r="K3570" s="0" t="s">
        <v>10996</v>
      </c>
    </row>
    <row r="3571" customFormat="false" ht="34.2" hidden="false" customHeight="false" outlineLevel="0" collapsed="false">
      <c r="A3571" s="74"/>
      <c r="B3571" s="74"/>
      <c r="C3571" s="74"/>
      <c r="D3571" s="57" t="s">
        <v>12259</v>
      </c>
      <c r="E3571" s="57" t="s">
        <v>12260</v>
      </c>
      <c r="F3571" s="57" t="s">
        <v>3806</v>
      </c>
      <c r="G3571" s="57" t="s">
        <v>12261</v>
      </c>
      <c r="H3571" s="77"/>
      <c r="I3571" s="34"/>
      <c r="J3571" s="81" t="s">
        <v>11013</v>
      </c>
      <c r="K3571" s="0" t="s">
        <v>12262</v>
      </c>
    </row>
    <row r="3572" customFormat="false" ht="34.2" hidden="false" customHeight="false" outlineLevel="0" collapsed="false">
      <c r="A3572" s="74"/>
      <c r="B3572" s="74"/>
      <c r="C3572" s="74"/>
      <c r="D3572" s="57" t="s">
        <v>3792</v>
      </c>
      <c r="E3572" s="57" t="s">
        <v>3792</v>
      </c>
      <c r="F3572" s="57" t="s">
        <v>3792</v>
      </c>
      <c r="G3572" s="57" t="s">
        <v>12263</v>
      </c>
      <c r="H3572" s="77" t="s">
        <v>12264</v>
      </c>
      <c r="I3572" s="39" t="s">
        <v>67</v>
      </c>
      <c r="J3572" s="81" t="s">
        <v>12265</v>
      </c>
      <c r="K3572" s="0" t="s">
        <v>12266</v>
      </c>
    </row>
    <row r="3573" customFormat="false" ht="34.2" hidden="false" customHeight="false" outlineLevel="0" collapsed="false">
      <c r="A3573" s="74"/>
      <c r="B3573" s="74"/>
      <c r="C3573" s="74"/>
      <c r="D3573" s="57" t="s">
        <v>12267</v>
      </c>
      <c r="E3573" s="57" t="s">
        <v>12268</v>
      </c>
      <c r="F3573" s="57" t="s">
        <v>3787</v>
      </c>
      <c r="G3573" s="57" t="s">
        <v>12269</v>
      </c>
      <c r="H3573" s="77"/>
      <c r="I3573" s="39"/>
      <c r="J3573" s="81" t="s">
        <v>12270</v>
      </c>
      <c r="K3573" s="0" t="s">
        <v>12271</v>
      </c>
    </row>
    <row r="3574" customFormat="false" ht="34.2" hidden="false" customHeight="false" outlineLevel="0" collapsed="false">
      <c r="A3574" s="74"/>
      <c r="B3574" s="74"/>
      <c r="C3574" s="74"/>
      <c r="D3574" s="57" t="s">
        <v>3792</v>
      </c>
      <c r="E3574" s="57" t="s">
        <v>3792</v>
      </c>
      <c r="F3574" s="57" t="s">
        <v>3792</v>
      </c>
      <c r="G3574" s="57" t="s">
        <v>12272</v>
      </c>
      <c r="H3574" s="77" t="s">
        <v>12273</v>
      </c>
      <c r="I3574" s="34" t="s">
        <v>40</v>
      </c>
      <c r="J3574" s="81" t="s">
        <v>12274</v>
      </c>
      <c r="K3574" s="0" t="s">
        <v>12275</v>
      </c>
    </row>
    <row r="3575" customFormat="false" ht="34.2" hidden="false" customHeight="false" outlineLevel="0" collapsed="false">
      <c r="A3575" s="74"/>
      <c r="B3575" s="74"/>
      <c r="C3575" s="74"/>
      <c r="D3575" s="57" t="s">
        <v>12276</v>
      </c>
      <c r="E3575" s="57" t="s">
        <v>12277</v>
      </c>
      <c r="F3575" s="57" t="s">
        <v>3797</v>
      </c>
      <c r="G3575" s="57" t="s">
        <v>12278</v>
      </c>
      <c r="H3575" s="77"/>
      <c r="I3575" s="34"/>
      <c r="J3575" s="81" t="s">
        <v>12279</v>
      </c>
      <c r="K3575" s="0" t="s">
        <v>12280</v>
      </c>
    </row>
    <row r="3576" customFormat="false" ht="34.2" hidden="false" customHeight="false" outlineLevel="0" collapsed="false">
      <c r="A3576" s="74"/>
      <c r="B3576" s="74"/>
      <c r="C3576" s="74"/>
      <c r="D3576" s="57" t="s">
        <v>3792</v>
      </c>
      <c r="E3576" s="57" t="s">
        <v>3792</v>
      </c>
      <c r="F3576" s="57" t="s">
        <v>3792</v>
      </c>
      <c r="G3576" s="57" t="s">
        <v>12281</v>
      </c>
      <c r="H3576" s="77" t="s">
        <v>12282</v>
      </c>
      <c r="I3576" s="37" t="s">
        <v>50</v>
      </c>
      <c r="J3576" s="81" t="s">
        <v>12283</v>
      </c>
      <c r="K3576" s="0" t="s">
        <v>12284</v>
      </c>
    </row>
    <row r="3577" customFormat="false" ht="45.05" hidden="false" customHeight="false" outlineLevel="0" collapsed="false">
      <c r="A3577" s="74"/>
      <c r="B3577" s="74"/>
      <c r="C3577" s="74"/>
      <c r="D3577" s="57" t="s">
        <v>12285</v>
      </c>
      <c r="E3577" s="57" t="s">
        <v>12286</v>
      </c>
      <c r="F3577" s="57" t="s">
        <v>3806</v>
      </c>
      <c r="G3577" s="57" t="s">
        <v>12287</v>
      </c>
      <c r="H3577" s="77"/>
      <c r="I3577" s="37"/>
      <c r="J3577" s="81" t="s">
        <v>12288</v>
      </c>
      <c r="K3577" s="0" t="s">
        <v>12289</v>
      </c>
    </row>
    <row r="3578" customFormat="false" ht="45.05" hidden="false" customHeight="false" outlineLevel="0" collapsed="false">
      <c r="A3578" s="74"/>
      <c r="B3578" s="74"/>
      <c r="C3578" s="74"/>
      <c r="D3578" s="0"/>
      <c r="E3578" s="57" t="s">
        <v>3792</v>
      </c>
      <c r="F3578" s="57" t="s">
        <v>3792</v>
      </c>
      <c r="G3578" s="57" t="s">
        <v>12290</v>
      </c>
      <c r="H3578" s="77" t="s">
        <v>12249</v>
      </c>
      <c r="I3578" s="34" t="s">
        <v>40</v>
      </c>
      <c r="J3578" s="81" t="s">
        <v>12291</v>
      </c>
      <c r="K3578" s="0" t="s">
        <v>12292</v>
      </c>
    </row>
    <row r="3579" customFormat="false" ht="45.05" hidden="false" customHeight="true" outlineLevel="0" collapsed="false">
      <c r="A3579" s="74"/>
      <c r="B3579" s="74"/>
      <c r="C3579" s="75" t="s">
        <v>12293</v>
      </c>
      <c r="D3579" s="57" t="s">
        <v>12294</v>
      </c>
      <c r="E3579" s="57" t="s">
        <v>12295</v>
      </c>
      <c r="F3579" s="57" t="s">
        <v>3787</v>
      </c>
      <c r="G3579" s="57" t="s">
        <v>12296</v>
      </c>
      <c r="H3579" s="77"/>
      <c r="I3579" s="34"/>
      <c r="J3579" s="81" t="s">
        <v>12297</v>
      </c>
      <c r="K3579" s="0" t="s">
        <v>12298</v>
      </c>
    </row>
    <row r="3580" customFormat="false" ht="34.2" hidden="false" customHeight="false" outlineLevel="0" collapsed="false">
      <c r="A3580" s="74"/>
      <c r="B3580" s="74"/>
      <c r="C3580" s="75"/>
      <c r="D3580" s="57" t="s">
        <v>3792</v>
      </c>
      <c r="E3580" s="57" t="s">
        <v>3792</v>
      </c>
      <c r="F3580" s="57" t="s">
        <v>3792</v>
      </c>
      <c r="G3580" s="57" t="s">
        <v>12299</v>
      </c>
      <c r="H3580" s="77" t="s">
        <v>12300</v>
      </c>
      <c r="I3580" s="39" t="s">
        <v>67</v>
      </c>
      <c r="J3580" s="81" t="s">
        <v>12301</v>
      </c>
      <c r="K3580" s="0" t="s">
        <v>12302</v>
      </c>
    </row>
    <row r="3581" customFormat="false" ht="34.2" hidden="false" customHeight="false" outlineLevel="0" collapsed="false">
      <c r="A3581" s="74"/>
      <c r="B3581" s="74"/>
      <c r="C3581" s="75"/>
      <c r="D3581" s="57" t="s">
        <v>12303</v>
      </c>
      <c r="E3581" s="57" t="s">
        <v>12304</v>
      </c>
      <c r="F3581" s="57" t="s">
        <v>3797</v>
      </c>
      <c r="G3581" s="57" t="s">
        <v>12305</v>
      </c>
      <c r="H3581" s="77"/>
      <c r="I3581" s="39"/>
      <c r="J3581" s="81" t="s">
        <v>12306</v>
      </c>
      <c r="K3581" s="0" t="s">
        <v>12307</v>
      </c>
    </row>
    <row r="3582" customFormat="false" ht="45.05" hidden="false" customHeight="false" outlineLevel="0" collapsed="false">
      <c r="A3582" s="74"/>
      <c r="B3582" s="74"/>
      <c r="C3582" s="75"/>
      <c r="D3582" s="57" t="s">
        <v>3792</v>
      </c>
      <c r="E3582" s="57" t="s">
        <v>3792</v>
      </c>
      <c r="F3582" s="57" t="s">
        <v>3792</v>
      </c>
      <c r="G3582" s="57" t="s">
        <v>12308</v>
      </c>
      <c r="H3582" s="77" t="s">
        <v>12309</v>
      </c>
      <c r="I3582" s="34" t="s">
        <v>40</v>
      </c>
      <c r="J3582" s="81" t="s">
        <v>12310</v>
      </c>
      <c r="K3582" s="0" t="s">
        <v>12311</v>
      </c>
    </row>
    <row r="3583" customFormat="false" ht="45.05" hidden="false" customHeight="false" outlineLevel="0" collapsed="false">
      <c r="A3583" s="74"/>
      <c r="B3583" s="74"/>
      <c r="C3583" s="75"/>
      <c r="D3583" s="57" t="s">
        <v>12312</v>
      </c>
      <c r="E3583" s="57" t="s">
        <v>12313</v>
      </c>
      <c r="F3583" s="57" t="s">
        <v>3806</v>
      </c>
      <c r="G3583" s="57" t="s">
        <v>12314</v>
      </c>
      <c r="H3583" s="77"/>
      <c r="I3583" s="34"/>
      <c r="J3583" s="81" t="s">
        <v>12315</v>
      </c>
      <c r="K3583" s="0" t="s">
        <v>12316</v>
      </c>
    </row>
    <row r="3584" customFormat="false" ht="34.2" hidden="false" customHeight="false" outlineLevel="0" collapsed="false">
      <c r="A3584" s="74"/>
      <c r="B3584" s="74"/>
      <c r="C3584" s="75"/>
      <c r="D3584" s="57" t="s">
        <v>3792</v>
      </c>
      <c r="E3584" s="57" t="s">
        <v>3792</v>
      </c>
      <c r="F3584" s="57" t="s">
        <v>3792</v>
      </c>
      <c r="G3584" s="57" t="s">
        <v>12317</v>
      </c>
      <c r="H3584" s="77" t="s">
        <v>12318</v>
      </c>
      <c r="I3584" s="37" t="s">
        <v>50</v>
      </c>
      <c r="J3584" s="81" t="s">
        <v>12319</v>
      </c>
      <c r="K3584" s="0" t="s">
        <v>12320</v>
      </c>
    </row>
    <row r="3585" customFormat="false" ht="45.05" hidden="false" customHeight="false" outlineLevel="0" collapsed="false">
      <c r="A3585" s="74"/>
      <c r="B3585" s="74"/>
      <c r="C3585" s="75"/>
      <c r="D3585" s="57" t="s">
        <v>12321</v>
      </c>
      <c r="E3585" s="57" t="s">
        <v>12322</v>
      </c>
      <c r="F3585" s="57" t="s">
        <v>3797</v>
      </c>
      <c r="G3585" s="57" t="s">
        <v>12323</v>
      </c>
      <c r="H3585" s="77"/>
      <c r="I3585" s="37"/>
      <c r="J3585" s="81" t="s">
        <v>12324</v>
      </c>
      <c r="K3585" s="0" t="s">
        <v>12325</v>
      </c>
    </row>
    <row r="3586" customFormat="false" ht="45.05" hidden="false" customHeight="false" outlineLevel="0" collapsed="false">
      <c r="A3586" s="74"/>
      <c r="B3586" s="74"/>
      <c r="C3586" s="75"/>
      <c r="D3586" s="57" t="s">
        <v>3792</v>
      </c>
      <c r="E3586" s="57" t="s">
        <v>3792</v>
      </c>
      <c r="F3586" s="57" t="s">
        <v>3792</v>
      </c>
      <c r="G3586" s="57" t="s">
        <v>12326</v>
      </c>
      <c r="H3586" s="77" t="s">
        <v>12327</v>
      </c>
      <c r="I3586" s="34" t="s">
        <v>40</v>
      </c>
      <c r="J3586" s="81" t="s">
        <v>11398</v>
      </c>
      <c r="K3586" s="0" t="s">
        <v>12328</v>
      </c>
    </row>
    <row r="3587" customFormat="false" ht="45.05" hidden="false" customHeight="false" outlineLevel="0" collapsed="false">
      <c r="A3587" s="74"/>
      <c r="B3587" s="74"/>
      <c r="C3587" s="75"/>
      <c r="D3587" s="57" t="s">
        <v>12329</v>
      </c>
      <c r="E3587" s="57" t="s">
        <v>12330</v>
      </c>
      <c r="F3587" s="57" t="s">
        <v>3787</v>
      </c>
      <c r="G3587" s="57" t="s">
        <v>12331</v>
      </c>
      <c r="H3587" s="77"/>
      <c r="I3587" s="34"/>
      <c r="J3587" s="81" t="s">
        <v>12332</v>
      </c>
      <c r="K3587" s="0" t="s">
        <v>12333</v>
      </c>
    </row>
    <row r="3588" customFormat="false" ht="34.2" hidden="false" customHeight="false" outlineLevel="0" collapsed="false">
      <c r="A3588" s="74"/>
      <c r="B3588" s="74"/>
      <c r="C3588" s="75"/>
      <c r="D3588" s="0"/>
      <c r="E3588" s="57" t="s">
        <v>3792</v>
      </c>
      <c r="F3588" s="57" t="s">
        <v>3792</v>
      </c>
      <c r="G3588" s="57" t="s">
        <v>12334</v>
      </c>
      <c r="H3588" s="77" t="s">
        <v>12335</v>
      </c>
      <c r="I3588" s="39" t="s">
        <v>67</v>
      </c>
      <c r="J3588" s="81" t="s">
        <v>12336</v>
      </c>
      <c r="K3588" s="0" t="s">
        <v>12015</v>
      </c>
    </row>
    <row r="3589" customFormat="false" ht="45.05" hidden="false" customHeight="true" outlineLevel="0" collapsed="false">
      <c r="A3589" s="74"/>
      <c r="B3589" s="74"/>
      <c r="C3589" s="75" t="s">
        <v>12337</v>
      </c>
      <c r="D3589" s="57" t="s">
        <v>12338</v>
      </c>
      <c r="E3589" s="57" t="s">
        <v>12339</v>
      </c>
      <c r="F3589" s="57" t="s">
        <v>3806</v>
      </c>
      <c r="G3589" s="57" t="s">
        <v>12340</v>
      </c>
      <c r="H3589" s="77"/>
      <c r="I3589" s="39"/>
      <c r="J3589" s="81" t="s">
        <v>12341</v>
      </c>
      <c r="K3589" s="0" t="s">
        <v>12342</v>
      </c>
    </row>
    <row r="3590" customFormat="false" ht="45.05" hidden="false" customHeight="false" outlineLevel="0" collapsed="false">
      <c r="A3590" s="74"/>
      <c r="B3590" s="74"/>
      <c r="C3590" s="75"/>
      <c r="D3590" s="57" t="s">
        <v>3792</v>
      </c>
      <c r="E3590" s="57" t="s">
        <v>3792</v>
      </c>
      <c r="F3590" s="57" t="s">
        <v>3792</v>
      </c>
      <c r="G3590" s="57" t="s">
        <v>12343</v>
      </c>
      <c r="H3590" s="77" t="s">
        <v>12344</v>
      </c>
      <c r="I3590" s="34" t="s">
        <v>40</v>
      </c>
      <c r="J3590" s="81" t="s">
        <v>12345</v>
      </c>
      <c r="K3590" s="0" t="s">
        <v>12346</v>
      </c>
    </row>
    <row r="3591" customFormat="false" ht="45.05" hidden="false" customHeight="false" outlineLevel="0" collapsed="false">
      <c r="A3591" s="74"/>
      <c r="B3591" s="74"/>
      <c r="C3591" s="75"/>
      <c r="D3591" s="57" t="s">
        <v>12347</v>
      </c>
      <c r="E3591" s="57" t="s">
        <v>12348</v>
      </c>
      <c r="F3591" s="57" t="s">
        <v>3787</v>
      </c>
      <c r="G3591" s="57" t="s">
        <v>12349</v>
      </c>
      <c r="H3591" s="77"/>
      <c r="I3591" s="34"/>
      <c r="J3591" s="81" t="s">
        <v>10958</v>
      </c>
      <c r="K3591" s="0" t="s">
        <v>12350</v>
      </c>
    </row>
    <row r="3592" customFormat="false" ht="34.2" hidden="false" customHeight="false" outlineLevel="0" collapsed="false">
      <c r="A3592" s="74"/>
      <c r="B3592" s="74"/>
      <c r="C3592" s="75"/>
      <c r="D3592" s="57" t="s">
        <v>3792</v>
      </c>
      <c r="E3592" s="57" t="s">
        <v>3792</v>
      </c>
      <c r="F3592" s="57" t="s">
        <v>3792</v>
      </c>
      <c r="G3592" s="57" t="s">
        <v>12351</v>
      </c>
      <c r="H3592" s="77" t="s">
        <v>12352</v>
      </c>
      <c r="I3592" s="37" t="s">
        <v>50</v>
      </c>
      <c r="J3592" s="81" t="s">
        <v>12353</v>
      </c>
      <c r="K3592" s="0" t="s">
        <v>12354</v>
      </c>
    </row>
    <row r="3593" customFormat="false" ht="45.05" hidden="false" customHeight="false" outlineLevel="0" collapsed="false">
      <c r="A3593" s="74"/>
      <c r="B3593" s="74"/>
      <c r="C3593" s="75"/>
      <c r="D3593" s="57" t="s">
        <v>12355</v>
      </c>
      <c r="E3593" s="57" t="s">
        <v>12356</v>
      </c>
      <c r="F3593" s="57" t="s">
        <v>3806</v>
      </c>
      <c r="G3593" s="57" t="s">
        <v>12357</v>
      </c>
      <c r="H3593" s="77"/>
      <c r="I3593" s="37"/>
      <c r="J3593" s="81" t="s">
        <v>12358</v>
      </c>
      <c r="K3593" s="0" t="s">
        <v>12359</v>
      </c>
    </row>
    <row r="3594" customFormat="false" ht="34.2" hidden="false" customHeight="false" outlineLevel="0" collapsed="false">
      <c r="A3594" s="74"/>
      <c r="B3594" s="74"/>
      <c r="C3594" s="75"/>
      <c r="D3594" s="57" t="s">
        <v>3792</v>
      </c>
      <c r="E3594" s="57" t="s">
        <v>3792</v>
      </c>
      <c r="F3594" s="57" t="s">
        <v>3792</v>
      </c>
      <c r="G3594" s="57" t="s">
        <v>12360</v>
      </c>
      <c r="H3594" s="77" t="s">
        <v>12361</v>
      </c>
      <c r="I3594" s="34" t="s">
        <v>40</v>
      </c>
      <c r="J3594" s="81" t="s">
        <v>12362</v>
      </c>
      <c r="K3594" s="0" t="s">
        <v>11887</v>
      </c>
    </row>
    <row r="3595" customFormat="false" ht="34.2" hidden="false" customHeight="false" outlineLevel="0" collapsed="false">
      <c r="A3595" s="74"/>
      <c r="B3595" s="74"/>
      <c r="C3595" s="75"/>
      <c r="D3595" s="57" t="s">
        <v>12363</v>
      </c>
      <c r="E3595" s="57" t="s">
        <v>12364</v>
      </c>
      <c r="F3595" s="57" t="s">
        <v>3797</v>
      </c>
      <c r="G3595" s="57" t="s">
        <v>12365</v>
      </c>
      <c r="H3595" s="77"/>
      <c r="I3595" s="34"/>
      <c r="J3595" s="81" t="s">
        <v>12366</v>
      </c>
      <c r="K3595" s="0" t="s">
        <v>12367</v>
      </c>
    </row>
    <row r="3596" customFormat="false" ht="34.2" hidden="false" customHeight="false" outlineLevel="0" collapsed="false">
      <c r="A3596" s="74"/>
      <c r="B3596" s="74"/>
      <c r="C3596" s="75"/>
      <c r="D3596" s="57" t="s">
        <v>3792</v>
      </c>
      <c r="E3596" s="57" t="s">
        <v>3792</v>
      </c>
      <c r="F3596" s="57" t="s">
        <v>3792</v>
      </c>
      <c r="G3596" s="57" t="s">
        <v>12368</v>
      </c>
      <c r="H3596" s="77" t="s">
        <v>12369</v>
      </c>
      <c r="I3596" s="39" t="s">
        <v>67</v>
      </c>
      <c r="J3596" s="81" t="s">
        <v>12370</v>
      </c>
      <c r="K3596" s="0" t="s">
        <v>12371</v>
      </c>
    </row>
    <row r="3597" customFormat="false" ht="45.05" hidden="false" customHeight="false" outlineLevel="0" collapsed="false">
      <c r="A3597" s="74"/>
      <c r="B3597" s="74"/>
      <c r="C3597" s="75"/>
      <c r="D3597" s="57" t="s">
        <v>12372</v>
      </c>
      <c r="E3597" s="57" t="s">
        <v>12373</v>
      </c>
      <c r="F3597" s="57" t="s">
        <v>3787</v>
      </c>
      <c r="G3597" s="57" t="s">
        <v>12374</v>
      </c>
      <c r="H3597" s="77"/>
      <c r="I3597" s="39"/>
      <c r="J3597" s="81" t="s">
        <v>12375</v>
      </c>
      <c r="K3597" s="0" t="s">
        <v>11771</v>
      </c>
    </row>
    <row r="3598" customFormat="false" ht="34.2" hidden="false" customHeight="false" outlineLevel="0" collapsed="false">
      <c r="A3598" s="74"/>
      <c r="B3598" s="74"/>
      <c r="C3598" s="75"/>
      <c r="D3598" s="0"/>
      <c r="E3598" s="57" t="s">
        <v>3792</v>
      </c>
      <c r="F3598" s="57" t="s">
        <v>3792</v>
      </c>
      <c r="G3598" s="57" t="s">
        <v>12376</v>
      </c>
      <c r="H3598" s="77" t="s">
        <v>12377</v>
      </c>
      <c r="I3598" s="34" t="s">
        <v>40</v>
      </c>
      <c r="J3598" s="81" t="s">
        <v>12378</v>
      </c>
      <c r="K3598" s="0" t="s">
        <v>12379</v>
      </c>
    </row>
    <row r="3599" customFormat="false" ht="45.05" hidden="false" customHeight="false" outlineLevel="0" collapsed="false">
      <c r="A3599" s="74"/>
      <c r="B3599" s="74"/>
      <c r="C3599" s="74" t="s">
        <v>12380</v>
      </c>
      <c r="D3599" s="57" t="s">
        <v>12381</v>
      </c>
      <c r="E3599" s="57" t="s">
        <v>12382</v>
      </c>
      <c r="F3599" s="57" t="s">
        <v>3797</v>
      </c>
      <c r="G3599" s="57" t="s">
        <v>12383</v>
      </c>
      <c r="H3599" s="77"/>
      <c r="I3599" s="34"/>
      <c r="J3599" s="81" t="s">
        <v>12384</v>
      </c>
      <c r="K3599" s="0" t="s">
        <v>12385</v>
      </c>
    </row>
    <row r="3600" customFormat="false" ht="34.2" hidden="false" customHeight="false" outlineLevel="0" collapsed="false">
      <c r="A3600" s="74"/>
      <c r="B3600" s="74"/>
      <c r="C3600" s="74"/>
      <c r="D3600" s="57" t="s">
        <v>3792</v>
      </c>
      <c r="E3600" s="57" t="s">
        <v>3792</v>
      </c>
      <c r="F3600" s="57" t="s">
        <v>3792</v>
      </c>
      <c r="G3600" s="57" t="s">
        <v>12386</v>
      </c>
      <c r="H3600" s="77" t="s">
        <v>12387</v>
      </c>
      <c r="I3600" s="37" t="s">
        <v>50</v>
      </c>
      <c r="J3600" s="81" t="s">
        <v>12388</v>
      </c>
      <c r="K3600" s="0" t="s">
        <v>12389</v>
      </c>
    </row>
    <row r="3601" customFormat="false" ht="34.2" hidden="false" customHeight="false" outlineLevel="0" collapsed="false">
      <c r="A3601" s="74"/>
      <c r="B3601" s="74"/>
      <c r="C3601" s="74"/>
      <c r="D3601" s="57" t="s">
        <v>12390</v>
      </c>
      <c r="E3601" s="57" t="s">
        <v>12391</v>
      </c>
      <c r="F3601" s="57" t="s">
        <v>3806</v>
      </c>
      <c r="G3601" s="57" t="s">
        <v>12392</v>
      </c>
      <c r="H3601" s="77"/>
      <c r="I3601" s="37"/>
      <c r="J3601" s="81" t="s">
        <v>12393</v>
      </c>
      <c r="K3601" s="0" t="s">
        <v>12394</v>
      </c>
    </row>
    <row r="3602" customFormat="false" ht="34.2" hidden="false" customHeight="false" outlineLevel="0" collapsed="false">
      <c r="A3602" s="74"/>
      <c r="B3602" s="74"/>
      <c r="C3602" s="74"/>
      <c r="D3602" s="57" t="s">
        <v>3792</v>
      </c>
      <c r="E3602" s="57" t="s">
        <v>3792</v>
      </c>
      <c r="F3602" s="57" t="s">
        <v>3792</v>
      </c>
      <c r="G3602" s="57" t="s">
        <v>12395</v>
      </c>
      <c r="H3602" s="77" t="s">
        <v>12396</v>
      </c>
      <c r="I3602" s="34" t="s">
        <v>40</v>
      </c>
      <c r="J3602" s="81" t="s">
        <v>12397</v>
      </c>
      <c r="K3602" s="0" t="s">
        <v>12398</v>
      </c>
    </row>
    <row r="3603" customFormat="false" ht="34.2" hidden="false" customHeight="false" outlineLevel="0" collapsed="false">
      <c r="A3603" s="74"/>
      <c r="B3603" s="74"/>
      <c r="C3603" s="74"/>
      <c r="D3603" s="57" t="s">
        <v>12399</v>
      </c>
      <c r="E3603" s="57" t="s">
        <v>12400</v>
      </c>
      <c r="F3603" s="57" t="s">
        <v>3787</v>
      </c>
      <c r="G3603" s="57" t="s">
        <v>12401</v>
      </c>
      <c r="H3603" s="77"/>
      <c r="I3603" s="34"/>
      <c r="J3603" s="81" t="s">
        <v>12402</v>
      </c>
      <c r="K3603" s="0" t="s">
        <v>12403</v>
      </c>
    </row>
    <row r="3604" customFormat="false" ht="34.2" hidden="false" customHeight="false" outlineLevel="0" collapsed="false">
      <c r="A3604" s="74"/>
      <c r="B3604" s="74"/>
      <c r="C3604" s="74"/>
      <c r="D3604" s="57" t="s">
        <v>3792</v>
      </c>
      <c r="E3604" s="57" t="s">
        <v>3792</v>
      </c>
      <c r="F3604" s="57" t="s">
        <v>3792</v>
      </c>
      <c r="G3604" s="57" t="s">
        <v>12404</v>
      </c>
      <c r="H3604" s="77" t="s">
        <v>12405</v>
      </c>
      <c r="I3604" s="39" t="s">
        <v>67</v>
      </c>
      <c r="J3604" s="81" t="s">
        <v>12406</v>
      </c>
      <c r="K3604" s="0" t="s">
        <v>12407</v>
      </c>
    </row>
    <row r="3605" customFormat="false" ht="34.2" hidden="false" customHeight="false" outlineLevel="0" collapsed="false">
      <c r="A3605" s="74"/>
      <c r="B3605" s="74"/>
      <c r="C3605" s="74"/>
      <c r="D3605" s="57" t="s">
        <v>12024</v>
      </c>
      <c r="E3605" s="57" t="s">
        <v>12408</v>
      </c>
      <c r="F3605" s="57" t="s">
        <v>3797</v>
      </c>
      <c r="G3605" s="57" t="s">
        <v>12409</v>
      </c>
      <c r="H3605" s="77"/>
      <c r="I3605" s="39"/>
      <c r="J3605" s="81" t="s">
        <v>12410</v>
      </c>
      <c r="K3605" s="0" t="s">
        <v>12411</v>
      </c>
    </row>
    <row r="3606" customFormat="false" ht="34.2" hidden="false" customHeight="false" outlineLevel="0" collapsed="false">
      <c r="A3606" s="74"/>
      <c r="B3606" s="74"/>
      <c r="C3606" s="74"/>
      <c r="D3606" s="57" t="s">
        <v>3792</v>
      </c>
      <c r="E3606" s="57" t="s">
        <v>3792</v>
      </c>
      <c r="F3606" s="57" t="s">
        <v>3792</v>
      </c>
      <c r="G3606" s="57" t="s">
        <v>12412</v>
      </c>
      <c r="H3606" s="77" t="s">
        <v>12413</v>
      </c>
      <c r="I3606" s="34" t="s">
        <v>40</v>
      </c>
      <c r="J3606" s="81" t="s">
        <v>12414</v>
      </c>
      <c r="K3606" s="0" t="s">
        <v>12415</v>
      </c>
    </row>
    <row r="3607" customFormat="false" ht="45.05" hidden="false" customHeight="false" outlineLevel="0" collapsed="false">
      <c r="A3607" s="74"/>
      <c r="B3607" s="74"/>
      <c r="C3607" s="74"/>
      <c r="D3607" s="57" t="s">
        <v>12416</v>
      </c>
      <c r="E3607" s="57" t="s">
        <v>12417</v>
      </c>
      <c r="F3607" s="57" t="s">
        <v>3806</v>
      </c>
      <c r="G3607" s="57" t="s">
        <v>12418</v>
      </c>
      <c r="H3607" s="77"/>
      <c r="I3607" s="34"/>
      <c r="J3607" s="81" t="s">
        <v>12419</v>
      </c>
      <c r="K3607" s="0" t="s">
        <v>12420</v>
      </c>
    </row>
    <row r="3608" customFormat="false" ht="45.05" hidden="false" customHeight="false" outlineLevel="0" collapsed="false">
      <c r="A3608" s="74"/>
      <c r="B3608" s="74"/>
      <c r="C3608" s="74"/>
      <c r="D3608" s="0"/>
      <c r="E3608" s="57" t="s">
        <v>3792</v>
      </c>
      <c r="F3608" s="57" t="s">
        <v>3792</v>
      </c>
      <c r="G3608" s="57" t="s">
        <v>12421</v>
      </c>
      <c r="H3608" s="77" t="s">
        <v>12422</v>
      </c>
      <c r="I3608" s="34" t="s">
        <v>40</v>
      </c>
      <c r="J3608" s="81" t="s">
        <v>12423</v>
      </c>
      <c r="K3608" s="0" t="s">
        <v>12424</v>
      </c>
    </row>
    <row r="3609" customFormat="false" ht="34.2" hidden="false" customHeight="true" outlineLevel="0" collapsed="false">
      <c r="A3609" s="74"/>
      <c r="B3609" s="74"/>
      <c r="C3609" s="75" t="s">
        <v>12425</v>
      </c>
      <c r="D3609" s="57" t="s">
        <v>12426</v>
      </c>
      <c r="E3609" s="57" t="s">
        <v>12427</v>
      </c>
      <c r="F3609" s="57" t="s">
        <v>3797</v>
      </c>
      <c r="G3609" s="57" t="s">
        <v>12428</v>
      </c>
      <c r="H3609" s="77"/>
      <c r="I3609" s="34"/>
      <c r="J3609" s="81" t="s">
        <v>12429</v>
      </c>
      <c r="K3609" s="0" t="s">
        <v>11444</v>
      </c>
    </row>
    <row r="3610" customFormat="false" ht="34.2" hidden="false" customHeight="false" outlineLevel="0" collapsed="false">
      <c r="A3610" s="74"/>
      <c r="B3610" s="74"/>
      <c r="C3610" s="75"/>
      <c r="D3610" s="57" t="s">
        <v>3792</v>
      </c>
      <c r="E3610" s="57" t="s">
        <v>3792</v>
      </c>
      <c r="F3610" s="57" t="s">
        <v>3792</v>
      </c>
      <c r="G3610" s="57" t="s">
        <v>12430</v>
      </c>
      <c r="H3610" s="77" t="s">
        <v>12431</v>
      </c>
      <c r="I3610" s="37" t="s">
        <v>50</v>
      </c>
      <c r="J3610" s="81" t="s">
        <v>11029</v>
      </c>
      <c r="K3610" s="0" t="s">
        <v>12432</v>
      </c>
    </row>
    <row r="3611" customFormat="false" ht="34.2" hidden="false" customHeight="false" outlineLevel="0" collapsed="false">
      <c r="A3611" s="74"/>
      <c r="B3611" s="74"/>
      <c r="C3611" s="75"/>
      <c r="D3611" s="57" t="s">
        <v>12433</v>
      </c>
      <c r="E3611" s="57" t="s">
        <v>12434</v>
      </c>
      <c r="F3611" s="57" t="s">
        <v>3787</v>
      </c>
      <c r="G3611" s="57" t="s">
        <v>12435</v>
      </c>
      <c r="H3611" s="77"/>
      <c r="I3611" s="37"/>
      <c r="J3611" s="81" t="s">
        <v>12436</v>
      </c>
      <c r="K3611" s="0" t="s">
        <v>12437</v>
      </c>
    </row>
    <row r="3612" customFormat="false" ht="34.2" hidden="false" customHeight="false" outlineLevel="0" collapsed="false">
      <c r="A3612" s="74"/>
      <c r="B3612" s="74"/>
      <c r="C3612" s="75"/>
      <c r="D3612" s="57" t="s">
        <v>3792</v>
      </c>
      <c r="E3612" s="57" t="s">
        <v>3792</v>
      </c>
      <c r="F3612" s="57" t="s">
        <v>3792</v>
      </c>
      <c r="G3612" s="57" t="s">
        <v>12438</v>
      </c>
      <c r="H3612" s="77" t="s">
        <v>12439</v>
      </c>
      <c r="I3612" s="34" t="s">
        <v>40</v>
      </c>
      <c r="J3612" s="81" t="s">
        <v>12440</v>
      </c>
      <c r="K3612" s="0" t="s">
        <v>12441</v>
      </c>
    </row>
    <row r="3613" customFormat="false" ht="34.2" hidden="false" customHeight="false" outlineLevel="0" collapsed="false">
      <c r="A3613" s="74"/>
      <c r="B3613" s="74"/>
      <c r="C3613" s="75"/>
      <c r="D3613" s="57" t="s">
        <v>12442</v>
      </c>
      <c r="E3613" s="57" t="s">
        <v>12443</v>
      </c>
      <c r="F3613" s="57" t="s">
        <v>3806</v>
      </c>
      <c r="G3613" s="57" t="s">
        <v>12444</v>
      </c>
      <c r="H3613" s="77"/>
      <c r="I3613" s="34"/>
      <c r="J3613" s="81" t="s">
        <v>12445</v>
      </c>
      <c r="K3613" s="0" t="s">
        <v>12446</v>
      </c>
    </row>
    <row r="3614" customFormat="false" ht="45.05" hidden="false" customHeight="false" outlineLevel="0" collapsed="false">
      <c r="A3614" s="74"/>
      <c r="B3614" s="74"/>
      <c r="C3614" s="75"/>
      <c r="D3614" s="57" t="s">
        <v>3792</v>
      </c>
      <c r="E3614" s="57" t="s">
        <v>3792</v>
      </c>
      <c r="F3614" s="57" t="s">
        <v>3792</v>
      </c>
      <c r="G3614" s="57" t="s">
        <v>1077</v>
      </c>
      <c r="H3614" s="77" t="s">
        <v>12447</v>
      </c>
      <c r="I3614" s="39" t="s">
        <v>67</v>
      </c>
      <c r="J3614" s="81" t="s">
        <v>12448</v>
      </c>
      <c r="K3614" s="0" t="s">
        <v>12449</v>
      </c>
    </row>
    <row r="3615" customFormat="false" ht="34.2" hidden="false" customHeight="false" outlineLevel="0" collapsed="false">
      <c r="A3615" s="74"/>
      <c r="B3615" s="74"/>
      <c r="C3615" s="75"/>
      <c r="D3615" s="57" t="s">
        <v>12450</v>
      </c>
      <c r="E3615" s="57" t="s">
        <v>12451</v>
      </c>
      <c r="F3615" s="57" t="s">
        <v>3787</v>
      </c>
      <c r="G3615" s="57" t="s">
        <v>12452</v>
      </c>
      <c r="H3615" s="77"/>
      <c r="I3615" s="39"/>
      <c r="J3615" s="81" t="s">
        <v>12453</v>
      </c>
      <c r="K3615" s="0" t="s">
        <v>12454</v>
      </c>
    </row>
    <row r="3616" customFormat="false" ht="45.05" hidden="false" customHeight="false" outlineLevel="0" collapsed="false">
      <c r="A3616" s="74"/>
      <c r="B3616" s="74"/>
      <c r="C3616" s="75"/>
      <c r="D3616" s="57" t="s">
        <v>3792</v>
      </c>
      <c r="E3616" s="57" t="s">
        <v>3792</v>
      </c>
      <c r="F3616" s="57" t="s">
        <v>3792</v>
      </c>
      <c r="G3616" s="57" t="s">
        <v>12455</v>
      </c>
      <c r="H3616" s="77" t="s">
        <v>12456</v>
      </c>
      <c r="I3616" s="34" t="s">
        <v>40</v>
      </c>
      <c r="J3616" s="81" t="s">
        <v>12457</v>
      </c>
      <c r="K3616" s="0" t="s">
        <v>12458</v>
      </c>
    </row>
    <row r="3617" customFormat="false" ht="45.05" hidden="false" customHeight="false" outlineLevel="0" collapsed="false">
      <c r="A3617" s="74"/>
      <c r="B3617" s="74"/>
      <c r="C3617" s="75"/>
      <c r="D3617" s="57" t="s">
        <v>12459</v>
      </c>
      <c r="E3617" s="57" t="s">
        <v>12460</v>
      </c>
      <c r="F3617" s="57" t="s">
        <v>3797</v>
      </c>
      <c r="G3617" s="57" t="s">
        <v>12461</v>
      </c>
      <c r="H3617" s="77"/>
      <c r="I3617" s="34"/>
      <c r="J3617" s="81" t="s">
        <v>12462</v>
      </c>
      <c r="K3617" s="0" t="s">
        <v>12463</v>
      </c>
    </row>
    <row r="3618" customFormat="false" ht="21.75" hidden="false" customHeight="false" outlineLevel="0" collapsed="false">
      <c r="A3618" s="74"/>
      <c r="B3618" s="74"/>
      <c r="C3618" s="75"/>
      <c r="D3618" s="0"/>
      <c r="E3618" s="57" t="s">
        <v>3792</v>
      </c>
      <c r="F3618" s="57" t="s">
        <v>3792</v>
      </c>
      <c r="G3618" s="57" t="s">
        <v>12464</v>
      </c>
      <c r="H3618" s="77" t="s">
        <v>12465</v>
      </c>
      <c r="I3618" s="37" t="s">
        <v>50</v>
      </c>
      <c r="J3618" s="81" t="s">
        <v>12466</v>
      </c>
      <c r="K3618" s="0" t="s">
        <v>12467</v>
      </c>
    </row>
    <row r="3619" customFormat="false" ht="34.2" hidden="false" customHeight="true" outlineLevel="0" collapsed="false">
      <c r="A3619" s="74"/>
      <c r="B3619" s="74" t="s">
        <v>12468</v>
      </c>
      <c r="C3619" s="75" t="s">
        <v>12469</v>
      </c>
      <c r="D3619" s="57" t="s">
        <v>12470</v>
      </c>
      <c r="E3619" s="57" t="s">
        <v>12471</v>
      </c>
      <c r="F3619" s="57" t="s">
        <v>3806</v>
      </c>
      <c r="G3619" s="57" t="s">
        <v>12472</v>
      </c>
      <c r="H3619" s="77"/>
      <c r="I3619" s="37"/>
      <c r="J3619" s="81" t="s">
        <v>12473</v>
      </c>
      <c r="K3619" s="0" t="s">
        <v>12474</v>
      </c>
    </row>
    <row r="3620" customFormat="false" ht="21.75" hidden="false" customHeight="false" outlineLevel="0" collapsed="false">
      <c r="A3620" s="74"/>
      <c r="B3620" s="74"/>
      <c r="C3620" s="74"/>
      <c r="D3620" s="57" t="s">
        <v>3792</v>
      </c>
      <c r="E3620" s="57" t="s">
        <v>3792</v>
      </c>
      <c r="F3620" s="57" t="s">
        <v>3792</v>
      </c>
      <c r="G3620" s="57" t="s">
        <v>12475</v>
      </c>
      <c r="H3620" s="77" t="s">
        <v>12476</v>
      </c>
      <c r="I3620" s="34" t="s">
        <v>40</v>
      </c>
      <c r="J3620" s="81" t="s">
        <v>12477</v>
      </c>
      <c r="K3620" s="0" t="s">
        <v>12478</v>
      </c>
    </row>
    <row r="3621" customFormat="false" ht="34.2" hidden="false" customHeight="false" outlineLevel="0" collapsed="false">
      <c r="A3621" s="74"/>
      <c r="B3621" s="74"/>
      <c r="C3621" s="74"/>
      <c r="D3621" s="57" t="s">
        <v>12479</v>
      </c>
      <c r="E3621" s="57" t="s">
        <v>12480</v>
      </c>
      <c r="F3621" s="57" t="s">
        <v>3787</v>
      </c>
      <c r="G3621" s="57" t="s">
        <v>12481</v>
      </c>
      <c r="H3621" s="77"/>
      <c r="I3621" s="34"/>
      <c r="J3621" s="81" t="s">
        <v>12482</v>
      </c>
      <c r="K3621" s="0" t="s">
        <v>12483</v>
      </c>
    </row>
    <row r="3622" customFormat="false" ht="34.2" hidden="false" customHeight="false" outlineLevel="0" collapsed="false">
      <c r="A3622" s="74"/>
      <c r="B3622" s="74"/>
      <c r="C3622" s="74"/>
      <c r="D3622" s="57" t="s">
        <v>3792</v>
      </c>
      <c r="E3622" s="57" t="s">
        <v>3792</v>
      </c>
      <c r="F3622" s="57" t="s">
        <v>3792</v>
      </c>
      <c r="G3622" s="57" t="s">
        <v>12484</v>
      </c>
      <c r="H3622" s="77" t="s">
        <v>12485</v>
      </c>
      <c r="I3622" s="39" t="s">
        <v>67</v>
      </c>
      <c r="J3622" s="81" t="s">
        <v>12486</v>
      </c>
      <c r="K3622" s="0" t="s">
        <v>12487</v>
      </c>
    </row>
    <row r="3623" customFormat="false" ht="34.2" hidden="false" customHeight="false" outlineLevel="0" collapsed="false">
      <c r="A3623" s="74"/>
      <c r="B3623" s="74"/>
      <c r="C3623" s="74"/>
      <c r="D3623" s="57" t="s">
        <v>12355</v>
      </c>
      <c r="E3623" s="57" t="s">
        <v>12488</v>
      </c>
      <c r="F3623" s="57" t="s">
        <v>3806</v>
      </c>
      <c r="G3623" s="57" t="s">
        <v>12489</v>
      </c>
      <c r="H3623" s="77"/>
      <c r="I3623" s="39"/>
      <c r="J3623" s="81" t="s">
        <v>12490</v>
      </c>
      <c r="K3623" s="0" t="s">
        <v>12491</v>
      </c>
    </row>
    <row r="3624" customFormat="false" ht="34.2" hidden="false" customHeight="false" outlineLevel="0" collapsed="false">
      <c r="A3624" s="74"/>
      <c r="B3624" s="74"/>
      <c r="C3624" s="74"/>
      <c r="D3624" s="57" t="s">
        <v>3792</v>
      </c>
      <c r="E3624" s="57" t="s">
        <v>3792</v>
      </c>
      <c r="F3624" s="57" t="s">
        <v>3792</v>
      </c>
      <c r="G3624" s="57" t="s">
        <v>12492</v>
      </c>
      <c r="H3624" s="77" t="s">
        <v>12493</v>
      </c>
      <c r="I3624" s="34" t="s">
        <v>40</v>
      </c>
      <c r="J3624" s="81" t="s">
        <v>11168</v>
      </c>
      <c r="K3624" s="0" t="s">
        <v>12494</v>
      </c>
    </row>
    <row r="3625" customFormat="false" ht="34.2" hidden="false" customHeight="false" outlineLevel="0" collapsed="false">
      <c r="A3625" s="74"/>
      <c r="B3625" s="74"/>
      <c r="C3625" s="74"/>
      <c r="D3625" s="57" t="s">
        <v>12495</v>
      </c>
      <c r="E3625" s="57" t="s">
        <v>12496</v>
      </c>
      <c r="F3625" s="57" t="s">
        <v>3797</v>
      </c>
      <c r="G3625" s="57" t="s">
        <v>12497</v>
      </c>
      <c r="H3625" s="77"/>
      <c r="I3625" s="34"/>
      <c r="J3625" s="81" t="s">
        <v>11660</v>
      </c>
      <c r="K3625" s="0" t="s">
        <v>12498</v>
      </c>
    </row>
    <row r="3626" customFormat="false" ht="34.2" hidden="false" customHeight="false" outlineLevel="0" collapsed="false">
      <c r="A3626" s="74"/>
      <c r="B3626" s="74"/>
      <c r="C3626" s="74"/>
      <c r="D3626" s="57" t="s">
        <v>3792</v>
      </c>
      <c r="E3626" s="57" t="s">
        <v>3792</v>
      </c>
      <c r="F3626" s="57" t="s">
        <v>3792</v>
      </c>
      <c r="G3626" s="57" t="s">
        <v>12499</v>
      </c>
      <c r="H3626" s="77" t="s">
        <v>12500</v>
      </c>
      <c r="I3626" s="37" t="s">
        <v>50</v>
      </c>
      <c r="J3626" s="81" t="s">
        <v>12501</v>
      </c>
      <c r="K3626" s="0" t="s">
        <v>12502</v>
      </c>
    </row>
    <row r="3627" customFormat="false" ht="34.2" hidden="false" customHeight="false" outlineLevel="0" collapsed="false">
      <c r="A3627" s="74"/>
      <c r="B3627" s="74"/>
      <c r="C3627" s="74"/>
      <c r="D3627" s="57" t="s">
        <v>12503</v>
      </c>
      <c r="E3627" s="57" t="s">
        <v>12504</v>
      </c>
      <c r="F3627" s="57" t="s">
        <v>3787</v>
      </c>
      <c r="G3627" s="57" t="s">
        <v>12505</v>
      </c>
      <c r="H3627" s="77"/>
      <c r="I3627" s="37"/>
      <c r="J3627" s="81" t="s">
        <v>12506</v>
      </c>
      <c r="K3627" s="0" t="s">
        <v>12507</v>
      </c>
    </row>
    <row r="3628" customFormat="false" ht="34.2" hidden="false" customHeight="false" outlineLevel="0" collapsed="false">
      <c r="A3628" s="74"/>
      <c r="B3628" s="74"/>
      <c r="C3628" s="74"/>
      <c r="D3628" s="0"/>
      <c r="E3628" s="57" t="s">
        <v>3792</v>
      </c>
      <c r="F3628" s="57" t="s">
        <v>3792</v>
      </c>
      <c r="G3628" s="57" t="s">
        <v>12508</v>
      </c>
      <c r="H3628" s="77" t="s">
        <v>12509</v>
      </c>
      <c r="I3628" s="34" t="s">
        <v>40</v>
      </c>
      <c r="J3628" s="81" t="s">
        <v>12510</v>
      </c>
      <c r="K3628" s="0" t="s">
        <v>12511</v>
      </c>
    </row>
    <row r="3629" customFormat="false" ht="34.2" hidden="false" customHeight="false" outlineLevel="0" collapsed="false">
      <c r="A3629" s="74"/>
      <c r="B3629" s="74"/>
      <c r="C3629" s="74" t="s">
        <v>12512</v>
      </c>
      <c r="D3629" s="57" t="s">
        <v>12513</v>
      </c>
      <c r="E3629" s="57" t="s">
        <v>12514</v>
      </c>
      <c r="F3629" s="57" t="s">
        <v>3797</v>
      </c>
      <c r="G3629" s="57" t="s">
        <v>12515</v>
      </c>
      <c r="H3629" s="77"/>
      <c r="I3629" s="34"/>
      <c r="J3629" s="81" t="s">
        <v>12516</v>
      </c>
      <c r="K3629" s="0" t="s">
        <v>12517</v>
      </c>
    </row>
    <row r="3630" customFormat="false" ht="34.2" hidden="false" customHeight="false" outlineLevel="0" collapsed="false">
      <c r="A3630" s="74"/>
      <c r="B3630" s="74"/>
      <c r="C3630" s="74"/>
      <c r="D3630" s="57" t="s">
        <v>3792</v>
      </c>
      <c r="E3630" s="57" t="s">
        <v>3792</v>
      </c>
      <c r="F3630" s="57" t="s">
        <v>3792</v>
      </c>
      <c r="G3630" s="57" t="s">
        <v>12518</v>
      </c>
      <c r="H3630" s="77" t="s">
        <v>12519</v>
      </c>
      <c r="I3630" s="39" t="s">
        <v>67</v>
      </c>
      <c r="J3630" s="81" t="s">
        <v>12520</v>
      </c>
      <c r="K3630" s="0" t="s">
        <v>12521</v>
      </c>
    </row>
    <row r="3631" customFormat="false" ht="34.2" hidden="false" customHeight="false" outlineLevel="0" collapsed="false">
      <c r="A3631" s="74"/>
      <c r="B3631" s="74"/>
      <c r="C3631" s="74"/>
      <c r="D3631" s="57" t="s">
        <v>12522</v>
      </c>
      <c r="E3631" s="57" t="s">
        <v>12523</v>
      </c>
      <c r="F3631" s="57" t="s">
        <v>3806</v>
      </c>
      <c r="G3631" s="57" t="s">
        <v>12524</v>
      </c>
      <c r="H3631" s="77" t="s">
        <v>12525</v>
      </c>
      <c r="I3631" s="39"/>
      <c r="J3631" s="81" t="s">
        <v>12526</v>
      </c>
      <c r="K3631" s="0" t="s">
        <v>12527</v>
      </c>
    </row>
    <row r="3632" customFormat="false" ht="34.2" hidden="false" customHeight="false" outlineLevel="0" collapsed="false">
      <c r="A3632" s="74"/>
      <c r="B3632" s="74"/>
      <c r="C3632" s="74"/>
      <c r="D3632" s="57" t="s">
        <v>3792</v>
      </c>
      <c r="E3632" s="57" t="s">
        <v>3792</v>
      </c>
      <c r="F3632" s="57" t="s">
        <v>3792</v>
      </c>
      <c r="G3632" s="57" t="s">
        <v>12368</v>
      </c>
      <c r="H3632" s="77" t="s">
        <v>12528</v>
      </c>
      <c r="I3632" s="34" t="s">
        <v>40</v>
      </c>
      <c r="J3632" s="81" t="s">
        <v>12529</v>
      </c>
      <c r="K3632" s="0" t="s">
        <v>12530</v>
      </c>
    </row>
    <row r="3633" customFormat="false" ht="45.05" hidden="false" customHeight="false" outlineLevel="0" collapsed="false">
      <c r="A3633" s="74"/>
      <c r="B3633" s="74"/>
      <c r="C3633" s="74"/>
      <c r="D3633" s="57" t="s">
        <v>12531</v>
      </c>
      <c r="E3633" s="57" t="s">
        <v>12532</v>
      </c>
      <c r="F3633" s="57" t="s">
        <v>3797</v>
      </c>
      <c r="G3633" s="57" t="s">
        <v>12533</v>
      </c>
      <c r="H3633" s="77"/>
      <c r="I3633" s="34"/>
      <c r="J3633" s="81" t="s">
        <v>12534</v>
      </c>
      <c r="K3633" s="0" t="s">
        <v>12535</v>
      </c>
    </row>
    <row r="3634" customFormat="false" ht="34.2" hidden="false" customHeight="false" outlineLevel="0" collapsed="false">
      <c r="A3634" s="74"/>
      <c r="B3634" s="74"/>
      <c r="C3634" s="74"/>
      <c r="D3634" s="57" t="s">
        <v>3792</v>
      </c>
      <c r="E3634" s="57" t="s">
        <v>3792</v>
      </c>
      <c r="F3634" s="57" t="s">
        <v>3792</v>
      </c>
      <c r="G3634" s="57" t="s">
        <v>12536</v>
      </c>
      <c r="H3634" s="77" t="s">
        <v>12537</v>
      </c>
      <c r="I3634" s="37" t="s">
        <v>50</v>
      </c>
      <c r="J3634" s="81" t="s">
        <v>11236</v>
      </c>
      <c r="K3634" s="0" t="s">
        <v>12538</v>
      </c>
    </row>
    <row r="3635" customFormat="false" ht="34.2" hidden="false" customHeight="false" outlineLevel="0" collapsed="false">
      <c r="A3635" s="74"/>
      <c r="B3635" s="74"/>
      <c r="C3635" s="74"/>
      <c r="D3635" s="57" t="s">
        <v>12539</v>
      </c>
      <c r="E3635" s="57" t="s">
        <v>12540</v>
      </c>
      <c r="F3635" s="57" t="s">
        <v>3787</v>
      </c>
      <c r="G3635" s="57" t="s">
        <v>12541</v>
      </c>
      <c r="H3635" s="77"/>
      <c r="I3635" s="37"/>
      <c r="J3635" s="81" t="s">
        <v>11114</v>
      </c>
      <c r="K3635" s="0" t="s">
        <v>12247</v>
      </c>
    </row>
    <row r="3636" customFormat="false" ht="34.2" hidden="false" customHeight="false" outlineLevel="0" collapsed="false">
      <c r="A3636" s="74"/>
      <c r="B3636" s="74"/>
      <c r="C3636" s="74"/>
      <c r="D3636" s="57" t="s">
        <v>3792</v>
      </c>
      <c r="E3636" s="57" t="s">
        <v>3792</v>
      </c>
      <c r="F3636" s="57" t="s">
        <v>3792</v>
      </c>
      <c r="G3636" s="57" t="s">
        <v>12542</v>
      </c>
      <c r="H3636" s="77" t="s">
        <v>12543</v>
      </c>
      <c r="I3636" s="34" t="s">
        <v>40</v>
      </c>
      <c r="J3636" s="81" t="s">
        <v>12544</v>
      </c>
      <c r="K3636" s="0" t="s">
        <v>12545</v>
      </c>
    </row>
    <row r="3637" customFormat="false" ht="45.05" hidden="false" customHeight="false" outlineLevel="0" collapsed="false">
      <c r="A3637" s="74"/>
      <c r="B3637" s="74"/>
      <c r="C3637" s="74"/>
      <c r="D3637" s="57" t="s">
        <v>12546</v>
      </c>
      <c r="E3637" s="57" t="s">
        <v>12547</v>
      </c>
      <c r="F3637" s="57" t="s">
        <v>3806</v>
      </c>
      <c r="G3637" s="57" t="s">
        <v>12548</v>
      </c>
      <c r="H3637" s="77"/>
      <c r="I3637" s="34"/>
      <c r="J3637" s="81" t="s">
        <v>11212</v>
      </c>
      <c r="K3637" s="0" t="s">
        <v>12549</v>
      </c>
    </row>
    <row r="3638" customFormat="false" ht="34.2" hidden="false" customHeight="false" outlineLevel="0" collapsed="false">
      <c r="A3638" s="74"/>
      <c r="B3638" s="74"/>
      <c r="C3638" s="74"/>
      <c r="D3638" s="0"/>
      <c r="E3638" s="57" t="s">
        <v>3792</v>
      </c>
      <c r="F3638" s="57" t="s">
        <v>3792</v>
      </c>
      <c r="G3638" s="57" t="s">
        <v>494</v>
      </c>
      <c r="H3638" s="77" t="s">
        <v>12550</v>
      </c>
      <c r="I3638" s="39" t="s">
        <v>67</v>
      </c>
      <c r="J3638" s="81" t="s">
        <v>12551</v>
      </c>
      <c r="K3638" s="0" t="s">
        <v>11638</v>
      </c>
    </row>
    <row r="3639" customFormat="false" ht="45.05" hidden="false" customHeight="true" outlineLevel="0" collapsed="false">
      <c r="A3639" s="74"/>
      <c r="B3639" s="74"/>
      <c r="C3639" s="75" t="s">
        <v>12552</v>
      </c>
      <c r="D3639" s="57" t="s">
        <v>12553</v>
      </c>
      <c r="E3639" s="57" t="s">
        <v>12554</v>
      </c>
      <c r="F3639" s="57" t="s">
        <v>3787</v>
      </c>
      <c r="G3639" s="57" t="s">
        <v>12555</v>
      </c>
      <c r="H3639" s="77" t="s">
        <v>12556</v>
      </c>
      <c r="I3639" s="39"/>
      <c r="J3639" s="81" t="s">
        <v>11013</v>
      </c>
      <c r="K3639" s="0" t="s">
        <v>12557</v>
      </c>
    </row>
    <row r="3640" customFormat="false" ht="45.05" hidden="false" customHeight="false" outlineLevel="0" collapsed="false">
      <c r="A3640" s="74"/>
      <c r="B3640" s="74"/>
      <c r="C3640" s="74"/>
      <c r="D3640" s="57" t="s">
        <v>3792</v>
      </c>
      <c r="E3640" s="57" t="s">
        <v>3792</v>
      </c>
      <c r="F3640" s="57" t="s">
        <v>3792</v>
      </c>
      <c r="G3640" s="57" t="s">
        <v>12558</v>
      </c>
      <c r="H3640" s="77" t="s">
        <v>12559</v>
      </c>
      <c r="I3640" s="34" t="s">
        <v>40</v>
      </c>
      <c r="J3640" s="81" t="s">
        <v>12560</v>
      </c>
      <c r="K3640" s="0" t="s">
        <v>12561</v>
      </c>
    </row>
    <row r="3641" customFormat="false" ht="45.05" hidden="false" customHeight="false" outlineLevel="0" collapsed="false">
      <c r="A3641" s="74"/>
      <c r="B3641" s="74"/>
      <c r="C3641" s="74"/>
      <c r="D3641" s="57" t="s">
        <v>12562</v>
      </c>
      <c r="E3641" s="57" t="s">
        <v>12563</v>
      </c>
      <c r="F3641" s="57" t="s">
        <v>3797</v>
      </c>
      <c r="G3641" s="57" t="s">
        <v>12564</v>
      </c>
      <c r="H3641" s="77"/>
      <c r="I3641" s="34"/>
      <c r="J3641" s="81" t="s">
        <v>11285</v>
      </c>
      <c r="K3641" s="0" t="s">
        <v>12565</v>
      </c>
    </row>
    <row r="3642" customFormat="false" ht="34.2" hidden="false" customHeight="false" outlineLevel="0" collapsed="false">
      <c r="A3642" s="74"/>
      <c r="B3642" s="74"/>
      <c r="C3642" s="74"/>
      <c r="D3642" s="57" t="s">
        <v>3792</v>
      </c>
      <c r="E3642" s="57" t="s">
        <v>3792</v>
      </c>
      <c r="F3642" s="57" t="s">
        <v>3792</v>
      </c>
      <c r="G3642" s="57" t="s">
        <v>12566</v>
      </c>
      <c r="H3642" s="77" t="s">
        <v>12567</v>
      </c>
      <c r="I3642" s="37" t="s">
        <v>50</v>
      </c>
      <c r="J3642" s="81" t="s">
        <v>12568</v>
      </c>
      <c r="K3642" s="0" t="s">
        <v>12569</v>
      </c>
    </row>
    <row r="3643" customFormat="false" ht="34.2" hidden="false" customHeight="false" outlineLevel="0" collapsed="false">
      <c r="A3643" s="74"/>
      <c r="B3643" s="74"/>
      <c r="C3643" s="74"/>
      <c r="D3643" s="57" t="s">
        <v>12570</v>
      </c>
      <c r="E3643" s="57" t="s">
        <v>12571</v>
      </c>
      <c r="F3643" s="57" t="s">
        <v>3806</v>
      </c>
      <c r="G3643" s="57" t="s">
        <v>12572</v>
      </c>
      <c r="H3643" s="77" t="s">
        <v>12556</v>
      </c>
      <c r="I3643" s="37"/>
      <c r="J3643" s="81" t="s">
        <v>12573</v>
      </c>
      <c r="K3643" s="0" t="s">
        <v>12574</v>
      </c>
    </row>
    <row r="3644" customFormat="false" ht="45.05" hidden="false" customHeight="false" outlineLevel="0" collapsed="false">
      <c r="A3644" s="74"/>
      <c r="B3644" s="74"/>
      <c r="C3644" s="74"/>
      <c r="D3644" s="57" t="s">
        <v>3792</v>
      </c>
      <c r="E3644" s="57" t="s">
        <v>3792</v>
      </c>
      <c r="F3644" s="57" t="s">
        <v>3792</v>
      </c>
      <c r="G3644" s="57" t="s">
        <v>12575</v>
      </c>
      <c r="H3644" s="77" t="s">
        <v>12576</v>
      </c>
      <c r="I3644" s="34" t="s">
        <v>40</v>
      </c>
      <c r="J3644" s="81" t="s">
        <v>11714</v>
      </c>
      <c r="K3644" s="0" t="s">
        <v>12577</v>
      </c>
    </row>
    <row r="3645" customFormat="false" ht="34.2" hidden="false" customHeight="false" outlineLevel="0" collapsed="false">
      <c r="A3645" s="74"/>
      <c r="B3645" s="74"/>
      <c r="C3645" s="74"/>
      <c r="D3645" s="57" t="s">
        <v>12578</v>
      </c>
      <c r="E3645" s="57" t="s">
        <v>12579</v>
      </c>
      <c r="F3645" s="57" t="s">
        <v>3787</v>
      </c>
      <c r="G3645" s="57" t="s">
        <v>12580</v>
      </c>
      <c r="H3645" s="77" t="s">
        <v>12556</v>
      </c>
      <c r="I3645" s="34"/>
      <c r="J3645" s="81" t="s">
        <v>12581</v>
      </c>
      <c r="K3645" s="0" t="s">
        <v>11362</v>
      </c>
    </row>
    <row r="3646" customFormat="false" ht="34.2" hidden="false" customHeight="false" outlineLevel="0" collapsed="false">
      <c r="A3646" s="74"/>
      <c r="B3646" s="74"/>
      <c r="C3646" s="74"/>
      <c r="D3646" s="57" t="s">
        <v>3792</v>
      </c>
      <c r="E3646" s="57" t="s">
        <v>3792</v>
      </c>
      <c r="F3646" s="57" t="s">
        <v>3792</v>
      </c>
      <c r="G3646" s="57" t="s">
        <v>12582</v>
      </c>
      <c r="H3646" s="77" t="s">
        <v>12583</v>
      </c>
      <c r="I3646" s="39" t="s">
        <v>67</v>
      </c>
      <c r="J3646" s="81" t="s">
        <v>12584</v>
      </c>
      <c r="K3646" s="0" t="s">
        <v>12585</v>
      </c>
    </row>
    <row r="3647" customFormat="false" ht="45.05" hidden="false" customHeight="false" outlineLevel="0" collapsed="false">
      <c r="A3647" s="74"/>
      <c r="B3647" s="74"/>
      <c r="C3647" s="74"/>
      <c r="D3647" s="57" t="s">
        <v>12586</v>
      </c>
      <c r="E3647" s="57" t="s">
        <v>12587</v>
      </c>
      <c r="F3647" s="57" t="s">
        <v>3797</v>
      </c>
      <c r="G3647" s="57" t="s">
        <v>12588</v>
      </c>
      <c r="H3647" s="77" t="s">
        <v>12556</v>
      </c>
      <c r="I3647" s="39"/>
      <c r="J3647" s="81" t="s">
        <v>12589</v>
      </c>
      <c r="K3647" s="0" t="s">
        <v>12590</v>
      </c>
    </row>
    <row r="3648" customFormat="false" ht="34.2" hidden="false" customHeight="false" outlineLevel="0" collapsed="false">
      <c r="A3648" s="74"/>
      <c r="B3648" s="74"/>
      <c r="C3648" s="74"/>
      <c r="D3648" s="0"/>
      <c r="E3648" s="57" t="s">
        <v>3792</v>
      </c>
      <c r="F3648" s="57" t="s">
        <v>3792</v>
      </c>
      <c r="G3648" s="57" t="s">
        <v>12591</v>
      </c>
      <c r="H3648" s="77" t="s">
        <v>12592</v>
      </c>
      <c r="I3648" s="34" t="s">
        <v>40</v>
      </c>
      <c r="J3648" s="81" t="s">
        <v>11361</v>
      </c>
      <c r="K3648" s="0" t="s">
        <v>12593</v>
      </c>
    </row>
    <row r="3649" customFormat="false" ht="55.95" hidden="false" customHeight="false" outlineLevel="0" collapsed="false">
      <c r="A3649" s="74"/>
      <c r="B3649" s="74"/>
      <c r="C3649" s="74" t="s">
        <v>12594</v>
      </c>
      <c r="D3649" s="57" t="s">
        <v>12595</v>
      </c>
      <c r="E3649" s="57" t="s">
        <v>12596</v>
      </c>
      <c r="F3649" s="57" t="s">
        <v>3806</v>
      </c>
      <c r="G3649" s="57" t="s">
        <v>12597</v>
      </c>
      <c r="H3649" s="77"/>
      <c r="I3649" s="34"/>
      <c r="J3649" s="81" t="s">
        <v>11348</v>
      </c>
      <c r="K3649" s="0" t="s">
        <v>12239</v>
      </c>
    </row>
    <row r="3650" customFormat="false" ht="34.2" hidden="false" customHeight="false" outlineLevel="0" collapsed="false">
      <c r="A3650" s="74"/>
      <c r="B3650" s="74"/>
      <c r="C3650" s="74"/>
      <c r="D3650" s="57" t="s">
        <v>3792</v>
      </c>
      <c r="E3650" s="57" t="s">
        <v>3792</v>
      </c>
      <c r="F3650" s="57" t="s">
        <v>3792</v>
      </c>
      <c r="G3650" s="57" t="s">
        <v>12598</v>
      </c>
      <c r="H3650" s="77" t="s">
        <v>12599</v>
      </c>
      <c r="I3650" s="37" t="s">
        <v>50</v>
      </c>
      <c r="J3650" s="81" t="s">
        <v>12600</v>
      </c>
      <c r="K3650" s="0" t="s">
        <v>11768</v>
      </c>
    </row>
    <row r="3651" customFormat="false" ht="45.05" hidden="false" customHeight="false" outlineLevel="0" collapsed="false">
      <c r="A3651" s="74"/>
      <c r="B3651" s="74"/>
      <c r="C3651" s="74"/>
      <c r="D3651" s="57" t="s">
        <v>12601</v>
      </c>
      <c r="E3651" s="57" t="s">
        <v>12602</v>
      </c>
      <c r="F3651" s="57" t="s">
        <v>3797</v>
      </c>
      <c r="G3651" s="57" t="s">
        <v>12603</v>
      </c>
      <c r="H3651" s="77"/>
      <c r="I3651" s="37"/>
      <c r="J3651" s="81" t="s">
        <v>11331</v>
      </c>
      <c r="K3651" s="0" t="s">
        <v>12604</v>
      </c>
    </row>
    <row r="3652" customFormat="false" ht="34.2" hidden="false" customHeight="false" outlineLevel="0" collapsed="false">
      <c r="A3652" s="74"/>
      <c r="B3652" s="74"/>
      <c r="C3652" s="74"/>
      <c r="D3652" s="57" t="s">
        <v>3792</v>
      </c>
      <c r="E3652" s="57" t="s">
        <v>3792</v>
      </c>
      <c r="F3652" s="57" t="s">
        <v>3792</v>
      </c>
      <c r="G3652" s="57" t="s">
        <v>12605</v>
      </c>
      <c r="H3652" s="77" t="s">
        <v>12606</v>
      </c>
      <c r="I3652" s="34" t="s">
        <v>40</v>
      </c>
      <c r="J3652" s="81" t="s">
        <v>10854</v>
      </c>
      <c r="K3652" s="0" t="s">
        <v>12607</v>
      </c>
    </row>
    <row r="3653" customFormat="false" ht="21.75" hidden="false" customHeight="false" outlineLevel="0" collapsed="false">
      <c r="A3653" s="74"/>
      <c r="B3653" s="74"/>
      <c r="C3653" s="74"/>
      <c r="D3653" s="57" t="s">
        <v>12608</v>
      </c>
      <c r="E3653" s="57" t="s">
        <v>12609</v>
      </c>
      <c r="F3653" s="57" t="s">
        <v>3787</v>
      </c>
      <c r="G3653" s="57" t="s">
        <v>12610</v>
      </c>
      <c r="H3653" s="77"/>
      <c r="I3653" s="34"/>
      <c r="J3653" s="81" t="s">
        <v>11019</v>
      </c>
      <c r="K3653" s="0" t="s">
        <v>12611</v>
      </c>
    </row>
    <row r="3654" customFormat="false" ht="45.05" hidden="false" customHeight="false" outlineLevel="0" collapsed="false">
      <c r="A3654" s="74"/>
      <c r="B3654" s="74"/>
      <c r="C3654" s="74"/>
      <c r="D3654" s="57" t="s">
        <v>3792</v>
      </c>
      <c r="E3654" s="57" t="s">
        <v>3792</v>
      </c>
      <c r="F3654" s="57" t="s">
        <v>3792</v>
      </c>
      <c r="G3654" s="57" t="s">
        <v>12612</v>
      </c>
      <c r="H3654" s="77" t="s">
        <v>12613</v>
      </c>
      <c r="I3654" s="39" t="s">
        <v>67</v>
      </c>
      <c r="J3654" s="81" t="s">
        <v>12614</v>
      </c>
      <c r="K3654" s="0" t="s">
        <v>11811</v>
      </c>
    </row>
    <row r="3655" customFormat="false" ht="34.2" hidden="false" customHeight="false" outlineLevel="0" collapsed="false">
      <c r="A3655" s="74"/>
      <c r="B3655" s="74"/>
      <c r="C3655" s="74"/>
      <c r="D3655" s="57" t="s">
        <v>12615</v>
      </c>
      <c r="E3655" s="57" t="s">
        <v>12616</v>
      </c>
      <c r="F3655" s="57" t="s">
        <v>3806</v>
      </c>
      <c r="G3655" s="57" t="s">
        <v>12617</v>
      </c>
      <c r="H3655" s="77"/>
      <c r="I3655" s="39"/>
      <c r="J3655" s="81" t="s">
        <v>12618</v>
      </c>
      <c r="K3655" s="0" t="s">
        <v>12619</v>
      </c>
    </row>
    <row r="3656" customFormat="false" ht="45.05" hidden="false" customHeight="false" outlineLevel="0" collapsed="false">
      <c r="A3656" s="74"/>
      <c r="B3656" s="74"/>
      <c r="C3656" s="74"/>
      <c r="D3656" s="57" t="s">
        <v>3792</v>
      </c>
      <c r="E3656" s="57" t="s">
        <v>3792</v>
      </c>
      <c r="F3656" s="57" t="s">
        <v>3792</v>
      </c>
      <c r="G3656" s="57" t="s">
        <v>12620</v>
      </c>
      <c r="H3656" s="77" t="s">
        <v>12621</v>
      </c>
      <c r="I3656" s="34" t="s">
        <v>40</v>
      </c>
      <c r="J3656" s="81" t="s">
        <v>12622</v>
      </c>
      <c r="K3656" s="0" t="s">
        <v>12623</v>
      </c>
    </row>
    <row r="3657" customFormat="false" ht="45.05" hidden="false" customHeight="false" outlineLevel="0" collapsed="false">
      <c r="A3657" s="74"/>
      <c r="B3657" s="74"/>
      <c r="C3657" s="74"/>
      <c r="D3657" s="57" t="s">
        <v>12624</v>
      </c>
      <c r="E3657" s="57" t="s">
        <v>12625</v>
      </c>
      <c r="F3657" s="57" t="s">
        <v>3787</v>
      </c>
      <c r="G3657" s="57" t="s">
        <v>12626</v>
      </c>
      <c r="H3657" s="77" t="s">
        <v>12525</v>
      </c>
      <c r="I3657" s="34"/>
      <c r="J3657" s="81" t="s">
        <v>12627</v>
      </c>
      <c r="K3657" s="0" t="s">
        <v>12628</v>
      </c>
    </row>
    <row r="3658" customFormat="false" ht="34.2" hidden="false" customHeight="false" outlineLevel="0" collapsed="false">
      <c r="A3658" s="74"/>
      <c r="B3658" s="74"/>
      <c r="C3658" s="74"/>
      <c r="D3658" s="0"/>
      <c r="E3658" s="57" t="s">
        <v>3792</v>
      </c>
      <c r="F3658" s="57" t="s">
        <v>3792</v>
      </c>
      <c r="G3658" s="57" t="s">
        <v>12629</v>
      </c>
      <c r="H3658" s="77" t="s">
        <v>12630</v>
      </c>
      <c r="I3658" s="37" t="s">
        <v>50</v>
      </c>
      <c r="J3658" s="81" t="s">
        <v>12631</v>
      </c>
      <c r="K3658" s="0" t="s">
        <v>12632</v>
      </c>
    </row>
    <row r="3659" customFormat="false" ht="34.2" hidden="false" customHeight="true" outlineLevel="0" collapsed="false">
      <c r="A3659" s="74"/>
      <c r="B3659" s="74"/>
      <c r="C3659" s="75" t="s">
        <v>12633</v>
      </c>
      <c r="D3659" s="57" t="s">
        <v>12634</v>
      </c>
      <c r="E3659" s="57" t="s">
        <v>12635</v>
      </c>
      <c r="F3659" s="57" t="s">
        <v>3806</v>
      </c>
      <c r="G3659" s="57" t="s">
        <v>12636</v>
      </c>
      <c r="H3659" s="77" t="s">
        <v>12556</v>
      </c>
      <c r="I3659" s="37"/>
      <c r="J3659" s="81" t="s">
        <v>11751</v>
      </c>
      <c r="K3659" s="0" t="s">
        <v>12637</v>
      </c>
    </row>
    <row r="3660" customFormat="false" ht="55.95" hidden="false" customHeight="false" outlineLevel="0" collapsed="false">
      <c r="A3660" s="74"/>
      <c r="B3660" s="74"/>
      <c r="C3660" s="74"/>
      <c r="D3660" s="57" t="s">
        <v>3792</v>
      </c>
      <c r="E3660" s="57" t="s">
        <v>3792</v>
      </c>
      <c r="F3660" s="57" t="s">
        <v>3792</v>
      </c>
      <c r="G3660" s="57" t="s">
        <v>12638</v>
      </c>
      <c r="H3660" s="77" t="s">
        <v>12639</v>
      </c>
      <c r="I3660" s="34" t="s">
        <v>40</v>
      </c>
      <c r="J3660" s="81" t="s">
        <v>11032</v>
      </c>
      <c r="K3660" s="0" t="s">
        <v>12640</v>
      </c>
    </row>
    <row r="3661" customFormat="false" ht="34.2" hidden="false" customHeight="false" outlineLevel="0" collapsed="false">
      <c r="A3661" s="74"/>
      <c r="B3661" s="74"/>
      <c r="C3661" s="74"/>
      <c r="D3661" s="57" t="s">
        <v>12641</v>
      </c>
      <c r="E3661" s="57" t="s">
        <v>12642</v>
      </c>
      <c r="F3661" s="57" t="s">
        <v>3797</v>
      </c>
      <c r="G3661" s="57" t="s">
        <v>12643</v>
      </c>
      <c r="H3661" s="77" t="s">
        <v>12525</v>
      </c>
      <c r="I3661" s="34"/>
      <c r="J3661" s="81" t="s">
        <v>12644</v>
      </c>
      <c r="K3661" s="0" t="s">
        <v>12645</v>
      </c>
    </row>
    <row r="3662" customFormat="false" ht="34.2" hidden="false" customHeight="false" outlineLevel="0" collapsed="false">
      <c r="A3662" s="74"/>
      <c r="B3662" s="74"/>
      <c r="C3662" s="74"/>
      <c r="D3662" s="57" t="s">
        <v>3792</v>
      </c>
      <c r="E3662" s="57" t="s">
        <v>3792</v>
      </c>
      <c r="F3662" s="57" t="s">
        <v>3792</v>
      </c>
      <c r="G3662" s="57" t="s">
        <v>12646</v>
      </c>
      <c r="H3662" s="77" t="s">
        <v>12647</v>
      </c>
      <c r="I3662" s="39" t="s">
        <v>67</v>
      </c>
      <c r="J3662" s="81" t="s">
        <v>12648</v>
      </c>
      <c r="K3662" s="0" t="s">
        <v>12649</v>
      </c>
    </row>
    <row r="3663" customFormat="false" ht="34.2" hidden="false" customHeight="false" outlineLevel="0" collapsed="false">
      <c r="A3663" s="74"/>
      <c r="B3663" s="74"/>
      <c r="C3663" s="74"/>
      <c r="D3663" s="57" t="s">
        <v>12650</v>
      </c>
      <c r="E3663" s="57" t="s">
        <v>12651</v>
      </c>
      <c r="F3663" s="57" t="s">
        <v>3787</v>
      </c>
      <c r="G3663" s="57" t="s">
        <v>12652</v>
      </c>
      <c r="H3663" s="77"/>
      <c r="I3663" s="39"/>
      <c r="J3663" s="81" t="s">
        <v>12653</v>
      </c>
      <c r="K3663" s="0" t="s">
        <v>12654</v>
      </c>
    </row>
    <row r="3664" customFormat="false" ht="34.2" hidden="false" customHeight="false" outlineLevel="0" collapsed="false">
      <c r="A3664" s="74"/>
      <c r="B3664" s="74"/>
      <c r="C3664" s="74"/>
      <c r="D3664" s="57" t="s">
        <v>3792</v>
      </c>
      <c r="E3664" s="57" t="s">
        <v>3792</v>
      </c>
      <c r="F3664" s="57" t="s">
        <v>3792</v>
      </c>
      <c r="G3664" s="57" t="s">
        <v>12655</v>
      </c>
      <c r="H3664" s="77" t="s">
        <v>12656</v>
      </c>
      <c r="I3664" s="34" t="s">
        <v>40</v>
      </c>
      <c r="J3664" s="81" t="s">
        <v>11864</v>
      </c>
      <c r="K3664" s="0" t="s">
        <v>12657</v>
      </c>
    </row>
    <row r="3665" customFormat="false" ht="34.2" hidden="false" customHeight="false" outlineLevel="0" collapsed="false">
      <c r="A3665" s="74"/>
      <c r="B3665" s="74"/>
      <c r="C3665" s="74"/>
      <c r="D3665" s="57" t="s">
        <v>12658</v>
      </c>
      <c r="E3665" s="57" t="s">
        <v>12659</v>
      </c>
      <c r="F3665" s="57" t="s">
        <v>3797</v>
      </c>
      <c r="G3665" s="57" t="s">
        <v>12660</v>
      </c>
      <c r="H3665" s="77" t="s">
        <v>12556</v>
      </c>
      <c r="I3665" s="34"/>
      <c r="J3665" s="81" t="s">
        <v>12661</v>
      </c>
      <c r="K3665" s="0" t="s">
        <v>12662</v>
      </c>
    </row>
    <row r="3666" customFormat="false" ht="34.2" hidden="false" customHeight="false" outlineLevel="0" collapsed="false">
      <c r="A3666" s="74"/>
      <c r="B3666" s="74"/>
      <c r="C3666" s="74"/>
      <c r="D3666" s="57" t="s">
        <v>3792</v>
      </c>
      <c r="E3666" s="57" t="s">
        <v>3792</v>
      </c>
      <c r="F3666" s="57" t="s">
        <v>3792</v>
      </c>
      <c r="G3666" s="57" t="s">
        <v>12663</v>
      </c>
      <c r="H3666" s="77" t="s">
        <v>12664</v>
      </c>
      <c r="I3666" s="37" t="s">
        <v>50</v>
      </c>
      <c r="J3666" s="81" t="s">
        <v>12665</v>
      </c>
      <c r="K3666" s="0" t="s">
        <v>12666</v>
      </c>
    </row>
    <row r="3667" customFormat="false" ht="34.2" hidden="false" customHeight="false" outlineLevel="0" collapsed="false">
      <c r="A3667" s="74"/>
      <c r="B3667" s="74"/>
      <c r="C3667" s="74"/>
      <c r="D3667" s="57" t="s">
        <v>12667</v>
      </c>
      <c r="E3667" s="57" t="s">
        <v>12668</v>
      </c>
      <c r="F3667" s="57" t="s">
        <v>3806</v>
      </c>
      <c r="G3667" s="57" t="s">
        <v>12669</v>
      </c>
      <c r="H3667" s="77" t="s">
        <v>12556</v>
      </c>
      <c r="I3667" s="37"/>
      <c r="J3667" s="81" t="s">
        <v>11723</v>
      </c>
      <c r="K3667" s="0" t="s">
        <v>12670</v>
      </c>
    </row>
    <row r="3668" customFormat="false" ht="21.75" hidden="false" customHeight="false" outlineLevel="0" collapsed="false">
      <c r="A3668" s="74"/>
      <c r="B3668" s="74"/>
      <c r="C3668" s="74"/>
      <c r="D3668" s="0"/>
      <c r="E3668" s="57" t="s">
        <v>3792</v>
      </c>
      <c r="F3668" s="57" t="s">
        <v>3792</v>
      </c>
      <c r="G3668" s="57" t="s">
        <v>12671</v>
      </c>
      <c r="H3668" s="77" t="s">
        <v>12672</v>
      </c>
      <c r="I3668" s="34" t="s">
        <v>40</v>
      </c>
      <c r="J3668" s="81" t="s">
        <v>12673</v>
      </c>
      <c r="K3668" s="0" t="s">
        <v>12674</v>
      </c>
    </row>
    <row r="3669" customFormat="false" ht="45.05" hidden="false" customHeight="false" outlineLevel="0" collapsed="false">
      <c r="A3669" s="74"/>
      <c r="B3669" s="74"/>
      <c r="C3669" s="74" t="s">
        <v>12675</v>
      </c>
      <c r="D3669" s="57" t="s">
        <v>12676</v>
      </c>
      <c r="E3669" s="57" t="s">
        <v>12677</v>
      </c>
      <c r="F3669" s="57" t="s">
        <v>3787</v>
      </c>
      <c r="G3669" s="57" t="s">
        <v>12678</v>
      </c>
      <c r="H3669" s="77"/>
      <c r="I3669" s="34"/>
      <c r="J3669" s="81" t="s">
        <v>12679</v>
      </c>
      <c r="K3669" s="0" t="s">
        <v>12680</v>
      </c>
    </row>
    <row r="3670" customFormat="false" ht="45.05" hidden="false" customHeight="false" outlineLevel="0" collapsed="false">
      <c r="A3670" s="74"/>
      <c r="B3670" s="74"/>
      <c r="C3670" s="74"/>
      <c r="D3670" s="57" t="s">
        <v>3792</v>
      </c>
      <c r="E3670" s="57" t="s">
        <v>3792</v>
      </c>
      <c r="F3670" s="57" t="s">
        <v>3792</v>
      </c>
      <c r="G3670" s="57" t="s">
        <v>12681</v>
      </c>
      <c r="H3670" s="77" t="s">
        <v>12682</v>
      </c>
      <c r="I3670" s="39" t="s">
        <v>67</v>
      </c>
      <c r="J3670" s="81" t="s">
        <v>12683</v>
      </c>
      <c r="K3670" s="0" t="s">
        <v>12684</v>
      </c>
    </row>
    <row r="3671" customFormat="false" ht="34.2" hidden="false" customHeight="false" outlineLevel="0" collapsed="false">
      <c r="A3671" s="74"/>
      <c r="B3671" s="74"/>
      <c r="C3671" s="74"/>
      <c r="D3671" s="57" t="s">
        <v>12685</v>
      </c>
      <c r="E3671" s="57" t="s">
        <v>12686</v>
      </c>
      <c r="F3671" s="57" t="s">
        <v>3797</v>
      </c>
      <c r="G3671" s="57" t="s">
        <v>12687</v>
      </c>
      <c r="H3671" s="77" t="s">
        <v>12556</v>
      </c>
      <c r="I3671" s="39"/>
      <c r="J3671" s="81" t="s">
        <v>12688</v>
      </c>
      <c r="K3671" s="0" t="s">
        <v>12689</v>
      </c>
    </row>
    <row r="3672" customFormat="false" ht="34.2" hidden="false" customHeight="false" outlineLevel="0" collapsed="false">
      <c r="A3672" s="74"/>
      <c r="B3672" s="74"/>
      <c r="C3672" s="74"/>
      <c r="D3672" s="57" t="s">
        <v>3792</v>
      </c>
      <c r="E3672" s="57" t="s">
        <v>3792</v>
      </c>
      <c r="F3672" s="57" t="s">
        <v>3792</v>
      </c>
      <c r="G3672" s="57" t="s">
        <v>12690</v>
      </c>
      <c r="H3672" s="77" t="s">
        <v>12691</v>
      </c>
      <c r="I3672" s="34" t="s">
        <v>40</v>
      </c>
      <c r="J3672" s="81" t="s">
        <v>12692</v>
      </c>
      <c r="K3672" s="0" t="s">
        <v>12693</v>
      </c>
    </row>
    <row r="3673" customFormat="false" ht="34.2" hidden="false" customHeight="false" outlineLevel="0" collapsed="false">
      <c r="A3673" s="74"/>
      <c r="B3673" s="74"/>
      <c r="C3673" s="74"/>
      <c r="D3673" s="57" t="s">
        <v>12694</v>
      </c>
      <c r="E3673" s="57" t="s">
        <v>12695</v>
      </c>
      <c r="F3673" s="57" t="s">
        <v>3806</v>
      </c>
      <c r="G3673" s="57" t="s">
        <v>12696</v>
      </c>
      <c r="H3673" s="77" t="s">
        <v>12556</v>
      </c>
      <c r="I3673" s="34"/>
      <c r="J3673" s="81" t="s">
        <v>12697</v>
      </c>
      <c r="K3673" s="0" t="s">
        <v>12698</v>
      </c>
    </row>
    <row r="3674" customFormat="false" ht="34.2" hidden="false" customHeight="false" outlineLevel="0" collapsed="false">
      <c r="A3674" s="74"/>
      <c r="B3674" s="74"/>
      <c r="C3674" s="74"/>
      <c r="D3674" s="57" t="s">
        <v>3792</v>
      </c>
      <c r="E3674" s="57" t="s">
        <v>3792</v>
      </c>
      <c r="F3674" s="57" t="s">
        <v>3792</v>
      </c>
      <c r="G3674" s="57" t="s">
        <v>12699</v>
      </c>
      <c r="H3674" s="77" t="s">
        <v>12700</v>
      </c>
      <c r="I3674" s="37" t="s">
        <v>50</v>
      </c>
      <c r="J3674" s="81" t="s">
        <v>12701</v>
      </c>
      <c r="K3674" s="0" t="s">
        <v>12702</v>
      </c>
    </row>
    <row r="3675" customFormat="false" ht="45.05" hidden="false" customHeight="false" outlineLevel="0" collapsed="false">
      <c r="A3675" s="74"/>
      <c r="B3675" s="74"/>
      <c r="C3675" s="74"/>
      <c r="D3675" s="57" t="s">
        <v>12703</v>
      </c>
      <c r="E3675" s="57" t="s">
        <v>12704</v>
      </c>
      <c r="F3675" s="57" t="s">
        <v>3797</v>
      </c>
      <c r="G3675" s="57" t="s">
        <v>12705</v>
      </c>
      <c r="H3675" s="77" t="s">
        <v>12525</v>
      </c>
      <c r="I3675" s="37"/>
      <c r="J3675" s="81" t="s">
        <v>12706</v>
      </c>
      <c r="K3675" s="0" t="s">
        <v>12707</v>
      </c>
    </row>
    <row r="3676" customFormat="false" ht="34.2" hidden="false" customHeight="false" outlineLevel="0" collapsed="false">
      <c r="A3676" s="74"/>
      <c r="B3676" s="74"/>
      <c r="C3676" s="74"/>
      <c r="D3676" s="57" t="s">
        <v>3792</v>
      </c>
      <c r="E3676" s="57" t="s">
        <v>3792</v>
      </c>
      <c r="F3676" s="57" t="s">
        <v>3792</v>
      </c>
      <c r="G3676" s="57" t="s">
        <v>12708</v>
      </c>
      <c r="H3676" s="77" t="s">
        <v>12709</v>
      </c>
      <c r="I3676" s="34" t="s">
        <v>40</v>
      </c>
      <c r="J3676" s="81" t="s">
        <v>12710</v>
      </c>
      <c r="K3676" s="0" t="s">
        <v>12711</v>
      </c>
    </row>
    <row r="3677" customFormat="false" ht="45.05" hidden="false" customHeight="false" outlineLevel="0" collapsed="false">
      <c r="A3677" s="74"/>
      <c r="B3677" s="74"/>
      <c r="C3677" s="74"/>
      <c r="D3677" s="57" t="s">
        <v>12712</v>
      </c>
      <c r="E3677" s="57" t="s">
        <v>12713</v>
      </c>
      <c r="F3677" s="57" t="s">
        <v>3787</v>
      </c>
      <c r="G3677" s="57" t="s">
        <v>12714</v>
      </c>
      <c r="H3677" s="77"/>
      <c r="I3677" s="34"/>
      <c r="J3677" s="81" t="s">
        <v>12715</v>
      </c>
      <c r="K3677" s="0" t="s">
        <v>12716</v>
      </c>
    </row>
    <row r="3678" customFormat="false" ht="34.2" hidden="false" customHeight="false" outlineLevel="0" collapsed="false">
      <c r="A3678" s="74"/>
      <c r="B3678" s="74"/>
      <c r="C3678" s="74"/>
      <c r="D3678" s="0"/>
      <c r="E3678" s="57" t="s">
        <v>3792</v>
      </c>
      <c r="F3678" s="57" t="s">
        <v>3792</v>
      </c>
      <c r="G3678" s="57" t="s">
        <v>12717</v>
      </c>
      <c r="H3678" s="77" t="s">
        <v>12718</v>
      </c>
      <c r="I3678" s="39" t="s">
        <v>67</v>
      </c>
      <c r="J3678" s="81" t="s">
        <v>12719</v>
      </c>
      <c r="K3678" s="0" t="s">
        <v>12720</v>
      </c>
    </row>
    <row r="3679" customFormat="false" ht="45.05" hidden="false" customHeight="true" outlineLevel="0" collapsed="false">
      <c r="A3679" s="74"/>
      <c r="B3679" s="74"/>
      <c r="C3679" s="75" t="s">
        <v>12721</v>
      </c>
      <c r="D3679" s="57" t="s">
        <v>12722</v>
      </c>
      <c r="E3679" s="57" t="s">
        <v>12723</v>
      </c>
      <c r="F3679" s="57" t="s">
        <v>3806</v>
      </c>
      <c r="G3679" s="57" t="s">
        <v>12724</v>
      </c>
      <c r="H3679" s="77"/>
      <c r="I3679" s="39"/>
      <c r="J3679" s="81" t="s">
        <v>12725</v>
      </c>
      <c r="K3679" s="0" t="s">
        <v>12726</v>
      </c>
    </row>
    <row r="3680" customFormat="false" ht="34.2" hidden="false" customHeight="false" outlineLevel="0" collapsed="false">
      <c r="A3680" s="74"/>
      <c r="B3680" s="74"/>
      <c r="C3680" s="74"/>
      <c r="D3680" s="57" t="s">
        <v>3792</v>
      </c>
      <c r="E3680" s="57" t="s">
        <v>3792</v>
      </c>
      <c r="F3680" s="57" t="s">
        <v>3792</v>
      </c>
      <c r="G3680" s="57" t="s">
        <v>12727</v>
      </c>
      <c r="H3680" s="77" t="s">
        <v>12728</v>
      </c>
      <c r="I3680" s="34" t="s">
        <v>40</v>
      </c>
      <c r="J3680" s="81" t="s">
        <v>12729</v>
      </c>
      <c r="K3680" s="0" t="s">
        <v>11240</v>
      </c>
    </row>
    <row r="3681" customFormat="false" ht="34.2" hidden="false" customHeight="false" outlineLevel="0" collapsed="false">
      <c r="A3681" s="74"/>
      <c r="B3681" s="74"/>
      <c r="C3681" s="74"/>
      <c r="D3681" s="57" t="s">
        <v>12730</v>
      </c>
      <c r="E3681" s="57" t="s">
        <v>12731</v>
      </c>
      <c r="F3681" s="57" t="s">
        <v>3787</v>
      </c>
      <c r="G3681" s="57" t="s">
        <v>12732</v>
      </c>
      <c r="H3681" s="77" t="s">
        <v>12556</v>
      </c>
      <c r="I3681" s="34"/>
      <c r="J3681" s="81" t="s">
        <v>12733</v>
      </c>
      <c r="K3681" s="0" t="s">
        <v>12734</v>
      </c>
    </row>
    <row r="3682" customFormat="false" ht="34.2" hidden="false" customHeight="false" outlineLevel="0" collapsed="false">
      <c r="A3682" s="74"/>
      <c r="B3682" s="74"/>
      <c r="C3682" s="74"/>
      <c r="D3682" s="57" t="s">
        <v>3792</v>
      </c>
      <c r="E3682" s="57" t="s">
        <v>3792</v>
      </c>
      <c r="F3682" s="57" t="s">
        <v>3792</v>
      </c>
      <c r="G3682" s="57" t="s">
        <v>1265</v>
      </c>
      <c r="H3682" s="77" t="s">
        <v>12735</v>
      </c>
      <c r="I3682" s="37" t="s">
        <v>50</v>
      </c>
      <c r="J3682" s="81" t="s">
        <v>12736</v>
      </c>
      <c r="K3682" s="0" t="s">
        <v>12737</v>
      </c>
    </row>
    <row r="3683" customFormat="false" ht="34.2" hidden="false" customHeight="false" outlineLevel="0" collapsed="false">
      <c r="A3683" s="74"/>
      <c r="B3683" s="74"/>
      <c r="C3683" s="74"/>
      <c r="D3683" s="57" t="s">
        <v>12738</v>
      </c>
      <c r="E3683" s="57" t="s">
        <v>12739</v>
      </c>
      <c r="F3683" s="57" t="s">
        <v>3797</v>
      </c>
      <c r="G3683" s="57" t="s">
        <v>12740</v>
      </c>
      <c r="H3683" s="77" t="s">
        <v>12525</v>
      </c>
      <c r="I3683" s="37"/>
      <c r="J3683" s="81" t="s">
        <v>12741</v>
      </c>
      <c r="K3683" s="0" t="s">
        <v>12742</v>
      </c>
    </row>
    <row r="3684" customFormat="false" ht="34.2" hidden="false" customHeight="false" outlineLevel="0" collapsed="false">
      <c r="A3684" s="74"/>
      <c r="B3684" s="74"/>
      <c r="C3684" s="74"/>
      <c r="D3684" s="57" t="s">
        <v>3792</v>
      </c>
      <c r="E3684" s="57" t="s">
        <v>3792</v>
      </c>
      <c r="F3684" s="57" t="s">
        <v>3792</v>
      </c>
      <c r="G3684" s="57" t="s">
        <v>12743</v>
      </c>
      <c r="H3684" s="77" t="s">
        <v>12744</v>
      </c>
      <c r="I3684" s="34" t="s">
        <v>40</v>
      </c>
      <c r="J3684" s="81" t="s">
        <v>12745</v>
      </c>
      <c r="K3684" s="0" t="s">
        <v>12746</v>
      </c>
    </row>
    <row r="3685" customFormat="false" ht="34.2" hidden="false" customHeight="false" outlineLevel="0" collapsed="false">
      <c r="A3685" s="74"/>
      <c r="B3685" s="74"/>
      <c r="C3685" s="74"/>
      <c r="D3685" s="57" t="s">
        <v>12747</v>
      </c>
      <c r="E3685" s="57" t="s">
        <v>12748</v>
      </c>
      <c r="F3685" s="57" t="s">
        <v>3806</v>
      </c>
      <c r="G3685" s="57" t="s">
        <v>1185</v>
      </c>
      <c r="H3685" s="77" t="s">
        <v>12556</v>
      </c>
      <c r="I3685" s="34"/>
      <c r="J3685" s="81" t="s">
        <v>12749</v>
      </c>
      <c r="K3685" s="0" t="s">
        <v>12750</v>
      </c>
    </row>
    <row r="3686" customFormat="false" ht="34.2" hidden="false" customHeight="false" outlineLevel="0" collapsed="false">
      <c r="A3686" s="74"/>
      <c r="B3686" s="74"/>
      <c r="C3686" s="74"/>
      <c r="D3686" s="57" t="s">
        <v>3792</v>
      </c>
      <c r="E3686" s="57" t="s">
        <v>3792</v>
      </c>
      <c r="F3686" s="57" t="s">
        <v>3792</v>
      </c>
      <c r="G3686" s="57" t="s">
        <v>12751</v>
      </c>
      <c r="H3686" s="77" t="s">
        <v>12752</v>
      </c>
      <c r="I3686" s="39" t="s">
        <v>67</v>
      </c>
      <c r="J3686" s="81" t="s">
        <v>12753</v>
      </c>
      <c r="K3686" s="0" t="s">
        <v>12538</v>
      </c>
    </row>
    <row r="3687" customFormat="false" ht="34.2" hidden="false" customHeight="false" outlineLevel="0" collapsed="false">
      <c r="A3687" s="74"/>
      <c r="B3687" s="74"/>
      <c r="C3687" s="74"/>
      <c r="D3687" s="57" t="s">
        <v>12754</v>
      </c>
      <c r="E3687" s="57" t="s">
        <v>12755</v>
      </c>
      <c r="F3687" s="57" t="s">
        <v>3787</v>
      </c>
      <c r="G3687" s="57" t="s">
        <v>12756</v>
      </c>
      <c r="H3687" s="77"/>
      <c r="I3687" s="39"/>
      <c r="J3687" s="81" t="s">
        <v>12757</v>
      </c>
      <c r="K3687" s="0" t="s">
        <v>12758</v>
      </c>
    </row>
    <row r="3688" customFormat="false" ht="34.2" hidden="false" customHeight="false" outlineLevel="0" collapsed="false">
      <c r="A3688" s="74"/>
      <c r="B3688" s="74"/>
      <c r="C3688" s="74"/>
      <c r="D3688" s="0"/>
      <c r="E3688" s="57" t="s">
        <v>3792</v>
      </c>
      <c r="F3688" s="57" t="s">
        <v>3792</v>
      </c>
      <c r="G3688" s="57" t="s">
        <v>12759</v>
      </c>
      <c r="H3688" s="77" t="s">
        <v>12760</v>
      </c>
      <c r="I3688" s="34" t="s">
        <v>40</v>
      </c>
      <c r="J3688" s="81" t="s">
        <v>12761</v>
      </c>
      <c r="K3688" s="0" t="s">
        <v>12762</v>
      </c>
    </row>
    <row r="3689" customFormat="false" ht="45.05" hidden="false" customHeight="true" outlineLevel="0" collapsed="false">
      <c r="A3689" s="74"/>
      <c r="B3689" s="74"/>
      <c r="C3689" s="75" t="s">
        <v>12763</v>
      </c>
      <c r="D3689" s="57" t="s">
        <v>12764</v>
      </c>
      <c r="E3689" s="57" t="s">
        <v>12765</v>
      </c>
      <c r="F3689" s="57" t="s">
        <v>3806</v>
      </c>
      <c r="G3689" s="57" t="s">
        <v>12766</v>
      </c>
      <c r="H3689" s="77"/>
      <c r="I3689" s="34"/>
      <c r="J3689" s="81" t="s">
        <v>11212</v>
      </c>
      <c r="K3689" s="0" t="s">
        <v>12767</v>
      </c>
    </row>
    <row r="3690" customFormat="false" ht="34.2" hidden="false" customHeight="false" outlineLevel="0" collapsed="false">
      <c r="A3690" s="74"/>
      <c r="B3690" s="74"/>
      <c r="C3690" s="74"/>
      <c r="D3690" s="57" t="s">
        <v>3792</v>
      </c>
      <c r="E3690" s="57" t="s">
        <v>3792</v>
      </c>
      <c r="F3690" s="57" t="s">
        <v>3792</v>
      </c>
      <c r="G3690" s="57" t="s">
        <v>12768</v>
      </c>
      <c r="H3690" s="77" t="s">
        <v>12769</v>
      </c>
      <c r="I3690" s="37" t="s">
        <v>50</v>
      </c>
      <c r="J3690" s="81" t="s">
        <v>12770</v>
      </c>
      <c r="K3690" s="0" t="s">
        <v>12771</v>
      </c>
    </row>
    <row r="3691" customFormat="false" ht="34.2" hidden="false" customHeight="false" outlineLevel="0" collapsed="false">
      <c r="A3691" s="74"/>
      <c r="B3691" s="74"/>
      <c r="C3691" s="74"/>
      <c r="D3691" s="57" t="s">
        <v>12772</v>
      </c>
      <c r="E3691" s="57" t="s">
        <v>12773</v>
      </c>
      <c r="F3691" s="57" t="s">
        <v>3797</v>
      </c>
      <c r="G3691" s="57" t="s">
        <v>12774</v>
      </c>
      <c r="H3691" s="77"/>
      <c r="I3691" s="37"/>
      <c r="J3691" s="81" t="s">
        <v>12775</v>
      </c>
      <c r="K3691" s="0" t="s">
        <v>12776</v>
      </c>
    </row>
    <row r="3692" customFormat="false" ht="34.2" hidden="false" customHeight="false" outlineLevel="0" collapsed="false">
      <c r="A3692" s="74"/>
      <c r="B3692" s="74"/>
      <c r="C3692" s="74"/>
      <c r="D3692" s="57" t="s">
        <v>3792</v>
      </c>
      <c r="E3692" s="57" t="s">
        <v>3792</v>
      </c>
      <c r="F3692" s="57" t="s">
        <v>3792</v>
      </c>
      <c r="G3692" s="57" t="s">
        <v>12777</v>
      </c>
      <c r="H3692" s="77" t="s">
        <v>12778</v>
      </c>
      <c r="I3692" s="34" t="s">
        <v>40</v>
      </c>
      <c r="J3692" s="81" t="s">
        <v>12779</v>
      </c>
      <c r="K3692" s="0" t="s">
        <v>12780</v>
      </c>
    </row>
    <row r="3693" customFormat="false" ht="34.2" hidden="false" customHeight="false" outlineLevel="0" collapsed="false">
      <c r="A3693" s="74"/>
      <c r="B3693" s="74"/>
      <c r="C3693" s="74"/>
      <c r="D3693" s="57" t="s">
        <v>12781</v>
      </c>
      <c r="E3693" s="57" t="s">
        <v>12782</v>
      </c>
      <c r="F3693" s="57" t="s">
        <v>3787</v>
      </c>
      <c r="G3693" s="57" t="s">
        <v>12783</v>
      </c>
      <c r="H3693" s="77" t="s">
        <v>12556</v>
      </c>
      <c r="I3693" s="34"/>
      <c r="J3693" s="81" t="s">
        <v>12784</v>
      </c>
      <c r="K3693" s="0" t="s">
        <v>12785</v>
      </c>
    </row>
    <row r="3694" customFormat="false" ht="34.2" hidden="false" customHeight="false" outlineLevel="0" collapsed="false">
      <c r="A3694" s="74"/>
      <c r="B3694" s="74"/>
      <c r="C3694" s="74"/>
      <c r="D3694" s="57" t="s">
        <v>3792</v>
      </c>
      <c r="E3694" s="57" t="s">
        <v>3792</v>
      </c>
      <c r="F3694" s="57" t="s">
        <v>3792</v>
      </c>
      <c r="G3694" s="57" t="s">
        <v>12786</v>
      </c>
      <c r="H3694" s="77" t="s">
        <v>12787</v>
      </c>
      <c r="I3694" s="39" t="s">
        <v>67</v>
      </c>
      <c r="J3694" s="81" t="s">
        <v>12788</v>
      </c>
      <c r="K3694" s="0" t="s">
        <v>12789</v>
      </c>
    </row>
    <row r="3695" customFormat="false" ht="34.2" hidden="false" customHeight="false" outlineLevel="0" collapsed="false">
      <c r="A3695" s="74"/>
      <c r="B3695" s="74"/>
      <c r="C3695" s="74"/>
      <c r="D3695" s="57" t="s">
        <v>12790</v>
      </c>
      <c r="E3695" s="57" t="s">
        <v>12791</v>
      </c>
      <c r="F3695" s="57" t="s">
        <v>3797</v>
      </c>
      <c r="G3695" s="57" t="s">
        <v>12792</v>
      </c>
      <c r="H3695" s="77"/>
      <c r="I3695" s="39"/>
      <c r="J3695" s="81" t="s">
        <v>12793</v>
      </c>
      <c r="K3695" s="0" t="s">
        <v>12794</v>
      </c>
    </row>
    <row r="3696" customFormat="false" ht="34.2" hidden="false" customHeight="false" outlineLevel="0" collapsed="false">
      <c r="A3696" s="74"/>
      <c r="B3696" s="74"/>
      <c r="C3696" s="74"/>
      <c r="D3696" s="57" t="s">
        <v>3792</v>
      </c>
      <c r="E3696" s="57" t="s">
        <v>3792</v>
      </c>
      <c r="F3696" s="57" t="s">
        <v>3792</v>
      </c>
      <c r="G3696" s="57" t="s">
        <v>12542</v>
      </c>
      <c r="H3696" s="77" t="s">
        <v>12795</v>
      </c>
      <c r="I3696" s="34" t="s">
        <v>40</v>
      </c>
      <c r="J3696" s="81" t="s">
        <v>12796</v>
      </c>
      <c r="K3696" s="0" t="s">
        <v>12797</v>
      </c>
    </row>
    <row r="3697" customFormat="false" ht="34.2" hidden="false" customHeight="false" outlineLevel="0" collapsed="false">
      <c r="A3697" s="74"/>
      <c r="B3697" s="74"/>
      <c r="C3697" s="74"/>
      <c r="D3697" s="57" t="s">
        <v>12798</v>
      </c>
      <c r="E3697" s="57" t="s">
        <v>12799</v>
      </c>
      <c r="F3697" s="57" t="s">
        <v>3806</v>
      </c>
      <c r="G3697" s="57" t="s">
        <v>12800</v>
      </c>
      <c r="H3697" s="77"/>
      <c r="I3697" s="34"/>
      <c r="J3697" s="81" t="s">
        <v>12801</v>
      </c>
      <c r="K3697" s="0" t="s">
        <v>12802</v>
      </c>
    </row>
    <row r="3698" customFormat="false" ht="34.2" hidden="false" customHeight="false" outlineLevel="0" collapsed="false">
      <c r="A3698" s="74"/>
      <c r="B3698" s="74"/>
      <c r="C3698" s="74"/>
      <c r="D3698" s="0"/>
      <c r="E3698" s="57" t="s">
        <v>3792</v>
      </c>
      <c r="F3698" s="57" t="s">
        <v>3792</v>
      </c>
      <c r="G3698" s="57" t="s">
        <v>12803</v>
      </c>
      <c r="H3698" s="77" t="s">
        <v>12804</v>
      </c>
      <c r="I3698" s="37" t="s">
        <v>50</v>
      </c>
      <c r="J3698" s="81" t="s">
        <v>12805</v>
      </c>
      <c r="K3698" s="0" t="s">
        <v>12806</v>
      </c>
    </row>
    <row r="3699" customFormat="false" ht="34.2" hidden="false" customHeight="true" outlineLevel="0" collapsed="false">
      <c r="A3699" s="74"/>
      <c r="B3699" s="74"/>
      <c r="C3699" s="75" t="s">
        <v>12807</v>
      </c>
      <c r="D3699" s="57" t="s">
        <v>12808</v>
      </c>
      <c r="E3699" s="57" t="s">
        <v>12809</v>
      </c>
      <c r="F3699" s="57" t="s">
        <v>3797</v>
      </c>
      <c r="G3699" s="57" t="s">
        <v>12810</v>
      </c>
      <c r="H3699" s="77"/>
      <c r="I3699" s="37"/>
      <c r="J3699" s="81" t="s">
        <v>12811</v>
      </c>
      <c r="K3699" s="0" t="s">
        <v>12812</v>
      </c>
    </row>
    <row r="3700" customFormat="false" ht="34.2" hidden="false" customHeight="false" outlineLevel="0" collapsed="false">
      <c r="A3700" s="74"/>
      <c r="B3700" s="74"/>
      <c r="C3700" s="74"/>
      <c r="D3700" s="57" t="s">
        <v>3792</v>
      </c>
      <c r="E3700" s="57" t="s">
        <v>3792</v>
      </c>
      <c r="F3700" s="57" t="s">
        <v>3792</v>
      </c>
      <c r="G3700" s="57" t="s">
        <v>12813</v>
      </c>
      <c r="H3700" s="77" t="s">
        <v>12814</v>
      </c>
      <c r="I3700" s="34" t="s">
        <v>40</v>
      </c>
      <c r="J3700" s="81" t="s">
        <v>12815</v>
      </c>
      <c r="K3700" s="0" t="s">
        <v>12816</v>
      </c>
    </row>
    <row r="3701" customFormat="false" ht="45.05" hidden="false" customHeight="false" outlineLevel="0" collapsed="false">
      <c r="A3701" s="74"/>
      <c r="B3701" s="74"/>
      <c r="C3701" s="74"/>
      <c r="D3701" s="57" t="s">
        <v>12817</v>
      </c>
      <c r="E3701" s="57" t="s">
        <v>12818</v>
      </c>
      <c r="F3701" s="57" t="s">
        <v>3787</v>
      </c>
      <c r="G3701" s="57" t="s">
        <v>12819</v>
      </c>
      <c r="H3701" s="77"/>
      <c r="I3701" s="34"/>
      <c r="J3701" s="81" t="s">
        <v>12820</v>
      </c>
      <c r="K3701" s="0" t="s">
        <v>12821</v>
      </c>
    </row>
    <row r="3702" customFormat="false" ht="34.2" hidden="false" customHeight="false" outlineLevel="0" collapsed="false">
      <c r="A3702" s="74"/>
      <c r="B3702" s="74"/>
      <c r="C3702" s="74"/>
      <c r="D3702" s="57" t="s">
        <v>3792</v>
      </c>
      <c r="E3702" s="57" t="s">
        <v>3792</v>
      </c>
      <c r="F3702" s="57" t="s">
        <v>3792</v>
      </c>
      <c r="G3702" s="57" t="s">
        <v>12822</v>
      </c>
      <c r="H3702" s="77" t="s">
        <v>12823</v>
      </c>
      <c r="I3702" s="39" t="s">
        <v>67</v>
      </c>
      <c r="J3702" s="81" t="s">
        <v>12824</v>
      </c>
      <c r="K3702" s="0" t="s">
        <v>12825</v>
      </c>
    </row>
    <row r="3703" customFormat="false" ht="34.2" hidden="false" customHeight="false" outlineLevel="0" collapsed="false">
      <c r="A3703" s="74"/>
      <c r="B3703" s="74"/>
      <c r="C3703" s="74"/>
      <c r="D3703" s="57" t="s">
        <v>12826</v>
      </c>
      <c r="E3703" s="57" t="s">
        <v>12827</v>
      </c>
      <c r="F3703" s="57" t="s">
        <v>3806</v>
      </c>
      <c r="G3703" s="57" t="s">
        <v>12828</v>
      </c>
      <c r="H3703" s="77" t="s">
        <v>12556</v>
      </c>
      <c r="I3703" s="39"/>
      <c r="J3703" s="81" t="s">
        <v>12829</v>
      </c>
      <c r="K3703" s="0" t="s">
        <v>12830</v>
      </c>
    </row>
    <row r="3704" customFormat="false" ht="34.2" hidden="false" customHeight="false" outlineLevel="0" collapsed="false">
      <c r="A3704" s="74"/>
      <c r="B3704" s="74"/>
      <c r="C3704" s="74"/>
      <c r="D3704" s="57" t="s">
        <v>3792</v>
      </c>
      <c r="E3704" s="57" t="s">
        <v>3792</v>
      </c>
      <c r="F3704" s="57" t="s">
        <v>3792</v>
      </c>
      <c r="G3704" s="57" t="s">
        <v>12831</v>
      </c>
      <c r="H3704" s="77" t="s">
        <v>12832</v>
      </c>
      <c r="I3704" s="34" t="s">
        <v>40</v>
      </c>
      <c r="J3704" s="81" t="s">
        <v>12833</v>
      </c>
      <c r="K3704" s="0" t="s">
        <v>12834</v>
      </c>
    </row>
    <row r="3705" customFormat="false" ht="34.2" hidden="false" customHeight="false" outlineLevel="0" collapsed="false">
      <c r="A3705" s="74"/>
      <c r="B3705" s="74"/>
      <c r="C3705" s="74"/>
      <c r="D3705" s="57" t="s">
        <v>12835</v>
      </c>
      <c r="E3705" s="57" t="s">
        <v>12836</v>
      </c>
      <c r="F3705" s="57" t="s">
        <v>3787</v>
      </c>
      <c r="G3705" s="57" t="s">
        <v>12837</v>
      </c>
      <c r="H3705" s="77" t="s">
        <v>12556</v>
      </c>
      <c r="I3705" s="34"/>
      <c r="J3705" s="81" t="s">
        <v>12838</v>
      </c>
      <c r="K3705" s="0" t="s">
        <v>12839</v>
      </c>
    </row>
    <row r="3706" customFormat="false" ht="45.05" hidden="false" customHeight="false" outlineLevel="0" collapsed="false">
      <c r="A3706" s="74"/>
      <c r="B3706" s="74"/>
      <c r="C3706" s="74"/>
      <c r="D3706" s="57" t="s">
        <v>3792</v>
      </c>
      <c r="E3706" s="57" t="s">
        <v>3792</v>
      </c>
      <c r="F3706" s="57" t="s">
        <v>3792</v>
      </c>
      <c r="G3706" s="57" t="s">
        <v>12840</v>
      </c>
      <c r="H3706" s="77" t="s">
        <v>12841</v>
      </c>
      <c r="I3706" s="37" t="s">
        <v>50</v>
      </c>
      <c r="J3706" s="81" t="s">
        <v>12833</v>
      </c>
      <c r="K3706" s="0" t="s">
        <v>12842</v>
      </c>
    </row>
    <row r="3707" customFormat="false" ht="34.2" hidden="false" customHeight="false" outlineLevel="0" collapsed="false">
      <c r="A3707" s="74"/>
      <c r="B3707" s="74"/>
      <c r="C3707" s="74"/>
      <c r="D3707" s="57" t="s">
        <v>12843</v>
      </c>
      <c r="E3707" s="57" t="s">
        <v>12844</v>
      </c>
      <c r="F3707" s="57" t="s">
        <v>3797</v>
      </c>
      <c r="G3707" s="57" t="s">
        <v>12845</v>
      </c>
      <c r="H3707" s="77"/>
      <c r="I3707" s="37"/>
      <c r="J3707" s="81" t="s">
        <v>12846</v>
      </c>
      <c r="K3707" s="0" t="s">
        <v>12847</v>
      </c>
    </row>
    <row r="3708" customFormat="false" ht="34.2" hidden="false" customHeight="false" outlineLevel="0" collapsed="false">
      <c r="A3708" s="74"/>
      <c r="B3708" s="74"/>
      <c r="C3708" s="74"/>
      <c r="D3708" s="0"/>
      <c r="E3708" s="57" t="s">
        <v>3792</v>
      </c>
      <c r="F3708" s="57" t="s">
        <v>3792</v>
      </c>
      <c r="G3708" s="57" t="s">
        <v>12848</v>
      </c>
      <c r="H3708" s="77" t="s">
        <v>12849</v>
      </c>
      <c r="I3708" s="34" t="s">
        <v>40</v>
      </c>
      <c r="J3708" s="81" t="s">
        <v>12850</v>
      </c>
      <c r="K3708" s="0" t="s">
        <v>12851</v>
      </c>
    </row>
    <row r="3709" customFormat="false" ht="34.2" hidden="false" customHeight="false" outlineLevel="0" collapsed="false">
      <c r="A3709" s="74"/>
      <c r="B3709" s="74" t="s">
        <v>12852</v>
      </c>
      <c r="C3709" s="74" t="s">
        <v>12853</v>
      </c>
      <c r="D3709" s="57" t="s">
        <v>12854</v>
      </c>
      <c r="E3709" s="57" t="s">
        <v>12855</v>
      </c>
      <c r="F3709" s="57" t="s">
        <v>3806</v>
      </c>
      <c r="G3709" s="57" t="s">
        <v>12856</v>
      </c>
      <c r="H3709" s="77"/>
      <c r="I3709" s="34"/>
      <c r="J3709" s="81" t="s">
        <v>12857</v>
      </c>
      <c r="K3709" s="0" t="s">
        <v>12858</v>
      </c>
    </row>
    <row r="3710" customFormat="false" ht="34.2" hidden="false" customHeight="false" outlineLevel="0" collapsed="false">
      <c r="A3710" s="74"/>
      <c r="B3710" s="74"/>
      <c r="C3710" s="74"/>
      <c r="D3710" s="57" t="s">
        <v>3792</v>
      </c>
      <c r="E3710" s="57" t="s">
        <v>3792</v>
      </c>
      <c r="F3710" s="57" t="s">
        <v>3792</v>
      </c>
      <c r="G3710" s="57" t="s">
        <v>12859</v>
      </c>
      <c r="H3710" s="77" t="s">
        <v>12860</v>
      </c>
      <c r="I3710" s="39" t="s">
        <v>67</v>
      </c>
      <c r="J3710" s="81" t="s">
        <v>12861</v>
      </c>
      <c r="K3710" s="0" t="s">
        <v>12862</v>
      </c>
    </row>
    <row r="3711" customFormat="false" ht="34.2" hidden="false" customHeight="false" outlineLevel="0" collapsed="false">
      <c r="A3711" s="74"/>
      <c r="B3711" s="74"/>
      <c r="C3711" s="74"/>
      <c r="D3711" s="57" t="s">
        <v>12863</v>
      </c>
      <c r="E3711" s="57" t="s">
        <v>12864</v>
      </c>
      <c r="F3711" s="57" t="s">
        <v>3787</v>
      </c>
      <c r="G3711" s="57" t="s">
        <v>12865</v>
      </c>
      <c r="H3711" s="77"/>
      <c r="I3711" s="39"/>
      <c r="J3711" s="81" t="s">
        <v>12866</v>
      </c>
      <c r="K3711" s="0" t="s">
        <v>12867</v>
      </c>
    </row>
    <row r="3712" customFormat="false" ht="34.2" hidden="false" customHeight="false" outlineLevel="0" collapsed="false">
      <c r="A3712" s="74"/>
      <c r="B3712" s="74"/>
      <c r="C3712" s="74"/>
      <c r="D3712" s="57" t="s">
        <v>3792</v>
      </c>
      <c r="E3712" s="57" t="s">
        <v>3792</v>
      </c>
      <c r="F3712" s="57" t="s">
        <v>3792</v>
      </c>
      <c r="G3712" s="57" t="s">
        <v>12868</v>
      </c>
      <c r="H3712" s="77" t="s">
        <v>12869</v>
      </c>
      <c r="I3712" s="34" t="s">
        <v>40</v>
      </c>
      <c r="J3712" s="81" t="s">
        <v>12870</v>
      </c>
      <c r="K3712" s="0" t="s">
        <v>12871</v>
      </c>
    </row>
    <row r="3713" customFormat="false" ht="34.2" hidden="false" customHeight="false" outlineLevel="0" collapsed="false">
      <c r="A3713" s="74"/>
      <c r="B3713" s="74"/>
      <c r="C3713" s="74"/>
      <c r="D3713" s="57" t="s">
        <v>12872</v>
      </c>
      <c r="E3713" s="57" t="s">
        <v>12873</v>
      </c>
      <c r="F3713" s="57" t="s">
        <v>3797</v>
      </c>
      <c r="G3713" s="57" t="s">
        <v>12874</v>
      </c>
      <c r="H3713" s="77"/>
      <c r="I3713" s="34"/>
      <c r="J3713" s="81" t="s">
        <v>12875</v>
      </c>
      <c r="K3713" s="0" t="s">
        <v>12876</v>
      </c>
    </row>
    <row r="3714" customFormat="false" ht="34.2" hidden="false" customHeight="false" outlineLevel="0" collapsed="false">
      <c r="A3714" s="74"/>
      <c r="B3714" s="74"/>
      <c r="C3714" s="74"/>
      <c r="D3714" s="57" t="s">
        <v>3792</v>
      </c>
      <c r="E3714" s="57" t="s">
        <v>3792</v>
      </c>
      <c r="F3714" s="57" t="s">
        <v>3792</v>
      </c>
      <c r="G3714" s="57" t="s">
        <v>12877</v>
      </c>
      <c r="H3714" s="77" t="s">
        <v>12878</v>
      </c>
      <c r="I3714" s="37" t="s">
        <v>50</v>
      </c>
      <c r="J3714" s="81" t="s">
        <v>12879</v>
      </c>
      <c r="K3714" s="0" t="s">
        <v>12880</v>
      </c>
    </row>
    <row r="3715" customFormat="false" ht="45.05" hidden="false" customHeight="false" outlineLevel="0" collapsed="false">
      <c r="A3715" s="74"/>
      <c r="B3715" s="74"/>
      <c r="C3715" s="74"/>
      <c r="D3715" s="57" t="s">
        <v>12881</v>
      </c>
      <c r="E3715" s="57" t="s">
        <v>12882</v>
      </c>
      <c r="F3715" s="57" t="s">
        <v>3806</v>
      </c>
      <c r="G3715" s="57" t="s">
        <v>12883</v>
      </c>
      <c r="H3715" s="77"/>
      <c r="I3715" s="37"/>
      <c r="J3715" s="81" t="s">
        <v>12884</v>
      </c>
      <c r="K3715" s="0" t="s">
        <v>12885</v>
      </c>
    </row>
    <row r="3716" customFormat="false" ht="34.2" hidden="false" customHeight="false" outlineLevel="0" collapsed="false">
      <c r="A3716" s="74"/>
      <c r="B3716" s="74"/>
      <c r="C3716" s="74"/>
      <c r="D3716" s="57" t="s">
        <v>3792</v>
      </c>
      <c r="E3716" s="57" t="s">
        <v>3792</v>
      </c>
      <c r="F3716" s="57" t="s">
        <v>3792</v>
      </c>
      <c r="G3716" s="57" t="s">
        <v>12886</v>
      </c>
      <c r="H3716" s="77" t="s">
        <v>12887</v>
      </c>
      <c r="I3716" s="34" t="s">
        <v>40</v>
      </c>
      <c r="J3716" s="81" t="s">
        <v>12888</v>
      </c>
      <c r="K3716" s="0" t="s">
        <v>12889</v>
      </c>
    </row>
    <row r="3717" customFormat="false" ht="55.95" hidden="false" customHeight="false" outlineLevel="0" collapsed="false">
      <c r="A3717" s="74"/>
      <c r="B3717" s="74"/>
      <c r="C3717" s="74"/>
      <c r="D3717" s="57" t="s">
        <v>12890</v>
      </c>
      <c r="E3717" s="57" t="s">
        <v>12891</v>
      </c>
      <c r="F3717" s="57" t="s">
        <v>3797</v>
      </c>
      <c r="G3717" s="57" t="s">
        <v>12892</v>
      </c>
      <c r="H3717" s="77"/>
      <c r="I3717" s="34"/>
      <c r="J3717" s="81" t="s">
        <v>12893</v>
      </c>
      <c r="K3717" s="0" t="s">
        <v>12894</v>
      </c>
    </row>
    <row r="3718" customFormat="false" ht="45.05" hidden="false" customHeight="false" outlineLevel="0" collapsed="false">
      <c r="A3718" s="74"/>
      <c r="B3718" s="74"/>
      <c r="C3718" s="74"/>
      <c r="D3718" s="0"/>
      <c r="E3718" s="57" t="s">
        <v>3792</v>
      </c>
      <c r="F3718" s="57" t="s">
        <v>3792</v>
      </c>
      <c r="G3718" s="57" t="s">
        <v>12895</v>
      </c>
      <c r="H3718" s="77" t="s">
        <v>12896</v>
      </c>
      <c r="I3718" s="39" t="s">
        <v>67</v>
      </c>
      <c r="J3718" s="81" t="s">
        <v>12897</v>
      </c>
      <c r="K3718" s="0" t="s">
        <v>12898</v>
      </c>
    </row>
    <row r="3719" customFormat="false" ht="45.05" hidden="false" customHeight="true" outlineLevel="0" collapsed="false">
      <c r="A3719" s="74"/>
      <c r="B3719" s="74"/>
      <c r="C3719" s="75" t="s">
        <v>12899</v>
      </c>
      <c r="D3719" s="57" t="s">
        <v>12900</v>
      </c>
      <c r="E3719" s="57" t="s">
        <v>12901</v>
      </c>
      <c r="F3719" s="57" t="s">
        <v>3787</v>
      </c>
      <c r="G3719" s="57" t="s">
        <v>12902</v>
      </c>
      <c r="H3719" s="77"/>
      <c r="I3719" s="39"/>
      <c r="J3719" s="81" t="s">
        <v>12903</v>
      </c>
      <c r="K3719" s="0" t="s">
        <v>12904</v>
      </c>
    </row>
    <row r="3720" customFormat="false" ht="34.2" hidden="false" customHeight="false" outlineLevel="0" collapsed="false">
      <c r="A3720" s="74"/>
      <c r="B3720" s="74"/>
      <c r="C3720" s="74"/>
      <c r="D3720" s="57" t="s">
        <v>3792</v>
      </c>
      <c r="E3720" s="57" t="s">
        <v>3792</v>
      </c>
      <c r="F3720" s="57" t="s">
        <v>3792</v>
      </c>
      <c r="G3720" s="57" t="s">
        <v>12905</v>
      </c>
      <c r="H3720" s="77" t="s">
        <v>12906</v>
      </c>
      <c r="I3720" s="34" t="s">
        <v>40</v>
      </c>
      <c r="J3720" s="81" t="s">
        <v>12907</v>
      </c>
      <c r="K3720" s="0" t="s">
        <v>12908</v>
      </c>
    </row>
    <row r="3721" customFormat="false" ht="34.2" hidden="false" customHeight="false" outlineLevel="0" collapsed="false">
      <c r="A3721" s="74"/>
      <c r="B3721" s="74"/>
      <c r="C3721" s="74"/>
      <c r="D3721" s="57" t="s">
        <v>12909</v>
      </c>
      <c r="E3721" s="57" t="s">
        <v>12910</v>
      </c>
      <c r="F3721" s="57" t="s">
        <v>3806</v>
      </c>
      <c r="G3721" s="57" t="s">
        <v>12911</v>
      </c>
      <c r="H3721" s="77" t="s">
        <v>12556</v>
      </c>
      <c r="I3721" s="34"/>
      <c r="J3721" s="81" t="s">
        <v>12912</v>
      </c>
      <c r="K3721" s="0" t="s">
        <v>12913</v>
      </c>
    </row>
    <row r="3722" customFormat="false" ht="34.2" hidden="false" customHeight="false" outlineLevel="0" collapsed="false">
      <c r="A3722" s="74"/>
      <c r="B3722" s="74"/>
      <c r="C3722" s="74"/>
      <c r="D3722" s="57" t="s">
        <v>3792</v>
      </c>
      <c r="E3722" s="57" t="s">
        <v>3792</v>
      </c>
      <c r="F3722" s="57" t="s">
        <v>3792</v>
      </c>
      <c r="G3722" s="57" t="s">
        <v>12914</v>
      </c>
      <c r="H3722" s="77" t="s">
        <v>12915</v>
      </c>
      <c r="I3722" s="37" t="s">
        <v>50</v>
      </c>
      <c r="J3722" s="81" t="s">
        <v>12916</v>
      </c>
      <c r="K3722" s="0" t="s">
        <v>12917</v>
      </c>
    </row>
    <row r="3723" customFormat="false" ht="34.2" hidden="false" customHeight="false" outlineLevel="0" collapsed="false">
      <c r="A3723" s="74"/>
      <c r="B3723" s="74"/>
      <c r="C3723" s="74"/>
      <c r="D3723" s="57" t="s">
        <v>12918</v>
      </c>
      <c r="E3723" s="57" t="s">
        <v>12919</v>
      </c>
      <c r="F3723" s="57" t="s">
        <v>3787</v>
      </c>
      <c r="G3723" s="57" t="s">
        <v>12660</v>
      </c>
      <c r="H3723" s="77"/>
      <c r="I3723" s="37"/>
      <c r="J3723" s="81" t="s">
        <v>12920</v>
      </c>
      <c r="K3723" s="0" t="s">
        <v>12921</v>
      </c>
    </row>
    <row r="3724" customFormat="false" ht="34.2" hidden="false" customHeight="false" outlineLevel="0" collapsed="false">
      <c r="A3724" s="74"/>
      <c r="B3724" s="74"/>
      <c r="C3724" s="74"/>
      <c r="D3724" s="57" t="s">
        <v>3792</v>
      </c>
      <c r="E3724" s="57" t="s">
        <v>3792</v>
      </c>
      <c r="F3724" s="57" t="s">
        <v>3792</v>
      </c>
      <c r="G3724" s="57" t="s">
        <v>12922</v>
      </c>
      <c r="H3724" s="77" t="s">
        <v>12923</v>
      </c>
      <c r="I3724" s="34" t="s">
        <v>40</v>
      </c>
      <c r="J3724" s="81" t="s">
        <v>12924</v>
      </c>
      <c r="K3724" s="0" t="s">
        <v>12925</v>
      </c>
    </row>
    <row r="3725" customFormat="false" ht="34.2" hidden="false" customHeight="false" outlineLevel="0" collapsed="false">
      <c r="A3725" s="74"/>
      <c r="B3725" s="74"/>
      <c r="C3725" s="74"/>
      <c r="D3725" s="57" t="s">
        <v>12926</v>
      </c>
      <c r="E3725" s="57" t="s">
        <v>12927</v>
      </c>
      <c r="F3725" s="57" t="s">
        <v>3806</v>
      </c>
      <c r="G3725" s="57" t="s">
        <v>12928</v>
      </c>
      <c r="H3725" s="77"/>
      <c r="I3725" s="34"/>
      <c r="J3725" s="81" t="s">
        <v>12929</v>
      </c>
      <c r="K3725" s="0" t="s">
        <v>12930</v>
      </c>
    </row>
    <row r="3726" customFormat="false" ht="34.2" hidden="false" customHeight="false" outlineLevel="0" collapsed="false">
      <c r="A3726" s="74"/>
      <c r="B3726" s="74"/>
      <c r="C3726" s="74"/>
      <c r="D3726" s="57" t="s">
        <v>3792</v>
      </c>
      <c r="E3726" s="57" t="s">
        <v>3792</v>
      </c>
      <c r="F3726" s="57" t="s">
        <v>3792</v>
      </c>
      <c r="G3726" s="57" t="s">
        <v>12931</v>
      </c>
      <c r="H3726" s="77" t="s">
        <v>12932</v>
      </c>
      <c r="I3726" s="39" t="s">
        <v>67</v>
      </c>
      <c r="J3726" s="81" t="s">
        <v>12933</v>
      </c>
      <c r="K3726" s="0" t="s">
        <v>12934</v>
      </c>
    </row>
    <row r="3727" customFormat="false" ht="34.2" hidden="false" customHeight="false" outlineLevel="0" collapsed="false">
      <c r="A3727" s="74"/>
      <c r="B3727" s="74"/>
      <c r="C3727" s="74"/>
      <c r="D3727" s="57" t="s">
        <v>12935</v>
      </c>
      <c r="E3727" s="57" t="s">
        <v>12936</v>
      </c>
      <c r="F3727" s="57" t="s">
        <v>3797</v>
      </c>
      <c r="G3727" s="57" t="s">
        <v>12937</v>
      </c>
      <c r="H3727" s="77"/>
      <c r="I3727" s="39"/>
      <c r="J3727" s="81" t="s">
        <v>12938</v>
      </c>
      <c r="K3727" s="0" t="s">
        <v>12939</v>
      </c>
    </row>
    <row r="3728" customFormat="false" ht="34.2" hidden="false" customHeight="false" outlineLevel="0" collapsed="false">
      <c r="A3728" s="74"/>
      <c r="B3728" s="74"/>
      <c r="C3728" s="74"/>
      <c r="D3728" s="0"/>
      <c r="E3728" s="57" t="s">
        <v>3792</v>
      </c>
      <c r="F3728" s="57" t="s">
        <v>3792</v>
      </c>
      <c r="G3728" s="57" t="s">
        <v>12940</v>
      </c>
      <c r="H3728" s="77" t="s">
        <v>12941</v>
      </c>
      <c r="I3728" s="34" t="s">
        <v>40</v>
      </c>
      <c r="J3728" s="81" t="s">
        <v>12942</v>
      </c>
      <c r="K3728" s="0" t="s">
        <v>12943</v>
      </c>
    </row>
    <row r="3729" customFormat="false" ht="34.2" hidden="false" customHeight="false" outlineLevel="0" collapsed="false">
      <c r="A3729" s="74"/>
      <c r="B3729" s="74"/>
      <c r="C3729" s="74" t="s">
        <v>12944</v>
      </c>
      <c r="D3729" s="57" t="s">
        <v>12945</v>
      </c>
      <c r="E3729" s="57" t="s">
        <v>12946</v>
      </c>
      <c r="F3729" s="57" t="s">
        <v>3787</v>
      </c>
      <c r="G3729" s="57" t="s">
        <v>12947</v>
      </c>
      <c r="H3729" s="77"/>
      <c r="I3729" s="34"/>
      <c r="J3729" s="81" t="s">
        <v>12948</v>
      </c>
      <c r="K3729" s="0" t="s">
        <v>12949</v>
      </c>
    </row>
    <row r="3730" customFormat="false" ht="34.2" hidden="false" customHeight="false" outlineLevel="0" collapsed="false">
      <c r="A3730" s="74"/>
      <c r="B3730" s="74"/>
      <c r="C3730" s="74"/>
      <c r="D3730" s="57" t="s">
        <v>3792</v>
      </c>
      <c r="E3730" s="57" t="s">
        <v>3792</v>
      </c>
      <c r="F3730" s="57" t="s">
        <v>3792</v>
      </c>
      <c r="G3730" s="57" t="s">
        <v>12950</v>
      </c>
      <c r="H3730" s="77" t="s">
        <v>12951</v>
      </c>
      <c r="I3730" s="37" t="s">
        <v>50</v>
      </c>
      <c r="J3730" s="81" t="s">
        <v>12952</v>
      </c>
      <c r="K3730" s="0" t="s">
        <v>12953</v>
      </c>
    </row>
    <row r="3731" customFormat="false" ht="34.2" hidden="false" customHeight="false" outlineLevel="0" collapsed="false">
      <c r="A3731" s="74"/>
      <c r="B3731" s="74"/>
      <c r="C3731" s="74"/>
      <c r="D3731" s="57" t="s">
        <v>12954</v>
      </c>
      <c r="E3731" s="57" t="s">
        <v>12955</v>
      </c>
      <c r="F3731" s="57" t="s">
        <v>3797</v>
      </c>
      <c r="G3731" s="57" t="s">
        <v>12956</v>
      </c>
      <c r="H3731" s="77"/>
      <c r="I3731" s="37"/>
      <c r="J3731" s="81" t="s">
        <v>12957</v>
      </c>
      <c r="K3731" s="0" t="s">
        <v>12958</v>
      </c>
    </row>
    <row r="3732" customFormat="false" ht="34.2" hidden="false" customHeight="false" outlineLevel="0" collapsed="false">
      <c r="A3732" s="74"/>
      <c r="B3732" s="74"/>
      <c r="C3732" s="74"/>
      <c r="D3732" s="57" t="s">
        <v>3792</v>
      </c>
      <c r="E3732" s="57" t="s">
        <v>3792</v>
      </c>
      <c r="F3732" s="57" t="s">
        <v>3792</v>
      </c>
      <c r="G3732" s="57" t="s">
        <v>12959</v>
      </c>
      <c r="H3732" s="77" t="s">
        <v>12960</v>
      </c>
      <c r="I3732" s="34" t="s">
        <v>40</v>
      </c>
      <c r="J3732" s="81" t="s">
        <v>12961</v>
      </c>
      <c r="K3732" s="0" t="s">
        <v>12962</v>
      </c>
    </row>
    <row r="3733" customFormat="false" ht="45.05" hidden="false" customHeight="false" outlineLevel="0" collapsed="false">
      <c r="A3733" s="74"/>
      <c r="B3733" s="74"/>
      <c r="C3733" s="74"/>
      <c r="D3733" s="57" t="s">
        <v>12963</v>
      </c>
      <c r="E3733" s="57" t="s">
        <v>12964</v>
      </c>
      <c r="F3733" s="57" t="s">
        <v>3806</v>
      </c>
      <c r="G3733" s="57" t="s">
        <v>12965</v>
      </c>
      <c r="H3733" s="77"/>
      <c r="I3733" s="34"/>
      <c r="J3733" s="81" t="s">
        <v>12966</v>
      </c>
      <c r="K3733" s="0" t="s">
        <v>12967</v>
      </c>
    </row>
    <row r="3734" customFormat="false" ht="34.2" hidden="false" customHeight="false" outlineLevel="0" collapsed="false">
      <c r="A3734" s="74"/>
      <c r="B3734" s="74"/>
      <c r="C3734" s="74"/>
      <c r="D3734" s="57" t="s">
        <v>3792</v>
      </c>
      <c r="E3734" s="57" t="s">
        <v>3792</v>
      </c>
      <c r="F3734" s="57" t="s">
        <v>3792</v>
      </c>
      <c r="G3734" s="57" t="s">
        <v>12968</v>
      </c>
      <c r="H3734" s="77" t="s">
        <v>12969</v>
      </c>
      <c r="I3734" s="39" t="s">
        <v>67</v>
      </c>
      <c r="J3734" s="81" t="s">
        <v>12970</v>
      </c>
      <c r="K3734" s="0" t="s">
        <v>12971</v>
      </c>
    </row>
    <row r="3735" customFormat="false" ht="45.05" hidden="false" customHeight="false" outlineLevel="0" collapsed="false">
      <c r="A3735" s="74"/>
      <c r="B3735" s="74"/>
      <c r="C3735" s="74"/>
      <c r="D3735" s="57" t="s">
        <v>12972</v>
      </c>
      <c r="E3735" s="57" t="s">
        <v>12973</v>
      </c>
      <c r="F3735" s="57" t="s">
        <v>3787</v>
      </c>
      <c r="G3735" s="57" t="s">
        <v>12974</v>
      </c>
      <c r="H3735" s="77" t="s">
        <v>12556</v>
      </c>
      <c r="I3735" s="39"/>
      <c r="J3735" s="81" t="s">
        <v>12975</v>
      </c>
      <c r="K3735" s="0" t="s">
        <v>12976</v>
      </c>
    </row>
    <row r="3736" customFormat="false" ht="34.2" hidden="false" customHeight="false" outlineLevel="0" collapsed="false">
      <c r="A3736" s="74"/>
      <c r="B3736" s="74"/>
      <c r="C3736" s="74"/>
      <c r="D3736" s="57" t="s">
        <v>3792</v>
      </c>
      <c r="E3736" s="57" t="s">
        <v>3792</v>
      </c>
      <c r="F3736" s="57" t="s">
        <v>3792</v>
      </c>
      <c r="G3736" s="57" t="s">
        <v>12977</v>
      </c>
      <c r="H3736" s="77" t="s">
        <v>12978</v>
      </c>
      <c r="I3736" s="34" t="s">
        <v>40</v>
      </c>
      <c r="J3736" s="81" t="s">
        <v>12979</v>
      </c>
      <c r="K3736" s="0" t="s">
        <v>12980</v>
      </c>
    </row>
    <row r="3737" customFormat="false" ht="34.2" hidden="false" customHeight="false" outlineLevel="0" collapsed="false">
      <c r="A3737" s="74"/>
      <c r="B3737" s="74"/>
      <c r="C3737" s="74"/>
      <c r="D3737" s="57" t="s">
        <v>12981</v>
      </c>
      <c r="E3737" s="57" t="s">
        <v>12982</v>
      </c>
      <c r="F3737" s="57" t="s">
        <v>3797</v>
      </c>
      <c r="G3737" s="57" t="s">
        <v>12983</v>
      </c>
      <c r="H3737" s="77" t="s">
        <v>12556</v>
      </c>
      <c r="I3737" s="34"/>
      <c r="J3737" s="81" t="s">
        <v>12984</v>
      </c>
      <c r="K3737" s="0" t="s">
        <v>12985</v>
      </c>
    </row>
    <row r="3738" customFormat="false" ht="34.2" hidden="false" customHeight="false" outlineLevel="0" collapsed="false">
      <c r="A3738" s="74"/>
      <c r="B3738" s="74"/>
      <c r="C3738" s="74"/>
      <c r="D3738" s="0"/>
      <c r="E3738" s="57" t="s">
        <v>3792</v>
      </c>
      <c r="F3738" s="57" t="s">
        <v>3792</v>
      </c>
      <c r="G3738" s="57" t="s">
        <v>12986</v>
      </c>
      <c r="H3738" s="77" t="s">
        <v>12987</v>
      </c>
      <c r="I3738" s="37" t="s">
        <v>50</v>
      </c>
      <c r="J3738" s="81" t="s">
        <v>12988</v>
      </c>
      <c r="K3738" s="0" t="s">
        <v>12989</v>
      </c>
    </row>
    <row r="3739" customFormat="false" ht="21.75" hidden="false" customHeight="false" outlineLevel="0" collapsed="false">
      <c r="A3739" s="74"/>
      <c r="B3739" s="74"/>
      <c r="C3739" s="74" t="s">
        <v>12990</v>
      </c>
      <c r="D3739" s="57" t="s">
        <v>12991</v>
      </c>
      <c r="E3739" s="57" t="s">
        <v>12992</v>
      </c>
      <c r="F3739" s="57" t="s">
        <v>3806</v>
      </c>
      <c r="G3739" s="57" t="s">
        <v>12993</v>
      </c>
      <c r="H3739" s="77"/>
      <c r="I3739" s="37"/>
      <c r="J3739" s="81" t="s">
        <v>12994</v>
      </c>
      <c r="K3739" s="0" t="s">
        <v>12995</v>
      </c>
    </row>
    <row r="3740" customFormat="false" ht="34.2" hidden="false" customHeight="false" outlineLevel="0" collapsed="false">
      <c r="A3740" s="74"/>
      <c r="B3740" s="74"/>
      <c r="C3740" s="74"/>
      <c r="D3740" s="57" t="s">
        <v>3792</v>
      </c>
      <c r="E3740" s="57" t="s">
        <v>3792</v>
      </c>
      <c r="F3740" s="57" t="s">
        <v>3792</v>
      </c>
      <c r="G3740" s="57" t="s">
        <v>12996</v>
      </c>
      <c r="H3740" s="77" t="s">
        <v>12997</v>
      </c>
      <c r="I3740" s="34" t="s">
        <v>40</v>
      </c>
      <c r="J3740" s="81" t="s">
        <v>12998</v>
      </c>
      <c r="K3740" s="0" t="s">
        <v>12999</v>
      </c>
    </row>
    <row r="3741" customFormat="false" ht="45.05" hidden="false" customHeight="false" outlineLevel="0" collapsed="false">
      <c r="A3741" s="74"/>
      <c r="B3741" s="74"/>
      <c r="C3741" s="74"/>
      <c r="D3741" s="57" t="s">
        <v>13000</v>
      </c>
      <c r="E3741" s="57" t="s">
        <v>13001</v>
      </c>
      <c r="F3741" s="57" t="s">
        <v>3797</v>
      </c>
      <c r="G3741" s="57" t="s">
        <v>13002</v>
      </c>
      <c r="H3741" s="77" t="s">
        <v>12525</v>
      </c>
      <c r="I3741" s="34"/>
      <c r="J3741" s="81" t="s">
        <v>13003</v>
      </c>
      <c r="K3741" s="0" t="s">
        <v>13004</v>
      </c>
    </row>
    <row r="3742" customFormat="false" ht="34.2" hidden="false" customHeight="false" outlineLevel="0" collapsed="false">
      <c r="A3742" s="74"/>
      <c r="B3742" s="74"/>
      <c r="C3742" s="74"/>
      <c r="D3742" s="57" t="s">
        <v>3792</v>
      </c>
      <c r="E3742" s="57" t="s">
        <v>3792</v>
      </c>
      <c r="F3742" s="57" t="s">
        <v>3792</v>
      </c>
      <c r="G3742" s="57" t="s">
        <v>13005</v>
      </c>
      <c r="H3742" s="77" t="s">
        <v>13006</v>
      </c>
      <c r="I3742" s="39" t="s">
        <v>67</v>
      </c>
      <c r="J3742" s="81" t="s">
        <v>13007</v>
      </c>
      <c r="K3742" s="0" t="s">
        <v>13008</v>
      </c>
    </row>
    <row r="3743" customFormat="false" ht="34.2" hidden="false" customHeight="false" outlineLevel="0" collapsed="false">
      <c r="A3743" s="74"/>
      <c r="B3743" s="74"/>
      <c r="C3743" s="74"/>
      <c r="D3743" s="57" t="s">
        <v>13009</v>
      </c>
      <c r="E3743" s="57" t="s">
        <v>13010</v>
      </c>
      <c r="F3743" s="57" t="s">
        <v>3787</v>
      </c>
      <c r="G3743" s="57" t="s">
        <v>13011</v>
      </c>
      <c r="H3743" s="77"/>
      <c r="I3743" s="39"/>
      <c r="J3743" s="81" t="s">
        <v>13012</v>
      </c>
      <c r="K3743" s="0" t="s">
        <v>13013</v>
      </c>
    </row>
    <row r="3744" customFormat="false" ht="21.75" hidden="false" customHeight="false" outlineLevel="0" collapsed="false">
      <c r="A3744" s="74"/>
      <c r="B3744" s="74"/>
      <c r="C3744" s="74"/>
      <c r="D3744" s="57" t="s">
        <v>3792</v>
      </c>
      <c r="E3744" s="57" t="s">
        <v>3792</v>
      </c>
      <c r="F3744" s="57" t="s">
        <v>3792</v>
      </c>
      <c r="G3744" s="57" t="s">
        <v>13014</v>
      </c>
      <c r="H3744" s="77" t="s">
        <v>13015</v>
      </c>
      <c r="I3744" s="34" t="s">
        <v>40</v>
      </c>
      <c r="J3744" s="81" t="s">
        <v>13016</v>
      </c>
      <c r="K3744" s="0" t="s">
        <v>13017</v>
      </c>
    </row>
    <row r="3745" customFormat="false" ht="34.2" hidden="false" customHeight="false" outlineLevel="0" collapsed="false">
      <c r="A3745" s="74"/>
      <c r="B3745" s="74"/>
      <c r="C3745" s="74"/>
      <c r="D3745" s="57" t="s">
        <v>13018</v>
      </c>
      <c r="E3745" s="57" t="s">
        <v>13019</v>
      </c>
      <c r="F3745" s="57" t="s">
        <v>3806</v>
      </c>
      <c r="G3745" s="57" t="s">
        <v>13020</v>
      </c>
      <c r="H3745" s="77"/>
      <c r="I3745" s="34"/>
      <c r="J3745" s="81" t="s">
        <v>13021</v>
      </c>
      <c r="K3745" s="0" t="s">
        <v>13022</v>
      </c>
    </row>
    <row r="3746" customFormat="false" ht="45.05" hidden="false" customHeight="false" outlineLevel="0" collapsed="false">
      <c r="A3746" s="74"/>
      <c r="B3746" s="74"/>
      <c r="C3746" s="74"/>
      <c r="D3746" s="57" t="s">
        <v>3792</v>
      </c>
      <c r="E3746" s="57" t="s">
        <v>3792</v>
      </c>
      <c r="F3746" s="57" t="s">
        <v>3792</v>
      </c>
      <c r="G3746" s="57" t="s">
        <v>13023</v>
      </c>
      <c r="H3746" s="77" t="s">
        <v>13024</v>
      </c>
      <c r="I3746" s="37" t="s">
        <v>50</v>
      </c>
      <c r="J3746" s="81" t="s">
        <v>13025</v>
      </c>
      <c r="K3746" s="0" t="s">
        <v>13026</v>
      </c>
    </row>
    <row r="3747" customFormat="false" ht="45.05" hidden="false" customHeight="false" outlineLevel="0" collapsed="false">
      <c r="A3747" s="74"/>
      <c r="B3747" s="74"/>
      <c r="C3747" s="74"/>
      <c r="D3747" s="57" t="s">
        <v>13027</v>
      </c>
      <c r="E3747" s="57" t="s">
        <v>13028</v>
      </c>
      <c r="F3747" s="57" t="s">
        <v>3787</v>
      </c>
      <c r="G3747" s="57" t="s">
        <v>13029</v>
      </c>
      <c r="H3747" s="77" t="s">
        <v>12556</v>
      </c>
      <c r="I3747" s="37"/>
      <c r="J3747" s="81" t="s">
        <v>13030</v>
      </c>
      <c r="K3747" s="0" t="s">
        <v>13031</v>
      </c>
    </row>
    <row r="3748" customFormat="false" ht="34.2" hidden="false" customHeight="false" outlineLevel="0" collapsed="false">
      <c r="A3748" s="74"/>
      <c r="B3748" s="74"/>
      <c r="C3748" s="74"/>
      <c r="D3748" s="0"/>
      <c r="E3748" s="57" t="s">
        <v>3792</v>
      </c>
      <c r="F3748" s="57" t="s">
        <v>3792</v>
      </c>
      <c r="G3748" s="57" t="s">
        <v>13032</v>
      </c>
      <c r="H3748" s="77" t="s">
        <v>13033</v>
      </c>
      <c r="I3748" s="34" t="s">
        <v>40</v>
      </c>
      <c r="J3748" s="81" t="s">
        <v>13034</v>
      </c>
      <c r="K3748" s="0" t="s">
        <v>13035</v>
      </c>
    </row>
    <row r="3749" customFormat="false" ht="45.05" hidden="false" customHeight="false" outlineLevel="0" collapsed="false">
      <c r="A3749" s="74"/>
      <c r="B3749" s="74"/>
      <c r="C3749" s="74" t="s">
        <v>13036</v>
      </c>
      <c r="D3749" s="57" t="s">
        <v>13037</v>
      </c>
      <c r="E3749" s="57" t="s">
        <v>13038</v>
      </c>
      <c r="F3749" s="57" t="s">
        <v>3797</v>
      </c>
      <c r="G3749" s="57" t="s">
        <v>13039</v>
      </c>
      <c r="H3749" s="77" t="s">
        <v>12556</v>
      </c>
      <c r="I3749" s="34"/>
      <c r="J3749" s="81" t="s">
        <v>13040</v>
      </c>
      <c r="K3749" s="0" t="s">
        <v>13041</v>
      </c>
    </row>
    <row r="3750" customFormat="false" ht="34.2" hidden="false" customHeight="false" outlineLevel="0" collapsed="false">
      <c r="A3750" s="74"/>
      <c r="B3750" s="74"/>
      <c r="C3750" s="74"/>
      <c r="D3750" s="57" t="s">
        <v>3792</v>
      </c>
      <c r="E3750" s="57" t="s">
        <v>3792</v>
      </c>
      <c r="F3750" s="57" t="s">
        <v>3792</v>
      </c>
      <c r="G3750" s="57" t="s">
        <v>13042</v>
      </c>
      <c r="H3750" s="77" t="s">
        <v>13043</v>
      </c>
      <c r="I3750" s="39" t="s">
        <v>67</v>
      </c>
      <c r="J3750" s="81" t="s">
        <v>13044</v>
      </c>
      <c r="K3750" s="0" t="s">
        <v>13045</v>
      </c>
    </row>
    <row r="3751" customFormat="false" ht="34.2" hidden="false" customHeight="false" outlineLevel="0" collapsed="false">
      <c r="A3751" s="74"/>
      <c r="B3751" s="74"/>
      <c r="C3751" s="74"/>
      <c r="D3751" s="57" t="s">
        <v>13046</v>
      </c>
      <c r="E3751" s="57" t="s">
        <v>13047</v>
      </c>
      <c r="F3751" s="57" t="s">
        <v>3806</v>
      </c>
      <c r="G3751" s="57" t="s">
        <v>13048</v>
      </c>
      <c r="H3751" s="77"/>
      <c r="I3751" s="39"/>
      <c r="J3751" s="81" t="s">
        <v>13049</v>
      </c>
      <c r="K3751" s="0" t="s">
        <v>13050</v>
      </c>
    </row>
    <row r="3752" customFormat="false" ht="34.2" hidden="false" customHeight="false" outlineLevel="0" collapsed="false">
      <c r="A3752" s="74"/>
      <c r="B3752" s="74"/>
      <c r="C3752" s="74"/>
      <c r="D3752" s="57" t="s">
        <v>3792</v>
      </c>
      <c r="E3752" s="57" t="s">
        <v>3792</v>
      </c>
      <c r="F3752" s="57" t="s">
        <v>3792</v>
      </c>
      <c r="G3752" s="57" t="s">
        <v>13051</v>
      </c>
      <c r="H3752" s="77" t="s">
        <v>13052</v>
      </c>
      <c r="I3752" s="34" t="s">
        <v>40</v>
      </c>
      <c r="J3752" s="81" t="s">
        <v>13053</v>
      </c>
      <c r="K3752" s="0" t="s">
        <v>13054</v>
      </c>
    </row>
    <row r="3753" customFormat="false" ht="34.2" hidden="false" customHeight="false" outlineLevel="0" collapsed="false">
      <c r="A3753" s="74"/>
      <c r="B3753" s="74"/>
      <c r="C3753" s="74"/>
      <c r="D3753" s="57" t="s">
        <v>13055</v>
      </c>
      <c r="E3753" s="57" t="s">
        <v>13056</v>
      </c>
      <c r="F3753" s="57" t="s">
        <v>3787</v>
      </c>
      <c r="G3753" s="57" t="s">
        <v>13057</v>
      </c>
      <c r="H3753" s="77"/>
      <c r="I3753" s="34"/>
      <c r="J3753" s="81" t="s">
        <v>13058</v>
      </c>
      <c r="K3753" s="0" t="s">
        <v>13059</v>
      </c>
    </row>
    <row r="3754" customFormat="false" ht="34.2" hidden="false" customHeight="false" outlineLevel="0" collapsed="false">
      <c r="A3754" s="74"/>
      <c r="B3754" s="74"/>
      <c r="C3754" s="74"/>
      <c r="D3754" s="57" t="s">
        <v>3792</v>
      </c>
      <c r="E3754" s="57" t="s">
        <v>3792</v>
      </c>
      <c r="F3754" s="57" t="s">
        <v>3792</v>
      </c>
      <c r="G3754" s="57" t="s">
        <v>13060</v>
      </c>
      <c r="H3754" s="77" t="s">
        <v>13061</v>
      </c>
      <c r="I3754" s="37" t="s">
        <v>50</v>
      </c>
      <c r="J3754" s="81" t="s">
        <v>13062</v>
      </c>
      <c r="K3754" s="0" t="s">
        <v>13063</v>
      </c>
    </row>
    <row r="3755" customFormat="false" ht="34.2" hidden="false" customHeight="false" outlineLevel="0" collapsed="false">
      <c r="A3755" s="74"/>
      <c r="B3755" s="74"/>
      <c r="C3755" s="74"/>
      <c r="D3755" s="57" t="s">
        <v>13064</v>
      </c>
      <c r="E3755" s="57" t="s">
        <v>13065</v>
      </c>
      <c r="F3755" s="57" t="s">
        <v>3806</v>
      </c>
      <c r="G3755" s="57" t="s">
        <v>13066</v>
      </c>
      <c r="H3755" s="77"/>
      <c r="I3755" s="37"/>
      <c r="J3755" s="81" t="s">
        <v>13067</v>
      </c>
      <c r="K3755" s="0" t="s">
        <v>13068</v>
      </c>
    </row>
    <row r="3756" customFormat="false" ht="34.2" hidden="false" customHeight="false" outlineLevel="0" collapsed="false">
      <c r="A3756" s="74"/>
      <c r="B3756" s="74"/>
      <c r="C3756" s="74"/>
      <c r="D3756" s="57" t="s">
        <v>3792</v>
      </c>
      <c r="E3756" s="57" t="s">
        <v>3792</v>
      </c>
      <c r="F3756" s="57" t="s">
        <v>3792</v>
      </c>
      <c r="G3756" s="57" t="s">
        <v>13069</v>
      </c>
      <c r="H3756" s="77" t="s">
        <v>13070</v>
      </c>
      <c r="I3756" s="34" t="s">
        <v>40</v>
      </c>
      <c r="J3756" s="81" t="s">
        <v>13071</v>
      </c>
      <c r="K3756" s="0" t="s">
        <v>13072</v>
      </c>
    </row>
    <row r="3757" customFormat="false" ht="34.2" hidden="false" customHeight="false" outlineLevel="0" collapsed="false">
      <c r="A3757" s="74"/>
      <c r="B3757" s="74"/>
      <c r="C3757" s="74"/>
      <c r="D3757" s="57" t="s">
        <v>13073</v>
      </c>
      <c r="E3757" s="57" t="s">
        <v>13074</v>
      </c>
      <c r="F3757" s="57" t="s">
        <v>3797</v>
      </c>
      <c r="G3757" s="57" t="s">
        <v>13075</v>
      </c>
      <c r="H3757" s="77"/>
      <c r="I3757" s="34"/>
      <c r="J3757" s="81" t="s">
        <v>13076</v>
      </c>
      <c r="K3757" s="0" t="s">
        <v>13077</v>
      </c>
    </row>
    <row r="3758" customFormat="false" ht="12.8" hidden="false" customHeight="false" outlineLevel="0" collapsed="false">
      <c r="A3758" s="74"/>
      <c r="B3758" s="74"/>
      <c r="C3758" s="74"/>
      <c r="D3758" s="0"/>
      <c r="E3758" s="57" t="s">
        <v>3792</v>
      </c>
      <c r="F3758" s="57" t="s">
        <v>3792</v>
      </c>
      <c r="G3758" s="0" t="s">
        <v>13078</v>
      </c>
      <c r="H3758" s="0"/>
      <c r="I3758" s="0"/>
      <c r="J3758" s="0"/>
      <c r="K3758" s="0"/>
    </row>
  </sheetData>
  <mergeCells count="4981">
    <mergeCell ref="A2:A1019"/>
    <mergeCell ref="B2:B109"/>
    <mergeCell ref="C2:C11"/>
    <mergeCell ref="D2:D3"/>
    <mergeCell ref="F2:F3"/>
    <mergeCell ref="G2:G3"/>
    <mergeCell ref="H2:H3"/>
    <mergeCell ref="I2:I3"/>
    <mergeCell ref="J2:J3"/>
    <mergeCell ref="D4:D5"/>
    <mergeCell ref="F4:F5"/>
    <mergeCell ref="G4:G5"/>
    <mergeCell ref="H4:H5"/>
    <mergeCell ref="I4:I5"/>
    <mergeCell ref="J4:J5"/>
    <mergeCell ref="D6:D7"/>
    <mergeCell ref="F6:F7"/>
    <mergeCell ref="G6:G7"/>
    <mergeCell ref="H6:H7"/>
    <mergeCell ref="I6:I7"/>
    <mergeCell ref="J6:J7"/>
    <mergeCell ref="D8:D9"/>
    <mergeCell ref="F8:F9"/>
    <mergeCell ref="G8:G9"/>
    <mergeCell ref="H8:H9"/>
    <mergeCell ref="I8:I9"/>
    <mergeCell ref="J8:J9"/>
    <mergeCell ref="D10:D11"/>
    <mergeCell ref="F10:F11"/>
    <mergeCell ref="G10:G11"/>
    <mergeCell ref="H10:H11"/>
    <mergeCell ref="I10:I11"/>
    <mergeCell ref="J10:J11"/>
    <mergeCell ref="C12:C25"/>
    <mergeCell ref="D12:D13"/>
    <mergeCell ref="F12:F13"/>
    <mergeCell ref="G12:G13"/>
    <mergeCell ref="H12:H13"/>
    <mergeCell ref="I12:I13"/>
    <mergeCell ref="J12:J13"/>
    <mergeCell ref="D14:D15"/>
    <mergeCell ref="F14:F15"/>
    <mergeCell ref="G14:G15"/>
    <mergeCell ref="H14:H15"/>
    <mergeCell ref="I14:I15"/>
    <mergeCell ref="J14:J15"/>
    <mergeCell ref="D16:D17"/>
    <mergeCell ref="F16:F17"/>
    <mergeCell ref="G16:G17"/>
    <mergeCell ref="H16:H17"/>
    <mergeCell ref="I16:I17"/>
    <mergeCell ref="J16:J17"/>
    <mergeCell ref="D18:D19"/>
    <mergeCell ref="F18:F19"/>
    <mergeCell ref="G18:G19"/>
    <mergeCell ref="H18:H19"/>
    <mergeCell ref="I18:I19"/>
    <mergeCell ref="J18:J19"/>
    <mergeCell ref="D20:D21"/>
    <mergeCell ref="F20:F21"/>
    <mergeCell ref="G20:G21"/>
    <mergeCell ref="H20:H21"/>
    <mergeCell ref="I20:I21"/>
    <mergeCell ref="J20:J21"/>
    <mergeCell ref="D22:D23"/>
    <mergeCell ref="F22:F23"/>
    <mergeCell ref="G22:G23"/>
    <mergeCell ref="H22:H23"/>
    <mergeCell ref="I22:I23"/>
    <mergeCell ref="J22:J23"/>
    <mergeCell ref="D24:D25"/>
    <mergeCell ref="F24:F25"/>
    <mergeCell ref="G24:G25"/>
    <mergeCell ref="H24:H25"/>
    <mergeCell ref="I24:I25"/>
    <mergeCell ref="J24:J25"/>
    <mergeCell ref="C26:C35"/>
    <mergeCell ref="D26:D27"/>
    <mergeCell ref="F26:F27"/>
    <mergeCell ref="G26:G27"/>
    <mergeCell ref="H26:H27"/>
    <mergeCell ref="I26:I27"/>
    <mergeCell ref="J26:J27"/>
    <mergeCell ref="D28:D29"/>
    <mergeCell ref="F28:F29"/>
    <mergeCell ref="G28:G29"/>
    <mergeCell ref="H28:H29"/>
    <mergeCell ref="I28:I29"/>
    <mergeCell ref="J28:J29"/>
    <mergeCell ref="D30:D31"/>
    <mergeCell ref="F30:F31"/>
    <mergeCell ref="G30:G31"/>
    <mergeCell ref="H30:H31"/>
    <mergeCell ref="I30:I31"/>
    <mergeCell ref="J30:J31"/>
    <mergeCell ref="D32:D33"/>
    <mergeCell ref="F32:F33"/>
    <mergeCell ref="G32:G33"/>
    <mergeCell ref="H32:H33"/>
    <mergeCell ref="I32:I33"/>
    <mergeCell ref="J32:J33"/>
    <mergeCell ref="D34:D35"/>
    <mergeCell ref="F34:F35"/>
    <mergeCell ref="G34:G35"/>
    <mergeCell ref="H34:H35"/>
    <mergeCell ref="I34:I35"/>
    <mergeCell ref="J34:J35"/>
    <mergeCell ref="C36:C45"/>
    <mergeCell ref="D36:D37"/>
    <mergeCell ref="F36:F37"/>
    <mergeCell ref="G36:G37"/>
    <mergeCell ref="H36:H37"/>
    <mergeCell ref="I36:I37"/>
    <mergeCell ref="J36:J37"/>
    <mergeCell ref="D38:D39"/>
    <mergeCell ref="F38:F39"/>
    <mergeCell ref="G38:G39"/>
    <mergeCell ref="H38:H39"/>
    <mergeCell ref="I38:I39"/>
    <mergeCell ref="J38:J39"/>
    <mergeCell ref="D40:D41"/>
    <mergeCell ref="F40:F41"/>
    <mergeCell ref="G40:G41"/>
    <mergeCell ref="H40:H41"/>
    <mergeCell ref="I40:I41"/>
    <mergeCell ref="J40:J41"/>
    <mergeCell ref="D42:D43"/>
    <mergeCell ref="F42:F43"/>
    <mergeCell ref="G42:G43"/>
    <mergeCell ref="H42:H43"/>
    <mergeCell ref="I42:I43"/>
    <mergeCell ref="J42:J43"/>
    <mergeCell ref="D44:D45"/>
    <mergeCell ref="F44:F45"/>
    <mergeCell ref="G44:G45"/>
    <mergeCell ref="H44:H45"/>
    <mergeCell ref="I44:I45"/>
    <mergeCell ref="J44:J45"/>
    <mergeCell ref="C46:C55"/>
    <mergeCell ref="D46:D47"/>
    <mergeCell ref="F46:F47"/>
    <mergeCell ref="G46:G47"/>
    <mergeCell ref="H46:H47"/>
    <mergeCell ref="I46:I47"/>
    <mergeCell ref="J46:J47"/>
    <mergeCell ref="D48:D49"/>
    <mergeCell ref="F48:F49"/>
    <mergeCell ref="G48:G49"/>
    <mergeCell ref="H48:H49"/>
    <mergeCell ref="I48:I49"/>
    <mergeCell ref="J48:J49"/>
    <mergeCell ref="D50:D51"/>
    <mergeCell ref="F50:F51"/>
    <mergeCell ref="G50:G51"/>
    <mergeCell ref="H50:H51"/>
    <mergeCell ref="I50:I51"/>
    <mergeCell ref="J50:J51"/>
    <mergeCell ref="D52:D53"/>
    <mergeCell ref="F52:F53"/>
    <mergeCell ref="G52:G53"/>
    <mergeCell ref="H52:H53"/>
    <mergeCell ref="I52:I53"/>
    <mergeCell ref="J52:J53"/>
    <mergeCell ref="D54:D55"/>
    <mergeCell ref="F54:F55"/>
    <mergeCell ref="G54:G55"/>
    <mergeCell ref="H54:H55"/>
    <mergeCell ref="I54:I55"/>
    <mergeCell ref="J54:J55"/>
    <mergeCell ref="C56:C65"/>
    <mergeCell ref="D56:D57"/>
    <mergeCell ref="F56:F57"/>
    <mergeCell ref="G56:G57"/>
    <mergeCell ref="H56:H57"/>
    <mergeCell ref="I56:I57"/>
    <mergeCell ref="J56:J57"/>
    <mergeCell ref="D58:D59"/>
    <mergeCell ref="F58:F59"/>
    <mergeCell ref="G58:G59"/>
    <mergeCell ref="H58:H59"/>
    <mergeCell ref="I58:I59"/>
    <mergeCell ref="J58:J59"/>
    <mergeCell ref="D60:D61"/>
    <mergeCell ref="F60:F61"/>
    <mergeCell ref="G60:G61"/>
    <mergeCell ref="H60:H61"/>
    <mergeCell ref="I60:I61"/>
    <mergeCell ref="J60:J61"/>
    <mergeCell ref="D62:D63"/>
    <mergeCell ref="F62:F63"/>
    <mergeCell ref="G62:G63"/>
    <mergeCell ref="H62:H63"/>
    <mergeCell ref="I62:I63"/>
    <mergeCell ref="J62:J63"/>
    <mergeCell ref="D64:D65"/>
    <mergeCell ref="F64:F65"/>
    <mergeCell ref="G64:G65"/>
    <mergeCell ref="H64:H65"/>
    <mergeCell ref="I64:I65"/>
    <mergeCell ref="J64:J65"/>
    <mergeCell ref="C66:C77"/>
    <mergeCell ref="D66:D67"/>
    <mergeCell ref="F66:F67"/>
    <mergeCell ref="G66:G67"/>
    <mergeCell ref="H66:H67"/>
    <mergeCell ref="I66:I67"/>
    <mergeCell ref="J66:J67"/>
    <mergeCell ref="D68:D69"/>
    <mergeCell ref="F68:F69"/>
    <mergeCell ref="G68:G69"/>
    <mergeCell ref="H68:H69"/>
    <mergeCell ref="I68:I69"/>
    <mergeCell ref="J68:J69"/>
    <mergeCell ref="D70:D71"/>
    <mergeCell ref="F70:F71"/>
    <mergeCell ref="G70:G71"/>
    <mergeCell ref="H70:H71"/>
    <mergeCell ref="I70:I71"/>
    <mergeCell ref="J70:J71"/>
    <mergeCell ref="D72:D73"/>
    <mergeCell ref="F72:F73"/>
    <mergeCell ref="G72:G73"/>
    <mergeCell ref="H72:H73"/>
    <mergeCell ref="I72:I73"/>
    <mergeCell ref="J72:J73"/>
    <mergeCell ref="D74:D75"/>
    <mergeCell ref="F74:F75"/>
    <mergeCell ref="G74:G75"/>
    <mergeCell ref="H74:H75"/>
    <mergeCell ref="I74:I75"/>
    <mergeCell ref="J74:J75"/>
    <mergeCell ref="D76:D77"/>
    <mergeCell ref="F76:F77"/>
    <mergeCell ref="G76:G77"/>
    <mergeCell ref="H76:H77"/>
    <mergeCell ref="I76:I77"/>
    <mergeCell ref="J76:J77"/>
    <mergeCell ref="C78:C87"/>
    <mergeCell ref="D78:D79"/>
    <mergeCell ref="F78:F79"/>
    <mergeCell ref="G78:G79"/>
    <mergeCell ref="H78:H79"/>
    <mergeCell ref="I78:I79"/>
    <mergeCell ref="J78:J79"/>
    <mergeCell ref="D80:D81"/>
    <mergeCell ref="F80:F81"/>
    <mergeCell ref="G80:G81"/>
    <mergeCell ref="H80:H81"/>
    <mergeCell ref="I80:I81"/>
    <mergeCell ref="J80:J81"/>
    <mergeCell ref="D82:D83"/>
    <mergeCell ref="F82:F83"/>
    <mergeCell ref="G82:G83"/>
    <mergeCell ref="H82:H83"/>
    <mergeCell ref="I82:I83"/>
    <mergeCell ref="J82:J83"/>
    <mergeCell ref="D84:D85"/>
    <mergeCell ref="F84:F85"/>
    <mergeCell ref="G84:G85"/>
    <mergeCell ref="H84:H85"/>
    <mergeCell ref="I84:I85"/>
    <mergeCell ref="J84:J85"/>
    <mergeCell ref="D86:D87"/>
    <mergeCell ref="F86:F87"/>
    <mergeCell ref="G86:G87"/>
    <mergeCell ref="H86:H87"/>
    <mergeCell ref="I86:I87"/>
    <mergeCell ref="J86:J87"/>
    <mergeCell ref="C88:C97"/>
    <mergeCell ref="D88:D89"/>
    <mergeCell ref="F88:F89"/>
    <mergeCell ref="G88:G89"/>
    <mergeCell ref="H88:H89"/>
    <mergeCell ref="I88:I89"/>
    <mergeCell ref="J88:J89"/>
    <mergeCell ref="D90:D91"/>
    <mergeCell ref="F90:F91"/>
    <mergeCell ref="G90:G91"/>
    <mergeCell ref="H90:H91"/>
    <mergeCell ref="I90:I91"/>
    <mergeCell ref="J90:J91"/>
    <mergeCell ref="D92:D93"/>
    <mergeCell ref="F92:F93"/>
    <mergeCell ref="G92:G93"/>
    <mergeCell ref="H92:H93"/>
    <mergeCell ref="I92:I93"/>
    <mergeCell ref="J92:J93"/>
    <mergeCell ref="D94:D95"/>
    <mergeCell ref="F94:F95"/>
    <mergeCell ref="G94:G95"/>
    <mergeCell ref="H94:H95"/>
    <mergeCell ref="I94:I95"/>
    <mergeCell ref="J94:J95"/>
    <mergeCell ref="D96:D97"/>
    <mergeCell ref="F96:F97"/>
    <mergeCell ref="G96:G97"/>
    <mergeCell ref="H96:H97"/>
    <mergeCell ref="I96:I97"/>
    <mergeCell ref="J96:J97"/>
    <mergeCell ref="C98:C109"/>
    <mergeCell ref="D98:D99"/>
    <mergeCell ref="F98:F99"/>
    <mergeCell ref="G98:G99"/>
    <mergeCell ref="H98:H99"/>
    <mergeCell ref="I98:I99"/>
    <mergeCell ref="J98:J99"/>
    <mergeCell ref="D100:D101"/>
    <mergeCell ref="F100:F101"/>
    <mergeCell ref="G100:G101"/>
    <mergeCell ref="H100:H101"/>
    <mergeCell ref="I100:I101"/>
    <mergeCell ref="J100:J101"/>
    <mergeCell ref="D102:D103"/>
    <mergeCell ref="F102:F103"/>
    <mergeCell ref="G102:G103"/>
    <mergeCell ref="H102:H103"/>
    <mergeCell ref="I102:I103"/>
    <mergeCell ref="J102:J103"/>
    <mergeCell ref="D104:D105"/>
    <mergeCell ref="F104:F105"/>
    <mergeCell ref="G104:G105"/>
    <mergeCell ref="H104:H105"/>
    <mergeCell ref="I104:I105"/>
    <mergeCell ref="J104:J105"/>
    <mergeCell ref="D106:D107"/>
    <mergeCell ref="F106:F107"/>
    <mergeCell ref="G106:G107"/>
    <mergeCell ref="H106:H107"/>
    <mergeCell ref="I106:I107"/>
    <mergeCell ref="J106:J107"/>
    <mergeCell ref="D108:D109"/>
    <mergeCell ref="F108:F109"/>
    <mergeCell ref="G108:G109"/>
    <mergeCell ref="H108:H109"/>
    <mergeCell ref="I108:I109"/>
    <mergeCell ref="J108:J109"/>
    <mergeCell ref="B110:B389"/>
    <mergeCell ref="C110:C119"/>
    <mergeCell ref="D110:D111"/>
    <mergeCell ref="F110:F111"/>
    <mergeCell ref="G110:G111"/>
    <mergeCell ref="H110:H111"/>
    <mergeCell ref="I110:I111"/>
    <mergeCell ref="J110:J111"/>
    <mergeCell ref="D112:D113"/>
    <mergeCell ref="F112:F113"/>
    <mergeCell ref="G112:G113"/>
    <mergeCell ref="H112:H113"/>
    <mergeCell ref="I112:I113"/>
    <mergeCell ref="J112:J113"/>
    <mergeCell ref="D114:D115"/>
    <mergeCell ref="F114:F115"/>
    <mergeCell ref="G114:G115"/>
    <mergeCell ref="H114:H115"/>
    <mergeCell ref="I114:I115"/>
    <mergeCell ref="J114:J115"/>
    <mergeCell ref="D116:D117"/>
    <mergeCell ref="F116:F117"/>
    <mergeCell ref="G116:G117"/>
    <mergeCell ref="H116:H117"/>
    <mergeCell ref="I116:I117"/>
    <mergeCell ref="J116:J117"/>
    <mergeCell ref="D118:D119"/>
    <mergeCell ref="F118:F119"/>
    <mergeCell ref="G118:G119"/>
    <mergeCell ref="H118:H119"/>
    <mergeCell ref="I118:I119"/>
    <mergeCell ref="J118:J119"/>
    <mergeCell ref="C120:C129"/>
    <mergeCell ref="D120:D121"/>
    <mergeCell ref="F120:F121"/>
    <mergeCell ref="G120:G121"/>
    <mergeCell ref="H120:H121"/>
    <mergeCell ref="I120:I121"/>
    <mergeCell ref="J120:J121"/>
    <mergeCell ref="D122:D123"/>
    <mergeCell ref="F122:F123"/>
    <mergeCell ref="G122:G123"/>
    <mergeCell ref="H122:H123"/>
    <mergeCell ref="I122:I123"/>
    <mergeCell ref="J122:J123"/>
    <mergeCell ref="D124:D125"/>
    <mergeCell ref="F124:F125"/>
    <mergeCell ref="G124:G125"/>
    <mergeCell ref="H124:H125"/>
    <mergeCell ref="I124:I125"/>
    <mergeCell ref="J124:J125"/>
    <mergeCell ref="D126:D127"/>
    <mergeCell ref="F126:F127"/>
    <mergeCell ref="G126:G127"/>
    <mergeCell ref="H126:H127"/>
    <mergeCell ref="I126:I127"/>
    <mergeCell ref="J126:J127"/>
    <mergeCell ref="D128:D129"/>
    <mergeCell ref="F128:F129"/>
    <mergeCell ref="G128:G129"/>
    <mergeCell ref="H128:H129"/>
    <mergeCell ref="I128:I129"/>
    <mergeCell ref="J128:J129"/>
    <mergeCell ref="C130:C139"/>
    <mergeCell ref="D130:D131"/>
    <mergeCell ref="F130:F131"/>
    <mergeCell ref="G130:G131"/>
    <mergeCell ref="H130:H131"/>
    <mergeCell ref="I130:I131"/>
    <mergeCell ref="J130:J131"/>
    <mergeCell ref="D132:D133"/>
    <mergeCell ref="F132:F133"/>
    <mergeCell ref="G132:G133"/>
    <mergeCell ref="H132:H133"/>
    <mergeCell ref="I132:I133"/>
    <mergeCell ref="J132:J133"/>
    <mergeCell ref="D134:D135"/>
    <mergeCell ref="F134:F135"/>
    <mergeCell ref="G134:G135"/>
    <mergeCell ref="H134:H135"/>
    <mergeCell ref="I134:I135"/>
    <mergeCell ref="J134:J135"/>
    <mergeCell ref="D136:D137"/>
    <mergeCell ref="F136:F137"/>
    <mergeCell ref="G136:G137"/>
    <mergeCell ref="H136:H137"/>
    <mergeCell ref="I136:I137"/>
    <mergeCell ref="J136:J137"/>
    <mergeCell ref="D138:D139"/>
    <mergeCell ref="F138:F139"/>
    <mergeCell ref="G138:G139"/>
    <mergeCell ref="H138:H139"/>
    <mergeCell ref="I138:I139"/>
    <mergeCell ref="J138:J139"/>
    <mergeCell ref="C140:C149"/>
    <mergeCell ref="D140:D141"/>
    <mergeCell ref="F140:F141"/>
    <mergeCell ref="G140:G141"/>
    <mergeCell ref="H140:H141"/>
    <mergeCell ref="I140:I141"/>
    <mergeCell ref="J140:J141"/>
    <mergeCell ref="D142:D143"/>
    <mergeCell ref="F142:F143"/>
    <mergeCell ref="G142:G143"/>
    <mergeCell ref="H142:H143"/>
    <mergeCell ref="I142:I143"/>
    <mergeCell ref="J142:J143"/>
    <mergeCell ref="D144:D145"/>
    <mergeCell ref="F144:F145"/>
    <mergeCell ref="G144:G145"/>
    <mergeCell ref="H144:H145"/>
    <mergeCell ref="I144:I145"/>
    <mergeCell ref="J144:J145"/>
    <mergeCell ref="D146:D147"/>
    <mergeCell ref="F146:F147"/>
    <mergeCell ref="G146:G147"/>
    <mergeCell ref="H146:H147"/>
    <mergeCell ref="I146:I147"/>
    <mergeCell ref="J146:J147"/>
    <mergeCell ref="D148:D149"/>
    <mergeCell ref="F148:F149"/>
    <mergeCell ref="G148:G149"/>
    <mergeCell ref="H148:H149"/>
    <mergeCell ref="I148:I149"/>
    <mergeCell ref="J148:J149"/>
    <mergeCell ref="C150:C159"/>
    <mergeCell ref="D150:D151"/>
    <mergeCell ref="F150:F151"/>
    <mergeCell ref="G150:G151"/>
    <mergeCell ref="H150:H151"/>
    <mergeCell ref="I150:I151"/>
    <mergeCell ref="J150:J151"/>
    <mergeCell ref="D152:D153"/>
    <mergeCell ref="F152:F153"/>
    <mergeCell ref="G152:G153"/>
    <mergeCell ref="H152:H153"/>
    <mergeCell ref="I152:I153"/>
    <mergeCell ref="J152:J153"/>
    <mergeCell ref="D154:D155"/>
    <mergeCell ref="F154:F155"/>
    <mergeCell ref="G154:G155"/>
    <mergeCell ref="H154:H155"/>
    <mergeCell ref="I154:I155"/>
    <mergeCell ref="J154:J155"/>
    <mergeCell ref="D156:D157"/>
    <mergeCell ref="F156:F157"/>
    <mergeCell ref="G156:G157"/>
    <mergeCell ref="H156:H157"/>
    <mergeCell ref="I156:I157"/>
    <mergeCell ref="J156:J157"/>
    <mergeCell ref="D158:D159"/>
    <mergeCell ref="F158:F159"/>
    <mergeCell ref="G158:G159"/>
    <mergeCell ref="H158:H159"/>
    <mergeCell ref="I158:I159"/>
    <mergeCell ref="J158:J159"/>
    <mergeCell ref="C160:C169"/>
    <mergeCell ref="D160:D161"/>
    <mergeCell ref="F160:F161"/>
    <mergeCell ref="G160:G161"/>
    <mergeCell ref="H160:H161"/>
    <mergeCell ref="I160:I161"/>
    <mergeCell ref="J160:J161"/>
    <mergeCell ref="D162:D163"/>
    <mergeCell ref="F162:F163"/>
    <mergeCell ref="G162:G163"/>
    <mergeCell ref="H162:H163"/>
    <mergeCell ref="I162:I163"/>
    <mergeCell ref="J162:J163"/>
    <mergeCell ref="D164:D165"/>
    <mergeCell ref="F164:F165"/>
    <mergeCell ref="G164:G165"/>
    <mergeCell ref="H164:H165"/>
    <mergeCell ref="I164:I165"/>
    <mergeCell ref="J164:J165"/>
    <mergeCell ref="D166:D167"/>
    <mergeCell ref="F166:F167"/>
    <mergeCell ref="G166:G167"/>
    <mergeCell ref="H166:H167"/>
    <mergeCell ref="I166:I167"/>
    <mergeCell ref="J166:J167"/>
    <mergeCell ref="D168:D169"/>
    <mergeCell ref="F168:F169"/>
    <mergeCell ref="G168:G169"/>
    <mergeCell ref="H168:H169"/>
    <mergeCell ref="I168:I169"/>
    <mergeCell ref="J168:J169"/>
    <mergeCell ref="C170:C179"/>
    <mergeCell ref="D170:D171"/>
    <mergeCell ref="F170:F171"/>
    <mergeCell ref="G170:G171"/>
    <mergeCell ref="H170:H171"/>
    <mergeCell ref="I170:I171"/>
    <mergeCell ref="J170:J171"/>
    <mergeCell ref="D172:D173"/>
    <mergeCell ref="F172:F173"/>
    <mergeCell ref="G172:G173"/>
    <mergeCell ref="H172:H173"/>
    <mergeCell ref="I172:I173"/>
    <mergeCell ref="J172:J173"/>
    <mergeCell ref="D174:D175"/>
    <mergeCell ref="F174:F175"/>
    <mergeCell ref="G174:G175"/>
    <mergeCell ref="H174:H175"/>
    <mergeCell ref="I174:I175"/>
    <mergeCell ref="J174:J175"/>
    <mergeCell ref="D176:D177"/>
    <mergeCell ref="F176:F177"/>
    <mergeCell ref="G176:G177"/>
    <mergeCell ref="H176:H177"/>
    <mergeCell ref="I176:I177"/>
    <mergeCell ref="J176:J177"/>
    <mergeCell ref="D178:D179"/>
    <mergeCell ref="F178:F179"/>
    <mergeCell ref="G178:G179"/>
    <mergeCell ref="H178:H179"/>
    <mergeCell ref="I178:I179"/>
    <mergeCell ref="J178:J179"/>
    <mergeCell ref="C180:C189"/>
    <mergeCell ref="D180:D181"/>
    <mergeCell ref="F180:F181"/>
    <mergeCell ref="G180:G181"/>
    <mergeCell ref="H180:H181"/>
    <mergeCell ref="I180:I181"/>
    <mergeCell ref="J180:J181"/>
    <mergeCell ref="D182:D183"/>
    <mergeCell ref="F182:F183"/>
    <mergeCell ref="G182:G183"/>
    <mergeCell ref="H182:H183"/>
    <mergeCell ref="I182:I183"/>
    <mergeCell ref="J182:J183"/>
    <mergeCell ref="D184:D185"/>
    <mergeCell ref="F184:F185"/>
    <mergeCell ref="G184:G185"/>
    <mergeCell ref="H184:H185"/>
    <mergeCell ref="I184:I185"/>
    <mergeCell ref="J184:J185"/>
    <mergeCell ref="D186:D187"/>
    <mergeCell ref="F186:F187"/>
    <mergeCell ref="G186:G187"/>
    <mergeCell ref="H186:H187"/>
    <mergeCell ref="I186:I187"/>
    <mergeCell ref="J186:J187"/>
    <mergeCell ref="D188:D189"/>
    <mergeCell ref="F188:F189"/>
    <mergeCell ref="G188:G189"/>
    <mergeCell ref="H188:H189"/>
    <mergeCell ref="I188:I189"/>
    <mergeCell ref="J188:J189"/>
    <mergeCell ref="C190:C199"/>
    <mergeCell ref="D190:D191"/>
    <mergeCell ref="F190:F191"/>
    <mergeCell ref="G190:G191"/>
    <mergeCell ref="H190:H191"/>
    <mergeCell ref="I190:I191"/>
    <mergeCell ref="J190:J191"/>
    <mergeCell ref="D192:D193"/>
    <mergeCell ref="F192:F193"/>
    <mergeCell ref="G192:G193"/>
    <mergeCell ref="H192:H193"/>
    <mergeCell ref="I192:I193"/>
    <mergeCell ref="J192:J193"/>
    <mergeCell ref="D194:D195"/>
    <mergeCell ref="F194:F195"/>
    <mergeCell ref="G194:G195"/>
    <mergeCell ref="H194:H195"/>
    <mergeCell ref="I194:I195"/>
    <mergeCell ref="J194:J195"/>
    <mergeCell ref="D196:D197"/>
    <mergeCell ref="F196:F197"/>
    <mergeCell ref="G196:G197"/>
    <mergeCell ref="H196:H197"/>
    <mergeCell ref="I196:I197"/>
    <mergeCell ref="J196:J197"/>
    <mergeCell ref="D198:D199"/>
    <mergeCell ref="F198:F199"/>
    <mergeCell ref="G198:G199"/>
    <mergeCell ref="H198:H199"/>
    <mergeCell ref="I198:I199"/>
    <mergeCell ref="J198:J199"/>
    <mergeCell ref="C200:C209"/>
    <mergeCell ref="D200:D201"/>
    <mergeCell ref="F200:F201"/>
    <mergeCell ref="G200:G201"/>
    <mergeCell ref="H200:H201"/>
    <mergeCell ref="I200:I201"/>
    <mergeCell ref="J200:J201"/>
    <mergeCell ref="D202:D203"/>
    <mergeCell ref="F202:F203"/>
    <mergeCell ref="G202:G203"/>
    <mergeCell ref="H202:H203"/>
    <mergeCell ref="I202:I203"/>
    <mergeCell ref="J202:J203"/>
    <mergeCell ref="D204:D205"/>
    <mergeCell ref="F204:F205"/>
    <mergeCell ref="G204:G205"/>
    <mergeCell ref="H204:H205"/>
    <mergeCell ref="I204:I205"/>
    <mergeCell ref="J204:J205"/>
    <mergeCell ref="D206:D207"/>
    <mergeCell ref="F206:F207"/>
    <mergeCell ref="G206:G207"/>
    <mergeCell ref="H206:H207"/>
    <mergeCell ref="I206:I207"/>
    <mergeCell ref="J206:J207"/>
    <mergeCell ref="D208:D209"/>
    <mergeCell ref="F208:F209"/>
    <mergeCell ref="G208:G209"/>
    <mergeCell ref="H208:H209"/>
    <mergeCell ref="I208:I209"/>
    <mergeCell ref="J208:J209"/>
    <mergeCell ref="C210:C219"/>
    <mergeCell ref="D210:D211"/>
    <mergeCell ref="F210:F211"/>
    <mergeCell ref="G210:G211"/>
    <mergeCell ref="H210:H211"/>
    <mergeCell ref="I210:I211"/>
    <mergeCell ref="J210:J211"/>
    <mergeCell ref="D212:D213"/>
    <mergeCell ref="F212:F213"/>
    <mergeCell ref="G212:G213"/>
    <mergeCell ref="H212:H213"/>
    <mergeCell ref="I212:I213"/>
    <mergeCell ref="J212:J213"/>
    <mergeCell ref="D214:D215"/>
    <mergeCell ref="F214:F215"/>
    <mergeCell ref="G214:G215"/>
    <mergeCell ref="H214:H215"/>
    <mergeCell ref="I214:I215"/>
    <mergeCell ref="J214:J215"/>
    <mergeCell ref="D216:D217"/>
    <mergeCell ref="F216:F217"/>
    <mergeCell ref="G216:G217"/>
    <mergeCell ref="H216:H217"/>
    <mergeCell ref="I216:I217"/>
    <mergeCell ref="J216:J217"/>
    <mergeCell ref="D218:D219"/>
    <mergeCell ref="F218:F219"/>
    <mergeCell ref="G218:G219"/>
    <mergeCell ref="H218:H219"/>
    <mergeCell ref="I218:I219"/>
    <mergeCell ref="J218:J219"/>
    <mergeCell ref="C220:C229"/>
    <mergeCell ref="D220:D221"/>
    <mergeCell ref="F220:F221"/>
    <mergeCell ref="G220:G221"/>
    <mergeCell ref="H220:H221"/>
    <mergeCell ref="I220:I221"/>
    <mergeCell ref="J220:J221"/>
    <mergeCell ref="D222:D223"/>
    <mergeCell ref="F222:F223"/>
    <mergeCell ref="G222:G223"/>
    <mergeCell ref="H222:H223"/>
    <mergeCell ref="I222:I223"/>
    <mergeCell ref="J222:J223"/>
    <mergeCell ref="D224:D225"/>
    <mergeCell ref="F224:F225"/>
    <mergeCell ref="G224:G225"/>
    <mergeCell ref="H224:H225"/>
    <mergeCell ref="I224:I225"/>
    <mergeCell ref="J224:J225"/>
    <mergeCell ref="D226:D227"/>
    <mergeCell ref="F226:F227"/>
    <mergeCell ref="G226:G227"/>
    <mergeCell ref="H226:H227"/>
    <mergeCell ref="I226:I227"/>
    <mergeCell ref="J226:J227"/>
    <mergeCell ref="D228:D229"/>
    <mergeCell ref="F228:F229"/>
    <mergeCell ref="G228:G229"/>
    <mergeCell ref="H228:H229"/>
    <mergeCell ref="I228:I229"/>
    <mergeCell ref="J228:J229"/>
    <mergeCell ref="C230:C239"/>
    <mergeCell ref="D230:D231"/>
    <mergeCell ref="F230:F231"/>
    <mergeCell ref="G230:G231"/>
    <mergeCell ref="H230:H231"/>
    <mergeCell ref="I230:I231"/>
    <mergeCell ref="J230:J231"/>
    <mergeCell ref="D232:D233"/>
    <mergeCell ref="F232:F233"/>
    <mergeCell ref="G232:G233"/>
    <mergeCell ref="H232:H233"/>
    <mergeCell ref="I232:I233"/>
    <mergeCell ref="J232:J233"/>
    <mergeCell ref="D234:D235"/>
    <mergeCell ref="F234:F235"/>
    <mergeCell ref="G234:G235"/>
    <mergeCell ref="H234:H235"/>
    <mergeCell ref="I234:I235"/>
    <mergeCell ref="J234:J235"/>
    <mergeCell ref="D236:D237"/>
    <mergeCell ref="F236:F237"/>
    <mergeCell ref="G236:G237"/>
    <mergeCell ref="H236:H237"/>
    <mergeCell ref="I236:I237"/>
    <mergeCell ref="J236:J237"/>
    <mergeCell ref="D238:D239"/>
    <mergeCell ref="F238:F239"/>
    <mergeCell ref="G238:G239"/>
    <mergeCell ref="H238:H239"/>
    <mergeCell ref="I238:I239"/>
    <mergeCell ref="J238:J239"/>
    <mergeCell ref="C240:C249"/>
    <mergeCell ref="D240:D241"/>
    <mergeCell ref="F240:F241"/>
    <mergeCell ref="G240:G241"/>
    <mergeCell ref="H240:H241"/>
    <mergeCell ref="I240:I241"/>
    <mergeCell ref="J240:J241"/>
    <mergeCell ref="D242:D243"/>
    <mergeCell ref="F242:F243"/>
    <mergeCell ref="G242:G243"/>
    <mergeCell ref="H242:H243"/>
    <mergeCell ref="I242:I243"/>
    <mergeCell ref="J242:J243"/>
    <mergeCell ref="D244:D245"/>
    <mergeCell ref="F244:F245"/>
    <mergeCell ref="G244:G245"/>
    <mergeCell ref="H244:H245"/>
    <mergeCell ref="I244:I245"/>
    <mergeCell ref="J244:J245"/>
    <mergeCell ref="D246:D247"/>
    <mergeCell ref="F246:F247"/>
    <mergeCell ref="G246:G247"/>
    <mergeCell ref="H246:H247"/>
    <mergeCell ref="I246:I247"/>
    <mergeCell ref="J246:J247"/>
    <mergeCell ref="D248:D249"/>
    <mergeCell ref="F248:F249"/>
    <mergeCell ref="G248:G249"/>
    <mergeCell ref="H248:H249"/>
    <mergeCell ref="I248:I249"/>
    <mergeCell ref="J248:J249"/>
    <mergeCell ref="C250:C259"/>
    <mergeCell ref="D250:D251"/>
    <mergeCell ref="F250:F251"/>
    <mergeCell ref="G250:G251"/>
    <mergeCell ref="H250:H251"/>
    <mergeCell ref="I250:I251"/>
    <mergeCell ref="J250:J251"/>
    <mergeCell ref="D252:D253"/>
    <mergeCell ref="F252:F253"/>
    <mergeCell ref="G252:G253"/>
    <mergeCell ref="H252:H253"/>
    <mergeCell ref="I252:I253"/>
    <mergeCell ref="J252:J253"/>
    <mergeCell ref="D254:D255"/>
    <mergeCell ref="F254:F255"/>
    <mergeCell ref="G254:G255"/>
    <mergeCell ref="H254:H255"/>
    <mergeCell ref="I254:I255"/>
    <mergeCell ref="J254:J255"/>
    <mergeCell ref="D256:D257"/>
    <mergeCell ref="F256:F257"/>
    <mergeCell ref="G256:G257"/>
    <mergeCell ref="H256:H257"/>
    <mergeCell ref="I256:I257"/>
    <mergeCell ref="J256:J257"/>
    <mergeCell ref="D258:D259"/>
    <mergeCell ref="F258:F259"/>
    <mergeCell ref="G258:G259"/>
    <mergeCell ref="H258:H259"/>
    <mergeCell ref="I258:I259"/>
    <mergeCell ref="J258:J259"/>
    <mergeCell ref="C260:C269"/>
    <mergeCell ref="D260:D261"/>
    <mergeCell ref="F260:F261"/>
    <mergeCell ref="G260:G261"/>
    <mergeCell ref="H260:H261"/>
    <mergeCell ref="I260:I261"/>
    <mergeCell ref="J260:J261"/>
    <mergeCell ref="D262:D263"/>
    <mergeCell ref="F262:F263"/>
    <mergeCell ref="G262:G263"/>
    <mergeCell ref="H262:H263"/>
    <mergeCell ref="I262:I263"/>
    <mergeCell ref="J262:J263"/>
    <mergeCell ref="D264:D265"/>
    <mergeCell ref="F264:F265"/>
    <mergeCell ref="G264:G265"/>
    <mergeCell ref="H264:H265"/>
    <mergeCell ref="I264:I265"/>
    <mergeCell ref="J264:J265"/>
    <mergeCell ref="D266:D267"/>
    <mergeCell ref="F266:F267"/>
    <mergeCell ref="G266:G267"/>
    <mergeCell ref="H266:H267"/>
    <mergeCell ref="I266:I267"/>
    <mergeCell ref="J266:J267"/>
    <mergeCell ref="D268:D269"/>
    <mergeCell ref="F268:F269"/>
    <mergeCell ref="G268:G269"/>
    <mergeCell ref="H268:H269"/>
    <mergeCell ref="I268:I269"/>
    <mergeCell ref="J268:J269"/>
    <mergeCell ref="C270:C279"/>
    <mergeCell ref="D270:D271"/>
    <mergeCell ref="F270:F271"/>
    <mergeCell ref="G270:G271"/>
    <mergeCell ref="H270:H271"/>
    <mergeCell ref="I270:I271"/>
    <mergeCell ref="J270:J271"/>
    <mergeCell ref="D272:D273"/>
    <mergeCell ref="F272:F273"/>
    <mergeCell ref="G272:G273"/>
    <mergeCell ref="H272:H273"/>
    <mergeCell ref="I272:I273"/>
    <mergeCell ref="J272:J273"/>
    <mergeCell ref="D274:D275"/>
    <mergeCell ref="F274:F275"/>
    <mergeCell ref="G274:G275"/>
    <mergeCell ref="H274:H275"/>
    <mergeCell ref="I274:I275"/>
    <mergeCell ref="J274:J275"/>
    <mergeCell ref="D276:D277"/>
    <mergeCell ref="F276:F277"/>
    <mergeCell ref="G276:G277"/>
    <mergeCell ref="H276:H277"/>
    <mergeCell ref="I276:I277"/>
    <mergeCell ref="J276:J277"/>
    <mergeCell ref="D278:D279"/>
    <mergeCell ref="F278:F279"/>
    <mergeCell ref="G278:G279"/>
    <mergeCell ref="H278:H279"/>
    <mergeCell ref="I278:I279"/>
    <mergeCell ref="J278:J279"/>
    <mergeCell ref="C280:C289"/>
    <mergeCell ref="D280:D281"/>
    <mergeCell ref="F280:F281"/>
    <mergeCell ref="G280:G281"/>
    <mergeCell ref="H280:H281"/>
    <mergeCell ref="I280:I281"/>
    <mergeCell ref="J280:J281"/>
    <mergeCell ref="D282:D283"/>
    <mergeCell ref="F282:F283"/>
    <mergeCell ref="G282:G283"/>
    <mergeCell ref="H282:H283"/>
    <mergeCell ref="I282:I283"/>
    <mergeCell ref="J282:J283"/>
    <mergeCell ref="D284:D285"/>
    <mergeCell ref="F284:F285"/>
    <mergeCell ref="G284:G285"/>
    <mergeCell ref="H284:H285"/>
    <mergeCell ref="I284:I285"/>
    <mergeCell ref="J284:J285"/>
    <mergeCell ref="D286:D287"/>
    <mergeCell ref="F286:F287"/>
    <mergeCell ref="G286:G287"/>
    <mergeCell ref="H286:H287"/>
    <mergeCell ref="I286:I287"/>
    <mergeCell ref="J286:J287"/>
    <mergeCell ref="D288:D289"/>
    <mergeCell ref="F288:F289"/>
    <mergeCell ref="G288:G289"/>
    <mergeCell ref="H288:H289"/>
    <mergeCell ref="I288:I289"/>
    <mergeCell ref="J288:J289"/>
    <mergeCell ref="C290:C299"/>
    <mergeCell ref="D290:D291"/>
    <mergeCell ref="F290:F291"/>
    <mergeCell ref="G290:G291"/>
    <mergeCell ref="H290:H291"/>
    <mergeCell ref="I290:I291"/>
    <mergeCell ref="J290:J291"/>
    <mergeCell ref="D292:D293"/>
    <mergeCell ref="F292:F293"/>
    <mergeCell ref="G292:G293"/>
    <mergeCell ref="H292:H293"/>
    <mergeCell ref="I292:I293"/>
    <mergeCell ref="J292:J293"/>
    <mergeCell ref="D294:D295"/>
    <mergeCell ref="F294:F295"/>
    <mergeCell ref="G294:G295"/>
    <mergeCell ref="H294:H295"/>
    <mergeCell ref="I294:I295"/>
    <mergeCell ref="J294:J295"/>
    <mergeCell ref="D296:D297"/>
    <mergeCell ref="F296:F297"/>
    <mergeCell ref="G296:G297"/>
    <mergeCell ref="H296:H297"/>
    <mergeCell ref="I296:I297"/>
    <mergeCell ref="J296:J297"/>
    <mergeCell ref="D298:D299"/>
    <mergeCell ref="F298:F299"/>
    <mergeCell ref="G298:G299"/>
    <mergeCell ref="H298:H299"/>
    <mergeCell ref="I298:I299"/>
    <mergeCell ref="J298:J299"/>
    <mergeCell ref="C300:C309"/>
    <mergeCell ref="D300:D301"/>
    <mergeCell ref="F300:F301"/>
    <mergeCell ref="G300:G301"/>
    <mergeCell ref="H300:H301"/>
    <mergeCell ref="I300:I301"/>
    <mergeCell ref="J300:J301"/>
    <mergeCell ref="D302:D303"/>
    <mergeCell ref="F302:F303"/>
    <mergeCell ref="G302:G303"/>
    <mergeCell ref="H302:H303"/>
    <mergeCell ref="I302:I303"/>
    <mergeCell ref="J302:J303"/>
    <mergeCell ref="D304:D305"/>
    <mergeCell ref="F304:F305"/>
    <mergeCell ref="G304:G305"/>
    <mergeCell ref="H304:H305"/>
    <mergeCell ref="I304:I305"/>
    <mergeCell ref="J304:J305"/>
    <mergeCell ref="D306:D307"/>
    <mergeCell ref="F306:F307"/>
    <mergeCell ref="G306:G307"/>
    <mergeCell ref="H306:H307"/>
    <mergeCell ref="I306:I307"/>
    <mergeCell ref="J306:J307"/>
    <mergeCell ref="D308:D309"/>
    <mergeCell ref="F308:F309"/>
    <mergeCell ref="G308:G309"/>
    <mergeCell ref="H308:H309"/>
    <mergeCell ref="I308:I309"/>
    <mergeCell ref="J308:J309"/>
    <mergeCell ref="C310:C319"/>
    <mergeCell ref="D310:D311"/>
    <mergeCell ref="F310:F311"/>
    <mergeCell ref="G310:G311"/>
    <mergeCell ref="H310:H311"/>
    <mergeCell ref="I310:I311"/>
    <mergeCell ref="J310:J311"/>
    <mergeCell ref="D312:D313"/>
    <mergeCell ref="F312:F313"/>
    <mergeCell ref="G312:G313"/>
    <mergeCell ref="H312:H313"/>
    <mergeCell ref="I312:I313"/>
    <mergeCell ref="J312:J313"/>
    <mergeCell ref="D314:D315"/>
    <mergeCell ref="F314:F315"/>
    <mergeCell ref="G314:G315"/>
    <mergeCell ref="H314:H315"/>
    <mergeCell ref="I314:I315"/>
    <mergeCell ref="J314:J315"/>
    <mergeCell ref="D316:D317"/>
    <mergeCell ref="F316:F317"/>
    <mergeCell ref="G316:G317"/>
    <mergeCell ref="H316:H317"/>
    <mergeCell ref="I316:I317"/>
    <mergeCell ref="J316:J317"/>
    <mergeCell ref="D318:D319"/>
    <mergeCell ref="F318:F319"/>
    <mergeCell ref="G318:G319"/>
    <mergeCell ref="H318:H319"/>
    <mergeCell ref="I318:I319"/>
    <mergeCell ref="J318:J319"/>
    <mergeCell ref="C320:C329"/>
    <mergeCell ref="D320:D321"/>
    <mergeCell ref="F320:F321"/>
    <mergeCell ref="G320:G321"/>
    <mergeCell ref="H320:H321"/>
    <mergeCell ref="I320:I321"/>
    <mergeCell ref="J320:J321"/>
    <mergeCell ref="D322:D323"/>
    <mergeCell ref="F322:F323"/>
    <mergeCell ref="G322:G323"/>
    <mergeCell ref="H322:H323"/>
    <mergeCell ref="I322:I323"/>
    <mergeCell ref="J322:J323"/>
    <mergeCell ref="D324:D325"/>
    <mergeCell ref="F324:F325"/>
    <mergeCell ref="G324:G325"/>
    <mergeCell ref="H324:H325"/>
    <mergeCell ref="I324:I325"/>
    <mergeCell ref="J324:J325"/>
    <mergeCell ref="D326:D327"/>
    <mergeCell ref="F326:F327"/>
    <mergeCell ref="G326:G327"/>
    <mergeCell ref="H326:H327"/>
    <mergeCell ref="I326:I327"/>
    <mergeCell ref="J326:J327"/>
    <mergeCell ref="D328:D329"/>
    <mergeCell ref="F328:F329"/>
    <mergeCell ref="G328:G329"/>
    <mergeCell ref="H328:H329"/>
    <mergeCell ref="I328:I329"/>
    <mergeCell ref="J328:J329"/>
    <mergeCell ref="C330:C339"/>
    <mergeCell ref="D330:D331"/>
    <mergeCell ref="F330:F331"/>
    <mergeCell ref="G330:G331"/>
    <mergeCell ref="H330:H331"/>
    <mergeCell ref="I330:I331"/>
    <mergeCell ref="J330:J331"/>
    <mergeCell ref="D332:D333"/>
    <mergeCell ref="F332:F333"/>
    <mergeCell ref="G332:G333"/>
    <mergeCell ref="H332:H333"/>
    <mergeCell ref="I332:I333"/>
    <mergeCell ref="J332:J333"/>
    <mergeCell ref="D334:D335"/>
    <mergeCell ref="F334:F335"/>
    <mergeCell ref="G334:G335"/>
    <mergeCell ref="H334:H335"/>
    <mergeCell ref="I334:I335"/>
    <mergeCell ref="J334:J335"/>
    <mergeCell ref="D336:D337"/>
    <mergeCell ref="F336:F337"/>
    <mergeCell ref="G336:G337"/>
    <mergeCell ref="H336:H337"/>
    <mergeCell ref="I336:I337"/>
    <mergeCell ref="J336:J337"/>
    <mergeCell ref="D338:D339"/>
    <mergeCell ref="F338:F339"/>
    <mergeCell ref="G338:G339"/>
    <mergeCell ref="H338:H339"/>
    <mergeCell ref="I338:I339"/>
    <mergeCell ref="J338:J339"/>
    <mergeCell ref="C340:C349"/>
    <mergeCell ref="D340:D341"/>
    <mergeCell ref="F340:F341"/>
    <mergeCell ref="G340:G341"/>
    <mergeCell ref="H340:H341"/>
    <mergeCell ref="I340:I341"/>
    <mergeCell ref="J340:J341"/>
    <mergeCell ref="D342:D343"/>
    <mergeCell ref="F342:F343"/>
    <mergeCell ref="G342:G343"/>
    <mergeCell ref="H342:H343"/>
    <mergeCell ref="I342:I343"/>
    <mergeCell ref="J342:J343"/>
    <mergeCell ref="D344:D345"/>
    <mergeCell ref="F344:F345"/>
    <mergeCell ref="G344:G345"/>
    <mergeCell ref="H344:H345"/>
    <mergeCell ref="I344:I345"/>
    <mergeCell ref="J344:J345"/>
    <mergeCell ref="D346:D347"/>
    <mergeCell ref="F346:F347"/>
    <mergeCell ref="G346:G347"/>
    <mergeCell ref="H346:H347"/>
    <mergeCell ref="I346:I347"/>
    <mergeCell ref="J346:J347"/>
    <mergeCell ref="D348:D349"/>
    <mergeCell ref="F348:F349"/>
    <mergeCell ref="G348:G349"/>
    <mergeCell ref="H348:H349"/>
    <mergeCell ref="I348:I349"/>
    <mergeCell ref="J348:J349"/>
    <mergeCell ref="C350:C359"/>
    <mergeCell ref="D350:D351"/>
    <mergeCell ref="F350:F351"/>
    <mergeCell ref="G350:G351"/>
    <mergeCell ref="H350:H351"/>
    <mergeCell ref="I350:I351"/>
    <mergeCell ref="J350:J351"/>
    <mergeCell ref="D352:D353"/>
    <mergeCell ref="F352:F353"/>
    <mergeCell ref="G352:G353"/>
    <mergeCell ref="H352:H353"/>
    <mergeCell ref="I352:I353"/>
    <mergeCell ref="J352:J353"/>
    <mergeCell ref="D354:D355"/>
    <mergeCell ref="F354:F355"/>
    <mergeCell ref="G354:G355"/>
    <mergeCell ref="H354:H355"/>
    <mergeCell ref="I354:I355"/>
    <mergeCell ref="J354:J355"/>
    <mergeCell ref="D356:D357"/>
    <mergeCell ref="F356:F357"/>
    <mergeCell ref="G356:G357"/>
    <mergeCell ref="H356:H357"/>
    <mergeCell ref="I356:I357"/>
    <mergeCell ref="J356:J357"/>
    <mergeCell ref="D358:D359"/>
    <mergeCell ref="F358:F359"/>
    <mergeCell ref="G358:G359"/>
    <mergeCell ref="H358:H359"/>
    <mergeCell ref="I358:I359"/>
    <mergeCell ref="J358:J359"/>
    <mergeCell ref="C360:C369"/>
    <mergeCell ref="D360:D361"/>
    <mergeCell ref="F360:F361"/>
    <mergeCell ref="G360:G361"/>
    <mergeCell ref="H360:H361"/>
    <mergeCell ref="I360:I361"/>
    <mergeCell ref="J360:J361"/>
    <mergeCell ref="D362:D363"/>
    <mergeCell ref="F362:F363"/>
    <mergeCell ref="G362:G363"/>
    <mergeCell ref="H362:H363"/>
    <mergeCell ref="I362:I363"/>
    <mergeCell ref="J362:J363"/>
    <mergeCell ref="D364:D365"/>
    <mergeCell ref="F364:F365"/>
    <mergeCell ref="G364:G365"/>
    <mergeCell ref="H364:H365"/>
    <mergeCell ref="I364:I365"/>
    <mergeCell ref="J364:J365"/>
    <mergeCell ref="D366:D367"/>
    <mergeCell ref="F366:F367"/>
    <mergeCell ref="G366:G367"/>
    <mergeCell ref="H366:H367"/>
    <mergeCell ref="I366:I367"/>
    <mergeCell ref="J366:J367"/>
    <mergeCell ref="D368:D369"/>
    <mergeCell ref="F368:F369"/>
    <mergeCell ref="G368:G369"/>
    <mergeCell ref="H368:H369"/>
    <mergeCell ref="I368:I369"/>
    <mergeCell ref="J368:J369"/>
    <mergeCell ref="C370:C379"/>
    <mergeCell ref="D370:D371"/>
    <mergeCell ref="F370:F371"/>
    <mergeCell ref="G370:G371"/>
    <mergeCell ref="H370:H371"/>
    <mergeCell ref="I370:I371"/>
    <mergeCell ref="J370:J371"/>
    <mergeCell ref="D372:D373"/>
    <mergeCell ref="F372:F373"/>
    <mergeCell ref="G372:G373"/>
    <mergeCell ref="H372:H373"/>
    <mergeCell ref="I372:I373"/>
    <mergeCell ref="J372:J373"/>
    <mergeCell ref="D374:D375"/>
    <mergeCell ref="F374:F375"/>
    <mergeCell ref="G374:G375"/>
    <mergeCell ref="H374:H375"/>
    <mergeCell ref="I374:I375"/>
    <mergeCell ref="J374:J375"/>
    <mergeCell ref="D376:D377"/>
    <mergeCell ref="F376:F377"/>
    <mergeCell ref="G376:G377"/>
    <mergeCell ref="H376:H377"/>
    <mergeCell ref="I376:I377"/>
    <mergeCell ref="J376:J377"/>
    <mergeCell ref="D378:D379"/>
    <mergeCell ref="F378:F379"/>
    <mergeCell ref="G378:G379"/>
    <mergeCell ref="H378:H379"/>
    <mergeCell ref="I378:I379"/>
    <mergeCell ref="J378:J379"/>
    <mergeCell ref="C380:C389"/>
    <mergeCell ref="D380:D381"/>
    <mergeCell ref="F380:F381"/>
    <mergeCell ref="G380:G381"/>
    <mergeCell ref="H380:H381"/>
    <mergeCell ref="I380:I381"/>
    <mergeCell ref="J380:J381"/>
    <mergeCell ref="D382:D383"/>
    <mergeCell ref="F382:F383"/>
    <mergeCell ref="G382:G383"/>
    <mergeCell ref="H382:H383"/>
    <mergeCell ref="I382:I383"/>
    <mergeCell ref="J382:J383"/>
    <mergeCell ref="D384:D385"/>
    <mergeCell ref="F384:F385"/>
    <mergeCell ref="G384:G385"/>
    <mergeCell ref="H384:H385"/>
    <mergeCell ref="I384:I385"/>
    <mergeCell ref="J384:J385"/>
    <mergeCell ref="D386:D387"/>
    <mergeCell ref="F386:F387"/>
    <mergeCell ref="G386:G387"/>
    <mergeCell ref="H386:H387"/>
    <mergeCell ref="I386:I387"/>
    <mergeCell ref="J386:J387"/>
    <mergeCell ref="D388:D389"/>
    <mergeCell ref="F388:F389"/>
    <mergeCell ref="G388:G389"/>
    <mergeCell ref="H388:H389"/>
    <mergeCell ref="I388:I389"/>
    <mergeCell ref="J388:J389"/>
    <mergeCell ref="B390:B639"/>
    <mergeCell ref="C390:C399"/>
    <mergeCell ref="D390:D391"/>
    <mergeCell ref="F390:F391"/>
    <mergeCell ref="G390:G391"/>
    <mergeCell ref="H390:H391"/>
    <mergeCell ref="I390:I391"/>
    <mergeCell ref="J390:J391"/>
    <mergeCell ref="D392:D393"/>
    <mergeCell ref="F392:F393"/>
    <mergeCell ref="G392:G393"/>
    <mergeCell ref="H392:H393"/>
    <mergeCell ref="I392:I393"/>
    <mergeCell ref="J392:J393"/>
    <mergeCell ref="D394:D395"/>
    <mergeCell ref="F394:F395"/>
    <mergeCell ref="G394:G395"/>
    <mergeCell ref="H394:H395"/>
    <mergeCell ref="I394:I395"/>
    <mergeCell ref="J394:J395"/>
    <mergeCell ref="D396:D397"/>
    <mergeCell ref="F396:F397"/>
    <mergeCell ref="G396:G397"/>
    <mergeCell ref="H396:H397"/>
    <mergeCell ref="I396:I397"/>
    <mergeCell ref="J396:J397"/>
    <mergeCell ref="D398:D399"/>
    <mergeCell ref="F398:F399"/>
    <mergeCell ref="G398:G399"/>
    <mergeCell ref="H398:H399"/>
    <mergeCell ref="I398:I399"/>
    <mergeCell ref="J398:J399"/>
    <mergeCell ref="C400:C409"/>
    <mergeCell ref="D400:D401"/>
    <mergeCell ref="F400:F401"/>
    <mergeCell ref="G400:G401"/>
    <mergeCell ref="H400:H401"/>
    <mergeCell ref="I400:I401"/>
    <mergeCell ref="J400:J401"/>
    <mergeCell ref="D402:D403"/>
    <mergeCell ref="F402:F403"/>
    <mergeCell ref="G402:G403"/>
    <mergeCell ref="H402:H403"/>
    <mergeCell ref="I402:I403"/>
    <mergeCell ref="J402:J403"/>
    <mergeCell ref="D404:D405"/>
    <mergeCell ref="F404:F405"/>
    <mergeCell ref="G404:G405"/>
    <mergeCell ref="H404:H405"/>
    <mergeCell ref="I404:I405"/>
    <mergeCell ref="J404:J405"/>
    <mergeCell ref="D406:D407"/>
    <mergeCell ref="F406:F407"/>
    <mergeCell ref="G406:G407"/>
    <mergeCell ref="H406:H407"/>
    <mergeCell ref="I406:I407"/>
    <mergeCell ref="J406:J407"/>
    <mergeCell ref="D408:D409"/>
    <mergeCell ref="F408:F409"/>
    <mergeCell ref="G408:G409"/>
    <mergeCell ref="H408:H409"/>
    <mergeCell ref="I408:I409"/>
    <mergeCell ref="J408:J409"/>
    <mergeCell ref="C410:C419"/>
    <mergeCell ref="D410:D411"/>
    <mergeCell ref="F410:F411"/>
    <mergeCell ref="G410:G411"/>
    <mergeCell ref="H410:H411"/>
    <mergeCell ref="I410:I411"/>
    <mergeCell ref="J410:J411"/>
    <mergeCell ref="D412:D413"/>
    <mergeCell ref="F412:F413"/>
    <mergeCell ref="G412:G413"/>
    <mergeCell ref="H412:H413"/>
    <mergeCell ref="I412:I413"/>
    <mergeCell ref="J412:J413"/>
    <mergeCell ref="D414:D415"/>
    <mergeCell ref="F414:F415"/>
    <mergeCell ref="G414:G415"/>
    <mergeCell ref="H414:H415"/>
    <mergeCell ref="I414:I415"/>
    <mergeCell ref="J414:J415"/>
    <mergeCell ref="D416:D417"/>
    <mergeCell ref="F416:F417"/>
    <mergeCell ref="G416:G417"/>
    <mergeCell ref="H416:H417"/>
    <mergeCell ref="I416:I417"/>
    <mergeCell ref="J416:J417"/>
    <mergeCell ref="D418:D419"/>
    <mergeCell ref="F418:F419"/>
    <mergeCell ref="G418:G419"/>
    <mergeCell ref="H418:H419"/>
    <mergeCell ref="I418:I419"/>
    <mergeCell ref="J418:J419"/>
    <mergeCell ref="C420:C429"/>
    <mergeCell ref="D420:D421"/>
    <mergeCell ref="F420:F421"/>
    <mergeCell ref="G420:G421"/>
    <mergeCell ref="H420:H421"/>
    <mergeCell ref="I420:I421"/>
    <mergeCell ref="J420:J421"/>
    <mergeCell ref="D422:D423"/>
    <mergeCell ref="F422:F423"/>
    <mergeCell ref="G422:G423"/>
    <mergeCell ref="H422:H423"/>
    <mergeCell ref="I422:I423"/>
    <mergeCell ref="J422:J423"/>
    <mergeCell ref="D424:D425"/>
    <mergeCell ref="F424:F425"/>
    <mergeCell ref="G424:G425"/>
    <mergeCell ref="H424:H425"/>
    <mergeCell ref="I424:I425"/>
    <mergeCell ref="J424:J425"/>
    <mergeCell ref="D426:D427"/>
    <mergeCell ref="F426:F427"/>
    <mergeCell ref="G426:G427"/>
    <mergeCell ref="H426:H427"/>
    <mergeCell ref="I426:I427"/>
    <mergeCell ref="J426:J427"/>
    <mergeCell ref="D428:D429"/>
    <mergeCell ref="F428:F429"/>
    <mergeCell ref="G428:G429"/>
    <mergeCell ref="H428:H429"/>
    <mergeCell ref="I428:I429"/>
    <mergeCell ref="J428:J429"/>
    <mergeCell ref="C430:C439"/>
    <mergeCell ref="D430:D431"/>
    <mergeCell ref="F430:F431"/>
    <mergeCell ref="G430:G431"/>
    <mergeCell ref="H430:H431"/>
    <mergeCell ref="I430:I431"/>
    <mergeCell ref="J430:J431"/>
    <mergeCell ref="D432:D433"/>
    <mergeCell ref="F432:F433"/>
    <mergeCell ref="G432:G433"/>
    <mergeCell ref="H432:H433"/>
    <mergeCell ref="I432:I433"/>
    <mergeCell ref="J432:J433"/>
    <mergeCell ref="D434:D435"/>
    <mergeCell ref="F434:F435"/>
    <mergeCell ref="G434:G435"/>
    <mergeCell ref="H434:H435"/>
    <mergeCell ref="I434:I435"/>
    <mergeCell ref="J434:J435"/>
    <mergeCell ref="D436:D437"/>
    <mergeCell ref="F436:F437"/>
    <mergeCell ref="G436:G437"/>
    <mergeCell ref="H436:H437"/>
    <mergeCell ref="I436:I437"/>
    <mergeCell ref="J436:J437"/>
    <mergeCell ref="D438:D439"/>
    <mergeCell ref="F438:F439"/>
    <mergeCell ref="G438:G439"/>
    <mergeCell ref="H438:H439"/>
    <mergeCell ref="I438:I439"/>
    <mergeCell ref="J438:J439"/>
    <mergeCell ref="C440:C449"/>
    <mergeCell ref="D440:D441"/>
    <mergeCell ref="F440:F441"/>
    <mergeCell ref="G440:G441"/>
    <mergeCell ref="H440:H441"/>
    <mergeCell ref="I440:I441"/>
    <mergeCell ref="J440:J441"/>
    <mergeCell ref="D442:D443"/>
    <mergeCell ref="F442:F443"/>
    <mergeCell ref="G442:G443"/>
    <mergeCell ref="H442:H443"/>
    <mergeCell ref="I442:I443"/>
    <mergeCell ref="J442:J443"/>
    <mergeCell ref="D444:D445"/>
    <mergeCell ref="F444:F445"/>
    <mergeCell ref="G444:G445"/>
    <mergeCell ref="H444:H445"/>
    <mergeCell ref="I444:I445"/>
    <mergeCell ref="J444:J445"/>
    <mergeCell ref="D446:D447"/>
    <mergeCell ref="F446:F447"/>
    <mergeCell ref="G446:G447"/>
    <mergeCell ref="H446:H447"/>
    <mergeCell ref="I446:I447"/>
    <mergeCell ref="J446:J447"/>
    <mergeCell ref="D448:D449"/>
    <mergeCell ref="F448:F449"/>
    <mergeCell ref="G448:G449"/>
    <mergeCell ref="H448:H449"/>
    <mergeCell ref="I448:I449"/>
    <mergeCell ref="J448:J449"/>
    <mergeCell ref="C450:C459"/>
    <mergeCell ref="D450:D451"/>
    <mergeCell ref="F450:F451"/>
    <mergeCell ref="G450:G451"/>
    <mergeCell ref="H450:H451"/>
    <mergeCell ref="I450:I451"/>
    <mergeCell ref="J450:J451"/>
    <mergeCell ref="D452:D453"/>
    <mergeCell ref="F452:F453"/>
    <mergeCell ref="G452:G453"/>
    <mergeCell ref="H452:H453"/>
    <mergeCell ref="I452:I453"/>
    <mergeCell ref="J452:J453"/>
    <mergeCell ref="D454:D455"/>
    <mergeCell ref="F454:F455"/>
    <mergeCell ref="G454:G455"/>
    <mergeCell ref="H454:H455"/>
    <mergeCell ref="I454:I455"/>
    <mergeCell ref="J454:J455"/>
    <mergeCell ref="D456:D457"/>
    <mergeCell ref="F456:F457"/>
    <mergeCell ref="G456:G457"/>
    <mergeCell ref="H456:H457"/>
    <mergeCell ref="I456:I457"/>
    <mergeCell ref="J456:J457"/>
    <mergeCell ref="D458:D459"/>
    <mergeCell ref="F458:F459"/>
    <mergeCell ref="G458:G459"/>
    <mergeCell ref="H458:H459"/>
    <mergeCell ref="I458:I459"/>
    <mergeCell ref="J458:J459"/>
    <mergeCell ref="C460:C469"/>
    <mergeCell ref="D460:D461"/>
    <mergeCell ref="F460:F461"/>
    <mergeCell ref="G460:G461"/>
    <mergeCell ref="H460:H461"/>
    <mergeCell ref="I460:I461"/>
    <mergeCell ref="J460:J461"/>
    <mergeCell ref="D462:D463"/>
    <mergeCell ref="F462:F463"/>
    <mergeCell ref="G462:G463"/>
    <mergeCell ref="H462:H463"/>
    <mergeCell ref="I462:I463"/>
    <mergeCell ref="J462:J463"/>
    <mergeCell ref="D464:D465"/>
    <mergeCell ref="F464:F465"/>
    <mergeCell ref="G464:G465"/>
    <mergeCell ref="H464:H465"/>
    <mergeCell ref="I464:I465"/>
    <mergeCell ref="J464:J465"/>
    <mergeCell ref="D466:D467"/>
    <mergeCell ref="F466:F467"/>
    <mergeCell ref="G466:G467"/>
    <mergeCell ref="H466:H467"/>
    <mergeCell ref="I466:I467"/>
    <mergeCell ref="J466:J467"/>
    <mergeCell ref="D468:D469"/>
    <mergeCell ref="F468:F469"/>
    <mergeCell ref="G468:G469"/>
    <mergeCell ref="H468:H469"/>
    <mergeCell ref="I468:I469"/>
    <mergeCell ref="J468:J469"/>
    <mergeCell ref="C470:C479"/>
    <mergeCell ref="D470:D471"/>
    <mergeCell ref="F470:F471"/>
    <mergeCell ref="G470:G471"/>
    <mergeCell ref="H470:H471"/>
    <mergeCell ref="I470:I471"/>
    <mergeCell ref="J470:J471"/>
    <mergeCell ref="D472:D473"/>
    <mergeCell ref="F472:F473"/>
    <mergeCell ref="G472:G473"/>
    <mergeCell ref="H472:H473"/>
    <mergeCell ref="I472:I473"/>
    <mergeCell ref="J472:J473"/>
    <mergeCell ref="D474:D475"/>
    <mergeCell ref="F474:F475"/>
    <mergeCell ref="G474:G475"/>
    <mergeCell ref="H474:H475"/>
    <mergeCell ref="I474:I475"/>
    <mergeCell ref="J474:J475"/>
    <mergeCell ref="D476:D477"/>
    <mergeCell ref="F476:F477"/>
    <mergeCell ref="G476:G477"/>
    <mergeCell ref="H476:H477"/>
    <mergeCell ref="I476:I477"/>
    <mergeCell ref="J476:J477"/>
    <mergeCell ref="D478:D479"/>
    <mergeCell ref="F478:F479"/>
    <mergeCell ref="G478:G479"/>
    <mergeCell ref="H478:H479"/>
    <mergeCell ref="I478:I479"/>
    <mergeCell ref="J478:J479"/>
    <mergeCell ref="C480:C489"/>
    <mergeCell ref="D480:D481"/>
    <mergeCell ref="F480:F481"/>
    <mergeCell ref="G480:G481"/>
    <mergeCell ref="H480:H481"/>
    <mergeCell ref="I480:I481"/>
    <mergeCell ref="J480:J481"/>
    <mergeCell ref="D482:D483"/>
    <mergeCell ref="F482:F483"/>
    <mergeCell ref="G482:G483"/>
    <mergeCell ref="H482:H483"/>
    <mergeCell ref="I482:I483"/>
    <mergeCell ref="J482:J483"/>
    <mergeCell ref="D484:D485"/>
    <mergeCell ref="F484:F485"/>
    <mergeCell ref="G484:G485"/>
    <mergeCell ref="H484:H485"/>
    <mergeCell ref="I484:I485"/>
    <mergeCell ref="J484:J485"/>
    <mergeCell ref="D486:D487"/>
    <mergeCell ref="F486:F487"/>
    <mergeCell ref="G486:G487"/>
    <mergeCell ref="H486:H487"/>
    <mergeCell ref="I486:I487"/>
    <mergeCell ref="J486:J487"/>
    <mergeCell ref="D488:D489"/>
    <mergeCell ref="F488:F489"/>
    <mergeCell ref="G488:G489"/>
    <mergeCell ref="H488:H489"/>
    <mergeCell ref="I488:I489"/>
    <mergeCell ref="J488:J489"/>
    <mergeCell ref="C490:C499"/>
    <mergeCell ref="D490:D491"/>
    <mergeCell ref="F490:F491"/>
    <mergeCell ref="G490:G491"/>
    <mergeCell ref="H490:H491"/>
    <mergeCell ref="I490:I491"/>
    <mergeCell ref="J490:J491"/>
    <mergeCell ref="D492:D493"/>
    <mergeCell ref="F492:F493"/>
    <mergeCell ref="G492:G493"/>
    <mergeCell ref="H492:H493"/>
    <mergeCell ref="I492:I493"/>
    <mergeCell ref="J492:J493"/>
    <mergeCell ref="D494:D495"/>
    <mergeCell ref="F494:F495"/>
    <mergeCell ref="G494:G495"/>
    <mergeCell ref="H494:H495"/>
    <mergeCell ref="I494:I495"/>
    <mergeCell ref="J494:J495"/>
    <mergeCell ref="D496:D497"/>
    <mergeCell ref="F496:F497"/>
    <mergeCell ref="G496:G497"/>
    <mergeCell ref="H496:H497"/>
    <mergeCell ref="I496:I497"/>
    <mergeCell ref="J496:J497"/>
    <mergeCell ref="D498:D499"/>
    <mergeCell ref="F498:F499"/>
    <mergeCell ref="G498:G499"/>
    <mergeCell ref="H498:H499"/>
    <mergeCell ref="I498:I499"/>
    <mergeCell ref="J498:J499"/>
    <mergeCell ref="C500:C509"/>
    <mergeCell ref="D500:D501"/>
    <mergeCell ref="F500:F501"/>
    <mergeCell ref="G500:G501"/>
    <mergeCell ref="H500:H501"/>
    <mergeCell ref="I500:I501"/>
    <mergeCell ref="J500:J501"/>
    <mergeCell ref="D502:D503"/>
    <mergeCell ref="F502:F503"/>
    <mergeCell ref="G502:G503"/>
    <mergeCell ref="H502:H503"/>
    <mergeCell ref="I502:I503"/>
    <mergeCell ref="J502:J503"/>
    <mergeCell ref="D504:D505"/>
    <mergeCell ref="F504:F505"/>
    <mergeCell ref="G504:G505"/>
    <mergeCell ref="H504:H505"/>
    <mergeCell ref="I504:I505"/>
    <mergeCell ref="J504:J505"/>
    <mergeCell ref="D506:D507"/>
    <mergeCell ref="F506:F507"/>
    <mergeCell ref="G506:G507"/>
    <mergeCell ref="H506:H507"/>
    <mergeCell ref="I506:I507"/>
    <mergeCell ref="J506:J507"/>
    <mergeCell ref="D508:D509"/>
    <mergeCell ref="F508:F509"/>
    <mergeCell ref="G508:G509"/>
    <mergeCell ref="H508:H509"/>
    <mergeCell ref="I508:I509"/>
    <mergeCell ref="J508:J509"/>
    <mergeCell ref="C510:C519"/>
    <mergeCell ref="D510:D511"/>
    <mergeCell ref="F510:F511"/>
    <mergeCell ref="G510:G511"/>
    <mergeCell ref="H510:H511"/>
    <mergeCell ref="I510:I511"/>
    <mergeCell ref="J510:J511"/>
    <mergeCell ref="D512:D513"/>
    <mergeCell ref="F512:F513"/>
    <mergeCell ref="G512:G513"/>
    <mergeCell ref="H512:H513"/>
    <mergeCell ref="I512:I513"/>
    <mergeCell ref="J512:J513"/>
    <mergeCell ref="D514:D515"/>
    <mergeCell ref="F514:F515"/>
    <mergeCell ref="G514:G515"/>
    <mergeCell ref="H514:H515"/>
    <mergeCell ref="I514:I515"/>
    <mergeCell ref="J514:J515"/>
    <mergeCell ref="D516:D517"/>
    <mergeCell ref="F516:F517"/>
    <mergeCell ref="G516:G517"/>
    <mergeCell ref="H516:H517"/>
    <mergeCell ref="I516:I517"/>
    <mergeCell ref="J516:J517"/>
    <mergeCell ref="D518:D519"/>
    <mergeCell ref="F518:F519"/>
    <mergeCell ref="G518:G519"/>
    <mergeCell ref="H518:H519"/>
    <mergeCell ref="I518:I519"/>
    <mergeCell ref="J518:J519"/>
    <mergeCell ref="C520:C529"/>
    <mergeCell ref="D520:D521"/>
    <mergeCell ref="F520:F521"/>
    <mergeCell ref="G520:G521"/>
    <mergeCell ref="H520:H521"/>
    <mergeCell ref="I520:I521"/>
    <mergeCell ref="J520:J521"/>
    <mergeCell ref="D522:D523"/>
    <mergeCell ref="F522:F523"/>
    <mergeCell ref="G522:G523"/>
    <mergeCell ref="H522:H523"/>
    <mergeCell ref="I522:I523"/>
    <mergeCell ref="J522:J523"/>
    <mergeCell ref="D524:D525"/>
    <mergeCell ref="F524:F525"/>
    <mergeCell ref="G524:G525"/>
    <mergeCell ref="H524:H525"/>
    <mergeCell ref="I524:I525"/>
    <mergeCell ref="J524:J525"/>
    <mergeCell ref="D526:D527"/>
    <mergeCell ref="F526:F527"/>
    <mergeCell ref="G526:G527"/>
    <mergeCell ref="H526:H527"/>
    <mergeCell ref="I526:I527"/>
    <mergeCell ref="J526:J527"/>
    <mergeCell ref="D528:D529"/>
    <mergeCell ref="F528:F529"/>
    <mergeCell ref="G528:G529"/>
    <mergeCell ref="H528:H529"/>
    <mergeCell ref="I528:I529"/>
    <mergeCell ref="J528:J529"/>
    <mergeCell ref="C530:C539"/>
    <mergeCell ref="D530:D531"/>
    <mergeCell ref="F530:F531"/>
    <mergeCell ref="G530:G531"/>
    <mergeCell ref="H530:H531"/>
    <mergeCell ref="I530:I531"/>
    <mergeCell ref="J530:J531"/>
    <mergeCell ref="D532:D533"/>
    <mergeCell ref="F532:F533"/>
    <mergeCell ref="G532:G533"/>
    <mergeCell ref="H532:H533"/>
    <mergeCell ref="I532:I533"/>
    <mergeCell ref="J532:J533"/>
    <mergeCell ref="D534:D535"/>
    <mergeCell ref="F534:F535"/>
    <mergeCell ref="G534:G535"/>
    <mergeCell ref="H534:H535"/>
    <mergeCell ref="I534:I535"/>
    <mergeCell ref="J534:J535"/>
    <mergeCell ref="D536:D537"/>
    <mergeCell ref="F536:F537"/>
    <mergeCell ref="G536:G537"/>
    <mergeCell ref="H536:H537"/>
    <mergeCell ref="I536:I537"/>
    <mergeCell ref="J536:J537"/>
    <mergeCell ref="D538:D539"/>
    <mergeCell ref="F538:F539"/>
    <mergeCell ref="G538:G539"/>
    <mergeCell ref="H538:H539"/>
    <mergeCell ref="I538:I539"/>
    <mergeCell ref="J538:J539"/>
    <mergeCell ref="C540:C549"/>
    <mergeCell ref="D540:D541"/>
    <mergeCell ref="F540:F541"/>
    <mergeCell ref="G540:G541"/>
    <mergeCell ref="H540:H541"/>
    <mergeCell ref="I540:I541"/>
    <mergeCell ref="J540:J541"/>
    <mergeCell ref="D542:D543"/>
    <mergeCell ref="F542:F543"/>
    <mergeCell ref="G542:G543"/>
    <mergeCell ref="H542:H543"/>
    <mergeCell ref="I542:I543"/>
    <mergeCell ref="J542:J543"/>
    <mergeCell ref="D544:D545"/>
    <mergeCell ref="F544:F545"/>
    <mergeCell ref="G544:G545"/>
    <mergeCell ref="H544:H545"/>
    <mergeCell ref="I544:I545"/>
    <mergeCell ref="J544:J545"/>
    <mergeCell ref="D546:D547"/>
    <mergeCell ref="F546:F547"/>
    <mergeCell ref="G546:G547"/>
    <mergeCell ref="H546:H547"/>
    <mergeCell ref="I546:I547"/>
    <mergeCell ref="J546:J547"/>
    <mergeCell ref="D548:D549"/>
    <mergeCell ref="F548:F549"/>
    <mergeCell ref="G548:G549"/>
    <mergeCell ref="H548:H549"/>
    <mergeCell ref="I548:I549"/>
    <mergeCell ref="J548:J549"/>
    <mergeCell ref="C550:C559"/>
    <mergeCell ref="D550:D551"/>
    <mergeCell ref="F550:F551"/>
    <mergeCell ref="G550:G551"/>
    <mergeCell ref="H550:H551"/>
    <mergeCell ref="I550:I551"/>
    <mergeCell ref="J550:J551"/>
    <mergeCell ref="D552:D553"/>
    <mergeCell ref="F552:F553"/>
    <mergeCell ref="G552:G553"/>
    <mergeCell ref="H552:H553"/>
    <mergeCell ref="I552:I553"/>
    <mergeCell ref="J552:J553"/>
    <mergeCell ref="D554:D555"/>
    <mergeCell ref="F554:F555"/>
    <mergeCell ref="G554:G555"/>
    <mergeCell ref="H554:H555"/>
    <mergeCell ref="I554:I555"/>
    <mergeCell ref="J554:J555"/>
    <mergeCell ref="D556:D557"/>
    <mergeCell ref="F556:F557"/>
    <mergeCell ref="G556:G557"/>
    <mergeCell ref="H556:H557"/>
    <mergeCell ref="I556:I557"/>
    <mergeCell ref="J556:J557"/>
    <mergeCell ref="D558:D559"/>
    <mergeCell ref="F558:F559"/>
    <mergeCell ref="G558:G559"/>
    <mergeCell ref="H558:H559"/>
    <mergeCell ref="I558:I559"/>
    <mergeCell ref="J558:J559"/>
    <mergeCell ref="C560:C569"/>
    <mergeCell ref="D560:D561"/>
    <mergeCell ref="F560:F561"/>
    <mergeCell ref="G560:G561"/>
    <mergeCell ref="H560:H561"/>
    <mergeCell ref="I560:I561"/>
    <mergeCell ref="J560:J561"/>
    <mergeCell ref="D562:D563"/>
    <mergeCell ref="F562:F563"/>
    <mergeCell ref="G562:G563"/>
    <mergeCell ref="H562:H563"/>
    <mergeCell ref="I562:I563"/>
    <mergeCell ref="J562:J563"/>
    <mergeCell ref="D564:D565"/>
    <mergeCell ref="F564:F565"/>
    <mergeCell ref="G564:G565"/>
    <mergeCell ref="H564:H565"/>
    <mergeCell ref="I564:I565"/>
    <mergeCell ref="J564:J565"/>
    <mergeCell ref="D566:D567"/>
    <mergeCell ref="F566:F567"/>
    <mergeCell ref="G566:G567"/>
    <mergeCell ref="H566:H567"/>
    <mergeCell ref="I566:I567"/>
    <mergeCell ref="J566:J567"/>
    <mergeCell ref="D568:D569"/>
    <mergeCell ref="F568:F569"/>
    <mergeCell ref="G568:G569"/>
    <mergeCell ref="H568:H569"/>
    <mergeCell ref="I568:I569"/>
    <mergeCell ref="J568:J569"/>
    <mergeCell ref="C570:C579"/>
    <mergeCell ref="D570:D571"/>
    <mergeCell ref="F570:F571"/>
    <mergeCell ref="G570:G571"/>
    <mergeCell ref="H570:H571"/>
    <mergeCell ref="I570:I571"/>
    <mergeCell ref="J570:J571"/>
    <mergeCell ref="D572:D573"/>
    <mergeCell ref="F572:F573"/>
    <mergeCell ref="G572:G573"/>
    <mergeCell ref="H572:H573"/>
    <mergeCell ref="I572:I573"/>
    <mergeCell ref="J572:J573"/>
    <mergeCell ref="D574:D575"/>
    <mergeCell ref="F574:F575"/>
    <mergeCell ref="G574:G575"/>
    <mergeCell ref="H574:H575"/>
    <mergeCell ref="I574:I575"/>
    <mergeCell ref="J574:J575"/>
    <mergeCell ref="D576:D577"/>
    <mergeCell ref="F576:F577"/>
    <mergeCell ref="G576:G577"/>
    <mergeCell ref="H576:H577"/>
    <mergeCell ref="I576:I577"/>
    <mergeCell ref="J576:J577"/>
    <mergeCell ref="D578:D579"/>
    <mergeCell ref="F578:F579"/>
    <mergeCell ref="G578:G579"/>
    <mergeCell ref="H578:H579"/>
    <mergeCell ref="I578:I579"/>
    <mergeCell ref="J578:J579"/>
    <mergeCell ref="C580:C589"/>
    <mergeCell ref="D580:D581"/>
    <mergeCell ref="F580:F581"/>
    <mergeCell ref="G580:G581"/>
    <mergeCell ref="H580:H581"/>
    <mergeCell ref="I580:I581"/>
    <mergeCell ref="J580:J581"/>
    <mergeCell ref="D582:D583"/>
    <mergeCell ref="F582:F583"/>
    <mergeCell ref="G582:G583"/>
    <mergeCell ref="H582:H583"/>
    <mergeCell ref="I582:I583"/>
    <mergeCell ref="J582:J583"/>
    <mergeCell ref="D584:D585"/>
    <mergeCell ref="F584:F585"/>
    <mergeCell ref="G584:G585"/>
    <mergeCell ref="H584:H585"/>
    <mergeCell ref="I584:I585"/>
    <mergeCell ref="J584:J585"/>
    <mergeCell ref="D586:D587"/>
    <mergeCell ref="F586:F587"/>
    <mergeCell ref="G586:G587"/>
    <mergeCell ref="H586:H587"/>
    <mergeCell ref="I586:I587"/>
    <mergeCell ref="J586:J587"/>
    <mergeCell ref="D588:D589"/>
    <mergeCell ref="F588:F589"/>
    <mergeCell ref="G588:G589"/>
    <mergeCell ref="H588:H589"/>
    <mergeCell ref="I588:I589"/>
    <mergeCell ref="J588:J589"/>
    <mergeCell ref="C590:C599"/>
    <mergeCell ref="D590:D591"/>
    <mergeCell ref="F590:F591"/>
    <mergeCell ref="G590:G591"/>
    <mergeCell ref="H590:H591"/>
    <mergeCell ref="I590:I591"/>
    <mergeCell ref="J590:J591"/>
    <mergeCell ref="D592:D593"/>
    <mergeCell ref="F592:F593"/>
    <mergeCell ref="G592:G593"/>
    <mergeCell ref="H592:H593"/>
    <mergeCell ref="I592:I593"/>
    <mergeCell ref="J592:J593"/>
    <mergeCell ref="D594:D595"/>
    <mergeCell ref="F594:F595"/>
    <mergeCell ref="G594:G595"/>
    <mergeCell ref="H594:H595"/>
    <mergeCell ref="I594:I595"/>
    <mergeCell ref="J594:J595"/>
    <mergeCell ref="D596:D597"/>
    <mergeCell ref="F596:F597"/>
    <mergeCell ref="G596:G597"/>
    <mergeCell ref="H596:H597"/>
    <mergeCell ref="I596:I597"/>
    <mergeCell ref="J596:J597"/>
    <mergeCell ref="D598:D599"/>
    <mergeCell ref="F598:F599"/>
    <mergeCell ref="G598:G599"/>
    <mergeCell ref="H598:H599"/>
    <mergeCell ref="I598:I599"/>
    <mergeCell ref="J598:J599"/>
    <mergeCell ref="C600:C609"/>
    <mergeCell ref="D600:D601"/>
    <mergeCell ref="F600:F601"/>
    <mergeCell ref="G600:G601"/>
    <mergeCell ref="H600:H601"/>
    <mergeCell ref="I600:I601"/>
    <mergeCell ref="J600:J601"/>
    <mergeCell ref="D602:D603"/>
    <mergeCell ref="F602:F603"/>
    <mergeCell ref="G602:G603"/>
    <mergeCell ref="H602:H603"/>
    <mergeCell ref="I602:I603"/>
    <mergeCell ref="J602:J603"/>
    <mergeCell ref="D604:D605"/>
    <mergeCell ref="F604:F605"/>
    <mergeCell ref="G604:G605"/>
    <mergeCell ref="H604:H605"/>
    <mergeCell ref="I604:I605"/>
    <mergeCell ref="J604:J605"/>
    <mergeCell ref="D606:D607"/>
    <mergeCell ref="F606:F607"/>
    <mergeCell ref="G606:G607"/>
    <mergeCell ref="H606:H607"/>
    <mergeCell ref="I606:I607"/>
    <mergeCell ref="J606:J607"/>
    <mergeCell ref="D608:D609"/>
    <mergeCell ref="F608:F609"/>
    <mergeCell ref="G608:G609"/>
    <mergeCell ref="H608:H609"/>
    <mergeCell ref="I608:I609"/>
    <mergeCell ref="J608:J609"/>
    <mergeCell ref="C610:C619"/>
    <mergeCell ref="D610:D611"/>
    <mergeCell ref="F610:F611"/>
    <mergeCell ref="G610:G611"/>
    <mergeCell ref="H610:H611"/>
    <mergeCell ref="I610:I611"/>
    <mergeCell ref="J610:J611"/>
    <mergeCell ref="D612:D613"/>
    <mergeCell ref="F612:F613"/>
    <mergeCell ref="G612:G613"/>
    <mergeCell ref="H612:H613"/>
    <mergeCell ref="I612:I613"/>
    <mergeCell ref="J612:J613"/>
    <mergeCell ref="D614:D615"/>
    <mergeCell ref="F614:F615"/>
    <mergeCell ref="G614:G615"/>
    <mergeCell ref="H614:H615"/>
    <mergeCell ref="I614:I615"/>
    <mergeCell ref="J614:J615"/>
    <mergeCell ref="D616:D617"/>
    <mergeCell ref="F616:F617"/>
    <mergeCell ref="G616:G617"/>
    <mergeCell ref="H616:H617"/>
    <mergeCell ref="I616:I617"/>
    <mergeCell ref="J616:J617"/>
    <mergeCell ref="D618:D619"/>
    <mergeCell ref="F618:F619"/>
    <mergeCell ref="G618:G619"/>
    <mergeCell ref="H618:H619"/>
    <mergeCell ref="I618:I619"/>
    <mergeCell ref="J618:J619"/>
    <mergeCell ref="C620:C629"/>
    <mergeCell ref="D620:D621"/>
    <mergeCell ref="F620:F621"/>
    <mergeCell ref="G620:G621"/>
    <mergeCell ref="H620:H621"/>
    <mergeCell ref="I620:I621"/>
    <mergeCell ref="J620:J621"/>
    <mergeCell ref="D622:D623"/>
    <mergeCell ref="F622:F623"/>
    <mergeCell ref="G622:G623"/>
    <mergeCell ref="H622:H623"/>
    <mergeCell ref="I622:I623"/>
    <mergeCell ref="J622:J623"/>
    <mergeCell ref="D624:D625"/>
    <mergeCell ref="F624:F625"/>
    <mergeCell ref="G624:G625"/>
    <mergeCell ref="H624:H625"/>
    <mergeCell ref="I624:I625"/>
    <mergeCell ref="J624:J625"/>
    <mergeCell ref="D626:D627"/>
    <mergeCell ref="F626:F627"/>
    <mergeCell ref="G626:G627"/>
    <mergeCell ref="H626:H627"/>
    <mergeCell ref="I626:I627"/>
    <mergeCell ref="J626:J627"/>
    <mergeCell ref="D628:D629"/>
    <mergeCell ref="F628:F629"/>
    <mergeCell ref="G628:G629"/>
    <mergeCell ref="H628:H629"/>
    <mergeCell ref="I628:I629"/>
    <mergeCell ref="J628:J629"/>
    <mergeCell ref="C630:C639"/>
    <mergeCell ref="D630:D631"/>
    <mergeCell ref="F630:F631"/>
    <mergeCell ref="G630:G631"/>
    <mergeCell ref="H630:H631"/>
    <mergeCell ref="I630:I631"/>
    <mergeCell ref="J630:J631"/>
    <mergeCell ref="D632:D633"/>
    <mergeCell ref="F632:F633"/>
    <mergeCell ref="G632:G633"/>
    <mergeCell ref="H632:H633"/>
    <mergeCell ref="I632:I633"/>
    <mergeCell ref="J632:J633"/>
    <mergeCell ref="D634:D635"/>
    <mergeCell ref="F634:F635"/>
    <mergeCell ref="G634:G635"/>
    <mergeCell ref="H634:H635"/>
    <mergeCell ref="I634:I635"/>
    <mergeCell ref="J634:J635"/>
    <mergeCell ref="D636:D637"/>
    <mergeCell ref="F636:F637"/>
    <mergeCell ref="G636:G637"/>
    <mergeCell ref="H636:H637"/>
    <mergeCell ref="I636:I637"/>
    <mergeCell ref="J636:J637"/>
    <mergeCell ref="D638:D639"/>
    <mergeCell ref="F638:F639"/>
    <mergeCell ref="G638:G639"/>
    <mergeCell ref="H638:H639"/>
    <mergeCell ref="I638:I639"/>
    <mergeCell ref="J638:J639"/>
    <mergeCell ref="B640:B699"/>
    <mergeCell ref="C640:C649"/>
    <mergeCell ref="D640:D641"/>
    <mergeCell ref="F640:F641"/>
    <mergeCell ref="G640:G641"/>
    <mergeCell ref="H640:H641"/>
    <mergeCell ref="I640:I641"/>
    <mergeCell ref="J640:J641"/>
    <mergeCell ref="D642:D643"/>
    <mergeCell ref="F642:F643"/>
    <mergeCell ref="G642:G643"/>
    <mergeCell ref="H642:H643"/>
    <mergeCell ref="I642:I643"/>
    <mergeCell ref="J642:J643"/>
    <mergeCell ref="D644:D645"/>
    <mergeCell ref="F644:F645"/>
    <mergeCell ref="G644:G645"/>
    <mergeCell ref="H644:H645"/>
    <mergeCell ref="I644:I645"/>
    <mergeCell ref="J644:J645"/>
    <mergeCell ref="D646:D647"/>
    <mergeCell ref="F646:F647"/>
    <mergeCell ref="G646:G647"/>
    <mergeCell ref="H646:H647"/>
    <mergeCell ref="I646:I647"/>
    <mergeCell ref="J646:J647"/>
    <mergeCell ref="D648:D649"/>
    <mergeCell ref="F648:F649"/>
    <mergeCell ref="G648:G649"/>
    <mergeCell ref="H648:H649"/>
    <mergeCell ref="I648:I649"/>
    <mergeCell ref="J648:J649"/>
    <mergeCell ref="C650:C659"/>
    <mergeCell ref="D650:D651"/>
    <mergeCell ref="F650:F651"/>
    <mergeCell ref="G650:G651"/>
    <mergeCell ref="H650:H651"/>
    <mergeCell ref="I650:I651"/>
    <mergeCell ref="J650:J651"/>
    <mergeCell ref="D652:D653"/>
    <mergeCell ref="F652:F653"/>
    <mergeCell ref="G652:G653"/>
    <mergeCell ref="H652:H653"/>
    <mergeCell ref="I652:I653"/>
    <mergeCell ref="J652:J653"/>
    <mergeCell ref="D654:D655"/>
    <mergeCell ref="F654:F655"/>
    <mergeCell ref="G654:G655"/>
    <mergeCell ref="H654:H655"/>
    <mergeCell ref="I654:I655"/>
    <mergeCell ref="J654:J655"/>
    <mergeCell ref="D656:D657"/>
    <mergeCell ref="F656:F657"/>
    <mergeCell ref="G656:G657"/>
    <mergeCell ref="H656:H657"/>
    <mergeCell ref="I656:I657"/>
    <mergeCell ref="J656:J657"/>
    <mergeCell ref="D658:D659"/>
    <mergeCell ref="F658:F659"/>
    <mergeCell ref="G658:G659"/>
    <mergeCell ref="H658:H659"/>
    <mergeCell ref="I658:I659"/>
    <mergeCell ref="J658:J659"/>
    <mergeCell ref="C660:C669"/>
    <mergeCell ref="D660:D661"/>
    <mergeCell ref="F660:F661"/>
    <mergeCell ref="G660:G661"/>
    <mergeCell ref="H660:H661"/>
    <mergeCell ref="I660:I661"/>
    <mergeCell ref="J660:J661"/>
    <mergeCell ref="D662:D663"/>
    <mergeCell ref="F662:F663"/>
    <mergeCell ref="G662:G663"/>
    <mergeCell ref="H662:H663"/>
    <mergeCell ref="I662:I663"/>
    <mergeCell ref="J662:J663"/>
    <mergeCell ref="D664:D665"/>
    <mergeCell ref="F664:F665"/>
    <mergeCell ref="G664:G665"/>
    <mergeCell ref="H664:H665"/>
    <mergeCell ref="I664:I665"/>
    <mergeCell ref="J664:J665"/>
    <mergeCell ref="D666:D667"/>
    <mergeCell ref="F666:F667"/>
    <mergeCell ref="G666:G667"/>
    <mergeCell ref="H666:H667"/>
    <mergeCell ref="I666:I667"/>
    <mergeCell ref="J666:J667"/>
    <mergeCell ref="D668:D669"/>
    <mergeCell ref="F668:F669"/>
    <mergeCell ref="G668:G669"/>
    <mergeCell ref="H668:H669"/>
    <mergeCell ref="I668:I669"/>
    <mergeCell ref="J668:J669"/>
    <mergeCell ref="C670:C679"/>
    <mergeCell ref="D670:D671"/>
    <mergeCell ref="F670:F671"/>
    <mergeCell ref="G670:G671"/>
    <mergeCell ref="H670:H671"/>
    <mergeCell ref="I670:I671"/>
    <mergeCell ref="J670:J671"/>
    <mergeCell ref="D672:D673"/>
    <mergeCell ref="F672:F673"/>
    <mergeCell ref="G672:G673"/>
    <mergeCell ref="H672:H673"/>
    <mergeCell ref="I672:I673"/>
    <mergeCell ref="J672:J673"/>
    <mergeCell ref="D674:D675"/>
    <mergeCell ref="F674:F675"/>
    <mergeCell ref="G674:G675"/>
    <mergeCell ref="H674:H675"/>
    <mergeCell ref="I674:I675"/>
    <mergeCell ref="J674:J675"/>
    <mergeCell ref="D676:D677"/>
    <mergeCell ref="F676:F677"/>
    <mergeCell ref="G676:G677"/>
    <mergeCell ref="H676:H677"/>
    <mergeCell ref="I676:I677"/>
    <mergeCell ref="J676:J677"/>
    <mergeCell ref="D678:D679"/>
    <mergeCell ref="F678:F679"/>
    <mergeCell ref="G678:G679"/>
    <mergeCell ref="H678:H679"/>
    <mergeCell ref="I678:I679"/>
    <mergeCell ref="J678:J679"/>
    <mergeCell ref="C680:C689"/>
    <mergeCell ref="D680:D681"/>
    <mergeCell ref="F680:F681"/>
    <mergeCell ref="G680:G681"/>
    <mergeCell ref="H680:H681"/>
    <mergeCell ref="I680:I681"/>
    <mergeCell ref="J680:J681"/>
    <mergeCell ref="D682:D683"/>
    <mergeCell ref="F682:F683"/>
    <mergeCell ref="G682:G683"/>
    <mergeCell ref="H682:H683"/>
    <mergeCell ref="I682:I683"/>
    <mergeCell ref="J682:J683"/>
    <mergeCell ref="D684:D685"/>
    <mergeCell ref="F684:F685"/>
    <mergeCell ref="G684:G685"/>
    <mergeCell ref="H684:H685"/>
    <mergeCell ref="I684:I685"/>
    <mergeCell ref="J684:J685"/>
    <mergeCell ref="D686:D687"/>
    <mergeCell ref="F686:F687"/>
    <mergeCell ref="G686:G687"/>
    <mergeCell ref="H686:H687"/>
    <mergeCell ref="I686:I687"/>
    <mergeCell ref="J686:J687"/>
    <mergeCell ref="D688:D689"/>
    <mergeCell ref="F688:F689"/>
    <mergeCell ref="G688:G689"/>
    <mergeCell ref="H688:H689"/>
    <mergeCell ref="I688:I689"/>
    <mergeCell ref="J688:J689"/>
    <mergeCell ref="C690:C699"/>
    <mergeCell ref="D690:D691"/>
    <mergeCell ref="F690:F691"/>
    <mergeCell ref="G690:G691"/>
    <mergeCell ref="H690:H691"/>
    <mergeCell ref="I690:I691"/>
    <mergeCell ref="J690:J691"/>
    <mergeCell ref="D692:D693"/>
    <mergeCell ref="F692:F693"/>
    <mergeCell ref="G692:G693"/>
    <mergeCell ref="H692:H693"/>
    <mergeCell ref="I692:I693"/>
    <mergeCell ref="J692:J693"/>
    <mergeCell ref="D694:D695"/>
    <mergeCell ref="F694:F695"/>
    <mergeCell ref="G694:G695"/>
    <mergeCell ref="H694:H695"/>
    <mergeCell ref="I694:I695"/>
    <mergeCell ref="J694:J695"/>
    <mergeCell ref="D696:D697"/>
    <mergeCell ref="F696:F697"/>
    <mergeCell ref="G696:G697"/>
    <mergeCell ref="H696:H697"/>
    <mergeCell ref="I696:I697"/>
    <mergeCell ref="J696:J697"/>
    <mergeCell ref="D698:D699"/>
    <mergeCell ref="F698:F699"/>
    <mergeCell ref="G698:G699"/>
    <mergeCell ref="H698:H699"/>
    <mergeCell ref="I698:I699"/>
    <mergeCell ref="J698:J699"/>
    <mergeCell ref="B700:B829"/>
    <mergeCell ref="C700:C709"/>
    <mergeCell ref="D700:D701"/>
    <mergeCell ref="F700:F701"/>
    <mergeCell ref="G700:G701"/>
    <mergeCell ref="H700:H701"/>
    <mergeCell ref="I700:I701"/>
    <mergeCell ref="J700:J701"/>
    <mergeCell ref="D702:D703"/>
    <mergeCell ref="F702:F703"/>
    <mergeCell ref="G702:G703"/>
    <mergeCell ref="H702:H703"/>
    <mergeCell ref="I702:I703"/>
    <mergeCell ref="J702:J703"/>
    <mergeCell ref="D704:D705"/>
    <mergeCell ref="F704:F705"/>
    <mergeCell ref="G704:G705"/>
    <mergeCell ref="H704:H705"/>
    <mergeCell ref="I704:I705"/>
    <mergeCell ref="J704:J705"/>
    <mergeCell ref="D706:D707"/>
    <mergeCell ref="F706:F707"/>
    <mergeCell ref="G706:G707"/>
    <mergeCell ref="H706:H707"/>
    <mergeCell ref="I706:I707"/>
    <mergeCell ref="J706:J707"/>
    <mergeCell ref="D708:D709"/>
    <mergeCell ref="F708:F709"/>
    <mergeCell ref="G708:G709"/>
    <mergeCell ref="H708:H709"/>
    <mergeCell ref="I708:I709"/>
    <mergeCell ref="J708:J709"/>
    <mergeCell ref="C710:C719"/>
    <mergeCell ref="D710:D711"/>
    <mergeCell ref="F710:F711"/>
    <mergeCell ref="G710:G711"/>
    <mergeCell ref="H710:H711"/>
    <mergeCell ref="I710:I711"/>
    <mergeCell ref="J710:J711"/>
    <mergeCell ref="D712:D713"/>
    <mergeCell ref="F712:F713"/>
    <mergeCell ref="G712:G713"/>
    <mergeCell ref="H712:H713"/>
    <mergeCell ref="I712:I713"/>
    <mergeCell ref="J712:J713"/>
    <mergeCell ref="D714:D715"/>
    <mergeCell ref="F714:F715"/>
    <mergeCell ref="G714:G715"/>
    <mergeCell ref="H714:H715"/>
    <mergeCell ref="I714:I715"/>
    <mergeCell ref="J714:J715"/>
    <mergeCell ref="D716:D717"/>
    <mergeCell ref="F716:F717"/>
    <mergeCell ref="G716:G717"/>
    <mergeCell ref="H716:H717"/>
    <mergeCell ref="I716:I717"/>
    <mergeCell ref="J716:J717"/>
    <mergeCell ref="D718:D719"/>
    <mergeCell ref="F718:F719"/>
    <mergeCell ref="G718:G719"/>
    <mergeCell ref="H718:H719"/>
    <mergeCell ref="I718:I719"/>
    <mergeCell ref="J718:J719"/>
    <mergeCell ref="C720:C729"/>
    <mergeCell ref="D720:D721"/>
    <mergeCell ref="F720:F721"/>
    <mergeCell ref="G720:G721"/>
    <mergeCell ref="H720:H721"/>
    <mergeCell ref="I720:I721"/>
    <mergeCell ref="J720:J721"/>
    <mergeCell ref="D722:D723"/>
    <mergeCell ref="F722:F723"/>
    <mergeCell ref="G722:G723"/>
    <mergeCell ref="H722:H723"/>
    <mergeCell ref="I722:I723"/>
    <mergeCell ref="J722:J723"/>
    <mergeCell ref="D724:D725"/>
    <mergeCell ref="F724:F725"/>
    <mergeCell ref="G724:G725"/>
    <mergeCell ref="H724:H725"/>
    <mergeCell ref="I724:I725"/>
    <mergeCell ref="J724:J725"/>
    <mergeCell ref="D726:D727"/>
    <mergeCell ref="F726:F727"/>
    <mergeCell ref="G726:G727"/>
    <mergeCell ref="H726:H727"/>
    <mergeCell ref="I726:I727"/>
    <mergeCell ref="J726:J727"/>
    <mergeCell ref="D728:D729"/>
    <mergeCell ref="F728:F729"/>
    <mergeCell ref="G728:G729"/>
    <mergeCell ref="H728:H729"/>
    <mergeCell ref="I728:I729"/>
    <mergeCell ref="J728:J729"/>
    <mergeCell ref="C730:C739"/>
    <mergeCell ref="D730:D731"/>
    <mergeCell ref="F730:F731"/>
    <mergeCell ref="G730:G731"/>
    <mergeCell ref="H730:H731"/>
    <mergeCell ref="I730:I731"/>
    <mergeCell ref="J730:J731"/>
    <mergeCell ref="D732:D733"/>
    <mergeCell ref="F732:F733"/>
    <mergeCell ref="G732:G733"/>
    <mergeCell ref="H732:H733"/>
    <mergeCell ref="I732:I733"/>
    <mergeCell ref="J732:J733"/>
    <mergeCell ref="D734:D735"/>
    <mergeCell ref="F734:F735"/>
    <mergeCell ref="G734:G735"/>
    <mergeCell ref="H734:H735"/>
    <mergeCell ref="I734:I735"/>
    <mergeCell ref="J734:J735"/>
    <mergeCell ref="D736:D737"/>
    <mergeCell ref="F736:F737"/>
    <mergeCell ref="G736:G737"/>
    <mergeCell ref="H736:H737"/>
    <mergeCell ref="I736:I737"/>
    <mergeCell ref="J736:J737"/>
    <mergeCell ref="D738:D739"/>
    <mergeCell ref="F738:F739"/>
    <mergeCell ref="G738:G739"/>
    <mergeCell ref="H738:H739"/>
    <mergeCell ref="I738:I739"/>
    <mergeCell ref="J738:J739"/>
    <mergeCell ref="C740:C749"/>
    <mergeCell ref="D740:D741"/>
    <mergeCell ref="F740:F741"/>
    <mergeCell ref="G740:G741"/>
    <mergeCell ref="H740:H741"/>
    <mergeCell ref="I740:I741"/>
    <mergeCell ref="J740:J741"/>
    <mergeCell ref="D742:D743"/>
    <mergeCell ref="F742:F743"/>
    <mergeCell ref="G742:G743"/>
    <mergeCell ref="H742:H743"/>
    <mergeCell ref="I742:I743"/>
    <mergeCell ref="J742:J743"/>
    <mergeCell ref="D744:D745"/>
    <mergeCell ref="F744:F745"/>
    <mergeCell ref="G744:G745"/>
    <mergeCell ref="H744:H745"/>
    <mergeCell ref="I744:I745"/>
    <mergeCell ref="J744:J745"/>
    <mergeCell ref="D746:D747"/>
    <mergeCell ref="F746:F747"/>
    <mergeCell ref="G746:G747"/>
    <mergeCell ref="H746:H747"/>
    <mergeCell ref="I746:I747"/>
    <mergeCell ref="J746:J747"/>
    <mergeCell ref="D748:D749"/>
    <mergeCell ref="F748:F749"/>
    <mergeCell ref="G748:G749"/>
    <mergeCell ref="H748:H749"/>
    <mergeCell ref="I748:I749"/>
    <mergeCell ref="J748:J749"/>
    <mergeCell ref="C750:C759"/>
    <mergeCell ref="D750:D751"/>
    <mergeCell ref="F750:F751"/>
    <mergeCell ref="G750:G751"/>
    <mergeCell ref="H750:H751"/>
    <mergeCell ref="I750:I751"/>
    <mergeCell ref="J750:J751"/>
    <mergeCell ref="D752:D753"/>
    <mergeCell ref="F752:F753"/>
    <mergeCell ref="G752:G753"/>
    <mergeCell ref="H752:H753"/>
    <mergeCell ref="I752:I753"/>
    <mergeCell ref="J752:J753"/>
    <mergeCell ref="D754:D755"/>
    <mergeCell ref="F754:F755"/>
    <mergeCell ref="G754:G755"/>
    <mergeCell ref="H754:H755"/>
    <mergeCell ref="I754:I755"/>
    <mergeCell ref="J754:J755"/>
    <mergeCell ref="D756:D757"/>
    <mergeCell ref="F756:F757"/>
    <mergeCell ref="G756:G757"/>
    <mergeCell ref="H756:H757"/>
    <mergeCell ref="I756:I757"/>
    <mergeCell ref="J756:J757"/>
    <mergeCell ref="D758:D759"/>
    <mergeCell ref="F758:F759"/>
    <mergeCell ref="G758:G759"/>
    <mergeCell ref="H758:H759"/>
    <mergeCell ref="I758:I759"/>
    <mergeCell ref="J758:J759"/>
    <mergeCell ref="C760:C769"/>
    <mergeCell ref="D760:D761"/>
    <mergeCell ref="F760:F761"/>
    <mergeCell ref="G760:G761"/>
    <mergeCell ref="H760:H761"/>
    <mergeCell ref="I760:I761"/>
    <mergeCell ref="J760:J761"/>
    <mergeCell ref="D762:D763"/>
    <mergeCell ref="F762:F763"/>
    <mergeCell ref="G762:G763"/>
    <mergeCell ref="H762:H763"/>
    <mergeCell ref="I762:I763"/>
    <mergeCell ref="J762:J763"/>
    <mergeCell ref="D764:D765"/>
    <mergeCell ref="F764:F765"/>
    <mergeCell ref="G764:G765"/>
    <mergeCell ref="H764:H765"/>
    <mergeCell ref="I764:I765"/>
    <mergeCell ref="J764:J765"/>
    <mergeCell ref="D766:D767"/>
    <mergeCell ref="F766:F767"/>
    <mergeCell ref="G766:G767"/>
    <mergeCell ref="H766:H767"/>
    <mergeCell ref="I766:I767"/>
    <mergeCell ref="J766:J767"/>
    <mergeCell ref="D768:D769"/>
    <mergeCell ref="F768:F769"/>
    <mergeCell ref="G768:G769"/>
    <mergeCell ref="H768:H769"/>
    <mergeCell ref="I768:I769"/>
    <mergeCell ref="J768:J769"/>
    <mergeCell ref="C770:C779"/>
    <mergeCell ref="D770:D771"/>
    <mergeCell ref="F770:F771"/>
    <mergeCell ref="G770:G771"/>
    <mergeCell ref="H770:H771"/>
    <mergeCell ref="I770:I771"/>
    <mergeCell ref="J770:J771"/>
    <mergeCell ref="D772:D773"/>
    <mergeCell ref="F772:F773"/>
    <mergeCell ref="G772:G773"/>
    <mergeCell ref="H772:H773"/>
    <mergeCell ref="I772:I773"/>
    <mergeCell ref="J772:J773"/>
    <mergeCell ref="D774:D775"/>
    <mergeCell ref="F774:F775"/>
    <mergeCell ref="G774:G775"/>
    <mergeCell ref="H774:H775"/>
    <mergeCell ref="I774:I775"/>
    <mergeCell ref="J774:J775"/>
    <mergeCell ref="D776:D777"/>
    <mergeCell ref="F776:F777"/>
    <mergeCell ref="G776:G777"/>
    <mergeCell ref="H776:H777"/>
    <mergeCell ref="I776:I777"/>
    <mergeCell ref="J776:J777"/>
    <mergeCell ref="D778:D779"/>
    <mergeCell ref="F778:F779"/>
    <mergeCell ref="G778:G779"/>
    <mergeCell ref="H778:H779"/>
    <mergeCell ref="I778:I779"/>
    <mergeCell ref="J778:J779"/>
    <mergeCell ref="C780:C789"/>
    <mergeCell ref="D780:D781"/>
    <mergeCell ref="F780:F781"/>
    <mergeCell ref="G780:G781"/>
    <mergeCell ref="H780:H781"/>
    <mergeCell ref="I780:I781"/>
    <mergeCell ref="J780:J781"/>
    <mergeCell ref="D782:D783"/>
    <mergeCell ref="F782:F783"/>
    <mergeCell ref="G782:G783"/>
    <mergeCell ref="H782:H783"/>
    <mergeCell ref="I782:I783"/>
    <mergeCell ref="J782:J783"/>
    <mergeCell ref="D784:D785"/>
    <mergeCell ref="F784:F785"/>
    <mergeCell ref="G784:G785"/>
    <mergeCell ref="H784:H785"/>
    <mergeCell ref="I784:I785"/>
    <mergeCell ref="J784:J785"/>
    <mergeCell ref="D786:D787"/>
    <mergeCell ref="F786:F787"/>
    <mergeCell ref="G786:G787"/>
    <mergeCell ref="H786:H787"/>
    <mergeCell ref="I786:I787"/>
    <mergeCell ref="J786:J787"/>
    <mergeCell ref="D788:D789"/>
    <mergeCell ref="F788:F789"/>
    <mergeCell ref="G788:G789"/>
    <mergeCell ref="H788:H789"/>
    <mergeCell ref="I788:I789"/>
    <mergeCell ref="J788:J789"/>
    <mergeCell ref="C790:C799"/>
    <mergeCell ref="D790:D791"/>
    <mergeCell ref="F790:F791"/>
    <mergeCell ref="G790:G791"/>
    <mergeCell ref="H790:H791"/>
    <mergeCell ref="I790:I791"/>
    <mergeCell ref="J790:J791"/>
    <mergeCell ref="D792:D793"/>
    <mergeCell ref="F792:F793"/>
    <mergeCell ref="G792:G793"/>
    <mergeCell ref="H792:H793"/>
    <mergeCell ref="I792:I793"/>
    <mergeCell ref="J792:J793"/>
    <mergeCell ref="D794:D795"/>
    <mergeCell ref="F794:F795"/>
    <mergeCell ref="G794:G795"/>
    <mergeCell ref="H794:H795"/>
    <mergeCell ref="I794:I795"/>
    <mergeCell ref="J794:J795"/>
    <mergeCell ref="D796:D797"/>
    <mergeCell ref="F796:F797"/>
    <mergeCell ref="G796:G797"/>
    <mergeCell ref="H796:H797"/>
    <mergeCell ref="I796:I797"/>
    <mergeCell ref="J796:J797"/>
    <mergeCell ref="D798:D799"/>
    <mergeCell ref="F798:F799"/>
    <mergeCell ref="G798:G799"/>
    <mergeCell ref="H798:H799"/>
    <mergeCell ref="I798:I799"/>
    <mergeCell ref="J798:J799"/>
    <mergeCell ref="C800:C809"/>
    <mergeCell ref="D800:D801"/>
    <mergeCell ref="F800:F801"/>
    <mergeCell ref="G800:G801"/>
    <mergeCell ref="H800:H801"/>
    <mergeCell ref="I800:I801"/>
    <mergeCell ref="J800:J801"/>
    <mergeCell ref="D802:D803"/>
    <mergeCell ref="F802:F803"/>
    <mergeCell ref="G802:G803"/>
    <mergeCell ref="H802:H803"/>
    <mergeCell ref="I802:I803"/>
    <mergeCell ref="J802:J803"/>
    <mergeCell ref="D804:D805"/>
    <mergeCell ref="F804:F805"/>
    <mergeCell ref="G804:G805"/>
    <mergeCell ref="H804:H805"/>
    <mergeCell ref="I804:I805"/>
    <mergeCell ref="J804:J805"/>
    <mergeCell ref="D806:D807"/>
    <mergeCell ref="F806:F807"/>
    <mergeCell ref="G806:G807"/>
    <mergeCell ref="H806:H807"/>
    <mergeCell ref="I806:I807"/>
    <mergeCell ref="J806:J807"/>
    <mergeCell ref="D808:D809"/>
    <mergeCell ref="F808:F809"/>
    <mergeCell ref="G808:G809"/>
    <mergeCell ref="H808:H809"/>
    <mergeCell ref="I808:I809"/>
    <mergeCell ref="J808:J809"/>
    <mergeCell ref="C810:C819"/>
    <mergeCell ref="D810:D811"/>
    <mergeCell ref="F810:F811"/>
    <mergeCell ref="G810:G811"/>
    <mergeCell ref="H810:H811"/>
    <mergeCell ref="I810:I811"/>
    <mergeCell ref="J810:J811"/>
    <mergeCell ref="D812:D813"/>
    <mergeCell ref="F812:F813"/>
    <mergeCell ref="G812:G813"/>
    <mergeCell ref="H812:H813"/>
    <mergeCell ref="I812:I813"/>
    <mergeCell ref="J812:J813"/>
    <mergeCell ref="D814:D815"/>
    <mergeCell ref="F814:F815"/>
    <mergeCell ref="G814:G815"/>
    <mergeCell ref="H814:H815"/>
    <mergeCell ref="I814:I815"/>
    <mergeCell ref="J814:J815"/>
    <mergeCell ref="D816:D817"/>
    <mergeCell ref="F816:F817"/>
    <mergeCell ref="G816:G817"/>
    <mergeCell ref="H816:H817"/>
    <mergeCell ref="I816:I817"/>
    <mergeCell ref="J816:J817"/>
    <mergeCell ref="D818:D819"/>
    <mergeCell ref="F818:F819"/>
    <mergeCell ref="G818:G819"/>
    <mergeCell ref="H818:H819"/>
    <mergeCell ref="I818:I819"/>
    <mergeCell ref="J818:J819"/>
    <mergeCell ref="C820:C829"/>
    <mergeCell ref="D820:D821"/>
    <mergeCell ref="F820:F821"/>
    <mergeCell ref="G820:G821"/>
    <mergeCell ref="H820:H821"/>
    <mergeCell ref="I820:I821"/>
    <mergeCell ref="J820:J821"/>
    <mergeCell ref="D822:D823"/>
    <mergeCell ref="F822:F823"/>
    <mergeCell ref="G822:G823"/>
    <mergeCell ref="H822:H823"/>
    <mergeCell ref="I822:I823"/>
    <mergeCell ref="J822:J823"/>
    <mergeCell ref="D824:D825"/>
    <mergeCell ref="F824:F825"/>
    <mergeCell ref="G824:G825"/>
    <mergeCell ref="H824:H825"/>
    <mergeCell ref="I824:I825"/>
    <mergeCell ref="J824:J825"/>
    <mergeCell ref="D826:D827"/>
    <mergeCell ref="F826:F827"/>
    <mergeCell ref="G826:G827"/>
    <mergeCell ref="H826:H827"/>
    <mergeCell ref="I826:I827"/>
    <mergeCell ref="J826:J827"/>
    <mergeCell ref="D828:D829"/>
    <mergeCell ref="F828:F829"/>
    <mergeCell ref="G828:G829"/>
    <mergeCell ref="H828:H829"/>
    <mergeCell ref="I828:I829"/>
    <mergeCell ref="J828:J829"/>
    <mergeCell ref="B830:B1019"/>
    <mergeCell ref="C830:C839"/>
    <mergeCell ref="D830:D831"/>
    <mergeCell ref="F830:F831"/>
    <mergeCell ref="G830:G831"/>
    <mergeCell ref="H830:H831"/>
    <mergeCell ref="I830:I831"/>
    <mergeCell ref="J830:J831"/>
    <mergeCell ref="D832:D833"/>
    <mergeCell ref="F832:F833"/>
    <mergeCell ref="G832:G833"/>
    <mergeCell ref="H832:H833"/>
    <mergeCell ref="I832:I833"/>
    <mergeCell ref="J832:J833"/>
    <mergeCell ref="D834:D835"/>
    <mergeCell ref="F834:F835"/>
    <mergeCell ref="G834:G835"/>
    <mergeCell ref="H834:H835"/>
    <mergeCell ref="I834:I835"/>
    <mergeCell ref="J834:J835"/>
    <mergeCell ref="D836:D837"/>
    <mergeCell ref="F836:F837"/>
    <mergeCell ref="G836:G837"/>
    <mergeCell ref="H836:H837"/>
    <mergeCell ref="I836:I837"/>
    <mergeCell ref="J836:J837"/>
    <mergeCell ref="D838:D839"/>
    <mergeCell ref="F838:F839"/>
    <mergeCell ref="G838:G839"/>
    <mergeCell ref="H838:H839"/>
    <mergeCell ref="I838:I839"/>
    <mergeCell ref="J838:J839"/>
    <mergeCell ref="C840:C849"/>
    <mergeCell ref="D840:D841"/>
    <mergeCell ref="F840:F841"/>
    <mergeCell ref="G840:G841"/>
    <mergeCell ref="H840:H841"/>
    <mergeCell ref="I840:I841"/>
    <mergeCell ref="J840:J841"/>
    <mergeCell ref="D842:D843"/>
    <mergeCell ref="F842:F843"/>
    <mergeCell ref="G842:G843"/>
    <mergeCell ref="H842:H843"/>
    <mergeCell ref="I842:I843"/>
    <mergeCell ref="J842:J843"/>
    <mergeCell ref="D844:D845"/>
    <mergeCell ref="F844:F845"/>
    <mergeCell ref="G844:G845"/>
    <mergeCell ref="H844:H845"/>
    <mergeCell ref="I844:I845"/>
    <mergeCell ref="J844:J845"/>
    <mergeCell ref="D846:D847"/>
    <mergeCell ref="F846:F847"/>
    <mergeCell ref="G846:G847"/>
    <mergeCell ref="H846:H847"/>
    <mergeCell ref="I846:I847"/>
    <mergeCell ref="J846:J847"/>
    <mergeCell ref="D848:D849"/>
    <mergeCell ref="F848:F849"/>
    <mergeCell ref="G848:G849"/>
    <mergeCell ref="H848:H849"/>
    <mergeCell ref="I848:I849"/>
    <mergeCell ref="J848:J849"/>
    <mergeCell ref="C850:C859"/>
    <mergeCell ref="D850:D851"/>
    <mergeCell ref="F850:F851"/>
    <mergeCell ref="G850:G851"/>
    <mergeCell ref="H850:H851"/>
    <mergeCell ref="I850:I851"/>
    <mergeCell ref="J850:J851"/>
    <mergeCell ref="D852:D853"/>
    <mergeCell ref="F852:F853"/>
    <mergeCell ref="G852:G853"/>
    <mergeCell ref="H852:H853"/>
    <mergeCell ref="I852:I853"/>
    <mergeCell ref="J852:J853"/>
    <mergeCell ref="D854:D855"/>
    <mergeCell ref="F854:F855"/>
    <mergeCell ref="G854:G855"/>
    <mergeCell ref="H854:H855"/>
    <mergeCell ref="I854:I855"/>
    <mergeCell ref="J854:J855"/>
    <mergeCell ref="D856:D857"/>
    <mergeCell ref="F856:F857"/>
    <mergeCell ref="G856:G857"/>
    <mergeCell ref="H856:H857"/>
    <mergeCell ref="I856:I857"/>
    <mergeCell ref="J856:J857"/>
    <mergeCell ref="D858:D859"/>
    <mergeCell ref="F858:F859"/>
    <mergeCell ref="G858:G859"/>
    <mergeCell ref="H858:H859"/>
    <mergeCell ref="I858:I859"/>
    <mergeCell ref="J858:J859"/>
    <mergeCell ref="C860:C869"/>
    <mergeCell ref="D860:D861"/>
    <mergeCell ref="F860:F861"/>
    <mergeCell ref="G860:G861"/>
    <mergeCell ref="H860:H861"/>
    <mergeCell ref="I860:I861"/>
    <mergeCell ref="J860:J861"/>
    <mergeCell ref="D862:D863"/>
    <mergeCell ref="F862:F863"/>
    <mergeCell ref="G862:G863"/>
    <mergeCell ref="H862:H863"/>
    <mergeCell ref="I862:I863"/>
    <mergeCell ref="J862:J863"/>
    <mergeCell ref="D864:D865"/>
    <mergeCell ref="F864:F865"/>
    <mergeCell ref="G864:G865"/>
    <mergeCell ref="H864:H865"/>
    <mergeCell ref="I864:I865"/>
    <mergeCell ref="J864:J865"/>
    <mergeCell ref="D866:D867"/>
    <mergeCell ref="F866:F867"/>
    <mergeCell ref="G866:G867"/>
    <mergeCell ref="H866:H867"/>
    <mergeCell ref="I866:I867"/>
    <mergeCell ref="J866:J867"/>
    <mergeCell ref="D868:D869"/>
    <mergeCell ref="F868:F869"/>
    <mergeCell ref="G868:G869"/>
    <mergeCell ref="H868:H869"/>
    <mergeCell ref="I868:I869"/>
    <mergeCell ref="J868:J869"/>
    <mergeCell ref="C870:C879"/>
    <mergeCell ref="D870:D871"/>
    <mergeCell ref="F870:F871"/>
    <mergeCell ref="G870:G871"/>
    <mergeCell ref="H870:H871"/>
    <mergeCell ref="I870:I871"/>
    <mergeCell ref="J870:J871"/>
    <mergeCell ref="D872:D873"/>
    <mergeCell ref="F872:F873"/>
    <mergeCell ref="G872:G873"/>
    <mergeCell ref="H872:H873"/>
    <mergeCell ref="I872:I873"/>
    <mergeCell ref="J872:J873"/>
    <mergeCell ref="D874:D875"/>
    <mergeCell ref="F874:F875"/>
    <mergeCell ref="G874:G875"/>
    <mergeCell ref="H874:H875"/>
    <mergeCell ref="I874:I875"/>
    <mergeCell ref="J874:J875"/>
    <mergeCell ref="D876:D877"/>
    <mergeCell ref="F876:F877"/>
    <mergeCell ref="G876:G877"/>
    <mergeCell ref="H876:H877"/>
    <mergeCell ref="I876:I877"/>
    <mergeCell ref="J876:J877"/>
    <mergeCell ref="D878:D879"/>
    <mergeCell ref="F878:F879"/>
    <mergeCell ref="G878:G879"/>
    <mergeCell ref="H878:H879"/>
    <mergeCell ref="I878:I879"/>
    <mergeCell ref="J878:J879"/>
    <mergeCell ref="C880:C889"/>
    <mergeCell ref="D880:D881"/>
    <mergeCell ref="F880:F881"/>
    <mergeCell ref="G880:G881"/>
    <mergeCell ref="H880:H881"/>
    <mergeCell ref="I880:I881"/>
    <mergeCell ref="J880:J881"/>
    <mergeCell ref="D882:D883"/>
    <mergeCell ref="F882:F883"/>
    <mergeCell ref="G882:G883"/>
    <mergeCell ref="H882:H883"/>
    <mergeCell ref="I882:I883"/>
    <mergeCell ref="J882:J883"/>
    <mergeCell ref="D884:D885"/>
    <mergeCell ref="F884:F885"/>
    <mergeCell ref="G884:G885"/>
    <mergeCell ref="H884:H885"/>
    <mergeCell ref="I884:I885"/>
    <mergeCell ref="J884:J885"/>
    <mergeCell ref="D886:D887"/>
    <mergeCell ref="F886:F887"/>
    <mergeCell ref="G886:G887"/>
    <mergeCell ref="H886:H887"/>
    <mergeCell ref="I886:I887"/>
    <mergeCell ref="J886:J887"/>
    <mergeCell ref="D888:D889"/>
    <mergeCell ref="F888:F889"/>
    <mergeCell ref="G888:G889"/>
    <mergeCell ref="H888:H889"/>
    <mergeCell ref="I888:I889"/>
    <mergeCell ref="J888:J889"/>
    <mergeCell ref="C890:C899"/>
    <mergeCell ref="D890:D891"/>
    <mergeCell ref="F890:F891"/>
    <mergeCell ref="G890:G891"/>
    <mergeCell ref="H890:H891"/>
    <mergeCell ref="I890:I891"/>
    <mergeCell ref="J890:J891"/>
    <mergeCell ref="D892:D893"/>
    <mergeCell ref="F892:F893"/>
    <mergeCell ref="G892:G893"/>
    <mergeCell ref="H892:H893"/>
    <mergeCell ref="I892:I893"/>
    <mergeCell ref="J892:J893"/>
    <mergeCell ref="D894:D895"/>
    <mergeCell ref="F894:F895"/>
    <mergeCell ref="G894:G895"/>
    <mergeCell ref="H894:H895"/>
    <mergeCell ref="I894:I895"/>
    <mergeCell ref="J894:J895"/>
    <mergeCell ref="D896:D897"/>
    <mergeCell ref="F896:F897"/>
    <mergeCell ref="G896:G897"/>
    <mergeCell ref="H896:H897"/>
    <mergeCell ref="I896:I897"/>
    <mergeCell ref="J896:J897"/>
    <mergeCell ref="D898:D899"/>
    <mergeCell ref="F898:F899"/>
    <mergeCell ref="G898:G899"/>
    <mergeCell ref="H898:H899"/>
    <mergeCell ref="I898:I899"/>
    <mergeCell ref="J898:J899"/>
    <mergeCell ref="C900:C909"/>
    <mergeCell ref="D900:D901"/>
    <mergeCell ref="F900:F901"/>
    <mergeCell ref="G900:G901"/>
    <mergeCell ref="H900:H901"/>
    <mergeCell ref="I900:I901"/>
    <mergeCell ref="J900:J901"/>
    <mergeCell ref="D902:D903"/>
    <mergeCell ref="F902:F903"/>
    <mergeCell ref="G902:G903"/>
    <mergeCell ref="H902:H903"/>
    <mergeCell ref="I902:I903"/>
    <mergeCell ref="J902:J903"/>
    <mergeCell ref="D904:D905"/>
    <mergeCell ref="F904:F905"/>
    <mergeCell ref="G904:G905"/>
    <mergeCell ref="H904:H905"/>
    <mergeCell ref="I904:I905"/>
    <mergeCell ref="J904:J905"/>
    <mergeCell ref="D906:D907"/>
    <mergeCell ref="F906:F907"/>
    <mergeCell ref="G906:G907"/>
    <mergeCell ref="H906:H907"/>
    <mergeCell ref="I906:I907"/>
    <mergeCell ref="J906:J907"/>
    <mergeCell ref="D908:D909"/>
    <mergeCell ref="F908:F909"/>
    <mergeCell ref="G908:G909"/>
    <mergeCell ref="H908:H909"/>
    <mergeCell ref="I908:I909"/>
    <mergeCell ref="J908:J909"/>
    <mergeCell ref="C910:C919"/>
    <mergeCell ref="D910:D911"/>
    <mergeCell ref="F910:F911"/>
    <mergeCell ref="G910:G911"/>
    <mergeCell ref="H910:H911"/>
    <mergeCell ref="I910:I911"/>
    <mergeCell ref="J910:J911"/>
    <mergeCell ref="D912:D913"/>
    <mergeCell ref="F912:F913"/>
    <mergeCell ref="G912:G913"/>
    <mergeCell ref="H912:H913"/>
    <mergeCell ref="I912:I913"/>
    <mergeCell ref="J912:J913"/>
    <mergeCell ref="D914:D915"/>
    <mergeCell ref="F914:F915"/>
    <mergeCell ref="G914:G915"/>
    <mergeCell ref="H914:H915"/>
    <mergeCell ref="I914:I915"/>
    <mergeCell ref="J914:J915"/>
    <mergeCell ref="D916:D917"/>
    <mergeCell ref="F916:F917"/>
    <mergeCell ref="G916:G917"/>
    <mergeCell ref="H916:H917"/>
    <mergeCell ref="I916:I917"/>
    <mergeCell ref="J916:J917"/>
    <mergeCell ref="D918:D919"/>
    <mergeCell ref="F918:F919"/>
    <mergeCell ref="G918:G919"/>
    <mergeCell ref="H918:H919"/>
    <mergeCell ref="I918:I919"/>
    <mergeCell ref="J918:J919"/>
    <mergeCell ref="C920:C929"/>
    <mergeCell ref="D920:D921"/>
    <mergeCell ref="F920:F921"/>
    <mergeCell ref="G920:G921"/>
    <mergeCell ref="H920:H921"/>
    <mergeCell ref="I920:I921"/>
    <mergeCell ref="J920:J921"/>
    <mergeCell ref="D922:D923"/>
    <mergeCell ref="F922:F923"/>
    <mergeCell ref="G922:G923"/>
    <mergeCell ref="H922:H923"/>
    <mergeCell ref="I922:I923"/>
    <mergeCell ref="J922:J923"/>
    <mergeCell ref="D924:D925"/>
    <mergeCell ref="F924:F925"/>
    <mergeCell ref="G924:G925"/>
    <mergeCell ref="H924:H925"/>
    <mergeCell ref="I924:I925"/>
    <mergeCell ref="J924:J925"/>
    <mergeCell ref="D926:D927"/>
    <mergeCell ref="F926:F927"/>
    <mergeCell ref="G926:G927"/>
    <mergeCell ref="H926:H927"/>
    <mergeCell ref="I926:I927"/>
    <mergeCell ref="J926:J927"/>
    <mergeCell ref="D928:D929"/>
    <mergeCell ref="F928:F929"/>
    <mergeCell ref="G928:G929"/>
    <mergeCell ref="H928:H929"/>
    <mergeCell ref="I928:I929"/>
    <mergeCell ref="J928:J929"/>
    <mergeCell ref="C930:C939"/>
    <mergeCell ref="D930:D931"/>
    <mergeCell ref="F930:F931"/>
    <mergeCell ref="G930:G931"/>
    <mergeCell ref="H930:H931"/>
    <mergeCell ref="I930:I931"/>
    <mergeCell ref="J930:J931"/>
    <mergeCell ref="D932:D933"/>
    <mergeCell ref="F932:F933"/>
    <mergeCell ref="G932:G933"/>
    <mergeCell ref="H932:H933"/>
    <mergeCell ref="I932:I933"/>
    <mergeCell ref="J932:J933"/>
    <mergeCell ref="D934:D935"/>
    <mergeCell ref="F934:F935"/>
    <mergeCell ref="G934:G935"/>
    <mergeCell ref="H934:H935"/>
    <mergeCell ref="I934:I935"/>
    <mergeCell ref="J934:J935"/>
    <mergeCell ref="D936:D937"/>
    <mergeCell ref="F936:F937"/>
    <mergeCell ref="G936:G937"/>
    <mergeCell ref="H936:H937"/>
    <mergeCell ref="I936:I937"/>
    <mergeCell ref="J936:J937"/>
    <mergeCell ref="D938:D939"/>
    <mergeCell ref="F938:F939"/>
    <mergeCell ref="G938:G939"/>
    <mergeCell ref="H938:H939"/>
    <mergeCell ref="I938:I939"/>
    <mergeCell ref="J938:J939"/>
    <mergeCell ref="C940:C949"/>
    <mergeCell ref="D940:D941"/>
    <mergeCell ref="F940:F941"/>
    <mergeCell ref="G940:G941"/>
    <mergeCell ref="H940:H941"/>
    <mergeCell ref="I940:I941"/>
    <mergeCell ref="J940:J941"/>
    <mergeCell ref="D942:D943"/>
    <mergeCell ref="F942:F943"/>
    <mergeCell ref="G942:G943"/>
    <mergeCell ref="H942:H943"/>
    <mergeCell ref="I942:I943"/>
    <mergeCell ref="J942:J943"/>
    <mergeCell ref="D944:D945"/>
    <mergeCell ref="F944:F945"/>
    <mergeCell ref="G944:G945"/>
    <mergeCell ref="H944:H945"/>
    <mergeCell ref="I944:I945"/>
    <mergeCell ref="J944:J945"/>
    <mergeCell ref="D946:D947"/>
    <mergeCell ref="F946:F947"/>
    <mergeCell ref="G946:G947"/>
    <mergeCell ref="H946:H947"/>
    <mergeCell ref="I946:I947"/>
    <mergeCell ref="J946:J947"/>
    <mergeCell ref="D948:D949"/>
    <mergeCell ref="F948:F949"/>
    <mergeCell ref="G948:G949"/>
    <mergeCell ref="H948:H949"/>
    <mergeCell ref="I948:I949"/>
    <mergeCell ref="J948:J949"/>
    <mergeCell ref="C950:C959"/>
    <mergeCell ref="D950:D951"/>
    <mergeCell ref="F950:F951"/>
    <mergeCell ref="G950:G951"/>
    <mergeCell ref="H950:H951"/>
    <mergeCell ref="I950:I951"/>
    <mergeCell ref="J950:J951"/>
    <mergeCell ref="D952:D953"/>
    <mergeCell ref="F952:F953"/>
    <mergeCell ref="G952:G953"/>
    <mergeCell ref="H952:H953"/>
    <mergeCell ref="I952:I953"/>
    <mergeCell ref="J952:J953"/>
    <mergeCell ref="D954:D955"/>
    <mergeCell ref="F954:F955"/>
    <mergeCell ref="G954:G955"/>
    <mergeCell ref="H954:H955"/>
    <mergeCell ref="I954:I955"/>
    <mergeCell ref="J954:J955"/>
    <mergeCell ref="D956:D957"/>
    <mergeCell ref="F956:F957"/>
    <mergeCell ref="G956:G957"/>
    <mergeCell ref="H956:H957"/>
    <mergeCell ref="I956:I957"/>
    <mergeCell ref="J956:J957"/>
    <mergeCell ref="D958:D959"/>
    <mergeCell ref="F958:F959"/>
    <mergeCell ref="G958:G959"/>
    <mergeCell ref="H958:H959"/>
    <mergeCell ref="I958:I959"/>
    <mergeCell ref="J958:J959"/>
    <mergeCell ref="C960:C969"/>
    <mergeCell ref="D960:D961"/>
    <mergeCell ref="F960:F961"/>
    <mergeCell ref="G960:G961"/>
    <mergeCell ref="H960:H961"/>
    <mergeCell ref="I960:I961"/>
    <mergeCell ref="J960:J961"/>
    <mergeCell ref="D962:D963"/>
    <mergeCell ref="F962:F963"/>
    <mergeCell ref="G962:G963"/>
    <mergeCell ref="H962:H963"/>
    <mergeCell ref="I962:I963"/>
    <mergeCell ref="J962:J963"/>
    <mergeCell ref="D964:D965"/>
    <mergeCell ref="F964:F965"/>
    <mergeCell ref="G964:G965"/>
    <mergeCell ref="H964:H965"/>
    <mergeCell ref="I964:I965"/>
    <mergeCell ref="J964:J965"/>
    <mergeCell ref="D966:D967"/>
    <mergeCell ref="F966:F967"/>
    <mergeCell ref="G966:G967"/>
    <mergeCell ref="H966:H967"/>
    <mergeCell ref="I966:I967"/>
    <mergeCell ref="J966:J967"/>
    <mergeCell ref="D968:D969"/>
    <mergeCell ref="F968:F969"/>
    <mergeCell ref="G968:G969"/>
    <mergeCell ref="H968:H969"/>
    <mergeCell ref="I968:I969"/>
    <mergeCell ref="J968:J969"/>
    <mergeCell ref="C970:C979"/>
    <mergeCell ref="D970:D971"/>
    <mergeCell ref="F970:F971"/>
    <mergeCell ref="G970:G971"/>
    <mergeCell ref="H970:H971"/>
    <mergeCell ref="I970:I971"/>
    <mergeCell ref="J970:J971"/>
    <mergeCell ref="D972:D973"/>
    <mergeCell ref="F972:F973"/>
    <mergeCell ref="G972:G973"/>
    <mergeCell ref="H972:H973"/>
    <mergeCell ref="I972:I973"/>
    <mergeCell ref="J972:J973"/>
    <mergeCell ref="D974:D975"/>
    <mergeCell ref="F974:F975"/>
    <mergeCell ref="G974:G975"/>
    <mergeCell ref="H974:H975"/>
    <mergeCell ref="I974:I975"/>
    <mergeCell ref="J974:J975"/>
    <mergeCell ref="D976:D977"/>
    <mergeCell ref="F976:F977"/>
    <mergeCell ref="G976:G977"/>
    <mergeCell ref="H976:H977"/>
    <mergeCell ref="I976:I977"/>
    <mergeCell ref="J976:J977"/>
    <mergeCell ref="D978:D979"/>
    <mergeCell ref="F978:F979"/>
    <mergeCell ref="G978:G979"/>
    <mergeCell ref="H978:H979"/>
    <mergeCell ref="I978:I979"/>
    <mergeCell ref="J978:J979"/>
    <mergeCell ref="C980:C989"/>
    <mergeCell ref="D980:D981"/>
    <mergeCell ref="F980:F981"/>
    <mergeCell ref="G980:G981"/>
    <mergeCell ref="H980:H981"/>
    <mergeCell ref="I980:I981"/>
    <mergeCell ref="J980:J981"/>
    <mergeCell ref="D982:D983"/>
    <mergeCell ref="F982:F983"/>
    <mergeCell ref="G982:G983"/>
    <mergeCell ref="H982:H983"/>
    <mergeCell ref="I982:I983"/>
    <mergeCell ref="J982:J983"/>
    <mergeCell ref="D984:D985"/>
    <mergeCell ref="F984:F985"/>
    <mergeCell ref="G984:G985"/>
    <mergeCell ref="H984:H985"/>
    <mergeCell ref="I984:I985"/>
    <mergeCell ref="J984:J985"/>
    <mergeCell ref="D986:D987"/>
    <mergeCell ref="F986:F987"/>
    <mergeCell ref="G986:G987"/>
    <mergeCell ref="H986:H987"/>
    <mergeCell ref="I986:I987"/>
    <mergeCell ref="J986:J987"/>
    <mergeCell ref="D988:D989"/>
    <mergeCell ref="F988:F989"/>
    <mergeCell ref="G988:G989"/>
    <mergeCell ref="H988:H989"/>
    <mergeCell ref="I988:I989"/>
    <mergeCell ref="J988:J989"/>
    <mergeCell ref="C990:C999"/>
    <mergeCell ref="D990:D991"/>
    <mergeCell ref="F990:F991"/>
    <mergeCell ref="G990:G991"/>
    <mergeCell ref="H990:H991"/>
    <mergeCell ref="I990:I991"/>
    <mergeCell ref="J990:J991"/>
    <mergeCell ref="D992:D993"/>
    <mergeCell ref="F992:F993"/>
    <mergeCell ref="G992:G993"/>
    <mergeCell ref="H992:H993"/>
    <mergeCell ref="I992:I993"/>
    <mergeCell ref="J992:J993"/>
    <mergeCell ref="D994:D995"/>
    <mergeCell ref="F994:F995"/>
    <mergeCell ref="G994:G995"/>
    <mergeCell ref="H994:H995"/>
    <mergeCell ref="I994:I995"/>
    <mergeCell ref="J994:J995"/>
    <mergeCell ref="D996:D997"/>
    <mergeCell ref="F996:F997"/>
    <mergeCell ref="G996:G997"/>
    <mergeCell ref="H996:H997"/>
    <mergeCell ref="I996:I997"/>
    <mergeCell ref="J996:J997"/>
    <mergeCell ref="D998:D999"/>
    <mergeCell ref="F998:F999"/>
    <mergeCell ref="G998:G999"/>
    <mergeCell ref="H998:H999"/>
    <mergeCell ref="I998:I999"/>
    <mergeCell ref="J998:J999"/>
    <mergeCell ref="C1000:C1009"/>
    <mergeCell ref="D1000:D1001"/>
    <mergeCell ref="F1000:F1001"/>
    <mergeCell ref="G1000:G1001"/>
    <mergeCell ref="H1000:H1001"/>
    <mergeCell ref="I1000:I1001"/>
    <mergeCell ref="J1000:J1001"/>
    <mergeCell ref="D1002:D1003"/>
    <mergeCell ref="F1002:F1003"/>
    <mergeCell ref="G1002:G1003"/>
    <mergeCell ref="H1002:H1003"/>
    <mergeCell ref="I1002:I1003"/>
    <mergeCell ref="J1002:J1003"/>
    <mergeCell ref="D1004:D1005"/>
    <mergeCell ref="F1004:F1005"/>
    <mergeCell ref="G1004:G1005"/>
    <mergeCell ref="H1004:H1005"/>
    <mergeCell ref="I1004:I1005"/>
    <mergeCell ref="J1004:J1005"/>
    <mergeCell ref="D1006:D1007"/>
    <mergeCell ref="F1006:F1007"/>
    <mergeCell ref="G1006:G1007"/>
    <mergeCell ref="H1006:H1007"/>
    <mergeCell ref="I1006:I1007"/>
    <mergeCell ref="J1006:J1007"/>
    <mergeCell ref="D1008:D1009"/>
    <mergeCell ref="F1008:F1009"/>
    <mergeCell ref="G1008:G1009"/>
    <mergeCell ref="H1008:H1009"/>
    <mergeCell ref="I1008:I1009"/>
    <mergeCell ref="J1008:J1009"/>
    <mergeCell ref="C1010:C1019"/>
    <mergeCell ref="D1010:D1011"/>
    <mergeCell ref="F1010:F1011"/>
    <mergeCell ref="G1010:G1011"/>
    <mergeCell ref="H1010:H1011"/>
    <mergeCell ref="I1010:I1011"/>
    <mergeCell ref="J1010:J1011"/>
    <mergeCell ref="D1012:D1013"/>
    <mergeCell ref="F1012:F1013"/>
    <mergeCell ref="G1012:G1013"/>
    <mergeCell ref="H1012:H1013"/>
    <mergeCell ref="I1012:I1013"/>
    <mergeCell ref="J1012:J1013"/>
    <mergeCell ref="D1014:D1015"/>
    <mergeCell ref="F1014:F1015"/>
    <mergeCell ref="G1014:G1015"/>
    <mergeCell ref="H1014:H1015"/>
    <mergeCell ref="I1014:I1015"/>
    <mergeCell ref="J1014:J1015"/>
    <mergeCell ref="D1016:D1017"/>
    <mergeCell ref="F1016:F1017"/>
    <mergeCell ref="G1016:G1017"/>
    <mergeCell ref="H1016:H1017"/>
    <mergeCell ref="I1016:I1017"/>
    <mergeCell ref="J1016:J1017"/>
    <mergeCell ref="D1018:D1019"/>
    <mergeCell ref="F1018:F1019"/>
    <mergeCell ref="G1018:G1019"/>
    <mergeCell ref="H1018:H1019"/>
    <mergeCell ref="I1018:I1019"/>
    <mergeCell ref="J1018:J1019"/>
    <mergeCell ref="A1022:A1073"/>
    <mergeCell ref="B1022:B1031"/>
    <mergeCell ref="H1022:H1023"/>
    <mergeCell ref="H1024:H1025"/>
    <mergeCell ref="H1026:H1027"/>
    <mergeCell ref="H1028:H1029"/>
    <mergeCell ref="H1030:H1031"/>
    <mergeCell ref="B1032:B1041"/>
    <mergeCell ref="H1032:H1033"/>
    <mergeCell ref="H1034:H1035"/>
    <mergeCell ref="H1036:H1037"/>
    <mergeCell ref="H1038:H1039"/>
    <mergeCell ref="H1040:H1041"/>
    <mergeCell ref="B1042:B1051"/>
    <mergeCell ref="H1042:H1043"/>
    <mergeCell ref="H1044:H1045"/>
    <mergeCell ref="H1046:H1047"/>
    <mergeCell ref="H1048:H1049"/>
    <mergeCell ref="H1050:H1051"/>
    <mergeCell ref="B1052:B1061"/>
    <mergeCell ref="H1052:H1053"/>
    <mergeCell ref="H1054:H1055"/>
    <mergeCell ref="H1056:H1057"/>
    <mergeCell ref="H1058:H1059"/>
    <mergeCell ref="H1060:H1061"/>
    <mergeCell ref="B1062:B1073"/>
    <mergeCell ref="H1062:H1063"/>
    <mergeCell ref="H1064:H1065"/>
    <mergeCell ref="H1066:H1067"/>
    <mergeCell ref="H1068:H1069"/>
    <mergeCell ref="H1070:H1071"/>
    <mergeCell ref="H1072:H1073"/>
    <mergeCell ref="A1074:A1133"/>
    <mergeCell ref="B1074:B1083"/>
    <mergeCell ref="H1074:H1075"/>
    <mergeCell ref="H1076:H1077"/>
    <mergeCell ref="H1078:H1079"/>
    <mergeCell ref="H1080:H1081"/>
    <mergeCell ref="H1082:H1083"/>
    <mergeCell ref="B1084:B1093"/>
    <mergeCell ref="H1084:H1085"/>
    <mergeCell ref="H1086:H1087"/>
    <mergeCell ref="H1088:H1089"/>
    <mergeCell ref="H1090:H1091"/>
    <mergeCell ref="H1092:H1093"/>
    <mergeCell ref="B1094:B1103"/>
    <mergeCell ref="H1094:H1095"/>
    <mergeCell ref="H1096:H1097"/>
    <mergeCell ref="H1098:H1099"/>
    <mergeCell ref="H1100:H1101"/>
    <mergeCell ref="H1102:H1103"/>
    <mergeCell ref="B1104:B1113"/>
    <mergeCell ref="H1104:H1105"/>
    <mergeCell ref="H1106:H1107"/>
    <mergeCell ref="H1108:H1109"/>
    <mergeCell ref="H1110:H1111"/>
    <mergeCell ref="H1112:H1113"/>
    <mergeCell ref="B1114:B1123"/>
    <mergeCell ref="H1114:H1115"/>
    <mergeCell ref="H1116:H1117"/>
    <mergeCell ref="H1118:H1119"/>
    <mergeCell ref="H1120:H1121"/>
    <mergeCell ref="H1122:H1123"/>
    <mergeCell ref="B1124:B1133"/>
    <mergeCell ref="H1124:H1125"/>
    <mergeCell ref="H1126:H1127"/>
    <mergeCell ref="H1128:H1129"/>
    <mergeCell ref="H1130:H1131"/>
    <mergeCell ref="H1132:H1133"/>
    <mergeCell ref="B1134:B1143"/>
    <mergeCell ref="H1134:H1135"/>
    <mergeCell ref="H1136:H1137"/>
    <mergeCell ref="H1138:H1139"/>
    <mergeCell ref="H1140:H1141"/>
    <mergeCell ref="H1142:H1143"/>
    <mergeCell ref="B1144:B1153"/>
    <mergeCell ref="H1144:H1145"/>
    <mergeCell ref="H1146:H1147"/>
    <mergeCell ref="H1148:H1149"/>
    <mergeCell ref="H1150:H1151"/>
    <mergeCell ref="H1152:H1153"/>
    <mergeCell ref="B1154:B1163"/>
    <mergeCell ref="H1154:H1155"/>
    <mergeCell ref="H1156:H1157"/>
    <mergeCell ref="H1158:H1159"/>
    <mergeCell ref="H1160:H1161"/>
    <mergeCell ref="H1162:H1163"/>
    <mergeCell ref="B1164:B1173"/>
    <mergeCell ref="H1164:H1165"/>
    <mergeCell ref="H1166:H1167"/>
    <mergeCell ref="H1168:H1169"/>
    <mergeCell ref="H1170:H1171"/>
    <mergeCell ref="H1172:H1173"/>
    <mergeCell ref="B1174:B1183"/>
    <mergeCell ref="H1174:H1175"/>
    <mergeCell ref="H1176:H1177"/>
    <mergeCell ref="H1178:H1179"/>
    <mergeCell ref="H1180:H1181"/>
    <mergeCell ref="H1182:H1183"/>
    <mergeCell ref="B1184:B1193"/>
    <mergeCell ref="H1184:H1185"/>
    <mergeCell ref="H1186:H1187"/>
    <mergeCell ref="H1188:H1189"/>
    <mergeCell ref="H1190:H1191"/>
    <mergeCell ref="H1192:H1193"/>
    <mergeCell ref="B1194:B1203"/>
    <mergeCell ref="H1194:H1195"/>
    <mergeCell ref="H1196:H1197"/>
    <mergeCell ref="H1198:H1199"/>
    <mergeCell ref="H1200:H1201"/>
    <mergeCell ref="H1202:H1203"/>
    <mergeCell ref="B1204:B1213"/>
    <mergeCell ref="H1204:H1205"/>
    <mergeCell ref="H1206:H1207"/>
    <mergeCell ref="H1208:H1209"/>
    <mergeCell ref="H1210:H1211"/>
    <mergeCell ref="H1212:H1213"/>
    <mergeCell ref="B1214:B1223"/>
    <mergeCell ref="H1214:H1215"/>
    <mergeCell ref="H1216:H1217"/>
    <mergeCell ref="H1218:H1219"/>
    <mergeCell ref="H1220:H1221"/>
    <mergeCell ref="H1222:H1223"/>
    <mergeCell ref="B1224:B1233"/>
    <mergeCell ref="H1224:H1225"/>
    <mergeCell ref="H1226:H1227"/>
    <mergeCell ref="H1228:H1229"/>
    <mergeCell ref="H1230:H1231"/>
    <mergeCell ref="H1232:H1233"/>
    <mergeCell ref="B1234:B1243"/>
    <mergeCell ref="H1234:H1235"/>
    <mergeCell ref="H1236:H1237"/>
    <mergeCell ref="H1238:H1239"/>
    <mergeCell ref="H1240:H1241"/>
    <mergeCell ref="H1242:H1243"/>
    <mergeCell ref="B1244:B1253"/>
    <mergeCell ref="H1244:H1245"/>
    <mergeCell ref="H1246:H1247"/>
    <mergeCell ref="H1248:H1249"/>
    <mergeCell ref="H1250:H1251"/>
    <mergeCell ref="H1252:H1253"/>
    <mergeCell ref="B1254:B1263"/>
    <mergeCell ref="H1254:H1255"/>
    <mergeCell ref="H1256:H1257"/>
    <mergeCell ref="H1258:H1259"/>
    <mergeCell ref="H1260:H1261"/>
    <mergeCell ref="H1262:H1263"/>
    <mergeCell ref="B1264:B1273"/>
    <mergeCell ref="H1264:H1265"/>
    <mergeCell ref="H1266:H1267"/>
    <mergeCell ref="H1268:H1269"/>
    <mergeCell ref="H1270:H1271"/>
    <mergeCell ref="H1272:H1273"/>
    <mergeCell ref="B1274:B1283"/>
    <mergeCell ref="H1274:H1275"/>
    <mergeCell ref="H1276:H1277"/>
    <mergeCell ref="H1278:H1279"/>
    <mergeCell ref="H1280:H1281"/>
    <mergeCell ref="H1282:H1283"/>
    <mergeCell ref="B1284:B1293"/>
    <mergeCell ref="H1284:H1285"/>
    <mergeCell ref="H1286:H1287"/>
    <mergeCell ref="H1288:H1289"/>
    <mergeCell ref="H1290:H1291"/>
    <mergeCell ref="H1292:H1293"/>
    <mergeCell ref="B1294:B1303"/>
    <mergeCell ref="H1294:H1295"/>
    <mergeCell ref="H1296:H1297"/>
    <mergeCell ref="H1298:H1299"/>
    <mergeCell ref="H1300:H1301"/>
    <mergeCell ref="H1302:H1303"/>
    <mergeCell ref="B1304:B1313"/>
    <mergeCell ref="H1304:H1305"/>
    <mergeCell ref="H1306:H1307"/>
    <mergeCell ref="H1308:H1309"/>
    <mergeCell ref="H1310:H1311"/>
    <mergeCell ref="H1312:H1313"/>
    <mergeCell ref="B1314:B1323"/>
    <mergeCell ref="H1314:H1315"/>
    <mergeCell ref="H1316:H1317"/>
    <mergeCell ref="H1318:H1319"/>
    <mergeCell ref="H1320:H1321"/>
    <mergeCell ref="H1322:H1323"/>
    <mergeCell ref="B1324:B1333"/>
    <mergeCell ref="H1324:H1325"/>
    <mergeCell ref="H1326:H1327"/>
    <mergeCell ref="H1328:H1329"/>
    <mergeCell ref="H1330:H1331"/>
    <mergeCell ref="H1332:H1333"/>
    <mergeCell ref="B1334:B1343"/>
    <mergeCell ref="H1334:H1335"/>
    <mergeCell ref="H1336:H1337"/>
    <mergeCell ref="H1338:H1339"/>
    <mergeCell ref="H1340:H1341"/>
    <mergeCell ref="H1342:H1343"/>
    <mergeCell ref="B1344:B1353"/>
    <mergeCell ref="H1344:H1345"/>
    <mergeCell ref="H1346:H1347"/>
    <mergeCell ref="H1348:H1349"/>
    <mergeCell ref="H1350:H1351"/>
    <mergeCell ref="H1352:H1353"/>
    <mergeCell ref="B1354:B1363"/>
    <mergeCell ref="H1354:H1355"/>
    <mergeCell ref="H1356:H1357"/>
    <mergeCell ref="H1358:H1359"/>
    <mergeCell ref="H1360:H1361"/>
    <mergeCell ref="H1362:H1363"/>
    <mergeCell ref="B1364:B1373"/>
    <mergeCell ref="H1364:H1365"/>
    <mergeCell ref="H1366:H1367"/>
    <mergeCell ref="H1368:H1369"/>
    <mergeCell ref="H1370:H1371"/>
    <mergeCell ref="H1372:H1373"/>
    <mergeCell ref="B1374:B1383"/>
    <mergeCell ref="H1374:H1375"/>
    <mergeCell ref="H1376:H1377"/>
    <mergeCell ref="H1378:H1379"/>
    <mergeCell ref="H1380:H1381"/>
    <mergeCell ref="H1382:H1383"/>
    <mergeCell ref="B1384:B1393"/>
    <mergeCell ref="H1384:H1385"/>
    <mergeCell ref="H1386:H1387"/>
    <mergeCell ref="H1388:H1389"/>
    <mergeCell ref="H1390:H1391"/>
    <mergeCell ref="H1392:H1393"/>
    <mergeCell ref="B1394:B1403"/>
    <mergeCell ref="H1394:H1395"/>
    <mergeCell ref="H1396:H1397"/>
    <mergeCell ref="H1398:H1399"/>
    <mergeCell ref="H1400:H1401"/>
    <mergeCell ref="H1402:H1403"/>
    <mergeCell ref="B1404:B1413"/>
    <mergeCell ref="H1404:H1405"/>
    <mergeCell ref="H1406:H1407"/>
    <mergeCell ref="H1408:H1409"/>
    <mergeCell ref="H1410:H1411"/>
    <mergeCell ref="H1412:H1413"/>
    <mergeCell ref="B1414:B1423"/>
    <mergeCell ref="H1414:H1415"/>
    <mergeCell ref="H1416:H1417"/>
    <mergeCell ref="H1418:H1419"/>
    <mergeCell ref="H1420:H1421"/>
    <mergeCell ref="H1422:H1423"/>
    <mergeCell ref="B1424:B1433"/>
    <mergeCell ref="H1424:H1425"/>
    <mergeCell ref="H1426:H1427"/>
    <mergeCell ref="H1428:H1429"/>
    <mergeCell ref="H1430:H1431"/>
    <mergeCell ref="H1432:H1433"/>
    <mergeCell ref="B1434:B1443"/>
    <mergeCell ref="H1434:H1435"/>
    <mergeCell ref="H1436:H1437"/>
    <mergeCell ref="H1438:H1439"/>
    <mergeCell ref="H1440:H1441"/>
    <mergeCell ref="H1442:H1443"/>
    <mergeCell ref="B1444:B1453"/>
    <mergeCell ref="H1444:H1445"/>
    <mergeCell ref="H1446:H1447"/>
    <mergeCell ref="H1448:H1449"/>
    <mergeCell ref="H1450:H1451"/>
    <mergeCell ref="H1452:H1453"/>
    <mergeCell ref="B1454:B1463"/>
    <mergeCell ref="H1454:H1455"/>
    <mergeCell ref="H1456:H1457"/>
    <mergeCell ref="H1458:H1459"/>
    <mergeCell ref="H1460:H1461"/>
    <mergeCell ref="H1462:H1463"/>
    <mergeCell ref="I1466:I1467"/>
    <mergeCell ref="I1468:I1469"/>
    <mergeCell ref="I1470:I1471"/>
    <mergeCell ref="I1472:I1473"/>
    <mergeCell ref="I1474:I1475"/>
    <mergeCell ref="I1476:I1477"/>
    <mergeCell ref="I1478:I1479"/>
    <mergeCell ref="I1480:I1481"/>
    <mergeCell ref="I1482:I1483"/>
    <mergeCell ref="I1484:I1485"/>
    <mergeCell ref="I1486:I1487"/>
    <mergeCell ref="I1488:I1489"/>
    <mergeCell ref="I1490:I1491"/>
    <mergeCell ref="I1492:I1493"/>
    <mergeCell ref="I1494:I1495"/>
    <mergeCell ref="I1496:I1497"/>
    <mergeCell ref="I1498:I1499"/>
    <mergeCell ref="I1500:I1501"/>
    <mergeCell ref="I1502:I1503"/>
    <mergeCell ref="I1504:I1505"/>
    <mergeCell ref="I1506:I1507"/>
    <mergeCell ref="I1508:I1509"/>
    <mergeCell ref="I1510:I1511"/>
    <mergeCell ref="I1512:I1513"/>
    <mergeCell ref="I1514:I1515"/>
    <mergeCell ref="I1516:I1517"/>
    <mergeCell ref="I1518:I1519"/>
    <mergeCell ref="I1520:I1521"/>
    <mergeCell ref="I1522:I1523"/>
    <mergeCell ref="I1524:I1525"/>
    <mergeCell ref="I1526:I1527"/>
    <mergeCell ref="I1528:I1529"/>
    <mergeCell ref="I1530:I1531"/>
    <mergeCell ref="I1532:I1533"/>
    <mergeCell ref="I1534:I1535"/>
    <mergeCell ref="I1536:I1537"/>
    <mergeCell ref="I1538:I1539"/>
    <mergeCell ref="I1540:I1541"/>
    <mergeCell ref="I1542:I1543"/>
    <mergeCell ref="I1544:I1545"/>
    <mergeCell ref="I1546:I1547"/>
    <mergeCell ref="I1548:I1549"/>
    <mergeCell ref="I1550:I1551"/>
    <mergeCell ref="I1552:I1553"/>
    <mergeCell ref="I1554:I1555"/>
    <mergeCell ref="I1556:I1557"/>
    <mergeCell ref="I1558:I1559"/>
    <mergeCell ref="I1560:I1561"/>
    <mergeCell ref="I1562:I1563"/>
    <mergeCell ref="I1564:I1565"/>
    <mergeCell ref="I1566:I1567"/>
    <mergeCell ref="I1568:I1569"/>
    <mergeCell ref="I1570:I1571"/>
    <mergeCell ref="I1572:I1573"/>
    <mergeCell ref="I1574:I1575"/>
    <mergeCell ref="I1576:I1577"/>
    <mergeCell ref="I1578:I1579"/>
    <mergeCell ref="I1580:I1581"/>
    <mergeCell ref="I1582:I1583"/>
    <mergeCell ref="I1584:I1585"/>
    <mergeCell ref="I1586:I1587"/>
    <mergeCell ref="I1588:I1589"/>
    <mergeCell ref="I1590:I1591"/>
    <mergeCell ref="I1592:I1593"/>
    <mergeCell ref="I1594:I1595"/>
    <mergeCell ref="I1596:I1597"/>
    <mergeCell ref="I1598:I1599"/>
    <mergeCell ref="I1600:I1601"/>
    <mergeCell ref="I1602:I1603"/>
    <mergeCell ref="I1604:I1605"/>
    <mergeCell ref="I1606:I1607"/>
    <mergeCell ref="I1608:I1609"/>
    <mergeCell ref="I1610:I1611"/>
    <mergeCell ref="I1612:I1613"/>
    <mergeCell ref="I1614:I1615"/>
    <mergeCell ref="I1616:I1617"/>
    <mergeCell ref="I1618:I1619"/>
    <mergeCell ref="I1620:I1621"/>
    <mergeCell ref="I1622:I1623"/>
    <mergeCell ref="I1624:I1625"/>
    <mergeCell ref="I1626:I1627"/>
    <mergeCell ref="I1628:I1629"/>
    <mergeCell ref="I1630:I1631"/>
    <mergeCell ref="I1632:I1633"/>
    <mergeCell ref="I1634:I1635"/>
    <mergeCell ref="I1636:I1637"/>
    <mergeCell ref="I1638:I1639"/>
    <mergeCell ref="I1640:I1641"/>
    <mergeCell ref="I1642:I1643"/>
    <mergeCell ref="I1644:I1645"/>
    <mergeCell ref="I1646:I1647"/>
    <mergeCell ref="I1648:I1649"/>
    <mergeCell ref="I1650:I1651"/>
    <mergeCell ref="I1652:I1653"/>
    <mergeCell ref="I1654:I1655"/>
    <mergeCell ref="I1656:I1657"/>
    <mergeCell ref="I1658:I1659"/>
    <mergeCell ref="I1660:I1661"/>
    <mergeCell ref="I1662:I1663"/>
    <mergeCell ref="I1664:I1665"/>
    <mergeCell ref="I1666:I1667"/>
    <mergeCell ref="I1668:I1669"/>
    <mergeCell ref="I1670:I1671"/>
    <mergeCell ref="I1672:I1673"/>
    <mergeCell ref="I1674:I1675"/>
    <mergeCell ref="I1676:I1677"/>
    <mergeCell ref="I1678:I1679"/>
    <mergeCell ref="I1680:I1681"/>
    <mergeCell ref="I1682:I1683"/>
    <mergeCell ref="I1684:I1685"/>
    <mergeCell ref="I1686:I1687"/>
    <mergeCell ref="I1688:I1689"/>
    <mergeCell ref="I1690:I1691"/>
    <mergeCell ref="I1692:I1693"/>
    <mergeCell ref="I1694:I1695"/>
    <mergeCell ref="I1696:I1697"/>
    <mergeCell ref="I1698:I1699"/>
    <mergeCell ref="I1700:I1701"/>
    <mergeCell ref="I1702:I1703"/>
    <mergeCell ref="I1704:I1705"/>
    <mergeCell ref="I1706:I1707"/>
    <mergeCell ref="I1708:I1709"/>
    <mergeCell ref="I1710:I1711"/>
    <mergeCell ref="I1712:I1713"/>
    <mergeCell ref="I1714:I1715"/>
    <mergeCell ref="I1716:I1717"/>
    <mergeCell ref="I1718:I1719"/>
    <mergeCell ref="I1720:I1721"/>
    <mergeCell ref="I1722:I1723"/>
    <mergeCell ref="I1724:I1725"/>
    <mergeCell ref="I1726:I1727"/>
    <mergeCell ref="I1728:I1729"/>
    <mergeCell ref="I1730:I1731"/>
    <mergeCell ref="I1732:I1733"/>
    <mergeCell ref="I1734:I1735"/>
    <mergeCell ref="I1736:I1737"/>
    <mergeCell ref="I1738:I1739"/>
    <mergeCell ref="I1740:I1741"/>
    <mergeCell ref="I1742:I1743"/>
    <mergeCell ref="I1744:I1745"/>
    <mergeCell ref="I1746:I1747"/>
    <mergeCell ref="I1748:I1749"/>
    <mergeCell ref="I1750:I1751"/>
    <mergeCell ref="I1752:I1753"/>
    <mergeCell ref="I1754:I1755"/>
    <mergeCell ref="I1756:I1757"/>
    <mergeCell ref="I1758:I1759"/>
    <mergeCell ref="I1760:I1761"/>
    <mergeCell ref="I1762:I1763"/>
    <mergeCell ref="I1764:I1765"/>
    <mergeCell ref="I1766:I1767"/>
    <mergeCell ref="I1768:I1769"/>
    <mergeCell ref="I1770:I1771"/>
    <mergeCell ref="I1772:I1773"/>
    <mergeCell ref="I1774:I1775"/>
    <mergeCell ref="I1776:I1777"/>
    <mergeCell ref="I1778:I1779"/>
    <mergeCell ref="I1780:I1781"/>
    <mergeCell ref="I1782:I1783"/>
    <mergeCell ref="I1784:I1785"/>
    <mergeCell ref="I1786:I1787"/>
    <mergeCell ref="I1788:I1789"/>
    <mergeCell ref="I1790:I1791"/>
    <mergeCell ref="I1792:I1793"/>
    <mergeCell ref="I1794:I1795"/>
    <mergeCell ref="I1796:I1797"/>
    <mergeCell ref="I1798:I1799"/>
    <mergeCell ref="I1800:I1801"/>
    <mergeCell ref="I1802:I1803"/>
    <mergeCell ref="I1804:I1805"/>
    <mergeCell ref="I1806:I1807"/>
    <mergeCell ref="I1808:I1809"/>
    <mergeCell ref="I1810:I1811"/>
    <mergeCell ref="I1812:I1813"/>
    <mergeCell ref="I1814:I1815"/>
    <mergeCell ref="I1816:I1817"/>
    <mergeCell ref="I1818:I1819"/>
    <mergeCell ref="I1820:I1821"/>
    <mergeCell ref="I1822:I1823"/>
    <mergeCell ref="I1824:I1825"/>
    <mergeCell ref="I1826:I1827"/>
    <mergeCell ref="I1828:I1829"/>
    <mergeCell ref="I1830:I1831"/>
    <mergeCell ref="I1832:I1833"/>
    <mergeCell ref="I1834:I1835"/>
    <mergeCell ref="I1836:I1837"/>
    <mergeCell ref="I1838:I1839"/>
    <mergeCell ref="I1840:I1841"/>
    <mergeCell ref="I1842:I1843"/>
    <mergeCell ref="I1844:I1845"/>
    <mergeCell ref="I1846:I1847"/>
    <mergeCell ref="I1848:I1849"/>
    <mergeCell ref="I1850:I1851"/>
    <mergeCell ref="I1852:I1853"/>
    <mergeCell ref="I1854:I1855"/>
    <mergeCell ref="I1856:I1857"/>
    <mergeCell ref="I1858:I1859"/>
    <mergeCell ref="I1860:I1861"/>
    <mergeCell ref="I1862:I1863"/>
    <mergeCell ref="I1864:I1865"/>
    <mergeCell ref="I1866:I1867"/>
    <mergeCell ref="I1868:I1869"/>
    <mergeCell ref="I1870:I1871"/>
    <mergeCell ref="I1872:I1873"/>
    <mergeCell ref="I1874:I1875"/>
    <mergeCell ref="I1876:I1877"/>
    <mergeCell ref="I1878:I1879"/>
    <mergeCell ref="I1880:I1881"/>
    <mergeCell ref="I1882:I1883"/>
    <mergeCell ref="I1884:I1885"/>
    <mergeCell ref="I1886:I1887"/>
    <mergeCell ref="I1888:I1889"/>
    <mergeCell ref="I1890:I1891"/>
    <mergeCell ref="I1892:I1893"/>
    <mergeCell ref="I1894:I1895"/>
    <mergeCell ref="I1896:I1897"/>
    <mergeCell ref="I1898:I1899"/>
    <mergeCell ref="I1900:I1901"/>
    <mergeCell ref="I1902:I1903"/>
    <mergeCell ref="I1904:I1905"/>
    <mergeCell ref="I1906:I1907"/>
    <mergeCell ref="I1908:I1909"/>
    <mergeCell ref="I1910:I1911"/>
    <mergeCell ref="I1912:I1913"/>
    <mergeCell ref="I1914:I1915"/>
    <mergeCell ref="I1916:I1917"/>
    <mergeCell ref="I1918:I1919"/>
    <mergeCell ref="I1920:I1921"/>
    <mergeCell ref="I1922:I1923"/>
    <mergeCell ref="I1924:I1925"/>
    <mergeCell ref="I1926:I1927"/>
    <mergeCell ref="I1928:I1929"/>
    <mergeCell ref="I1930:I1931"/>
    <mergeCell ref="I1932:I1933"/>
    <mergeCell ref="I1934:I1935"/>
    <mergeCell ref="I1936:I1937"/>
    <mergeCell ref="I1938:I1939"/>
    <mergeCell ref="I1940:I1941"/>
    <mergeCell ref="I1942:I1943"/>
    <mergeCell ref="I1944:I1945"/>
    <mergeCell ref="I1946:I1947"/>
    <mergeCell ref="I1948:I1949"/>
    <mergeCell ref="I1950:I1951"/>
    <mergeCell ref="I1952:I1953"/>
    <mergeCell ref="I1954:I1955"/>
    <mergeCell ref="I1956:I1957"/>
    <mergeCell ref="I1958:I1959"/>
    <mergeCell ref="I1960:I1961"/>
    <mergeCell ref="I1962:I1963"/>
    <mergeCell ref="I1964:I1965"/>
    <mergeCell ref="I1966:I1967"/>
    <mergeCell ref="I1968:I1969"/>
    <mergeCell ref="I1970:I1971"/>
    <mergeCell ref="I1972:I1973"/>
    <mergeCell ref="I1974:I1975"/>
    <mergeCell ref="I1976:I1977"/>
    <mergeCell ref="I1978:I1979"/>
    <mergeCell ref="I1980:I1981"/>
    <mergeCell ref="I1982:I1983"/>
    <mergeCell ref="I1984:I1985"/>
    <mergeCell ref="I1986:I1987"/>
    <mergeCell ref="I1988:I1989"/>
    <mergeCell ref="I1990:I1991"/>
    <mergeCell ref="I1992:I1993"/>
    <mergeCell ref="I1994:I1995"/>
    <mergeCell ref="I1996:I1997"/>
    <mergeCell ref="I1998:I1999"/>
    <mergeCell ref="I2000:I2001"/>
    <mergeCell ref="I2002:I2003"/>
    <mergeCell ref="I2004:I2005"/>
    <mergeCell ref="I2006:I2007"/>
    <mergeCell ref="I2008:I2009"/>
    <mergeCell ref="I2010:I2011"/>
    <mergeCell ref="I2012:I2013"/>
    <mergeCell ref="I2014:I2015"/>
    <mergeCell ref="I2016:I2017"/>
    <mergeCell ref="I2018:I2019"/>
    <mergeCell ref="I2020:I2021"/>
    <mergeCell ref="I2022:I2023"/>
    <mergeCell ref="I2024:I2025"/>
    <mergeCell ref="I2026:I2027"/>
    <mergeCell ref="I2028:I2029"/>
    <mergeCell ref="I2030:I2031"/>
    <mergeCell ref="I2032:I2033"/>
    <mergeCell ref="I2034:I2035"/>
    <mergeCell ref="I2036:I2037"/>
    <mergeCell ref="I2038:I2039"/>
    <mergeCell ref="I2040:I2041"/>
    <mergeCell ref="I2042:I2043"/>
    <mergeCell ref="I2044:I2045"/>
    <mergeCell ref="I2046:I2047"/>
    <mergeCell ref="I2048:I2049"/>
    <mergeCell ref="I2050:I2051"/>
    <mergeCell ref="I2052:I2053"/>
    <mergeCell ref="I2054:I2055"/>
    <mergeCell ref="I2056:I2057"/>
    <mergeCell ref="I2058:I2059"/>
    <mergeCell ref="I2060:I2061"/>
    <mergeCell ref="I2062:I2063"/>
    <mergeCell ref="I2064:I2065"/>
    <mergeCell ref="I2066:I2067"/>
    <mergeCell ref="I2068:I2069"/>
    <mergeCell ref="I2070:I2071"/>
    <mergeCell ref="I2072:I2073"/>
    <mergeCell ref="I2074:I2075"/>
    <mergeCell ref="I2076:I2077"/>
    <mergeCell ref="I2078:I2079"/>
    <mergeCell ref="I2080:I2081"/>
    <mergeCell ref="I2082:I2083"/>
    <mergeCell ref="I2084:I2085"/>
    <mergeCell ref="I2086:I2087"/>
    <mergeCell ref="I2088:I2089"/>
    <mergeCell ref="I2090:I2091"/>
    <mergeCell ref="I2092:I2093"/>
    <mergeCell ref="I2094:I2095"/>
    <mergeCell ref="I2096:I2097"/>
    <mergeCell ref="I2098:I2099"/>
    <mergeCell ref="I2100:I2101"/>
    <mergeCell ref="I2102:I2103"/>
    <mergeCell ref="I2104:I2105"/>
    <mergeCell ref="I2106:I2107"/>
    <mergeCell ref="I2108:I2109"/>
    <mergeCell ref="I2110:I2111"/>
    <mergeCell ref="I2112:I2113"/>
    <mergeCell ref="I2114:I2115"/>
    <mergeCell ref="I2116:I2117"/>
    <mergeCell ref="I2118:I2119"/>
    <mergeCell ref="I2120:I2121"/>
    <mergeCell ref="I2122:I2123"/>
    <mergeCell ref="I2124:I2125"/>
    <mergeCell ref="I2126:I2127"/>
    <mergeCell ref="I2128:I2129"/>
    <mergeCell ref="I2130:I2131"/>
    <mergeCell ref="I2132:I2133"/>
    <mergeCell ref="I2134:I2135"/>
    <mergeCell ref="I2136:I2137"/>
    <mergeCell ref="I2138:I2139"/>
    <mergeCell ref="I2140:I2141"/>
    <mergeCell ref="I2142:I2143"/>
    <mergeCell ref="I2144:I2145"/>
    <mergeCell ref="I2146:I2147"/>
    <mergeCell ref="I2148:I2149"/>
    <mergeCell ref="I2150:I2151"/>
    <mergeCell ref="I2152:I2153"/>
    <mergeCell ref="I2154:I2155"/>
    <mergeCell ref="I2156:I2157"/>
    <mergeCell ref="I2158:I2159"/>
    <mergeCell ref="I2160:I2161"/>
    <mergeCell ref="I2162:I2163"/>
    <mergeCell ref="I2164:I2165"/>
    <mergeCell ref="I2166:I2167"/>
    <mergeCell ref="I2168:I2169"/>
    <mergeCell ref="I2170:I2171"/>
    <mergeCell ref="I2172:I2173"/>
    <mergeCell ref="I2174:I2175"/>
    <mergeCell ref="I2176:I2177"/>
    <mergeCell ref="I2178:I2179"/>
    <mergeCell ref="I2180:I2181"/>
    <mergeCell ref="I2182:I2183"/>
    <mergeCell ref="I2184:I2185"/>
    <mergeCell ref="I2186:I2187"/>
    <mergeCell ref="I2188:I2189"/>
    <mergeCell ref="I2190:I2191"/>
    <mergeCell ref="I2192:I2193"/>
    <mergeCell ref="I2194:I2195"/>
    <mergeCell ref="I2196:I2197"/>
    <mergeCell ref="I2198:I2199"/>
    <mergeCell ref="I2200:I2201"/>
    <mergeCell ref="I2202:I2203"/>
    <mergeCell ref="I2204:I2205"/>
    <mergeCell ref="I2206:I2207"/>
    <mergeCell ref="I2208:I2209"/>
    <mergeCell ref="I2210:I2211"/>
    <mergeCell ref="I2212:I2213"/>
    <mergeCell ref="I2214:I2215"/>
    <mergeCell ref="I2216:I2217"/>
    <mergeCell ref="I2218:I2219"/>
    <mergeCell ref="I2220:I2221"/>
    <mergeCell ref="I2222:I2223"/>
    <mergeCell ref="I2224:I2225"/>
    <mergeCell ref="I2226:I2227"/>
    <mergeCell ref="I2228:I2229"/>
    <mergeCell ref="I2230:I2231"/>
    <mergeCell ref="I2232:I2233"/>
    <mergeCell ref="I2234:I2235"/>
    <mergeCell ref="I2236:I2237"/>
    <mergeCell ref="I2238:I2239"/>
    <mergeCell ref="I2240:I2241"/>
    <mergeCell ref="I2242:I2243"/>
    <mergeCell ref="I2244:I2245"/>
    <mergeCell ref="I2246:I2247"/>
    <mergeCell ref="I2248:I2249"/>
    <mergeCell ref="I2250:I2251"/>
    <mergeCell ref="I2252:I2253"/>
    <mergeCell ref="I2254:I2255"/>
    <mergeCell ref="I2256:I2257"/>
    <mergeCell ref="I2258:I2259"/>
    <mergeCell ref="I2260:I2261"/>
    <mergeCell ref="I2262:I2263"/>
    <mergeCell ref="I2264:I2265"/>
    <mergeCell ref="I2266:I2267"/>
    <mergeCell ref="I2268:I2269"/>
    <mergeCell ref="I2270:I2271"/>
    <mergeCell ref="I2272:I2273"/>
    <mergeCell ref="I2274:I2275"/>
    <mergeCell ref="I2276:I2277"/>
    <mergeCell ref="I2278:I2279"/>
    <mergeCell ref="I2280:I2281"/>
    <mergeCell ref="I2282:I2283"/>
    <mergeCell ref="I2284:I2285"/>
    <mergeCell ref="I2286:I2287"/>
    <mergeCell ref="I2288:I2289"/>
    <mergeCell ref="I2290:I2291"/>
    <mergeCell ref="I2292:I2293"/>
    <mergeCell ref="I2294:I2295"/>
    <mergeCell ref="I2296:I2297"/>
    <mergeCell ref="I2298:I2299"/>
    <mergeCell ref="I2300:I2301"/>
    <mergeCell ref="I2302:I2303"/>
    <mergeCell ref="I2304:I2305"/>
    <mergeCell ref="I2306:I2307"/>
    <mergeCell ref="I2308:I2309"/>
    <mergeCell ref="I2310:I2311"/>
    <mergeCell ref="I2312:I2313"/>
    <mergeCell ref="I2314:I2315"/>
    <mergeCell ref="I2316:I2317"/>
    <mergeCell ref="I2318:I2319"/>
    <mergeCell ref="I2320:I2321"/>
    <mergeCell ref="I2322:I2323"/>
    <mergeCell ref="I2324:I2325"/>
    <mergeCell ref="I2326:I2327"/>
    <mergeCell ref="I2328:I2329"/>
    <mergeCell ref="I2330:I2331"/>
    <mergeCell ref="I2332:I2333"/>
    <mergeCell ref="I2334:I2335"/>
    <mergeCell ref="I2336:I2337"/>
    <mergeCell ref="I2338:I2339"/>
    <mergeCell ref="I2340:I2341"/>
    <mergeCell ref="I2342:I2343"/>
    <mergeCell ref="I2344:I2345"/>
    <mergeCell ref="I2346:I2347"/>
    <mergeCell ref="I2348:I2349"/>
    <mergeCell ref="I2350:I2351"/>
    <mergeCell ref="I2352:I2353"/>
    <mergeCell ref="I2354:I2355"/>
    <mergeCell ref="I2356:I2357"/>
    <mergeCell ref="I2358:I2359"/>
    <mergeCell ref="I2360:I2361"/>
    <mergeCell ref="I2362:I2363"/>
    <mergeCell ref="I2364:I2365"/>
    <mergeCell ref="I2366:I2367"/>
    <mergeCell ref="I2368:I2369"/>
    <mergeCell ref="I2370:I2371"/>
    <mergeCell ref="I2372:I2373"/>
    <mergeCell ref="I2374:I2375"/>
    <mergeCell ref="I2376:I2377"/>
    <mergeCell ref="I2378:I2379"/>
    <mergeCell ref="I2380:I2381"/>
    <mergeCell ref="I2382:I2383"/>
    <mergeCell ref="I2384:I2385"/>
    <mergeCell ref="I2386:I2387"/>
    <mergeCell ref="I2388:I2389"/>
    <mergeCell ref="I2390:I2391"/>
    <mergeCell ref="I2392:I2393"/>
    <mergeCell ref="I2394:I2395"/>
    <mergeCell ref="I2396:I2397"/>
    <mergeCell ref="I2398:I2399"/>
    <mergeCell ref="I2400:I2401"/>
    <mergeCell ref="I2402:I2403"/>
    <mergeCell ref="I2404:I2405"/>
    <mergeCell ref="I2406:I2407"/>
    <mergeCell ref="I2408:I2409"/>
    <mergeCell ref="I2410:I2411"/>
    <mergeCell ref="I2412:I2413"/>
    <mergeCell ref="I2414:I2415"/>
    <mergeCell ref="I2416:I2417"/>
    <mergeCell ref="I2418:I2419"/>
    <mergeCell ref="I2420:I2421"/>
    <mergeCell ref="I2422:I2423"/>
    <mergeCell ref="I2424:I2425"/>
    <mergeCell ref="I2426:I2427"/>
    <mergeCell ref="I2428:I2429"/>
    <mergeCell ref="I2430:I2431"/>
    <mergeCell ref="I2432:I2433"/>
    <mergeCell ref="I2434:I2435"/>
    <mergeCell ref="I2436:I2437"/>
    <mergeCell ref="I2438:I2439"/>
    <mergeCell ref="I2440:I2441"/>
    <mergeCell ref="I2442:I2443"/>
    <mergeCell ref="I2444:I2445"/>
    <mergeCell ref="I2446:I2447"/>
    <mergeCell ref="I2448:I2449"/>
    <mergeCell ref="I2450:I2451"/>
    <mergeCell ref="I2452:I2453"/>
    <mergeCell ref="I2454:I2455"/>
    <mergeCell ref="I2456:I2457"/>
    <mergeCell ref="I2458:I2459"/>
    <mergeCell ref="I2460:I2461"/>
    <mergeCell ref="I2462:I2463"/>
    <mergeCell ref="I2464:I2465"/>
    <mergeCell ref="I2466:I2467"/>
    <mergeCell ref="I2468:I2469"/>
    <mergeCell ref="I2470:I2471"/>
    <mergeCell ref="I2472:I2473"/>
    <mergeCell ref="I2474:I2475"/>
    <mergeCell ref="I2476:I2477"/>
    <mergeCell ref="I2478:I2479"/>
    <mergeCell ref="I2480:I2481"/>
    <mergeCell ref="I2482:I2483"/>
    <mergeCell ref="I2484:I2485"/>
    <mergeCell ref="I2486:I2487"/>
    <mergeCell ref="I2488:I2489"/>
    <mergeCell ref="I2490:I2491"/>
    <mergeCell ref="I2492:I2493"/>
    <mergeCell ref="I2494:I2495"/>
    <mergeCell ref="I2496:I2497"/>
    <mergeCell ref="I2498:I2499"/>
    <mergeCell ref="I2500:I2501"/>
    <mergeCell ref="I2502:I2503"/>
    <mergeCell ref="I2504:I2505"/>
    <mergeCell ref="I2506:I2507"/>
    <mergeCell ref="I2508:I2509"/>
    <mergeCell ref="I2510:I2511"/>
    <mergeCell ref="I2512:I2513"/>
    <mergeCell ref="I2514:I2515"/>
    <mergeCell ref="I2516:I2517"/>
    <mergeCell ref="I2518:I2519"/>
    <mergeCell ref="I2520:I2521"/>
    <mergeCell ref="I2522:I2523"/>
    <mergeCell ref="I2524:I2525"/>
    <mergeCell ref="I2526:I2527"/>
    <mergeCell ref="I2528:I2529"/>
    <mergeCell ref="I2530:I2531"/>
    <mergeCell ref="I2532:I2533"/>
    <mergeCell ref="I2534:I2535"/>
    <mergeCell ref="I2536:I2537"/>
    <mergeCell ref="I2538:I2539"/>
    <mergeCell ref="I2540:I2541"/>
    <mergeCell ref="I2542:I2543"/>
    <mergeCell ref="I2544:I2545"/>
    <mergeCell ref="I2546:I2547"/>
    <mergeCell ref="I2548:I2549"/>
    <mergeCell ref="I2550:I2551"/>
    <mergeCell ref="I2552:I2553"/>
    <mergeCell ref="I2554:I2555"/>
    <mergeCell ref="I2556:I2557"/>
    <mergeCell ref="I2558:I2559"/>
    <mergeCell ref="I2560:I2561"/>
    <mergeCell ref="I2562:I2563"/>
    <mergeCell ref="I2564:I2565"/>
    <mergeCell ref="I2566:I2567"/>
    <mergeCell ref="I2568:I2569"/>
    <mergeCell ref="I2570:I2571"/>
    <mergeCell ref="I2572:I2573"/>
    <mergeCell ref="I2574:I2575"/>
    <mergeCell ref="I2576:I2577"/>
    <mergeCell ref="I2578:I2579"/>
    <mergeCell ref="I2580:I2581"/>
    <mergeCell ref="I2582:I2583"/>
    <mergeCell ref="I2584:I2585"/>
    <mergeCell ref="I2586:I2587"/>
    <mergeCell ref="I2588:I2589"/>
    <mergeCell ref="I2590:I2591"/>
    <mergeCell ref="I2592:I2593"/>
    <mergeCell ref="I2594:I2595"/>
    <mergeCell ref="I2596:I2597"/>
    <mergeCell ref="I2598:I2599"/>
    <mergeCell ref="I2600:I2601"/>
    <mergeCell ref="I2602:I2603"/>
    <mergeCell ref="I2604:I2605"/>
    <mergeCell ref="I2606:I2607"/>
    <mergeCell ref="I2608:I2609"/>
    <mergeCell ref="I2610:I2611"/>
    <mergeCell ref="I2612:I2613"/>
    <mergeCell ref="I2614:I2615"/>
    <mergeCell ref="I2616:I2617"/>
    <mergeCell ref="I2618:I2619"/>
    <mergeCell ref="I2620:I2621"/>
    <mergeCell ref="I2622:I2623"/>
    <mergeCell ref="I2624:I2625"/>
    <mergeCell ref="I2626:I2627"/>
    <mergeCell ref="I2628:I2629"/>
    <mergeCell ref="I2630:I2631"/>
    <mergeCell ref="I2632:I2633"/>
    <mergeCell ref="I2634:I2635"/>
    <mergeCell ref="I2636:I2637"/>
    <mergeCell ref="I2638:I2639"/>
    <mergeCell ref="I2640:I2641"/>
    <mergeCell ref="I2642:I2643"/>
    <mergeCell ref="I2644:I2645"/>
    <mergeCell ref="I2646:I2647"/>
    <mergeCell ref="I2648:I2649"/>
    <mergeCell ref="I2650:I2651"/>
    <mergeCell ref="I2652:I2653"/>
    <mergeCell ref="I2654:I2655"/>
    <mergeCell ref="I2656:I2657"/>
    <mergeCell ref="I2658:I2659"/>
    <mergeCell ref="I2660:I2661"/>
    <mergeCell ref="I2662:I2663"/>
    <mergeCell ref="I2664:I2665"/>
    <mergeCell ref="I2666:I2667"/>
    <mergeCell ref="I2668:I2669"/>
    <mergeCell ref="I2670:I2671"/>
    <mergeCell ref="I2672:I2673"/>
    <mergeCell ref="I2674:I2675"/>
    <mergeCell ref="I2676:I2677"/>
    <mergeCell ref="I2678:I2679"/>
    <mergeCell ref="I2680:I2681"/>
    <mergeCell ref="I2682:I2683"/>
    <mergeCell ref="I2684:I2685"/>
    <mergeCell ref="I2686:I2687"/>
    <mergeCell ref="I2688:I2689"/>
    <mergeCell ref="I2690:I2691"/>
    <mergeCell ref="I2692:I2693"/>
    <mergeCell ref="I2694:I2695"/>
    <mergeCell ref="I2696:I2697"/>
    <mergeCell ref="I2698:I2699"/>
    <mergeCell ref="I2700:I2701"/>
    <mergeCell ref="I2702:I2703"/>
    <mergeCell ref="I2706:I2707"/>
    <mergeCell ref="I2708:I2709"/>
    <mergeCell ref="I2710:I2711"/>
    <mergeCell ref="I2712:I2713"/>
    <mergeCell ref="I2714:I2715"/>
    <mergeCell ref="I2716:I2717"/>
    <mergeCell ref="I2718:I2719"/>
    <mergeCell ref="I2720:I2721"/>
    <mergeCell ref="I2722:I2723"/>
    <mergeCell ref="I2724:I2725"/>
    <mergeCell ref="I2726:I2727"/>
    <mergeCell ref="I2728:I2729"/>
    <mergeCell ref="I2730:I2731"/>
    <mergeCell ref="I2732:I2733"/>
    <mergeCell ref="I2734:I2735"/>
    <mergeCell ref="I2736:I2737"/>
    <mergeCell ref="I2738:I2739"/>
    <mergeCell ref="I2740:I2741"/>
    <mergeCell ref="I2742:I2743"/>
    <mergeCell ref="I2744:I2745"/>
    <mergeCell ref="I2746:I2747"/>
    <mergeCell ref="I2748:I2749"/>
    <mergeCell ref="I2750:I2751"/>
    <mergeCell ref="I2752:I2753"/>
    <mergeCell ref="I2754:I2755"/>
    <mergeCell ref="I2756:I2757"/>
    <mergeCell ref="I2758:I2759"/>
    <mergeCell ref="I2760:I2761"/>
    <mergeCell ref="I2762:I2763"/>
    <mergeCell ref="I2764:I2765"/>
    <mergeCell ref="I2766:I2767"/>
    <mergeCell ref="I2768:I2769"/>
    <mergeCell ref="I2770:I2771"/>
    <mergeCell ref="I2772:I2773"/>
    <mergeCell ref="I2774:I2775"/>
    <mergeCell ref="I2776:I2777"/>
    <mergeCell ref="I2778:I2779"/>
    <mergeCell ref="I2780:I2781"/>
    <mergeCell ref="I2782:I2783"/>
    <mergeCell ref="I2784:I2785"/>
    <mergeCell ref="I2786:I2787"/>
    <mergeCell ref="I2788:I2789"/>
    <mergeCell ref="I2790:I2791"/>
    <mergeCell ref="I2792:I2793"/>
    <mergeCell ref="I2794:I2795"/>
    <mergeCell ref="I2796:I2797"/>
    <mergeCell ref="I2798:I2799"/>
    <mergeCell ref="I2800:I2801"/>
    <mergeCell ref="I2802:I2803"/>
    <mergeCell ref="I2804:I2805"/>
    <mergeCell ref="I2806:I2807"/>
    <mergeCell ref="I2808:I2809"/>
    <mergeCell ref="I2810:I2811"/>
    <mergeCell ref="I2812:I2813"/>
    <mergeCell ref="I2814:I2815"/>
    <mergeCell ref="I2816:I2817"/>
    <mergeCell ref="I2818:I2819"/>
    <mergeCell ref="I2820:I2821"/>
    <mergeCell ref="I2822:I2823"/>
    <mergeCell ref="I2824:I2825"/>
    <mergeCell ref="I2826:I2827"/>
    <mergeCell ref="I2828:I2829"/>
    <mergeCell ref="I2830:I2831"/>
    <mergeCell ref="I2832:I2833"/>
    <mergeCell ref="I2834:I2835"/>
    <mergeCell ref="I2836:I2837"/>
    <mergeCell ref="I2838:I2839"/>
    <mergeCell ref="I2840:I2841"/>
    <mergeCell ref="I2842:I2843"/>
    <mergeCell ref="I2844:I2845"/>
    <mergeCell ref="I2846:I2847"/>
    <mergeCell ref="I2848:I2849"/>
    <mergeCell ref="I2850:I2851"/>
    <mergeCell ref="I2852:I2853"/>
    <mergeCell ref="I2854:I2855"/>
    <mergeCell ref="I2856:I2857"/>
    <mergeCell ref="I2858:I2859"/>
    <mergeCell ref="I2860:I2861"/>
    <mergeCell ref="I2862:I2863"/>
    <mergeCell ref="I2864:I2865"/>
    <mergeCell ref="I2866:I2867"/>
    <mergeCell ref="I2868:I2869"/>
    <mergeCell ref="I2870:I2871"/>
    <mergeCell ref="I2872:I2873"/>
    <mergeCell ref="I2874:I2875"/>
    <mergeCell ref="I2876:I2877"/>
    <mergeCell ref="I2878:I2879"/>
    <mergeCell ref="I2880:I2881"/>
    <mergeCell ref="I2882:I2883"/>
    <mergeCell ref="I2884:I2885"/>
    <mergeCell ref="I2886:I2887"/>
    <mergeCell ref="I2888:I2889"/>
    <mergeCell ref="I2890:I2891"/>
    <mergeCell ref="I2892:I2893"/>
    <mergeCell ref="I2894:I2895"/>
    <mergeCell ref="I2896:I2897"/>
    <mergeCell ref="I2898:I2899"/>
    <mergeCell ref="I2900:I2901"/>
    <mergeCell ref="I2902:I2903"/>
    <mergeCell ref="I2904:I2905"/>
    <mergeCell ref="I2906:I2907"/>
    <mergeCell ref="I2908:I2909"/>
    <mergeCell ref="I2910:I2911"/>
    <mergeCell ref="I2912:I2913"/>
    <mergeCell ref="I2914:I2915"/>
    <mergeCell ref="I2916:I2917"/>
    <mergeCell ref="I2918:I2919"/>
    <mergeCell ref="I2920:I2921"/>
    <mergeCell ref="I2922:I2923"/>
    <mergeCell ref="I2924:I2925"/>
    <mergeCell ref="I2926:I2927"/>
    <mergeCell ref="I2928:I2929"/>
    <mergeCell ref="I2930:I2931"/>
    <mergeCell ref="I2932:I2933"/>
    <mergeCell ref="I2934:I2935"/>
    <mergeCell ref="I2936:I2937"/>
    <mergeCell ref="I2938:I2939"/>
    <mergeCell ref="I2940:I2941"/>
    <mergeCell ref="I2942:I2943"/>
    <mergeCell ref="I2944:I2945"/>
    <mergeCell ref="I2946:I2947"/>
    <mergeCell ref="I2948:I2949"/>
    <mergeCell ref="I2950:I2951"/>
    <mergeCell ref="I2952:I2953"/>
    <mergeCell ref="I2954:I2955"/>
    <mergeCell ref="I2956:I2957"/>
    <mergeCell ref="I2958:I2959"/>
    <mergeCell ref="I2960:I2961"/>
    <mergeCell ref="I2962:I2963"/>
    <mergeCell ref="I2964:I2965"/>
    <mergeCell ref="I2966:I2967"/>
    <mergeCell ref="I2968:I2969"/>
    <mergeCell ref="I2970:I2971"/>
    <mergeCell ref="I2972:I2973"/>
    <mergeCell ref="I2974:I2975"/>
    <mergeCell ref="I2976:I2977"/>
    <mergeCell ref="I2978:I2979"/>
    <mergeCell ref="I2980:I2981"/>
    <mergeCell ref="I2982:I2983"/>
    <mergeCell ref="I2984:I2985"/>
    <mergeCell ref="I2986:I2987"/>
    <mergeCell ref="I2988:I2989"/>
    <mergeCell ref="I2990:I2991"/>
    <mergeCell ref="I2992:I2993"/>
    <mergeCell ref="I2994:I2995"/>
    <mergeCell ref="I2996:I2997"/>
    <mergeCell ref="I2998:I2999"/>
    <mergeCell ref="I3000:I3001"/>
    <mergeCell ref="I3002:I3003"/>
    <mergeCell ref="I3004:I3005"/>
    <mergeCell ref="I3006:I3007"/>
    <mergeCell ref="I3008:I3009"/>
    <mergeCell ref="I3010:I3011"/>
    <mergeCell ref="I3012:I3013"/>
    <mergeCell ref="I3014:I3015"/>
    <mergeCell ref="I3016:I3017"/>
    <mergeCell ref="I3018:I3019"/>
    <mergeCell ref="I3020:I3021"/>
    <mergeCell ref="I3022:I3023"/>
    <mergeCell ref="I3024:I3025"/>
    <mergeCell ref="I3026:I3027"/>
    <mergeCell ref="I3028:I3029"/>
    <mergeCell ref="I3030:I3031"/>
    <mergeCell ref="I3032:I3033"/>
    <mergeCell ref="I3034:I3035"/>
    <mergeCell ref="I3036:I3037"/>
    <mergeCell ref="I3038:I3039"/>
    <mergeCell ref="I3040:I3041"/>
    <mergeCell ref="I3042:I3043"/>
    <mergeCell ref="I3044:I3045"/>
    <mergeCell ref="I3046:I3047"/>
    <mergeCell ref="I3048:I3049"/>
    <mergeCell ref="I3050:I3051"/>
    <mergeCell ref="I3052:I3053"/>
    <mergeCell ref="I3054:I3055"/>
    <mergeCell ref="I3056:I3057"/>
    <mergeCell ref="I3058:I3059"/>
    <mergeCell ref="I3060:I3061"/>
    <mergeCell ref="I3062:I3063"/>
    <mergeCell ref="I3064:I3065"/>
    <mergeCell ref="I3066:I3067"/>
    <mergeCell ref="I3068:I3069"/>
    <mergeCell ref="I3070:I3071"/>
    <mergeCell ref="I3072:I3073"/>
    <mergeCell ref="I3074:I3075"/>
    <mergeCell ref="I3076:I3077"/>
    <mergeCell ref="I3078:I3079"/>
    <mergeCell ref="I3080:I3081"/>
    <mergeCell ref="I3082:I3083"/>
    <mergeCell ref="I3084:I3085"/>
    <mergeCell ref="I3086:I3087"/>
    <mergeCell ref="I3088:I3089"/>
    <mergeCell ref="I3090:I3091"/>
    <mergeCell ref="I3092:I3093"/>
    <mergeCell ref="I3094:I3095"/>
    <mergeCell ref="I3096:I3097"/>
    <mergeCell ref="I3098:I3099"/>
    <mergeCell ref="I3100:I3101"/>
    <mergeCell ref="I3102:I3103"/>
    <mergeCell ref="I3104:I3105"/>
    <mergeCell ref="I3106:I3107"/>
    <mergeCell ref="I3108:I3109"/>
    <mergeCell ref="I3110:I3111"/>
    <mergeCell ref="I3112:I3113"/>
    <mergeCell ref="I3114:I3115"/>
    <mergeCell ref="I3116:I3117"/>
    <mergeCell ref="I3118:I3119"/>
    <mergeCell ref="I3120:I3121"/>
    <mergeCell ref="I3122:I3123"/>
    <mergeCell ref="I3124:I3125"/>
    <mergeCell ref="I3126:I3127"/>
    <mergeCell ref="I3128:I3129"/>
    <mergeCell ref="I3130:I3131"/>
    <mergeCell ref="I3132:I3133"/>
    <mergeCell ref="I3134:I3135"/>
    <mergeCell ref="I3136:I3137"/>
    <mergeCell ref="I3138:I3139"/>
    <mergeCell ref="I3140:I3141"/>
    <mergeCell ref="I3142:I3143"/>
    <mergeCell ref="I3144:I3145"/>
    <mergeCell ref="I3146:I3147"/>
    <mergeCell ref="I3148:I3149"/>
    <mergeCell ref="I3150:I3151"/>
    <mergeCell ref="I3152:I3153"/>
    <mergeCell ref="I3154:I3155"/>
    <mergeCell ref="A3158:A3758"/>
    <mergeCell ref="B3158:B3237"/>
    <mergeCell ref="C3158:C3167"/>
    <mergeCell ref="D3158:D3159"/>
    <mergeCell ref="H3158:H3159"/>
    <mergeCell ref="I3158:I3159"/>
    <mergeCell ref="D3160:D3161"/>
    <mergeCell ref="H3160:H3161"/>
    <mergeCell ref="I3160:I3161"/>
    <mergeCell ref="D3162:D3163"/>
    <mergeCell ref="H3162:H3163"/>
    <mergeCell ref="I3162:I3163"/>
    <mergeCell ref="D3164:D3165"/>
    <mergeCell ref="H3164:H3165"/>
    <mergeCell ref="I3164:I3165"/>
    <mergeCell ref="D3166:D3167"/>
    <mergeCell ref="H3166:H3167"/>
    <mergeCell ref="I3166:I3167"/>
    <mergeCell ref="C3168:C3177"/>
    <mergeCell ref="D3168:D3169"/>
    <mergeCell ref="H3168:H3169"/>
    <mergeCell ref="I3168:I3169"/>
    <mergeCell ref="D3170:D3171"/>
    <mergeCell ref="H3170:H3171"/>
    <mergeCell ref="I3170:I3171"/>
    <mergeCell ref="D3172:D3173"/>
    <mergeCell ref="H3172:H3173"/>
    <mergeCell ref="I3172:I3173"/>
    <mergeCell ref="D3174:D3175"/>
    <mergeCell ref="H3174:H3175"/>
    <mergeCell ref="I3174:I3175"/>
    <mergeCell ref="D3176:D3177"/>
    <mergeCell ref="H3176:H3177"/>
    <mergeCell ref="I3176:I3177"/>
    <mergeCell ref="C3178:C3187"/>
    <mergeCell ref="D3178:D3179"/>
    <mergeCell ref="H3178:H3179"/>
    <mergeCell ref="I3178:I3179"/>
    <mergeCell ref="D3180:D3181"/>
    <mergeCell ref="H3180:H3181"/>
    <mergeCell ref="I3180:I3181"/>
    <mergeCell ref="D3182:D3183"/>
    <mergeCell ref="H3182:H3183"/>
    <mergeCell ref="I3182:I3183"/>
    <mergeCell ref="D3184:D3185"/>
    <mergeCell ref="H3184:H3185"/>
    <mergeCell ref="I3184:I3185"/>
    <mergeCell ref="D3186:D3187"/>
    <mergeCell ref="H3186:H3187"/>
    <mergeCell ref="I3186:I3187"/>
    <mergeCell ref="C3188:C3197"/>
    <mergeCell ref="D3188:D3189"/>
    <mergeCell ref="H3188:H3189"/>
    <mergeCell ref="I3188:I3189"/>
    <mergeCell ref="D3190:D3191"/>
    <mergeCell ref="H3190:H3191"/>
    <mergeCell ref="I3190:I3191"/>
    <mergeCell ref="D3192:D3193"/>
    <mergeCell ref="H3192:H3193"/>
    <mergeCell ref="I3192:I3193"/>
    <mergeCell ref="D3194:D3195"/>
    <mergeCell ref="H3194:H3195"/>
    <mergeCell ref="I3194:I3195"/>
    <mergeCell ref="D3196:D3197"/>
    <mergeCell ref="H3196:H3197"/>
    <mergeCell ref="I3196:I3197"/>
    <mergeCell ref="C3198:C3207"/>
    <mergeCell ref="D3198:D3199"/>
    <mergeCell ref="H3198:H3199"/>
    <mergeCell ref="I3198:I3199"/>
    <mergeCell ref="D3200:D3201"/>
    <mergeCell ref="H3200:H3201"/>
    <mergeCell ref="I3200:I3201"/>
    <mergeCell ref="D3202:D3203"/>
    <mergeCell ref="H3202:H3203"/>
    <mergeCell ref="I3202:I3203"/>
    <mergeCell ref="D3204:D3205"/>
    <mergeCell ref="H3204:H3205"/>
    <mergeCell ref="I3204:I3205"/>
    <mergeCell ref="D3206:D3207"/>
    <mergeCell ref="H3206:H3207"/>
    <mergeCell ref="I3206:I3207"/>
    <mergeCell ref="C3208:C3217"/>
    <mergeCell ref="D3208:D3209"/>
    <mergeCell ref="H3208:H3209"/>
    <mergeCell ref="I3208:I3209"/>
    <mergeCell ref="D3210:D3211"/>
    <mergeCell ref="H3210:H3211"/>
    <mergeCell ref="I3210:I3211"/>
    <mergeCell ref="D3212:D3213"/>
    <mergeCell ref="H3212:H3213"/>
    <mergeCell ref="I3212:I3213"/>
    <mergeCell ref="D3214:D3215"/>
    <mergeCell ref="H3214:H3215"/>
    <mergeCell ref="I3214:I3215"/>
    <mergeCell ref="D3216:D3217"/>
    <mergeCell ref="H3216:H3217"/>
    <mergeCell ref="I3216:I3217"/>
    <mergeCell ref="C3218:C3227"/>
    <mergeCell ref="D3218:D3219"/>
    <mergeCell ref="H3218:H3219"/>
    <mergeCell ref="I3218:I3219"/>
    <mergeCell ref="D3220:D3221"/>
    <mergeCell ref="H3220:H3221"/>
    <mergeCell ref="I3220:I3221"/>
    <mergeCell ref="D3222:D3223"/>
    <mergeCell ref="H3222:H3223"/>
    <mergeCell ref="I3222:I3223"/>
    <mergeCell ref="D3224:D3225"/>
    <mergeCell ref="H3224:H3225"/>
    <mergeCell ref="I3224:I3225"/>
    <mergeCell ref="D3226:D3227"/>
    <mergeCell ref="H3226:H3227"/>
    <mergeCell ref="I3226:I3227"/>
    <mergeCell ref="C3228:C3237"/>
    <mergeCell ref="D3228:D3229"/>
    <mergeCell ref="H3228:H3229"/>
    <mergeCell ref="I3228:I3229"/>
    <mergeCell ref="D3230:D3231"/>
    <mergeCell ref="H3230:H3231"/>
    <mergeCell ref="I3230:I3231"/>
    <mergeCell ref="D3232:D3233"/>
    <mergeCell ref="H3232:H3233"/>
    <mergeCell ref="I3232:I3233"/>
    <mergeCell ref="D3234:D3235"/>
    <mergeCell ref="H3234:H3235"/>
    <mergeCell ref="I3234:I3235"/>
    <mergeCell ref="D3236:D3237"/>
    <mergeCell ref="H3236:H3237"/>
    <mergeCell ref="I3236:I3237"/>
    <mergeCell ref="C3238:C3247"/>
    <mergeCell ref="H3238:H3239"/>
    <mergeCell ref="I3238:I3239"/>
    <mergeCell ref="H3240:H3241"/>
    <mergeCell ref="I3240:I3241"/>
    <mergeCell ref="H3242:H3243"/>
    <mergeCell ref="I3242:I3243"/>
    <mergeCell ref="H3244:H3245"/>
    <mergeCell ref="I3244:I3245"/>
    <mergeCell ref="H3246:H3247"/>
    <mergeCell ref="I3246:I3247"/>
    <mergeCell ref="C3248:C3257"/>
    <mergeCell ref="H3248:H3249"/>
    <mergeCell ref="I3248:I3249"/>
    <mergeCell ref="H3250:H3251"/>
    <mergeCell ref="I3250:I3251"/>
    <mergeCell ref="H3252:H3253"/>
    <mergeCell ref="I3252:I3253"/>
    <mergeCell ref="H3254:H3255"/>
    <mergeCell ref="I3254:I3255"/>
    <mergeCell ref="H3256:H3257"/>
    <mergeCell ref="I3256:I3257"/>
    <mergeCell ref="C3258:C3267"/>
    <mergeCell ref="H3258:H3259"/>
    <mergeCell ref="I3258:I3259"/>
    <mergeCell ref="H3260:H3261"/>
    <mergeCell ref="I3260:I3261"/>
    <mergeCell ref="H3262:H3263"/>
    <mergeCell ref="I3262:I3263"/>
    <mergeCell ref="H3264:H3265"/>
    <mergeCell ref="I3264:I3265"/>
    <mergeCell ref="H3266:H3267"/>
    <mergeCell ref="I3266:I3267"/>
    <mergeCell ref="C3268:C3277"/>
    <mergeCell ref="H3268:H3269"/>
    <mergeCell ref="I3268:I3269"/>
    <mergeCell ref="H3270:H3271"/>
    <mergeCell ref="I3270:I3271"/>
    <mergeCell ref="H3272:H3273"/>
    <mergeCell ref="I3272:I3273"/>
    <mergeCell ref="H3274:H3275"/>
    <mergeCell ref="I3274:I3275"/>
    <mergeCell ref="H3276:H3277"/>
    <mergeCell ref="I3276:I3277"/>
    <mergeCell ref="C3278:C3287"/>
    <mergeCell ref="H3278:H3279"/>
    <mergeCell ref="I3278:I3279"/>
    <mergeCell ref="H3280:H3281"/>
    <mergeCell ref="I3280:I3281"/>
    <mergeCell ref="H3282:H3283"/>
    <mergeCell ref="I3282:I3283"/>
    <mergeCell ref="H3284:H3285"/>
    <mergeCell ref="I3284:I3285"/>
    <mergeCell ref="H3286:H3287"/>
    <mergeCell ref="I3286:I3287"/>
    <mergeCell ref="C3288:C3297"/>
    <mergeCell ref="H3288:H3289"/>
    <mergeCell ref="I3288:I3289"/>
    <mergeCell ref="H3290:H3291"/>
    <mergeCell ref="I3290:I3291"/>
    <mergeCell ref="H3292:H3293"/>
    <mergeCell ref="I3292:I3293"/>
    <mergeCell ref="H3294:H3295"/>
    <mergeCell ref="I3294:I3295"/>
    <mergeCell ref="H3296:H3297"/>
    <mergeCell ref="I3296:I3297"/>
    <mergeCell ref="C3298:C3307"/>
    <mergeCell ref="H3298:H3299"/>
    <mergeCell ref="I3298:I3299"/>
    <mergeCell ref="H3300:H3301"/>
    <mergeCell ref="I3300:I3301"/>
    <mergeCell ref="H3302:H3303"/>
    <mergeCell ref="I3302:I3303"/>
    <mergeCell ref="H3304:H3305"/>
    <mergeCell ref="I3304:I3305"/>
    <mergeCell ref="H3306:H3307"/>
    <mergeCell ref="I3306:I3307"/>
    <mergeCell ref="C3308:C3317"/>
    <mergeCell ref="H3308:H3309"/>
    <mergeCell ref="I3308:I3309"/>
    <mergeCell ref="H3310:H3311"/>
    <mergeCell ref="I3310:I3311"/>
    <mergeCell ref="H3312:H3313"/>
    <mergeCell ref="I3312:I3313"/>
    <mergeCell ref="H3314:H3315"/>
    <mergeCell ref="I3314:I3315"/>
    <mergeCell ref="H3316:H3317"/>
    <mergeCell ref="I3316:I3317"/>
    <mergeCell ref="C3318:C3327"/>
    <mergeCell ref="H3318:H3319"/>
    <mergeCell ref="I3318:I3319"/>
    <mergeCell ref="H3320:H3321"/>
    <mergeCell ref="I3320:I3321"/>
    <mergeCell ref="H3322:H3323"/>
    <mergeCell ref="I3322:I3323"/>
    <mergeCell ref="H3324:H3325"/>
    <mergeCell ref="I3324:I3325"/>
    <mergeCell ref="H3326:H3327"/>
    <mergeCell ref="I3326:I3327"/>
    <mergeCell ref="C3328:C3337"/>
    <mergeCell ref="H3328:H3329"/>
    <mergeCell ref="I3328:I3329"/>
    <mergeCell ref="H3330:H3331"/>
    <mergeCell ref="I3330:I3331"/>
    <mergeCell ref="H3332:H3333"/>
    <mergeCell ref="I3332:I3333"/>
    <mergeCell ref="H3334:H3335"/>
    <mergeCell ref="I3334:I3335"/>
    <mergeCell ref="H3336:H3337"/>
    <mergeCell ref="I3336:I3337"/>
    <mergeCell ref="C3338:C3347"/>
    <mergeCell ref="H3338:H3339"/>
    <mergeCell ref="I3338:I3339"/>
    <mergeCell ref="H3340:H3341"/>
    <mergeCell ref="I3340:I3341"/>
    <mergeCell ref="H3342:H3343"/>
    <mergeCell ref="I3342:I3343"/>
    <mergeCell ref="H3344:H3345"/>
    <mergeCell ref="I3344:I3345"/>
    <mergeCell ref="H3346:H3347"/>
    <mergeCell ref="I3346:I3347"/>
    <mergeCell ref="H3348:H3349"/>
    <mergeCell ref="I3348:I3349"/>
    <mergeCell ref="C3349:C3358"/>
    <mergeCell ref="H3350:H3351"/>
    <mergeCell ref="I3350:I3351"/>
    <mergeCell ref="H3352:H3353"/>
    <mergeCell ref="I3352:I3353"/>
    <mergeCell ref="H3354:H3355"/>
    <mergeCell ref="I3354:I3355"/>
    <mergeCell ref="H3356:H3357"/>
    <mergeCell ref="I3356:I3357"/>
    <mergeCell ref="H3358:H3359"/>
    <mergeCell ref="I3358:I3359"/>
    <mergeCell ref="C3359:C3368"/>
    <mergeCell ref="H3360:H3361"/>
    <mergeCell ref="I3360:I3361"/>
    <mergeCell ref="H3362:H3363"/>
    <mergeCell ref="I3362:I3363"/>
    <mergeCell ref="H3364:H3365"/>
    <mergeCell ref="I3364:I3365"/>
    <mergeCell ref="H3366:H3367"/>
    <mergeCell ref="I3366:I3367"/>
    <mergeCell ref="H3368:H3369"/>
    <mergeCell ref="I3368:I3369"/>
    <mergeCell ref="B3369:B3428"/>
    <mergeCell ref="C3369:C3378"/>
    <mergeCell ref="H3370:H3371"/>
    <mergeCell ref="I3370:I3371"/>
    <mergeCell ref="H3372:H3373"/>
    <mergeCell ref="I3372:I3373"/>
    <mergeCell ref="H3374:H3375"/>
    <mergeCell ref="I3374:I3375"/>
    <mergeCell ref="H3376:H3377"/>
    <mergeCell ref="I3376:I3377"/>
    <mergeCell ref="H3378:H3379"/>
    <mergeCell ref="I3378:I3379"/>
    <mergeCell ref="C3379:C3388"/>
    <mergeCell ref="H3380:H3381"/>
    <mergeCell ref="I3380:I3381"/>
    <mergeCell ref="H3382:H3383"/>
    <mergeCell ref="I3382:I3383"/>
    <mergeCell ref="H3384:H3385"/>
    <mergeCell ref="I3384:I3385"/>
    <mergeCell ref="H3386:H3387"/>
    <mergeCell ref="I3386:I3387"/>
    <mergeCell ref="H3388:H3389"/>
    <mergeCell ref="I3388:I3389"/>
    <mergeCell ref="C3389:C3398"/>
    <mergeCell ref="H3390:H3391"/>
    <mergeCell ref="I3390:I3391"/>
    <mergeCell ref="H3392:H3393"/>
    <mergeCell ref="I3392:I3393"/>
    <mergeCell ref="H3394:H3395"/>
    <mergeCell ref="I3394:I3395"/>
    <mergeCell ref="H3396:H3397"/>
    <mergeCell ref="I3396:I3397"/>
    <mergeCell ref="H3398:H3399"/>
    <mergeCell ref="I3398:I3399"/>
    <mergeCell ref="C3399:C3408"/>
    <mergeCell ref="H3400:H3401"/>
    <mergeCell ref="I3400:I3401"/>
    <mergeCell ref="H3402:H3403"/>
    <mergeCell ref="I3402:I3403"/>
    <mergeCell ref="H3404:H3405"/>
    <mergeCell ref="I3404:I3405"/>
    <mergeCell ref="H3406:H3407"/>
    <mergeCell ref="I3406:I3407"/>
    <mergeCell ref="H3408:H3409"/>
    <mergeCell ref="I3408:I3409"/>
    <mergeCell ref="C3409:C3418"/>
    <mergeCell ref="H3410:H3411"/>
    <mergeCell ref="I3410:I3411"/>
    <mergeCell ref="H3412:H3413"/>
    <mergeCell ref="I3412:I3413"/>
    <mergeCell ref="H3414:H3415"/>
    <mergeCell ref="I3414:I3415"/>
    <mergeCell ref="H3416:H3417"/>
    <mergeCell ref="I3416:I3417"/>
    <mergeCell ref="H3418:H3419"/>
    <mergeCell ref="I3418:I3419"/>
    <mergeCell ref="C3419:C3428"/>
    <mergeCell ref="H3420:H3421"/>
    <mergeCell ref="I3420:I3421"/>
    <mergeCell ref="H3422:H3423"/>
    <mergeCell ref="I3422:I3423"/>
    <mergeCell ref="H3424:H3425"/>
    <mergeCell ref="I3424:I3425"/>
    <mergeCell ref="H3426:H3427"/>
    <mergeCell ref="I3426:I3427"/>
    <mergeCell ref="H3428:H3429"/>
    <mergeCell ref="I3428:I3429"/>
    <mergeCell ref="B3429:B3518"/>
    <mergeCell ref="C3429:C3438"/>
    <mergeCell ref="H3430:H3431"/>
    <mergeCell ref="I3430:I3431"/>
    <mergeCell ref="H3432:H3433"/>
    <mergeCell ref="I3432:I3433"/>
    <mergeCell ref="H3434:H3435"/>
    <mergeCell ref="I3434:I3435"/>
    <mergeCell ref="H3436:H3437"/>
    <mergeCell ref="I3436:I3437"/>
    <mergeCell ref="H3438:H3439"/>
    <mergeCell ref="I3438:I3439"/>
    <mergeCell ref="C3439:C3448"/>
    <mergeCell ref="H3440:H3441"/>
    <mergeCell ref="I3440:I3441"/>
    <mergeCell ref="H3442:H3443"/>
    <mergeCell ref="I3442:I3443"/>
    <mergeCell ref="H3444:H3445"/>
    <mergeCell ref="I3444:I3445"/>
    <mergeCell ref="H3446:H3447"/>
    <mergeCell ref="I3446:I3447"/>
    <mergeCell ref="H3448:H3449"/>
    <mergeCell ref="I3448:I3449"/>
    <mergeCell ref="C3449:C3458"/>
    <mergeCell ref="H3450:H3451"/>
    <mergeCell ref="I3450:I3451"/>
    <mergeCell ref="H3452:H3453"/>
    <mergeCell ref="I3452:I3453"/>
    <mergeCell ref="H3454:H3455"/>
    <mergeCell ref="I3454:I3455"/>
    <mergeCell ref="H3456:H3457"/>
    <mergeCell ref="I3456:I3457"/>
    <mergeCell ref="H3458:H3459"/>
    <mergeCell ref="I3458:I3459"/>
    <mergeCell ref="C3459:C3468"/>
    <mergeCell ref="H3460:H3461"/>
    <mergeCell ref="I3460:I3461"/>
    <mergeCell ref="H3462:H3463"/>
    <mergeCell ref="I3462:I3463"/>
    <mergeCell ref="H3464:H3465"/>
    <mergeCell ref="I3464:I3465"/>
    <mergeCell ref="H3466:H3467"/>
    <mergeCell ref="I3466:I3467"/>
    <mergeCell ref="H3468:H3469"/>
    <mergeCell ref="I3468:I3469"/>
    <mergeCell ref="C3469:C3478"/>
    <mergeCell ref="H3470:H3471"/>
    <mergeCell ref="I3470:I3471"/>
    <mergeCell ref="H3472:H3473"/>
    <mergeCell ref="I3472:I3473"/>
    <mergeCell ref="H3474:H3475"/>
    <mergeCell ref="I3474:I3475"/>
    <mergeCell ref="H3476:H3477"/>
    <mergeCell ref="I3476:I3477"/>
    <mergeCell ref="H3478:H3479"/>
    <mergeCell ref="I3478:I3479"/>
    <mergeCell ref="C3479:C3488"/>
    <mergeCell ref="H3480:H3481"/>
    <mergeCell ref="I3480:I3481"/>
    <mergeCell ref="H3482:H3483"/>
    <mergeCell ref="I3482:I3483"/>
    <mergeCell ref="H3484:H3485"/>
    <mergeCell ref="I3484:I3485"/>
    <mergeCell ref="H3486:H3487"/>
    <mergeCell ref="I3486:I3487"/>
    <mergeCell ref="H3488:H3489"/>
    <mergeCell ref="I3488:I3489"/>
    <mergeCell ref="C3489:C3498"/>
    <mergeCell ref="H3490:H3491"/>
    <mergeCell ref="I3490:I3491"/>
    <mergeCell ref="H3492:H3493"/>
    <mergeCell ref="I3492:I3493"/>
    <mergeCell ref="H3494:H3495"/>
    <mergeCell ref="I3494:I3495"/>
    <mergeCell ref="H3496:H3497"/>
    <mergeCell ref="I3496:I3497"/>
    <mergeCell ref="H3498:H3499"/>
    <mergeCell ref="I3498:I3499"/>
    <mergeCell ref="C3499:C3508"/>
    <mergeCell ref="H3500:H3501"/>
    <mergeCell ref="I3500:I3501"/>
    <mergeCell ref="H3502:H3503"/>
    <mergeCell ref="I3502:I3503"/>
    <mergeCell ref="H3504:H3505"/>
    <mergeCell ref="I3504:I3505"/>
    <mergeCell ref="H3506:H3507"/>
    <mergeCell ref="I3506:I3507"/>
    <mergeCell ref="H3508:H3509"/>
    <mergeCell ref="I3508:I3509"/>
    <mergeCell ref="C3509:C3518"/>
    <mergeCell ref="H3510:H3511"/>
    <mergeCell ref="I3510:I3511"/>
    <mergeCell ref="H3512:H3513"/>
    <mergeCell ref="I3512:I3513"/>
    <mergeCell ref="H3514:H3515"/>
    <mergeCell ref="I3514:I3515"/>
    <mergeCell ref="H3516:H3517"/>
    <mergeCell ref="I3516:I3517"/>
    <mergeCell ref="H3518:H3519"/>
    <mergeCell ref="I3518:I3519"/>
    <mergeCell ref="B3519:B3568"/>
    <mergeCell ref="C3519:C3528"/>
    <mergeCell ref="H3520:H3521"/>
    <mergeCell ref="I3520:I3521"/>
    <mergeCell ref="H3522:H3523"/>
    <mergeCell ref="I3522:I3523"/>
    <mergeCell ref="H3524:H3525"/>
    <mergeCell ref="I3524:I3525"/>
    <mergeCell ref="H3526:H3527"/>
    <mergeCell ref="I3526:I3527"/>
    <mergeCell ref="H3528:H3529"/>
    <mergeCell ref="I3528:I3529"/>
    <mergeCell ref="C3529:C3538"/>
    <mergeCell ref="H3530:H3531"/>
    <mergeCell ref="I3530:I3531"/>
    <mergeCell ref="H3532:H3533"/>
    <mergeCell ref="I3532:I3533"/>
    <mergeCell ref="H3534:H3535"/>
    <mergeCell ref="I3534:I3535"/>
    <mergeCell ref="H3536:H3537"/>
    <mergeCell ref="I3536:I3537"/>
    <mergeCell ref="H3538:H3539"/>
    <mergeCell ref="I3538:I3539"/>
    <mergeCell ref="C3539:C3548"/>
    <mergeCell ref="H3540:H3541"/>
    <mergeCell ref="I3540:I3541"/>
    <mergeCell ref="H3542:H3543"/>
    <mergeCell ref="I3542:I3543"/>
    <mergeCell ref="H3544:H3545"/>
    <mergeCell ref="I3544:I3545"/>
    <mergeCell ref="H3546:H3547"/>
    <mergeCell ref="I3546:I3547"/>
    <mergeCell ref="H3548:H3549"/>
    <mergeCell ref="I3548:I3549"/>
    <mergeCell ref="C3549:C3558"/>
    <mergeCell ref="H3550:H3551"/>
    <mergeCell ref="I3550:I3551"/>
    <mergeCell ref="H3552:H3553"/>
    <mergeCell ref="I3552:I3553"/>
    <mergeCell ref="H3554:H3555"/>
    <mergeCell ref="I3554:I3555"/>
    <mergeCell ref="H3556:H3557"/>
    <mergeCell ref="I3556:I3557"/>
    <mergeCell ref="H3558:H3559"/>
    <mergeCell ref="I3558:I3559"/>
    <mergeCell ref="C3559:C3568"/>
    <mergeCell ref="H3560:H3561"/>
    <mergeCell ref="I3560:I3561"/>
    <mergeCell ref="H3562:H3563"/>
    <mergeCell ref="I3562:I3563"/>
    <mergeCell ref="H3564:H3565"/>
    <mergeCell ref="I3564:I3565"/>
    <mergeCell ref="H3566:H3567"/>
    <mergeCell ref="I3566:I3567"/>
    <mergeCell ref="H3568:H3569"/>
    <mergeCell ref="I3568:I3569"/>
    <mergeCell ref="B3569:B3618"/>
    <mergeCell ref="C3569:C3578"/>
    <mergeCell ref="H3570:H3571"/>
    <mergeCell ref="I3570:I3571"/>
    <mergeCell ref="H3572:H3573"/>
    <mergeCell ref="I3572:I3573"/>
    <mergeCell ref="H3574:H3575"/>
    <mergeCell ref="I3574:I3575"/>
    <mergeCell ref="H3576:H3577"/>
    <mergeCell ref="I3576:I3577"/>
    <mergeCell ref="H3578:H3579"/>
    <mergeCell ref="I3578:I3579"/>
    <mergeCell ref="C3579:C3588"/>
    <mergeCell ref="H3580:H3581"/>
    <mergeCell ref="I3580:I3581"/>
    <mergeCell ref="H3582:H3583"/>
    <mergeCell ref="I3582:I3583"/>
    <mergeCell ref="H3584:H3585"/>
    <mergeCell ref="I3584:I3585"/>
    <mergeCell ref="H3586:H3587"/>
    <mergeCell ref="I3586:I3587"/>
    <mergeCell ref="H3588:H3589"/>
    <mergeCell ref="I3588:I3589"/>
    <mergeCell ref="C3589:C3598"/>
    <mergeCell ref="H3590:H3591"/>
    <mergeCell ref="I3590:I3591"/>
    <mergeCell ref="H3592:H3593"/>
    <mergeCell ref="I3592:I3593"/>
    <mergeCell ref="H3594:H3595"/>
    <mergeCell ref="I3594:I3595"/>
    <mergeCell ref="H3596:H3597"/>
    <mergeCell ref="I3596:I3597"/>
    <mergeCell ref="H3598:H3599"/>
    <mergeCell ref="I3598:I3599"/>
    <mergeCell ref="C3599:C3608"/>
    <mergeCell ref="H3600:H3601"/>
    <mergeCell ref="I3600:I3601"/>
    <mergeCell ref="H3602:H3603"/>
    <mergeCell ref="I3602:I3603"/>
    <mergeCell ref="H3604:H3605"/>
    <mergeCell ref="I3604:I3605"/>
    <mergeCell ref="H3606:H3607"/>
    <mergeCell ref="I3606:I3607"/>
    <mergeCell ref="H3608:H3609"/>
    <mergeCell ref="I3608:I3609"/>
    <mergeCell ref="C3609:C3618"/>
    <mergeCell ref="H3610:H3611"/>
    <mergeCell ref="I3610:I3611"/>
    <mergeCell ref="H3612:H3613"/>
    <mergeCell ref="I3612:I3613"/>
    <mergeCell ref="H3614:H3615"/>
    <mergeCell ref="I3614:I3615"/>
    <mergeCell ref="H3616:H3617"/>
    <mergeCell ref="I3616:I3617"/>
    <mergeCell ref="H3618:H3619"/>
    <mergeCell ref="I3618:I3619"/>
    <mergeCell ref="B3619:B3708"/>
    <mergeCell ref="C3619:C3628"/>
    <mergeCell ref="H3620:H3621"/>
    <mergeCell ref="I3620:I3621"/>
    <mergeCell ref="H3622:H3623"/>
    <mergeCell ref="I3622:I3623"/>
    <mergeCell ref="H3624:H3625"/>
    <mergeCell ref="I3624:I3625"/>
    <mergeCell ref="H3626:H3627"/>
    <mergeCell ref="I3626:I3627"/>
    <mergeCell ref="H3628:H3629"/>
    <mergeCell ref="I3628:I3629"/>
    <mergeCell ref="C3629:C3638"/>
    <mergeCell ref="H3630:H3631"/>
    <mergeCell ref="I3630:I3631"/>
    <mergeCell ref="H3632:H3633"/>
    <mergeCell ref="I3632:I3633"/>
    <mergeCell ref="H3634:H3635"/>
    <mergeCell ref="I3634:I3635"/>
    <mergeCell ref="H3636:H3637"/>
    <mergeCell ref="I3636:I3637"/>
    <mergeCell ref="H3638:H3639"/>
    <mergeCell ref="I3638:I3639"/>
    <mergeCell ref="C3639:C3648"/>
    <mergeCell ref="H3640:H3641"/>
    <mergeCell ref="I3640:I3641"/>
    <mergeCell ref="H3642:H3643"/>
    <mergeCell ref="I3642:I3643"/>
    <mergeCell ref="H3644:H3645"/>
    <mergeCell ref="I3644:I3645"/>
    <mergeCell ref="H3646:H3647"/>
    <mergeCell ref="I3646:I3647"/>
    <mergeCell ref="H3648:H3649"/>
    <mergeCell ref="I3648:I3649"/>
    <mergeCell ref="C3649:C3658"/>
    <mergeCell ref="H3650:H3651"/>
    <mergeCell ref="I3650:I3651"/>
    <mergeCell ref="H3652:H3653"/>
    <mergeCell ref="I3652:I3653"/>
    <mergeCell ref="H3654:H3655"/>
    <mergeCell ref="I3654:I3655"/>
    <mergeCell ref="H3656:H3657"/>
    <mergeCell ref="I3656:I3657"/>
    <mergeCell ref="H3658:H3659"/>
    <mergeCell ref="I3658:I3659"/>
    <mergeCell ref="C3659:C3668"/>
    <mergeCell ref="H3660:H3661"/>
    <mergeCell ref="I3660:I3661"/>
    <mergeCell ref="H3662:H3663"/>
    <mergeCell ref="I3662:I3663"/>
    <mergeCell ref="H3664:H3665"/>
    <mergeCell ref="I3664:I3665"/>
    <mergeCell ref="H3666:H3667"/>
    <mergeCell ref="I3666:I3667"/>
    <mergeCell ref="H3668:H3669"/>
    <mergeCell ref="I3668:I3669"/>
    <mergeCell ref="C3669:C3678"/>
    <mergeCell ref="H3670:H3671"/>
    <mergeCell ref="I3670:I3671"/>
    <mergeCell ref="H3672:H3673"/>
    <mergeCell ref="I3672:I3673"/>
    <mergeCell ref="H3674:H3675"/>
    <mergeCell ref="I3674:I3675"/>
    <mergeCell ref="H3676:H3677"/>
    <mergeCell ref="I3676:I3677"/>
    <mergeCell ref="H3678:H3679"/>
    <mergeCell ref="I3678:I3679"/>
    <mergeCell ref="C3679:C3688"/>
    <mergeCell ref="H3680:H3681"/>
    <mergeCell ref="I3680:I3681"/>
    <mergeCell ref="H3682:H3683"/>
    <mergeCell ref="I3682:I3683"/>
    <mergeCell ref="H3684:H3685"/>
    <mergeCell ref="I3684:I3685"/>
    <mergeCell ref="H3686:H3687"/>
    <mergeCell ref="I3686:I3687"/>
    <mergeCell ref="H3688:H3689"/>
    <mergeCell ref="I3688:I3689"/>
    <mergeCell ref="C3689:C3698"/>
    <mergeCell ref="H3690:H3691"/>
    <mergeCell ref="I3690:I3691"/>
    <mergeCell ref="H3692:H3693"/>
    <mergeCell ref="I3692:I3693"/>
    <mergeCell ref="H3694:H3695"/>
    <mergeCell ref="I3694:I3695"/>
    <mergeCell ref="H3696:H3697"/>
    <mergeCell ref="I3696:I3697"/>
    <mergeCell ref="H3698:H3699"/>
    <mergeCell ref="I3698:I3699"/>
    <mergeCell ref="C3699:C3708"/>
    <mergeCell ref="H3700:H3701"/>
    <mergeCell ref="I3700:I3701"/>
    <mergeCell ref="H3702:H3703"/>
    <mergeCell ref="I3702:I3703"/>
    <mergeCell ref="H3704:H3705"/>
    <mergeCell ref="I3704:I3705"/>
    <mergeCell ref="H3706:H3707"/>
    <mergeCell ref="I3706:I3707"/>
    <mergeCell ref="H3708:H3709"/>
    <mergeCell ref="I3708:I3709"/>
    <mergeCell ref="B3709:B3758"/>
    <mergeCell ref="C3709:C3718"/>
    <mergeCell ref="H3710:H3711"/>
    <mergeCell ref="I3710:I3711"/>
    <mergeCell ref="H3712:H3713"/>
    <mergeCell ref="I3712:I3713"/>
    <mergeCell ref="H3714:H3715"/>
    <mergeCell ref="I3714:I3715"/>
    <mergeCell ref="H3716:H3717"/>
    <mergeCell ref="I3716:I3717"/>
    <mergeCell ref="H3718:H3719"/>
    <mergeCell ref="I3718:I3719"/>
    <mergeCell ref="C3719:C3728"/>
    <mergeCell ref="H3720:H3721"/>
    <mergeCell ref="I3720:I3721"/>
    <mergeCell ref="H3722:H3723"/>
    <mergeCell ref="I3722:I3723"/>
    <mergeCell ref="H3724:H3725"/>
    <mergeCell ref="I3724:I3725"/>
    <mergeCell ref="H3726:H3727"/>
    <mergeCell ref="I3726:I3727"/>
    <mergeCell ref="H3728:H3729"/>
    <mergeCell ref="I3728:I3729"/>
    <mergeCell ref="C3729:C3738"/>
    <mergeCell ref="H3730:H3731"/>
    <mergeCell ref="I3730:I3731"/>
    <mergeCell ref="H3732:H3733"/>
    <mergeCell ref="I3732:I3733"/>
    <mergeCell ref="H3734:H3735"/>
    <mergeCell ref="I3734:I3735"/>
    <mergeCell ref="H3736:H3737"/>
    <mergeCell ref="I3736:I3737"/>
    <mergeCell ref="H3738:H3739"/>
    <mergeCell ref="I3738:I3739"/>
    <mergeCell ref="C3739:C3748"/>
    <mergeCell ref="H3740:H3741"/>
    <mergeCell ref="I3740:I3741"/>
    <mergeCell ref="H3742:H3743"/>
    <mergeCell ref="I3742:I3743"/>
    <mergeCell ref="H3744:H3745"/>
    <mergeCell ref="I3744:I3745"/>
    <mergeCell ref="H3746:H3747"/>
    <mergeCell ref="I3746:I3747"/>
    <mergeCell ref="H3748:H3749"/>
    <mergeCell ref="I3748:I3749"/>
    <mergeCell ref="C3749:C3758"/>
    <mergeCell ref="H3750:H3751"/>
    <mergeCell ref="I3750:I3751"/>
    <mergeCell ref="H3752:H3753"/>
    <mergeCell ref="I3752:I3753"/>
    <mergeCell ref="H3754:H3755"/>
    <mergeCell ref="I3754:I3755"/>
    <mergeCell ref="H3756:H3757"/>
    <mergeCell ref="I3756:I3757"/>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423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2025-03-18T17:58:11Z</dcterms:created>
  <dc:creator/>
  <dc:description/>
  <dc:language>fr-FR</dc:language>
  <cp:lastModifiedBy/>
  <dcterms:modified xsi:type="dcterms:W3CDTF">2025-04-16T23:48:38Z</dcterms:modified>
  <cp:revision>43</cp:revision>
  <dc:subject/>
  <dc:title/>
</cp:coreProperties>
</file>

<file path=docProps/custom.xml><?xml version="1.0" encoding="utf-8"?>
<Properties xmlns="http://schemas.openxmlformats.org/officeDocument/2006/custom-properties" xmlns:vt="http://schemas.openxmlformats.org/officeDocument/2006/docPropsVTypes"/>
</file>